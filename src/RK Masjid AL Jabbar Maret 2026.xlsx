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ALJABAR\"/>
    </mc:Choice>
  </mc:AlternateContent>
  <xr:revisionPtr revIDLastSave="0" documentId="13_ncr:1_{23237BD4-7C4D-4A03-8C9A-44DE1301C918}" xr6:coauthVersionLast="47" xr6:coauthVersionMax="47" xr10:uidLastSave="{00000000-0000-0000-0000-000000000000}"/>
  <bookViews>
    <workbookView xWindow="-110" yWindow="-110" windowWidth="19420" windowHeight="10300" tabRatio="666" firstSheet="9" activeTab="11" xr2:uid="{00000000-000D-0000-FFFF-FFFF00000000}"/>
  </bookViews>
  <sheets>
    <sheet name="ACC-STATEMENT-20250109" sheetId="1" state="hidden" r:id="rId1"/>
    <sheet name="Mutasi RK Aljabar" sheetId="2" state="hidden" r:id="rId2"/>
    <sheet name="Mutasi RK Aljabar Rinci" sheetId="3" state="hidden" r:id="rId3"/>
    <sheet name="Mutasi Group" sheetId="12" state="hidden" r:id="rId4"/>
    <sheet name="Nama Donatur" sheetId="22" state="hidden" r:id="rId5"/>
    <sheet name="Mutasi RK Aljabar Desember" sheetId="20" state="hidden" r:id="rId6"/>
    <sheet name="Mutasi RK Aljabar April" sheetId="19" state="hidden" r:id="rId7"/>
    <sheet name="Mutasi RK Aljabar Maret" sheetId="14" state="hidden" r:id="rId8"/>
    <sheet name="Mutasi RK Aljabar September (2)" sheetId="21" state="hidden" r:id="rId9"/>
    <sheet name="Mutasi RK Aljabar 2 April" sheetId="24" r:id="rId10"/>
    <sheet name="Mutasi RK Aljabar Januari (2)" sheetId="25" state="hidden" r:id="rId11"/>
    <sheet name="Cash flow Aljabbar" sheetId="9" r:id="rId12"/>
    <sheet name="Cash flow Aljabbar forecast" sheetId="13" state="hidden" r:id="rId13"/>
    <sheet name="Akun" sheetId="10" r:id="rId14"/>
    <sheet name="Terima Cash Imron" sheetId="15" state="hidden" r:id="rId15"/>
    <sheet name="Infaq Taraweh" sheetId="17" state="hidden" r:id="rId16"/>
  </sheets>
  <externalReferences>
    <externalReference r:id="rId17"/>
    <externalReference r:id="rId18"/>
  </externalReferences>
  <definedNames>
    <definedName name="_xlnm._FilterDatabase" localSheetId="11" hidden="1">'Cash flow Aljabbar'!$B$12:$B$55</definedName>
    <definedName name="_xlnm._FilterDatabase" localSheetId="12" hidden="1">'Cash flow Aljabbar forecast'!$B$13:$B$49</definedName>
    <definedName name="_xlnm._FilterDatabase" localSheetId="15" hidden="1">'Infaq Taraweh'!#REF!</definedName>
    <definedName name="_xlnm._FilterDatabase" localSheetId="3" hidden="1">'Mutasi Group'!$G$7:$L$126</definedName>
    <definedName name="_xlnm._FilterDatabase" localSheetId="1" hidden="1">'Mutasi RK Aljabar'!$A$7:$H$699</definedName>
    <definedName name="_xlnm._FilterDatabase" localSheetId="9" hidden="1">'Mutasi RK Aljabar 2 April'!$A$7:$I$1401</definedName>
    <definedName name="_xlnm._FilterDatabase" localSheetId="6" hidden="1">'Mutasi RK Aljabar April'!$A$1040:$I$1155</definedName>
    <definedName name="_xlnm._FilterDatabase" localSheetId="5" hidden="1">'Mutasi RK Aljabar Desember'!$A$7:$I$2541</definedName>
    <definedName name="_xlnm._FilterDatabase" localSheetId="10" hidden="1">'Mutasi RK Aljabar Januari (2)'!$A$7:$I$254</definedName>
    <definedName name="_xlnm._FilterDatabase" localSheetId="7" hidden="1">'Mutasi RK Aljabar Maret'!$A$7:$H$873</definedName>
    <definedName name="_xlnm._FilterDatabase" localSheetId="8" hidden="1">'Mutasi RK Aljabar September (2)'!$A$1888:$I$2059</definedName>
    <definedName name="_xlnm._FilterDatabase" localSheetId="4" hidden="1">'Nama Donatur'!$A$4:$F$193</definedName>
    <definedName name="_xlnm._FilterDatabase" localSheetId="14" hidden="1">'Terima Cash Imron'!#REF!</definedName>
    <definedName name="_xlnm.Print_Area" localSheetId="11">'Cash flow Aljabbar'!$A$1:$AP$61</definedName>
  </definedNames>
  <calcPr calcId="191029"/>
  <pivotCaches>
    <pivotCache cacheId="0" r:id="rId19"/>
    <pivotCache cacheId="1" r:id="rId20"/>
    <pivotCache cacheId="2" r:id="rId21"/>
    <pivotCache cacheId="3" r:id="rId22"/>
    <pivotCache cacheId="4" r:id="rId23"/>
    <pivotCache cacheId="5" r:id="rId24"/>
    <pivotCache cacheId="6" r:id="rId25"/>
    <pivotCache cacheId="7" r:id="rId26"/>
    <pivotCache cacheId="8" r:id="rId27"/>
    <pivotCache cacheId="9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4" l="1"/>
  <c r="I27" i="9"/>
  <c r="I23" i="9"/>
  <c r="I24" i="9"/>
  <c r="I7" i="9"/>
  <c r="I30" i="9"/>
  <c r="I17" i="9"/>
  <c r="J21" i="9"/>
  <c r="J37" i="9"/>
  <c r="I37" i="9"/>
  <c r="K38" i="9" s="1"/>
  <c r="F1416" i="24"/>
  <c r="F1417" i="24" s="1"/>
  <c r="F1418" i="24" s="1"/>
  <c r="F1419" i="24" s="1"/>
  <c r="F1420" i="24" s="1"/>
  <c r="F1206" i="24"/>
  <c r="F1207" i="24" s="1"/>
  <c r="F1205" i="24"/>
  <c r="I13" i="9"/>
  <c r="J13" i="9"/>
  <c r="D1097" i="24"/>
  <c r="D918" i="24" l="1"/>
  <c r="F24" i="9"/>
  <c r="F17" i="9"/>
  <c r="F22" i="9"/>
  <c r="F23" i="9"/>
  <c r="F27" i="9"/>
  <c r="F30" i="9"/>
  <c r="F26" i="9"/>
  <c r="G21" i="9"/>
  <c r="F41" i="9"/>
  <c r="G35" i="9"/>
  <c r="D760" i="24" l="1"/>
  <c r="D592" i="24"/>
  <c r="D390" i="24" l="1"/>
  <c r="C23" i="9"/>
  <c r="C30" i="9"/>
  <c r="D21" i="9" l="1"/>
  <c r="D347" i="24" l="1"/>
  <c r="D297" i="24" l="1"/>
  <c r="C24" i="9" l="1"/>
  <c r="C17" i="9"/>
  <c r="C26" i="9"/>
  <c r="F250" i="25" l="1"/>
  <c r="F251" i="25" s="1"/>
  <c r="F252" i="25" s="1"/>
  <c r="F253" i="25" s="1"/>
  <c r="F254" i="25" s="1"/>
  <c r="F255" i="25" s="1"/>
  <c r="F256" i="25" s="1"/>
  <c r="F257" i="25" s="1"/>
  <c r="F258" i="25" s="1"/>
  <c r="F259" i="25" s="1"/>
  <c r="F260" i="25" s="1"/>
  <c r="F261" i="25" s="1"/>
  <c r="F262" i="25" s="1"/>
  <c r="F263" i="25" s="1"/>
  <c r="F264" i="25" s="1"/>
  <c r="F265" i="25" s="1"/>
  <c r="F266" i="25" s="1"/>
  <c r="F267" i="25" s="1"/>
  <c r="F268" i="25" s="1"/>
  <c r="F269" i="25" s="1"/>
  <c r="F270" i="25" s="1"/>
  <c r="F271" i="25" s="1"/>
  <c r="F272" i="25" s="1"/>
  <c r="F273" i="25" s="1"/>
  <c r="F274" i="25" s="1"/>
  <c r="D209" i="25"/>
  <c r="D120" i="25"/>
  <c r="D71" i="25"/>
  <c r="F9" i="25"/>
  <c r="F10" i="25" s="1"/>
  <c r="F11" i="25" s="1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F25" i="25" s="1"/>
  <c r="F26" i="25" s="1"/>
  <c r="F27" i="25" s="1"/>
  <c r="F28" i="25" s="1"/>
  <c r="F29" i="25" s="1"/>
  <c r="F30" i="25" s="1"/>
  <c r="F31" i="25" s="1"/>
  <c r="F32" i="25" s="1"/>
  <c r="F33" i="25" s="1"/>
  <c r="F34" i="25" s="1"/>
  <c r="F35" i="25" s="1"/>
  <c r="F36" i="25" s="1"/>
  <c r="F37" i="25" s="1"/>
  <c r="F38" i="25" s="1"/>
  <c r="F39" i="25" s="1"/>
  <c r="F40" i="25" s="1"/>
  <c r="F41" i="25" s="1"/>
  <c r="F42" i="25" s="1"/>
  <c r="F43" i="25" s="1"/>
  <c r="F44" i="25" s="1"/>
  <c r="F45" i="25" s="1"/>
  <c r="F46" i="25" s="1"/>
  <c r="F47" i="25" s="1"/>
  <c r="F48" i="25" s="1"/>
  <c r="F49" i="25" s="1"/>
  <c r="F50" i="25" s="1"/>
  <c r="F51" i="25" s="1"/>
  <c r="F52" i="25" s="1"/>
  <c r="F53" i="25" s="1"/>
  <c r="F54" i="25" s="1"/>
  <c r="F55" i="25" s="1"/>
  <c r="F56" i="25" s="1"/>
  <c r="F57" i="25" s="1"/>
  <c r="F58" i="25" s="1"/>
  <c r="F59" i="25" s="1"/>
  <c r="F60" i="25" s="1"/>
  <c r="F61" i="25" s="1"/>
  <c r="F62" i="25" s="1"/>
  <c r="F63" i="25" s="1"/>
  <c r="F64" i="25" s="1"/>
  <c r="F65" i="25" s="1"/>
  <c r="F66" i="25" s="1"/>
  <c r="F67" i="25" s="1"/>
  <c r="F68" i="25" s="1"/>
  <c r="F69" i="25" s="1"/>
  <c r="F70" i="25" s="1"/>
  <c r="F71" i="25" s="1"/>
  <c r="F72" i="25" s="1"/>
  <c r="F73" i="25" s="1"/>
  <c r="F74" i="25" s="1"/>
  <c r="F75" i="25" s="1"/>
  <c r="F76" i="25" s="1"/>
  <c r="F77" i="25" s="1"/>
  <c r="F78" i="25" s="1"/>
  <c r="F79" i="25" s="1"/>
  <c r="F80" i="25" s="1"/>
  <c r="F81" i="25" s="1"/>
  <c r="F82" i="25" s="1"/>
  <c r="F83" i="25" s="1"/>
  <c r="F84" i="25" s="1"/>
  <c r="F85" i="25" s="1"/>
  <c r="F86" i="25" s="1"/>
  <c r="F87" i="25" s="1"/>
  <c r="F88" i="25" s="1"/>
  <c r="F89" i="25" s="1"/>
  <c r="F90" i="25" s="1"/>
  <c r="F91" i="25" s="1"/>
  <c r="F92" i="25" s="1"/>
  <c r="F93" i="25" s="1"/>
  <c r="F94" i="25" s="1"/>
  <c r="F95" i="25" s="1"/>
  <c r="F96" i="25" s="1"/>
  <c r="F97" i="25" s="1"/>
  <c r="F98" i="25" s="1"/>
  <c r="F99" i="25" s="1"/>
  <c r="F100" i="25" s="1"/>
  <c r="F101" i="25" s="1"/>
  <c r="F102" i="25" s="1"/>
  <c r="F103" i="25" s="1"/>
  <c r="F104" i="25" s="1"/>
  <c r="F105" i="25" s="1"/>
  <c r="F106" i="25" s="1"/>
  <c r="F107" i="25" s="1"/>
  <c r="F108" i="25" s="1"/>
  <c r="F109" i="25" s="1"/>
  <c r="F110" i="25" s="1"/>
  <c r="F111" i="25" s="1"/>
  <c r="F112" i="25" s="1"/>
  <c r="F113" i="25" s="1"/>
  <c r="F114" i="25" s="1"/>
  <c r="F115" i="25" s="1"/>
  <c r="F116" i="25" s="1"/>
  <c r="F117" i="25" s="1"/>
  <c r="F118" i="25" s="1"/>
  <c r="F119" i="25" s="1"/>
  <c r="F120" i="25" s="1"/>
  <c r="F121" i="25" s="1"/>
  <c r="F122" i="25" s="1"/>
  <c r="F123" i="25" s="1"/>
  <c r="F124" i="25" s="1"/>
  <c r="F125" i="25" s="1"/>
  <c r="F126" i="25" s="1"/>
  <c r="F127" i="25" s="1"/>
  <c r="F128" i="25" s="1"/>
  <c r="F129" i="25" s="1"/>
  <c r="F130" i="25" s="1"/>
  <c r="F131" i="25" s="1"/>
  <c r="F132" i="25" s="1"/>
  <c r="F133" i="25" s="1"/>
  <c r="F134" i="25" s="1"/>
  <c r="F135" i="25" s="1"/>
  <c r="F136" i="25" s="1"/>
  <c r="F137" i="25" s="1"/>
  <c r="F138" i="25" s="1"/>
  <c r="F139" i="25" s="1"/>
  <c r="F140" i="25" s="1"/>
  <c r="F141" i="25" s="1"/>
  <c r="F142" i="25" s="1"/>
  <c r="F143" i="25" s="1"/>
  <c r="F144" i="25" s="1"/>
  <c r="F145" i="25" s="1"/>
  <c r="F146" i="25" s="1"/>
  <c r="F147" i="25" s="1"/>
  <c r="F148" i="25" s="1"/>
  <c r="F149" i="25" s="1"/>
  <c r="F150" i="25" s="1"/>
  <c r="F151" i="25" s="1"/>
  <c r="F152" i="25" s="1"/>
  <c r="F153" i="25" s="1"/>
  <c r="F154" i="25" s="1"/>
  <c r="F155" i="25" s="1"/>
  <c r="F156" i="25" s="1"/>
  <c r="F157" i="25" s="1"/>
  <c r="F158" i="25" s="1"/>
  <c r="F159" i="25" s="1"/>
  <c r="F160" i="25" s="1"/>
  <c r="F161" i="25" s="1"/>
  <c r="F162" i="25" s="1"/>
  <c r="F163" i="25" s="1"/>
  <c r="F164" i="25" s="1"/>
  <c r="F165" i="25" s="1"/>
  <c r="F166" i="25" s="1"/>
  <c r="F167" i="25" s="1"/>
  <c r="F168" i="25" s="1"/>
  <c r="F169" i="25" s="1"/>
  <c r="F170" i="25" s="1"/>
  <c r="F171" i="25" s="1"/>
  <c r="F172" i="25" s="1"/>
  <c r="F173" i="25" s="1"/>
  <c r="F174" i="25" s="1"/>
  <c r="F175" i="25" s="1"/>
  <c r="F176" i="25" s="1"/>
  <c r="F177" i="25" s="1"/>
  <c r="F178" i="25" s="1"/>
  <c r="F179" i="25" s="1"/>
  <c r="F180" i="25" s="1"/>
  <c r="F181" i="25" s="1"/>
  <c r="F182" i="25" s="1"/>
  <c r="F183" i="25" s="1"/>
  <c r="F184" i="25" s="1"/>
  <c r="F185" i="25" s="1"/>
  <c r="F186" i="25" s="1"/>
  <c r="F187" i="25" s="1"/>
  <c r="F188" i="25" s="1"/>
  <c r="F189" i="25" s="1"/>
  <c r="F190" i="25" s="1"/>
  <c r="F191" i="25" s="1"/>
  <c r="F192" i="25" s="1"/>
  <c r="F193" i="25" s="1"/>
  <c r="F194" i="25" s="1"/>
  <c r="F195" i="25" s="1"/>
  <c r="F196" i="25" s="1"/>
  <c r="F197" i="25" s="1"/>
  <c r="F198" i="25" s="1"/>
  <c r="F199" i="25" s="1"/>
  <c r="F200" i="25" s="1"/>
  <c r="F201" i="25" s="1"/>
  <c r="F202" i="25" s="1"/>
  <c r="F203" i="25" s="1"/>
  <c r="F204" i="25" s="1"/>
  <c r="F205" i="25" s="1"/>
  <c r="F206" i="25" s="1"/>
  <c r="F207" i="25" s="1"/>
  <c r="F208" i="25" s="1"/>
  <c r="F209" i="25" s="1"/>
  <c r="F210" i="25" s="1"/>
  <c r="F211" i="25" s="1"/>
  <c r="F212" i="25" s="1"/>
  <c r="F213" i="25" s="1"/>
  <c r="F214" i="25" s="1"/>
  <c r="F215" i="25" s="1"/>
  <c r="F216" i="25" s="1"/>
  <c r="F217" i="25" s="1"/>
  <c r="F218" i="25" s="1"/>
  <c r="F219" i="25" s="1"/>
  <c r="F220" i="25" s="1"/>
  <c r="F221" i="25" s="1"/>
  <c r="F222" i="25" s="1"/>
  <c r="F223" i="25" s="1"/>
  <c r="F224" i="25" s="1"/>
  <c r="F225" i="25" s="1"/>
  <c r="F226" i="25" s="1"/>
  <c r="F227" i="25" s="1"/>
  <c r="F228" i="25" s="1"/>
  <c r="F229" i="25" s="1"/>
  <c r="F230" i="25" s="1"/>
  <c r="F231" i="25" s="1"/>
  <c r="F232" i="25" s="1"/>
  <c r="F233" i="25" s="1"/>
  <c r="F234" i="25" s="1"/>
  <c r="F235" i="25" s="1"/>
  <c r="F236" i="25" s="1"/>
  <c r="F237" i="25" s="1"/>
  <c r="F238" i="25" s="1"/>
  <c r="F239" i="25" s="1"/>
  <c r="F240" i="25" s="1"/>
  <c r="F241" i="25" s="1"/>
  <c r="F242" i="25" s="1"/>
  <c r="F243" i="25" s="1"/>
  <c r="F244" i="25" s="1"/>
  <c r="F245" i="25" s="1"/>
  <c r="F246" i="25" s="1"/>
  <c r="F247" i="25" s="1"/>
  <c r="F6" i="25"/>
  <c r="F42" i="9"/>
  <c r="G42" i="9"/>
  <c r="D215" i="24" l="1"/>
  <c r="D120" i="24" l="1"/>
  <c r="D71" i="24"/>
  <c r="F1326" i="24"/>
  <c r="F1327" i="24" s="1"/>
  <c r="F1328" i="24" s="1"/>
  <c r="F1329" i="24" s="1"/>
  <c r="F1330" i="24" s="1"/>
  <c r="F1331" i="24" s="1"/>
  <c r="F1332" i="24" s="1"/>
  <c r="F1333" i="24" s="1"/>
  <c r="F1334" i="24" s="1"/>
  <c r="F1335" i="24" s="1"/>
  <c r="F1336" i="24" s="1"/>
  <c r="F1337" i="24" s="1"/>
  <c r="F1338" i="24" s="1"/>
  <c r="F1339" i="24" s="1"/>
  <c r="F1340" i="24" s="1"/>
  <c r="F1341" i="24" s="1"/>
  <c r="F1342" i="24" s="1"/>
  <c r="F1343" i="24" s="1"/>
  <c r="F1344" i="24" s="1"/>
  <c r="F1345" i="24" s="1"/>
  <c r="F1346" i="24" s="1"/>
  <c r="F1347" i="24" s="1"/>
  <c r="F1348" i="24" s="1"/>
  <c r="F1349" i="24" s="1"/>
  <c r="F1350" i="24" s="1"/>
  <c r="F1351" i="24" s="1"/>
  <c r="F1352" i="24" s="1"/>
  <c r="F1353" i="24" s="1"/>
  <c r="F1354" i="24" s="1"/>
  <c r="F1355" i="24" s="1"/>
  <c r="F1356" i="24" s="1"/>
  <c r="F1357" i="24" s="1"/>
  <c r="F1358" i="24" s="1"/>
  <c r="F1359" i="24" s="1"/>
  <c r="F1360" i="24" s="1"/>
  <c r="F1361" i="24" s="1"/>
  <c r="F1362" i="24" s="1"/>
  <c r="F1363" i="24" s="1"/>
  <c r="F1364" i="24" s="1"/>
  <c r="F1365" i="24" s="1"/>
  <c r="F1366" i="24" s="1"/>
  <c r="F1367" i="24" s="1"/>
  <c r="F1368" i="24" s="1"/>
  <c r="F1369" i="24" s="1"/>
  <c r="F1370" i="24" s="1"/>
  <c r="F1371" i="24" s="1"/>
  <c r="F1372" i="24" s="1"/>
  <c r="F1373" i="24" s="1"/>
  <c r="F1374" i="24" s="1"/>
  <c r="F1375" i="24" s="1"/>
  <c r="F1376" i="24" s="1"/>
  <c r="F1377" i="24" s="1"/>
  <c r="F1378" i="24" s="1"/>
  <c r="F1379" i="24" s="1"/>
  <c r="F1380" i="24" s="1"/>
  <c r="F1381" i="24" s="1"/>
  <c r="F1382" i="24" s="1"/>
  <c r="F1383" i="24" s="1"/>
  <c r="F1384" i="24" s="1"/>
  <c r="F1385" i="24" s="1"/>
  <c r="F1386" i="24" s="1"/>
  <c r="F1387" i="24" s="1"/>
  <c r="F1388" i="24" s="1"/>
  <c r="F1389" i="24" s="1"/>
  <c r="F1390" i="24" s="1"/>
  <c r="F1391" i="24" s="1"/>
  <c r="F1392" i="24" s="1"/>
  <c r="F1393" i="24" s="1"/>
  <c r="F1394" i="24" s="1"/>
  <c r="F1395" i="24" s="1"/>
  <c r="F1396" i="24" s="1"/>
  <c r="F1397" i="24" s="1"/>
  <c r="F1398" i="24" s="1"/>
  <c r="F1399" i="24" s="1"/>
  <c r="F1400" i="24" s="1"/>
  <c r="F1401" i="24" l="1"/>
  <c r="F1402" i="24" s="1"/>
  <c r="F1403" i="24" s="1"/>
  <c r="F1404" i="24" s="1"/>
  <c r="F1405" i="24" s="1"/>
  <c r="F1406" i="24" s="1"/>
  <c r="F1407" i="24" s="1"/>
  <c r="F1408" i="24" s="1"/>
  <c r="F1409" i="24" s="1"/>
  <c r="F1410" i="24" s="1"/>
  <c r="F1411" i="24" s="1"/>
  <c r="F1412" i="24" s="1"/>
  <c r="F1413" i="24" s="1"/>
  <c r="F1414" i="24" s="1"/>
  <c r="F1415" i="24" s="1"/>
  <c r="AN46" i="9"/>
  <c r="AM46" i="9"/>
  <c r="AM45" i="9"/>
  <c r="AN44" i="9"/>
  <c r="AM44" i="9"/>
  <c r="AN41" i="9"/>
  <c r="AM41" i="9"/>
  <c r="AN40" i="9"/>
  <c r="AM40" i="9"/>
  <c r="AN39" i="9"/>
  <c r="AM39" i="9"/>
  <c r="AN36" i="9"/>
  <c r="AM36" i="9"/>
  <c r="AN35" i="9"/>
  <c r="AM35" i="9"/>
  <c r="AN34" i="9"/>
  <c r="AM34" i="9"/>
  <c r="AN31" i="9"/>
  <c r="AM31" i="9"/>
  <c r="AN30" i="9"/>
  <c r="AM30" i="9"/>
  <c r="AN29" i="9"/>
  <c r="AM29" i="9"/>
  <c r="AN28" i="9"/>
  <c r="AM28" i="9"/>
  <c r="AN27" i="9"/>
  <c r="AM27" i="9"/>
  <c r="AN26" i="9"/>
  <c r="AM26" i="9"/>
  <c r="AN25" i="9"/>
  <c r="AM25" i="9"/>
  <c r="AN24" i="9"/>
  <c r="AM24" i="9"/>
  <c r="AN23" i="9"/>
  <c r="AM23" i="9"/>
  <c r="AN22" i="9"/>
  <c r="AM22" i="9"/>
  <c r="AN21" i="9"/>
  <c r="AM21" i="9"/>
  <c r="AN20" i="9"/>
  <c r="AM20" i="9"/>
  <c r="AN17" i="9"/>
  <c r="AM17" i="9"/>
  <c r="AN16" i="9"/>
  <c r="AM16" i="9"/>
  <c r="AN15" i="9"/>
  <c r="AM15" i="9"/>
  <c r="AN12" i="9"/>
  <c r="AM12" i="9"/>
  <c r="AN11" i="9"/>
  <c r="AM11" i="9"/>
  <c r="AN10" i="9"/>
  <c r="AM10" i="9"/>
  <c r="AN7" i="9"/>
  <c r="AM7" i="9"/>
  <c r="AN6" i="9"/>
  <c r="AM6" i="9"/>
  <c r="AM5" i="9"/>
  <c r="AN5" i="9"/>
  <c r="AK47" i="9"/>
  <c r="AJ47" i="9"/>
  <c r="AK42" i="9"/>
  <c r="AJ42" i="9"/>
  <c r="AK37" i="9"/>
  <c r="AJ37" i="9"/>
  <c r="AK32" i="9"/>
  <c r="AJ32" i="9"/>
  <c r="AK18" i="9"/>
  <c r="AJ18" i="9"/>
  <c r="AK13" i="9"/>
  <c r="AJ13" i="9"/>
  <c r="AK8" i="9"/>
  <c r="AJ8" i="9"/>
  <c r="D2524" i="20"/>
  <c r="D2361" i="20"/>
  <c r="D2282" i="20"/>
  <c r="D2244" i="20"/>
  <c r="D2203" i="20"/>
  <c r="AH47" i="9"/>
  <c r="AG47" i="9"/>
  <c r="AH42" i="9"/>
  <c r="AG42" i="9"/>
  <c r="AH37" i="9"/>
  <c r="AG37" i="9"/>
  <c r="AH32" i="9"/>
  <c r="AG32" i="9"/>
  <c r="AH18" i="9"/>
  <c r="AG18" i="9"/>
  <c r="AH13" i="9"/>
  <c r="AG13" i="9"/>
  <c r="AH8" i="9"/>
  <c r="AG8" i="9"/>
  <c r="F9" i="24" l="1"/>
  <c r="F10" i="24" s="1"/>
  <c r="F11" i="24" s="1"/>
  <c r="F12" i="24" s="1"/>
  <c r="F13" i="24" s="1"/>
  <c r="F14" i="24" s="1"/>
  <c r="F15" i="24" s="1"/>
  <c r="F16" i="24" s="1"/>
  <c r="F17" i="24" s="1"/>
  <c r="F18" i="24" s="1"/>
  <c r="F19" i="24" s="1"/>
  <c r="F20" i="24" s="1"/>
  <c r="F21" i="24" s="1"/>
  <c r="F22" i="24" s="1"/>
  <c r="F23" i="24" s="1"/>
  <c r="F24" i="24" s="1"/>
  <c r="F25" i="24" s="1"/>
  <c r="F26" i="24" s="1"/>
  <c r="F27" i="24" s="1"/>
  <c r="F28" i="24" s="1"/>
  <c r="F29" i="24" s="1"/>
  <c r="F30" i="24" s="1"/>
  <c r="F31" i="24" s="1"/>
  <c r="F32" i="24" s="1"/>
  <c r="F33" i="24" s="1"/>
  <c r="F34" i="24" s="1"/>
  <c r="F35" i="24" s="1"/>
  <c r="F36" i="24" s="1"/>
  <c r="F37" i="24" s="1"/>
  <c r="F38" i="24" s="1"/>
  <c r="F39" i="24" s="1"/>
  <c r="F40" i="24" s="1"/>
  <c r="F41" i="24" s="1"/>
  <c r="F42" i="24" s="1"/>
  <c r="AL14" i="9"/>
  <c r="AI48" i="9"/>
  <c r="AL38" i="9"/>
  <c r="AL48" i="9"/>
  <c r="AL43" i="9"/>
  <c r="AL33" i="9"/>
  <c r="AL19" i="9"/>
  <c r="AL9" i="9"/>
  <c r="AI14" i="9"/>
  <c r="AI38" i="9"/>
  <c r="AI19" i="9"/>
  <c r="AI33" i="9"/>
  <c r="AI43" i="9"/>
  <c r="AI9" i="9"/>
  <c r="F43" i="24" l="1"/>
  <c r="F44" i="24" s="1"/>
  <c r="F45" i="24" s="1"/>
  <c r="F46" i="24" s="1"/>
  <c r="F47" i="24" s="1"/>
  <c r="F48" i="24" s="1"/>
  <c r="F49" i="24" s="1"/>
  <c r="F50" i="24" s="1"/>
  <c r="F51" i="24" s="1"/>
  <c r="F52" i="24" s="1"/>
  <c r="F53" i="24" s="1"/>
  <c r="F54" i="24" s="1"/>
  <c r="F55" i="24" s="1"/>
  <c r="F56" i="24" s="1"/>
  <c r="F57" i="24" s="1"/>
  <c r="F58" i="24" s="1"/>
  <c r="F59" i="24" s="1"/>
  <c r="F60" i="24" s="1"/>
  <c r="F61" i="24" s="1"/>
  <c r="F62" i="24" s="1"/>
  <c r="F63" i="24" s="1"/>
  <c r="F64" i="24" s="1"/>
  <c r="F65" i="24" s="1"/>
  <c r="F66" i="24" s="1"/>
  <c r="F67" i="24" s="1"/>
  <c r="F68" i="24" s="1"/>
  <c r="F69" i="24" s="1"/>
  <c r="F70" i="24" s="1"/>
  <c r="F71" i="24" s="1"/>
  <c r="F72" i="24" s="1"/>
  <c r="F73" i="24" s="1"/>
  <c r="F74" i="24" s="1"/>
  <c r="F75" i="24" s="1"/>
  <c r="F76" i="24" s="1"/>
  <c r="F77" i="24" s="1"/>
  <c r="F78" i="24" s="1"/>
  <c r="F79" i="24" s="1"/>
  <c r="F80" i="24" s="1"/>
  <c r="F81" i="24" s="1"/>
  <c r="F82" i="24" s="1"/>
  <c r="F83" i="24" s="1"/>
  <c r="F84" i="24" s="1"/>
  <c r="F85" i="24" s="1"/>
  <c r="F86" i="24" s="1"/>
  <c r="F87" i="24" s="1"/>
  <c r="F88" i="24" s="1"/>
  <c r="F89" i="24" s="1"/>
  <c r="F90" i="24" s="1"/>
  <c r="F91" i="24" s="1"/>
  <c r="F92" i="24" s="1"/>
  <c r="F93" i="24" s="1"/>
  <c r="F94" i="24" s="1"/>
  <c r="F95" i="24" s="1"/>
  <c r="F96" i="24" s="1"/>
  <c r="F97" i="24" s="1"/>
  <c r="F98" i="24" s="1"/>
  <c r="F99" i="24" s="1"/>
  <c r="F100" i="24" s="1"/>
  <c r="F101" i="24" s="1"/>
  <c r="F102" i="24" s="1"/>
  <c r="F103" i="24" s="1"/>
  <c r="F104" i="24" s="1"/>
  <c r="F105" i="24" s="1"/>
  <c r="F106" i="24" s="1"/>
  <c r="F107" i="24" s="1"/>
  <c r="F108" i="24" s="1"/>
  <c r="F109" i="24" s="1"/>
  <c r="F110" i="24" s="1"/>
  <c r="F111" i="24" s="1"/>
  <c r="F112" i="24" s="1"/>
  <c r="F113" i="24" s="1"/>
  <c r="F114" i="24" s="1"/>
  <c r="F115" i="24" s="1"/>
  <c r="F116" i="24" s="1"/>
  <c r="F117" i="24" s="1"/>
  <c r="F118" i="24" s="1"/>
  <c r="F119" i="24" s="1"/>
  <c r="AL51" i="9"/>
  <c r="AI51" i="9"/>
  <c r="F120" i="24" l="1"/>
  <c r="F121" i="24" s="1"/>
  <c r="F122" i="24" s="1"/>
  <c r="F123" i="24" s="1"/>
  <c r="F124" i="24" s="1"/>
  <c r="D2154" i="20"/>
  <c r="D2119" i="20"/>
  <c r="D2091" i="20"/>
  <c r="D2061" i="20"/>
  <c r="F125" i="24" l="1"/>
  <c r="F126" i="24" s="1"/>
  <c r="F127" i="24" s="1"/>
  <c r="F128" i="24" s="1"/>
  <c r="F129" i="24" s="1"/>
  <c r="F130" i="24" s="1"/>
  <c r="F131" i="24" s="1"/>
  <c r="F132" i="24" s="1"/>
  <c r="F133" i="24" s="1"/>
  <c r="F134" i="24" s="1"/>
  <c r="F135" i="24" s="1"/>
  <c r="F136" i="24" s="1"/>
  <c r="F137" i="24" s="1"/>
  <c r="F138" i="24" s="1"/>
  <c r="F139" i="24" s="1"/>
  <c r="F140" i="24" s="1"/>
  <c r="F141" i="24" s="1"/>
  <c r="F142" i="24" s="1"/>
  <c r="F143" i="24" s="1"/>
  <c r="F144" i="24" s="1"/>
  <c r="F145" i="24" s="1"/>
  <c r="F146" i="24" s="1"/>
  <c r="F147" i="24" s="1"/>
  <c r="F148" i="24" s="1"/>
  <c r="F149" i="24" s="1"/>
  <c r="F150" i="24" s="1"/>
  <c r="F151" i="24" s="1"/>
  <c r="F152" i="24" s="1"/>
  <c r="F153" i="24" s="1"/>
  <c r="F154" i="24" s="1"/>
  <c r="F155" i="24" s="1"/>
  <c r="F156" i="24" s="1"/>
  <c r="F157" i="24" s="1"/>
  <c r="F158" i="24" s="1"/>
  <c r="F159" i="24" s="1"/>
  <c r="F160" i="24" s="1"/>
  <c r="F161" i="24" s="1"/>
  <c r="F162" i="24" s="1"/>
  <c r="F163" i="24" s="1"/>
  <c r="F164" i="24" s="1"/>
  <c r="F165" i="24" s="1"/>
  <c r="F166" i="24" s="1"/>
  <c r="F167" i="24" s="1"/>
  <c r="F168" i="24" s="1"/>
  <c r="F169" i="24" s="1"/>
  <c r="F170" i="24" s="1"/>
  <c r="F171" i="24" s="1"/>
  <c r="F172" i="24" s="1"/>
  <c r="F173" i="24" s="1"/>
  <c r="F174" i="24" s="1"/>
  <c r="F175" i="24" s="1"/>
  <c r="F176" i="24" s="1"/>
  <c r="F177" i="24" s="1"/>
  <c r="F178" i="24" s="1"/>
  <c r="F179" i="24" s="1"/>
  <c r="F180" i="24" s="1"/>
  <c r="F181" i="24" s="1"/>
  <c r="F182" i="24" s="1"/>
  <c r="F183" i="24" s="1"/>
  <c r="F184" i="24" s="1"/>
  <c r="F185" i="24" s="1"/>
  <c r="F186" i="24" s="1"/>
  <c r="F187" i="24" s="1"/>
  <c r="F188" i="24" s="1"/>
  <c r="F189" i="24" s="1"/>
  <c r="F190" i="24" s="1"/>
  <c r="F191" i="24" s="1"/>
  <c r="F192" i="24" s="1"/>
  <c r="F193" i="24" s="1"/>
  <c r="F194" i="24" s="1"/>
  <c r="F195" i="24" s="1"/>
  <c r="F196" i="24" s="1"/>
  <c r="F197" i="24" s="1"/>
  <c r="F198" i="24" s="1"/>
  <c r="F199" i="24" s="1"/>
  <c r="F200" i="24" s="1"/>
  <c r="F201" i="24" s="1"/>
  <c r="F202" i="24" s="1"/>
  <c r="F203" i="24" s="1"/>
  <c r="F204" i="24" s="1"/>
  <c r="F205" i="24" s="1"/>
  <c r="F206" i="24" s="1"/>
  <c r="F207" i="24" s="1"/>
  <c r="F208" i="24" s="1"/>
  <c r="F209" i="24" s="1"/>
  <c r="F210" i="24" s="1"/>
  <c r="F211" i="24" s="1"/>
  <c r="F212" i="24" s="1"/>
  <c r="F213" i="24" s="1"/>
  <c r="F214" i="24" s="1"/>
  <c r="F215" i="24" s="1"/>
  <c r="F216" i="24" s="1"/>
  <c r="F217" i="24" s="1"/>
  <c r="F218" i="24" s="1"/>
  <c r="F219" i="24" s="1"/>
  <c r="F220" i="24" s="1"/>
  <c r="F221" i="24" s="1"/>
  <c r="F222" i="24" s="1"/>
  <c r="F223" i="24" s="1"/>
  <c r="F224" i="24" s="1"/>
  <c r="F225" i="24" s="1"/>
  <c r="F226" i="24" s="1"/>
  <c r="F227" i="24" s="1"/>
  <c r="F228" i="24" s="1"/>
  <c r="F229" i="24" s="1"/>
  <c r="F230" i="24" s="1"/>
  <c r="F231" i="24" s="1"/>
  <c r="F232" i="24" s="1"/>
  <c r="F233" i="24" s="1"/>
  <c r="F234" i="24" s="1"/>
  <c r="F235" i="24" s="1"/>
  <c r="F236" i="24" s="1"/>
  <c r="F237" i="24" s="1"/>
  <c r="F238" i="24" s="1"/>
  <c r="F239" i="24" s="1"/>
  <c r="F240" i="24" s="1"/>
  <c r="F241" i="24" s="1"/>
  <c r="F242" i="24" s="1"/>
  <c r="F243" i="24" s="1"/>
  <c r="F244" i="24" s="1"/>
  <c r="F245" i="24" s="1"/>
  <c r="F246" i="24" s="1"/>
  <c r="F247" i="24" s="1"/>
  <c r="F248" i="24" s="1"/>
  <c r="F249" i="24" s="1"/>
  <c r="F250" i="24" s="1"/>
  <c r="F251" i="24" s="1"/>
  <c r="F252" i="24" s="1"/>
  <c r="F253" i="24" s="1"/>
  <c r="F254" i="24" s="1"/>
  <c r="F255" i="24" s="1"/>
  <c r="F256" i="24" s="1"/>
  <c r="F257" i="24" s="1"/>
  <c r="F258" i="24" s="1"/>
  <c r="F259" i="24" s="1"/>
  <c r="F260" i="24" s="1"/>
  <c r="F261" i="24" s="1"/>
  <c r="AM37" i="9"/>
  <c r="AN13" i="9"/>
  <c r="AM13" i="9"/>
  <c r="AE47" i="9"/>
  <c r="AD47" i="9"/>
  <c r="AE42" i="9"/>
  <c r="AD42" i="9"/>
  <c r="AE37" i="9"/>
  <c r="AD37" i="9"/>
  <c r="AE32" i="9"/>
  <c r="AD32" i="9"/>
  <c r="AE18" i="9"/>
  <c r="AD18" i="9"/>
  <c r="AE13" i="9"/>
  <c r="AD13" i="9"/>
  <c r="AE8" i="9"/>
  <c r="AD8" i="9"/>
  <c r="D2017" i="20"/>
  <c r="D1970" i="20"/>
  <c r="D1939" i="20"/>
  <c r="D1912" i="20"/>
  <c r="F6" i="20"/>
  <c r="Y8" i="9"/>
  <c r="X8" i="9"/>
  <c r="F1892" i="21"/>
  <c r="F1893" i="21" s="1"/>
  <c r="F1894" i="21" s="1"/>
  <c r="F1895" i="21" s="1"/>
  <c r="F1896" i="21" s="1"/>
  <c r="F1897" i="21" s="1"/>
  <c r="F1898" i="21" s="1"/>
  <c r="F1899" i="21" s="1"/>
  <c r="F1900" i="21" s="1"/>
  <c r="F1901" i="21" s="1"/>
  <c r="F1902" i="21" s="1"/>
  <c r="F1903" i="21" s="1"/>
  <c r="F1904" i="21" s="1"/>
  <c r="F1905" i="21" s="1"/>
  <c r="F1906" i="21" s="1"/>
  <c r="F1907" i="21" s="1"/>
  <c r="F1908" i="21" s="1"/>
  <c r="F1909" i="21" s="1"/>
  <c r="F1910" i="21" s="1"/>
  <c r="F1911" i="21" s="1"/>
  <c r="F1912" i="21" s="1"/>
  <c r="F1913" i="21" s="1"/>
  <c r="F1914" i="21" s="1"/>
  <c r="F1915" i="21" s="1"/>
  <c r="F1916" i="21" s="1"/>
  <c r="F1917" i="21" s="1"/>
  <c r="F1918" i="21" s="1"/>
  <c r="F1919" i="21" s="1"/>
  <c r="F1920" i="21" s="1"/>
  <c r="F1921" i="21" s="1"/>
  <c r="F1922" i="21" s="1"/>
  <c r="F1923" i="21" s="1"/>
  <c r="F1924" i="21" s="1"/>
  <c r="F1925" i="21" s="1"/>
  <c r="F1926" i="21" s="1"/>
  <c r="F1927" i="21" s="1"/>
  <c r="F1928" i="21" s="1"/>
  <c r="F1929" i="21" s="1"/>
  <c r="F1930" i="21" s="1"/>
  <c r="F1931" i="21" s="1"/>
  <c r="F1932" i="21" s="1"/>
  <c r="F1933" i="21" s="1"/>
  <c r="F1934" i="21" s="1"/>
  <c r="F1935" i="21" s="1"/>
  <c r="F1936" i="21" s="1"/>
  <c r="F1937" i="21" s="1"/>
  <c r="F1938" i="21" s="1"/>
  <c r="F1939" i="21" s="1"/>
  <c r="F1940" i="21" s="1"/>
  <c r="F1941" i="21" s="1"/>
  <c r="F1942" i="21" s="1"/>
  <c r="F1943" i="21" s="1"/>
  <c r="F1944" i="21" s="1"/>
  <c r="F1945" i="21" s="1"/>
  <c r="F1946" i="21" s="1"/>
  <c r="F1947" i="21" s="1"/>
  <c r="F1948" i="21" s="1"/>
  <c r="F1949" i="21" s="1"/>
  <c r="F1950" i="21" s="1"/>
  <c r="F1951" i="21" s="1"/>
  <c r="F1952" i="21" s="1"/>
  <c r="F1953" i="21" s="1"/>
  <c r="F1954" i="21" s="1"/>
  <c r="F1955" i="21" s="1"/>
  <c r="F1956" i="21" s="1"/>
  <c r="F1957" i="21" s="1"/>
  <c r="F1958" i="21" s="1"/>
  <c r="F1959" i="21" s="1"/>
  <c r="F1960" i="21" s="1"/>
  <c r="F1961" i="21" s="1"/>
  <c r="F1962" i="21" s="1"/>
  <c r="F1963" i="21" s="1"/>
  <c r="F1964" i="21" s="1"/>
  <c r="F1965" i="21" s="1"/>
  <c r="F1966" i="21" s="1"/>
  <c r="F1967" i="21" s="1"/>
  <c r="F1968" i="21" s="1"/>
  <c r="F1969" i="21" s="1"/>
  <c r="F1970" i="21" s="1"/>
  <c r="F1971" i="21" s="1"/>
  <c r="F1972" i="21" s="1"/>
  <c r="F1973" i="21" s="1"/>
  <c r="F1974" i="21" s="1"/>
  <c r="F1975" i="21" s="1"/>
  <c r="F1976" i="21" s="1"/>
  <c r="F1977" i="21" s="1"/>
  <c r="F1978" i="21" s="1"/>
  <c r="F1979" i="21" s="1"/>
  <c r="F1980" i="21" s="1"/>
  <c r="F1981" i="21" s="1"/>
  <c r="F1982" i="21" s="1"/>
  <c r="F1983" i="21" s="1"/>
  <c r="F1984" i="21" s="1"/>
  <c r="F1985" i="21" s="1"/>
  <c r="F1986" i="21" s="1"/>
  <c r="F1987" i="21" s="1"/>
  <c r="F1988" i="21" s="1"/>
  <c r="F1989" i="21" s="1"/>
  <c r="F1990" i="21" s="1"/>
  <c r="F1991" i="21" s="1"/>
  <c r="F1992" i="21" s="1"/>
  <c r="F1993" i="21" s="1"/>
  <c r="F1994" i="21" s="1"/>
  <c r="F1995" i="21" s="1"/>
  <c r="F1996" i="21" s="1"/>
  <c r="F1997" i="21" s="1"/>
  <c r="F1998" i="21" s="1"/>
  <c r="F1999" i="21" s="1"/>
  <c r="F2000" i="21" s="1"/>
  <c r="F2001" i="21" s="1"/>
  <c r="F2002" i="21" s="1"/>
  <c r="F2003" i="21" s="1"/>
  <c r="F2004" i="21" s="1"/>
  <c r="F2005" i="21" s="1"/>
  <c r="F2006" i="21" s="1"/>
  <c r="F2007" i="21" s="1"/>
  <c r="F2008" i="21" s="1"/>
  <c r="F2009" i="21" s="1"/>
  <c r="F2010" i="21" s="1"/>
  <c r="F2011" i="21" s="1"/>
  <c r="F2012" i="21" s="1"/>
  <c r="F2013" i="21" s="1"/>
  <c r="F2014" i="21" s="1"/>
  <c r="F2015" i="21" s="1"/>
  <c r="F2016" i="21" s="1"/>
  <c r="F2017" i="21" s="1"/>
  <c r="F2018" i="21" s="1"/>
  <c r="F2019" i="21" s="1"/>
  <c r="F2020" i="21" s="1"/>
  <c r="F2021" i="21" s="1"/>
  <c r="F2022" i="21" s="1"/>
  <c r="F2023" i="21" s="1"/>
  <c r="F2024" i="21" s="1"/>
  <c r="F2025" i="21" s="1"/>
  <c r="F2026" i="21" s="1"/>
  <c r="F2027" i="21" s="1"/>
  <c r="F2028" i="21" s="1"/>
  <c r="F2029" i="21" s="1"/>
  <c r="F2030" i="21" s="1"/>
  <c r="F2031" i="21" s="1"/>
  <c r="F2032" i="21" s="1"/>
  <c r="F2033" i="21" s="1"/>
  <c r="F2034" i="21" s="1"/>
  <c r="F2035" i="21" s="1"/>
  <c r="F2036" i="21" s="1"/>
  <c r="F2037" i="21" s="1"/>
  <c r="F2038" i="21" s="1"/>
  <c r="F2039" i="21" s="1"/>
  <c r="F2040" i="21" s="1"/>
  <c r="F2041" i="21" s="1"/>
  <c r="F2042" i="21" s="1"/>
  <c r="F2043" i="21" s="1"/>
  <c r="F2044" i="21" s="1"/>
  <c r="F2045" i="21" s="1"/>
  <c r="F2046" i="21" s="1"/>
  <c r="F2047" i="21" s="1"/>
  <c r="F2048" i="21" s="1"/>
  <c r="F2049" i="21" s="1"/>
  <c r="F2050" i="21" s="1"/>
  <c r="F2051" i="21" s="1"/>
  <c r="F2052" i="21" s="1"/>
  <c r="F2053" i="21" s="1"/>
  <c r="F2054" i="21" s="1"/>
  <c r="F2055" i="21" s="1"/>
  <c r="F2056" i="21" s="1"/>
  <c r="F2057" i="21" s="1"/>
  <c r="F2058" i="21" s="1"/>
  <c r="F2059" i="21" s="1"/>
  <c r="F2060" i="21" s="1"/>
  <c r="F2061" i="21" s="1"/>
  <c r="F2062" i="21" s="1"/>
  <c r="F2063" i="21" s="1"/>
  <c r="F2064" i="21" s="1"/>
  <c r="F2065" i="21" s="1"/>
  <c r="F2066" i="21" s="1"/>
  <c r="F2067" i="21" s="1"/>
  <c r="F2068" i="21" s="1"/>
  <c r="F2069" i="21" s="1"/>
  <c r="F2070" i="21" s="1"/>
  <c r="F2071" i="21" s="1"/>
  <c r="F2072" i="21" s="1"/>
  <c r="F2073" i="21" s="1"/>
  <c r="F2074" i="21" s="1"/>
  <c r="F2075" i="21" s="1"/>
  <c r="F2076" i="21" s="1"/>
  <c r="F2077" i="21" s="1"/>
  <c r="F2078" i="21" s="1"/>
  <c r="F2079" i="21" s="1"/>
  <c r="F2080" i="21" s="1"/>
  <c r="F2081" i="21" s="1"/>
  <c r="F2082" i="21" s="1"/>
  <c r="F2083" i="21" s="1"/>
  <c r="F2084" i="21" s="1"/>
  <c r="F2085" i="21" s="1"/>
  <c r="F2086" i="21" s="1"/>
  <c r="F2087" i="21" s="1"/>
  <c r="F2088" i="21" s="1"/>
  <c r="F2089" i="21" s="1"/>
  <c r="F2090" i="21" s="1"/>
  <c r="F2091" i="21" s="1"/>
  <c r="F2092" i="21" s="1"/>
  <c r="F2093" i="21" s="1"/>
  <c r="F2094" i="21" s="1"/>
  <c r="F2095" i="21" s="1"/>
  <c r="F2096" i="21" s="1"/>
  <c r="F2097" i="21" s="1"/>
  <c r="F2098" i="21" s="1"/>
  <c r="F2099" i="21" s="1"/>
  <c r="F2100" i="21" s="1"/>
  <c r="F2101" i="21" s="1"/>
  <c r="F2102" i="21" s="1"/>
  <c r="F2103" i="21" s="1"/>
  <c r="F2104" i="21" s="1"/>
  <c r="F2105" i="21" s="1"/>
  <c r="F2106" i="21" s="1"/>
  <c r="F2107" i="21" s="1"/>
  <c r="F2108" i="21" s="1"/>
  <c r="F2109" i="21" s="1"/>
  <c r="F2110" i="21" s="1"/>
  <c r="F2111" i="21" s="1"/>
  <c r="F2112" i="21" s="1"/>
  <c r="F2113" i="21" s="1"/>
  <c r="F2114" i="21" s="1"/>
  <c r="F2115" i="21" s="1"/>
  <c r="F2116" i="21" s="1"/>
  <c r="F2117" i="21" s="1"/>
  <c r="F2118" i="21" s="1"/>
  <c r="F2119" i="21" s="1"/>
  <c r="F2120" i="21" s="1"/>
  <c r="F2121" i="21" s="1"/>
  <c r="F2122" i="21" s="1"/>
  <c r="F2123" i="21" s="1"/>
  <c r="F2124" i="21" s="1"/>
  <c r="F2125" i="21" s="1"/>
  <c r="F2126" i="21" s="1"/>
  <c r="F2127" i="21" s="1"/>
  <c r="F2128" i="21" s="1"/>
  <c r="F2129" i="21" s="1"/>
  <c r="D1883" i="21"/>
  <c r="D1775" i="21"/>
  <c r="D1662" i="21"/>
  <c r="D1615" i="21"/>
  <c r="D1574" i="21"/>
  <c r="D1526" i="21"/>
  <c r="D1473" i="21"/>
  <c r="D1472" i="21"/>
  <c r="D1295" i="21"/>
  <c r="D1229" i="21"/>
  <c r="D787" i="21"/>
  <c r="D596" i="21"/>
  <c r="D469" i="21"/>
  <c r="B104" i="21"/>
  <c r="D61" i="21"/>
  <c r="F9" i="2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F37" i="21" s="1"/>
  <c r="F38" i="21" s="1"/>
  <c r="F39" i="21" s="1"/>
  <c r="F40" i="21" s="1"/>
  <c r="F41" i="21" s="1"/>
  <c r="F42" i="21" s="1"/>
  <c r="F43" i="21" s="1"/>
  <c r="F44" i="21" s="1"/>
  <c r="F45" i="21" s="1"/>
  <c r="F46" i="21" s="1"/>
  <c r="F47" i="21" s="1"/>
  <c r="F48" i="21" s="1"/>
  <c r="F49" i="21" s="1"/>
  <c r="F50" i="21" s="1"/>
  <c r="F51" i="21" s="1"/>
  <c r="F52" i="21" s="1"/>
  <c r="F53" i="21" s="1"/>
  <c r="F54" i="21" s="1"/>
  <c r="F55" i="21" s="1"/>
  <c r="F56" i="21" s="1"/>
  <c r="F57" i="21" s="1"/>
  <c r="F58" i="21" s="1"/>
  <c r="F59" i="21" s="1"/>
  <c r="F60" i="21" s="1"/>
  <c r="F61" i="21" s="1"/>
  <c r="F62" i="21" s="1"/>
  <c r="F63" i="21" s="1"/>
  <c r="F64" i="21" s="1"/>
  <c r="F65" i="21" s="1"/>
  <c r="F66" i="21" s="1"/>
  <c r="F67" i="21" s="1"/>
  <c r="F68" i="21" s="1"/>
  <c r="F69" i="21" s="1"/>
  <c r="F70" i="21" s="1"/>
  <c r="F71" i="21" s="1"/>
  <c r="F72" i="21" s="1"/>
  <c r="F73" i="21" s="1"/>
  <c r="F74" i="21" s="1"/>
  <c r="F75" i="21" s="1"/>
  <c r="F76" i="21" s="1"/>
  <c r="F77" i="21" s="1"/>
  <c r="F78" i="21" s="1"/>
  <c r="F79" i="21" s="1"/>
  <c r="F80" i="21" s="1"/>
  <c r="F81" i="21" s="1"/>
  <c r="F82" i="21" s="1"/>
  <c r="F83" i="21" s="1"/>
  <c r="F84" i="21" s="1"/>
  <c r="F85" i="21" s="1"/>
  <c r="F86" i="21" s="1"/>
  <c r="F87" i="21" s="1"/>
  <c r="F88" i="21" s="1"/>
  <c r="F89" i="21" s="1"/>
  <c r="F90" i="21" s="1"/>
  <c r="F91" i="21" s="1"/>
  <c r="F92" i="21" s="1"/>
  <c r="F93" i="21" s="1"/>
  <c r="F94" i="21" s="1"/>
  <c r="F95" i="21" s="1"/>
  <c r="F96" i="21" s="1"/>
  <c r="F97" i="21" s="1"/>
  <c r="F98" i="21" s="1"/>
  <c r="F99" i="21" s="1"/>
  <c r="F100" i="21" s="1"/>
  <c r="F101" i="21" s="1"/>
  <c r="F102" i="21" s="1"/>
  <c r="F103" i="21" s="1"/>
  <c r="W48" i="9"/>
  <c r="AA47" i="9"/>
  <c r="Y47" i="9"/>
  <c r="X47" i="9"/>
  <c r="V47" i="9"/>
  <c r="U47" i="9"/>
  <c r="AB47" i="9"/>
  <c r="W43" i="9"/>
  <c r="AB42" i="9"/>
  <c r="AA42" i="9"/>
  <c r="Y42" i="9"/>
  <c r="X42" i="9"/>
  <c r="V42" i="9"/>
  <c r="U42" i="9"/>
  <c r="AB37" i="9"/>
  <c r="AA37" i="9"/>
  <c r="AB32" i="9"/>
  <c r="AA32" i="9"/>
  <c r="Y32" i="9"/>
  <c r="X32" i="9"/>
  <c r="V32" i="9"/>
  <c r="U32" i="9"/>
  <c r="AB18" i="9"/>
  <c r="AA18" i="9"/>
  <c r="Y18" i="9"/>
  <c r="X18" i="9"/>
  <c r="V18" i="9"/>
  <c r="U18" i="9"/>
  <c r="AB13" i="9"/>
  <c r="AA13" i="9"/>
  <c r="AB8" i="9"/>
  <c r="AA8" i="9"/>
  <c r="V8" i="9"/>
  <c r="U8" i="9"/>
  <c r="D1883" i="20"/>
  <c r="F104" i="21" l="1"/>
  <c r="F105" i="21" s="1"/>
  <c r="F106" i="21" s="1"/>
  <c r="F107" i="21" s="1"/>
  <c r="F108" i="21" s="1"/>
  <c r="F109" i="21" s="1"/>
  <c r="F110" i="21" s="1"/>
  <c r="F111" i="21" s="1"/>
  <c r="F112" i="21" s="1"/>
  <c r="F113" i="21" s="1"/>
  <c r="F114" i="21" s="1"/>
  <c r="F115" i="21" s="1"/>
  <c r="F116" i="21" s="1"/>
  <c r="F117" i="21" s="1"/>
  <c r="F118" i="21" s="1"/>
  <c r="F119" i="21" s="1"/>
  <c r="F120" i="21" s="1"/>
  <c r="F121" i="21" s="1"/>
  <c r="F122" i="21" s="1"/>
  <c r="F123" i="21" s="1"/>
  <c r="F124" i="21" s="1"/>
  <c r="F125" i="21" s="1"/>
  <c r="F126" i="21" s="1"/>
  <c r="F127" i="21" s="1"/>
  <c r="F128" i="21" s="1"/>
  <c r="F129" i="21" s="1"/>
  <c r="F130" i="21" s="1"/>
  <c r="F131" i="21" s="1"/>
  <c r="F132" i="21" s="1"/>
  <c r="F133" i="21" s="1"/>
  <c r="F134" i="21" s="1"/>
  <c r="F135" i="21" s="1"/>
  <c r="F136" i="21" s="1"/>
  <c r="F137" i="21" s="1"/>
  <c r="F138" i="21" s="1"/>
  <c r="F139" i="21" s="1"/>
  <c r="F140" i="21" s="1"/>
  <c r="F141" i="21" s="1"/>
  <c r="F142" i="21" s="1"/>
  <c r="F143" i="21" s="1"/>
  <c r="F144" i="21" s="1"/>
  <c r="F145" i="21" s="1"/>
  <c r="F146" i="21" s="1"/>
  <c r="F147" i="21" s="1"/>
  <c r="F148" i="21" s="1"/>
  <c r="F149" i="21" s="1"/>
  <c r="F150" i="21" s="1"/>
  <c r="F151" i="21" s="1"/>
  <c r="F152" i="21" s="1"/>
  <c r="F153" i="21" s="1"/>
  <c r="F154" i="21" s="1"/>
  <c r="F155" i="21" s="1"/>
  <c r="F156" i="21" s="1"/>
  <c r="F157" i="21" s="1"/>
  <c r="F158" i="21" s="1"/>
  <c r="F159" i="21" s="1"/>
  <c r="F160" i="21" s="1"/>
  <c r="F161" i="21" s="1"/>
  <c r="F162" i="21" s="1"/>
  <c r="F163" i="21" s="1"/>
  <c r="F164" i="21" s="1"/>
  <c r="F165" i="21" s="1"/>
  <c r="F166" i="21" s="1"/>
  <c r="F167" i="21" s="1"/>
  <c r="F168" i="21" s="1"/>
  <c r="F169" i="21" s="1"/>
  <c r="F170" i="21" s="1"/>
  <c r="F171" i="21" s="1"/>
  <c r="F172" i="21" s="1"/>
  <c r="F173" i="21" s="1"/>
  <c r="F174" i="21" s="1"/>
  <c r="F175" i="21" s="1"/>
  <c r="F176" i="21" s="1"/>
  <c r="F177" i="21" s="1"/>
  <c r="F178" i="21" s="1"/>
  <c r="F179" i="21" s="1"/>
  <c r="F180" i="21" s="1"/>
  <c r="F181" i="21" s="1"/>
  <c r="F182" i="21" s="1"/>
  <c r="F183" i="21" s="1"/>
  <c r="F184" i="21" s="1"/>
  <c r="F185" i="21" s="1"/>
  <c r="F186" i="21" s="1"/>
  <c r="F187" i="21" s="1"/>
  <c r="F188" i="21" s="1"/>
  <c r="F189" i="21" s="1"/>
  <c r="F190" i="21" s="1"/>
  <c r="F191" i="21" s="1"/>
  <c r="F192" i="21" s="1"/>
  <c r="F193" i="21" s="1"/>
  <c r="F194" i="21" s="1"/>
  <c r="F195" i="21" s="1"/>
  <c r="F196" i="21" s="1"/>
  <c r="F197" i="21" s="1"/>
  <c r="F198" i="21" s="1"/>
  <c r="F199" i="21" s="1"/>
  <c r="F200" i="21" s="1"/>
  <c r="F201" i="21" s="1"/>
  <c r="F202" i="21" s="1"/>
  <c r="F203" i="21" s="1"/>
  <c r="F204" i="21" s="1"/>
  <c r="F205" i="21" s="1"/>
  <c r="F206" i="21" s="1"/>
  <c r="F207" i="21" s="1"/>
  <c r="F208" i="21" s="1"/>
  <c r="F209" i="21" s="1"/>
  <c r="F210" i="21" s="1"/>
  <c r="F211" i="21" s="1"/>
  <c r="F212" i="21" s="1"/>
  <c r="F213" i="21" s="1"/>
  <c r="F214" i="21" s="1"/>
  <c r="F215" i="21" s="1"/>
  <c r="F216" i="21" s="1"/>
  <c r="F217" i="21" s="1"/>
  <c r="F218" i="21" s="1"/>
  <c r="F219" i="21" s="1"/>
  <c r="F220" i="21" s="1"/>
  <c r="F221" i="21" s="1"/>
  <c r="F222" i="21" s="1"/>
  <c r="F223" i="21" s="1"/>
  <c r="F224" i="21" s="1"/>
  <c r="F225" i="21" s="1"/>
  <c r="F226" i="21" s="1"/>
  <c r="F227" i="21" s="1"/>
  <c r="F228" i="21" s="1"/>
  <c r="F229" i="21" s="1"/>
  <c r="F230" i="21" s="1"/>
  <c r="F231" i="21" s="1"/>
  <c r="F232" i="21" s="1"/>
  <c r="F233" i="21" s="1"/>
  <c r="F234" i="21" s="1"/>
  <c r="F235" i="21" s="1"/>
  <c r="F236" i="21" s="1"/>
  <c r="F237" i="21" s="1"/>
  <c r="F238" i="21" s="1"/>
  <c r="F239" i="21" s="1"/>
  <c r="F240" i="21" s="1"/>
  <c r="F241" i="21" s="1"/>
  <c r="F242" i="21" s="1"/>
  <c r="F243" i="21" s="1"/>
  <c r="F244" i="21" s="1"/>
  <c r="F245" i="21" s="1"/>
  <c r="F246" i="21" s="1"/>
  <c r="F247" i="21" s="1"/>
  <c r="F248" i="21" s="1"/>
  <c r="F249" i="21" s="1"/>
  <c r="F250" i="21" s="1"/>
  <c r="F251" i="21" s="1"/>
  <c r="F252" i="21" s="1"/>
  <c r="F253" i="21" s="1"/>
  <c r="F254" i="21" s="1"/>
  <c r="F255" i="21" s="1"/>
  <c r="F256" i="21" s="1"/>
  <c r="F257" i="21" s="1"/>
  <c r="F258" i="21" s="1"/>
  <c r="F259" i="21" s="1"/>
  <c r="F260" i="21" s="1"/>
  <c r="F261" i="21" s="1"/>
  <c r="F262" i="21" s="1"/>
  <c r="F263" i="21" s="1"/>
  <c r="F264" i="21" s="1"/>
  <c r="F265" i="21" s="1"/>
  <c r="F266" i="21" s="1"/>
  <c r="F267" i="21" s="1"/>
  <c r="F268" i="21" s="1"/>
  <c r="F269" i="21" s="1"/>
  <c r="F270" i="21" s="1"/>
  <c r="F271" i="21" s="1"/>
  <c r="F272" i="21" s="1"/>
  <c r="F273" i="21" s="1"/>
  <c r="F274" i="21" s="1"/>
  <c r="F275" i="21" s="1"/>
  <c r="F276" i="21" s="1"/>
  <c r="F277" i="21" s="1"/>
  <c r="F278" i="21" s="1"/>
  <c r="F279" i="21" s="1"/>
  <c r="F280" i="21" s="1"/>
  <c r="F281" i="21" s="1"/>
  <c r="F282" i="21" s="1"/>
  <c r="F283" i="21" s="1"/>
  <c r="F284" i="21" s="1"/>
  <c r="F285" i="21" s="1"/>
  <c r="F286" i="21" s="1"/>
  <c r="F287" i="21" s="1"/>
  <c r="F288" i="21" s="1"/>
  <c r="F289" i="21" s="1"/>
  <c r="F290" i="21" s="1"/>
  <c r="F291" i="21" s="1"/>
  <c r="F292" i="21" s="1"/>
  <c r="F293" i="21" s="1"/>
  <c r="F294" i="21" s="1"/>
  <c r="F295" i="21" s="1"/>
  <c r="F296" i="21" s="1"/>
  <c r="F297" i="21" s="1"/>
  <c r="F298" i="21" s="1"/>
  <c r="F299" i="21" s="1"/>
  <c r="F300" i="21" s="1"/>
  <c r="F301" i="21" s="1"/>
  <c r="F302" i="21" s="1"/>
  <c r="F303" i="21" s="1"/>
  <c r="F304" i="21" s="1"/>
  <c r="F305" i="21" s="1"/>
  <c r="F306" i="21" s="1"/>
  <c r="F307" i="21" s="1"/>
  <c r="F308" i="21" s="1"/>
  <c r="F309" i="21" s="1"/>
  <c r="F310" i="21" s="1"/>
  <c r="F311" i="21" s="1"/>
  <c r="F312" i="21" s="1"/>
  <c r="F313" i="21" s="1"/>
  <c r="F314" i="21" s="1"/>
  <c r="F315" i="21" s="1"/>
  <c r="F316" i="21" s="1"/>
  <c r="F317" i="21" s="1"/>
  <c r="F318" i="21" s="1"/>
  <c r="F319" i="21" s="1"/>
  <c r="F320" i="21" s="1"/>
  <c r="F321" i="21" s="1"/>
  <c r="F322" i="21" s="1"/>
  <c r="F323" i="21" s="1"/>
  <c r="F324" i="21" s="1"/>
  <c r="F325" i="21" s="1"/>
  <c r="F326" i="21" s="1"/>
  <c r="F327" i="21" s="1"/>
  <c r="F328" i="21" s="1"/>
  <c r="F329" i="21" s="1"/>
  <c r="F330" i="21" s="1"/>
  <c r="F331" i="21" s="1"/>
  <c r="F332" i="21" s="1"/>
  <c r="F333" i="21" s="1"/>
  <c r="F334" i="21" s="1"/>
  <c r="F335" i="21" s="1"/>
  <c r="F336" i="21" s="1"/>
  <c r="F337" i="21" s="1"/>
  <c r="F338" i="21" s="1"/>
  <c r="F339" i="21" s="1"/>
  <c r="F340" i="21" s="1"/>
  <c r="F341" i="21" s="1"/>
  <c r="F342" i="21" s="1"/>
  <c r="F343" i="21" s="1"/>
  <c r="F344" i="21" s="1"/>
  <c r="F345" i="21" s="1"/>
  <c r="F346" i="21" s="1"/>
  <c r="F347" i="21" s="1"/>
  <c r="F348" i="21" s="1"/>
  <c r="F349" i="21" s="1"/>
  <c r="F350" i="21" s="1"/>
  <c r="F351" i="21" s="1"/>
  <c r="F352" i="21" s="1"/>
  <c r="F353" i="21" s="1"/>
  <c r="F354" i="21" s="1"/>
  <c r="F355" i="21" s="1"/>
  <c r="F356" i="21" s="1"/>
  <c r="F357" i="21" s="1"/>
  <c r="F358" i="21" s="1"/>
  <c r="F359" i="21" s="1"/>
  <c r="F360" i="21" s="1"/>
  <c r="F361" i="21" s="1"/>
  <c r="F362" i="21" s="1"/>
  <c r="F363" i="21" s="1"/>
  <c r="F364" i="21" s="1"/>
  <c r="F365" i="21" s="1"/>
  <c r="F366" i="21" s="1"/>
  <c r="F367" i="21" s="1"/>
  <c r="F368" i="21" s="1"/>
  <c r="F369" i="21" s="1"/>
  <c r="F370" i="21" s="1"/>
  <c r="F371" i="21" s="1"/>
  <c r="F372" i="21" s="1"/>
  <c r="F373" i="21" s="1"/>
  <c r="F374" i="21" s="1"/>
  <c r="F375" i="21" s="1"/>
  <c r="F376" i="21" s="1"/>
  <c r="F377" i="21" s="1"/>
  <c r="F378" i="21" s="1"/>
  <c r="F379" i="21" s="1"/>
  <c r="F380" i="21" s="1"/>
  <c r="F381" i="21" s="1"/>
  <c r="F382" i="21" s="1"/>
  <c r="F383" i="21" s="1"/>
  <c r="F384" i="21" s="1"/>
  <c r="F385" i="21" s="1"/>
  <c r="F386" i="21" s="1"/>
  <c r="F387" i="21" s="1"/>
  <c r="F388" i="21" s="1"/>
  <c r="F389" i="21" s="1"/>
  <c r="F390" i="21" s="1"/>
  <c r="F391" i="21" s="1"/>
  <c r="F392" i="21" s="1"/>
  <c r="F393" i="21" s="1"/>
  <c r="F394" i="21" s="1"/>
  <c r="F395" i="21" s="1"/>
  <c r="F396" i="21" s="1"/>
  <c r="F397" i="21" s="1"/>
  <c r="F398" i="21" s="1"/>
  <c r="F399" i="21" s="1"/>
  <c r="F400" i="21" s="1"/>
  <c r="F401" i="21" s="1"/>
  <c r="F402" i="21" s="1"/>
  <c r="F403" i="21" s="1"/>
  <c r="F404" i="21" s="1"/>
  <c r="F405" i="21" s="1"/>
  <c r="F406" i="21" s="1"/>
  <c r="F407" i="21" s="1"/>
  <c r="F408" i="21" s="1"/>
  <c r="F409" i="21" s="1"/>
  <c r="F410" i="21" s="1"/>
  <c r="F411" i="21" s="1"/>
  <c r="F412" i="21" s="1"/>
  <c r="F413" i="21" s="1"/>
  <c r="F414" i="21" s="1"/>
  <c r="F415" i="21" s="1"/>
  <c r="F416" i="21" s="1"/>
  <c r="F417" i="21" s="1"/>
  <c r="F418" i="21" s="1"/>
  <c r="F419" i="21" s="1"/>
  <c r="F420" i="21" s="1"/>
  <c r="F421" i="21" s="1"/>
  <c r="F422" i="21" s="1"/>
  <c r="F423" i="21" s="1"/>
  <c r="F424" i="21" s="1"/>
  <c r="F425" i="21" s="1"/>
  <c r="F426" i="21" s="1"/>
  <c r="F427" i="21" s="1"/>
  <c r="F428" i="21" s="1"/>
  <c r="F429" i="21" s="1"/>
  <c r="F430" i="21" s="1"/>
  <c r="F431" i="21" s="1"/>
  <c r="F432" i="21" s="1"/>
  <c r="F433" i="21" s="1"/>
  <c r="F434" i="21" s="1"/>
  <c r="F435" i="21" s="1"/>
  <c r="F436" i="21" s="1"/>
  <c r="F437" i="21" s="1"/>
  <c r="F438" i="21" s="1"/>
  <c r="F439" i="21" s="1"/>
  <c r="F440" i="21" s="1"/>
  <c r="F441" i="21" s="1"/>
  <c r="F442" i="21" s="1"/>
  <c r="F443" i="21" s="1"/>
  <c r="F444" i="21" s="1"/>
  <c r="F445" i="21" s="1"/>
  <c r="F446" i="21" s="1"/>
  <c r="F447" i="21" s="1"/>
  <c r="F448" i="21" s="1"/>
  <c r="F449" i="21" s="1"/>
  <c r="F450" i="21" s="1"/>
  <c r="F451" i="21" s="1"/>
  <c r="F452" i="21" s="1"/>
  <c r="F453" i="21" s="1"/>
  <c r="F454" i="21" s="1"/>
  <c r="F455" i="21" s="1"/>
  <c r="F456" i="21" s="1"/>
  <c r="F457" i="21" s="1"/>
  <c r="F458" i="21" s="1"/>
  <c r="F459" i="21" s="1"/>
  <c r="F460" i="21" s="1"/>
  <c r="F461" i="21" s="1"/>
  <c r="F462" i="21" s="1"/>
  <c r="F463" i="21" s="1"/>
  <c r="F464" i="21" s="1"/>
  <c r="F465" i="21" s="1"/>
  <c r="F466" i="21" s="1"/>
  <c r="F467" i="21" s="1"/>
  <c r="F468" i="21" s="1"/>
  <c r="F469" i="21" s="1"/>
  <c r="F470" i="21" s="1"/>
  <c r="F471" i="21" s="1"/>
  <c r="F472" i="21" s="1"/>
  <c r="F473" i="21" s="1"/>
  <c r="F474" i="21" s="1"/>
  <c r="F475" i="21" s="1"/>
  <c r="F476" i="21" s="1"/>
  <c r="F477" i="21" s="1"/>
  <c r="F478" i="21" s="1"/>
  <c r="F479" i="21" s="1"/>
  <c r="F480" i="21" s="1"/>
  <c r="F481" i="21" s="1"/>
  <c r="F482" i="21" s="1"/>
  <c r="F483" i="21" s="1"/>
  <c r="F484" i="21" s="1"/>
  <c r="F485" i="21" s="1"/>
  <c r="F486" i="21" s="1"/>
  <c r="F487" i="21" s="1"/>
  <c r="F488" i="21" s="1"/>
  <c r="F489" i="21" s="1"/>
  <c r="F490" i="21" s="1"/>
  <c r="F491" i="21" s="1"/>
  <c r="F492" i="21" s="1"/>
  <c r="F493" i="21" s="1"/>
  <c r="F494" i="21" s="1"/>
  <c r="F495" i="21" s="1"/>
  <c r="F496" i="21" s="1"/>
  <c r="F497" i="21" s="1"/>
  <c r="F498" i="21" s="1"/>
  <c r="F499" i="21" s="1"/>
  <c r="F500" i="21" s="1"/>
  <c r="F501" i="21" s="1"/>
  <c r="F502" i="21" s="1"/>
  <c r="F503" i="21" s="1"/>
  <c r="F504" i="21" s="1"/>
  <c r="F505" i="21" s="1"/>
  <c r="F506" i="21" s="1"/>
  <c r="F507" i="21" s="1"/>
  <c r="F508" i="21" s="1"/>
  <c r="F509" i="21" s="1"/>
  <c r="F510" i="21" s="1"/>
  <c r="F511" i="21" s="1"/>
  <c r="F512" i="21" s="1"/>
  <c r="F513" i="21" s="1"/>
  <c r="F514" i="21" s="1"/>
  <c r="F515" i="21" s="1"/>
  <c r="F516" i="21" s="1"/>
  <c r="F517" i="21" s="1"/>
  <c r="F518" i="21" s="1"/>
  <c r="F519" i="21" s="1"/>
  <c r="F520" i="21" s="1"/>
  <c r="F521" i="21" s="1"/>
  <c r="F522" i="21" s="1"/>
  <c r="F523" i="21" s="1"/>
  <c r="F524" i="21" s="1"/>
  <c r="F525" i="21" s="1"/>
  <c r="F526" i="21" s="1"/>
  <c r="F527" i="21" s="1"/>
  <c r="F528" i="21" s="1"/>
  <c r="F529" i="21" s="1"/>
  <c r="F530" i="21" s="1"/>
  <c r="F531" i="21" s="1"/>
  <c r="F532" i="21" s="1"/>
  <c r="F533" i="21" s="1"/>
  <c r="F534" i="21" s="1"/>
  <c r="F535" i="21" s="1"/>
  <c r="F536" i="21" s="1"/>
  <c r="F537" i="21" s="1"/>
  <c r="F538" i="21" s="1"/>
  <c r="F539" i="21" s="1"/>
  <c r="F540" i="21" s="1"/>
  <c r="F541" i="21" s="1"/>
  <c r="F542" i="21" s="1"/>
  <c r="F543" i="21" s="1"/>
  <c r="F544" i="21" s="1"/>
  <c r="F545" i="21" s="1"/>
  <c r="F546" i="21" s="1"/>
  <c r="F547" i="21" s="1"/>
  <c r="F548" i="21" s="1"/>
  <c r="F549" i="21" s="1"/>
  <c r="F550" i="21" s="1"/>
  <c r="F551" i="21" s="1"/>
  <c r="F552" i="21" s="1"/>
  <c r="F553" i="21" s="1"/>
  <c r="F554" i="21" s="1"/>
  <c r="F555" i="21" s="1"/>
  <c r="F556" i="21" s="1"/>
  <c r="F557" i="21" s="1"/>
  <c r="F558" i="21" s="1"/>
  <c r="F559" i="21" s="1"/>
  <c r="F560" i="21" s="1"/>
  <c r="F561" i="21" s="1"/>
  <c r="F562" i="21" s="1"/>
  <c r="F563" i="21" s="1"/>
  <c r="F564" i="21" s="1"/>
  <c r="F565" i="21" s="1"/>
  <c r="F566" i="21" s="1"/>
  <c r="F567" i="21" s="1"/>
  <c r="F568" i="21" s="1"/>
  <c r="F569" i="21" s="1"/>
  <c r="F570" i="21" s="1"/>
  <c r="F571" i="21" s="1"/>
  <c r="F572" i="21" s="1"/>
  <c r="F573" i="21" s="1"/>
  <c r="F574" i="21" s="1"/>
  <c r="F575" i="21" s="1"/>
  <c r="F576" i="21" s="1"/>
  <c r="F577" i="21" s="1"/>
  <c r="F578" i="21" s="1"/>
  <c r="F579" i="21" s="1"/>
  <c r="F580" i="21" s="1"/>
  <c r="F581" i="21" s="1"/>
  <c r="F582" i="21" s="1"/>
  <c r="F583" i="21" s="1"/>
  <c r="F584" i="21" s="1"/>
  <c r="F585" i="21" s="1"/>
  <c r="F586" i="21" s="1"/>
  <c r="F587" i="21" s="1"/>
  <c r="F588" i="21" s="1"/>
  <c r="F589" i="21" s="1"/>
  <c r="F590" i="21" s="1"/>
  <c r="F591" i="21" s="1"/>
  <c r="F592" i="21" s="1"/>
  <c r="F593" i="21" s="1"/>
  <c r="F594" i="21" s="1"/>
  <c r="F595" i="21" s="1"/>
  <c r="F596" i="21" s="1"/>
  <c r="F597" i="21" s="1"/>
  <c r="F598" i="21" s="1"/>
  <c r="F599" i="21" s="1"/>
  <c r="F600" i="21" s="1"/>
  <c r="F601" i="21" s="1"/>
  <c r="F602" i="21" s="1"/>
  <c r="F603" i="21" s="1"/>
  <c r="F604" i="21" s="1"/>
  <c r="F605" i="21" s="1"/>
  <c r="F606" i="21" s="1"/>
  <c r="F607" i="21" s="1"/>
  <c r="F608" i="21" s="1"/>
  <c r="F609" i="21" s="1"/>
  <c r="F610" i="21" s="1"/>
  <c r="F611" i="21" s="1"/>
  <c r="F612" i="21" s="1"/>
  <c r="F613" i="21" s="1"/>
  <c r="F614" i="21" s="1"/>
  <c r="F615" i="21" s="1"/>
  <c r="F616" i="21" s="1"/>
  <c r="F617" i="21" s="1"/>
  <c r="F618" i="21" s="1"/>
  <c r="F619" i="21" s="1"/>
  <c r="F620" i="21" s="1"/>
  <c r="F621" i="21" s="1"/>
  <c r="F622" i="21" s="1"/>
  <c r="F623" i="21" s="1"/>
  <c r="F624" i="21" s="1"/>
  <c r="F625" i="21" s="1"/>
  <c r="F626" i="21" s="1"/>
  <c r="F627" i="21" s="1"/>
  <c r="F628" i="21" s="1"/>
  <c r="F629" i="21" s="1"/>
  <c r="F630" i="21" s="1"/>
  <c r="F631" i="21" s="1"/>
  <c r="F632" i="21" s="1"/>
  <c r="F633" i="21" s="1"/>
  <c r="F634" i="21" s="1"/>
  <c r="F635" i="21" s="1"/>
  <c r="F636" i="21" s="1"/>
  <c r="F637" i="21" s="1"/>
  <c r="F638" i="21" s="1"/>
  <c r="F639" i="21" s="1"/>
  <c r="F640" i="21" s="1"/>
  <c r="F641" i="21" s="1"/>
  <c r="F642" i="21" s="1"/>
  <c r="F643" i="21" s="1"/>
  <c r="F644" i="21" s="1"/>
  <c r="F645" i="21" s="1"/>
  <c r="F646" i="21" s="1"/>
  <c r="F647" i="21" s="1"/>
  <c r="F648" i="21" s="1"/>
  <c r="F649" i="21" s="1"/>
  <c r="F650" i="21" s="1"/>
  <c r="F651" i="21" s="1"/>
  <c r="F652" i="21" s="1"/>
  <c r="F653" i="21" s="1"/>
  <c r="F654" i="21" s="1"/>
  <c r="F655" i="21" s="1"/>
  <c r="F656" i="21" s="1"/>
  <c r="F657" i="21" s="1"/>
  <c r="F658" i="21" s="1"/>
  <c r="F659" i="21" s="1"/>
  <c r="F660" i="21" s="1"/>
  <c r="F661" i="21" s="1"/>
  <c r="F662" i="21" s="1"/>
  <c r="F663" i="21" s="1"/>
  <c r="F664" i="21" s="1"/>
  <c r="F665" i="21" s="1"/>
  <c r="F666" i="21" s="1"/>
  <c r="F667" i="21" s="1"/>
  <c r="F668" i="21" s="1"/>
  <c r="F669" i="21" s="1"/>
  <c r="F670" i="21" s="1"/>
  <c r="F671" i="21" s="1"/>
  <c r="F672" i="21" s="1"/>
  <c r="F673" i="21" s="1"/>
  <c r="F674" i="21" s="1"/>
  <c r="F675" i="21" s="1"/>
  <c r="F676" i="21" s="1"/>
  <c r="F677" i="21" s="1"/>
  <c r="F678" i="21" s="1"/>
  <c r="F679" i="21" s="1"/>
  <c r="F680" i="21" s="1"/>
  <c r="F681" i="21" s="1"/>
  <c r="F682" i="21" s="1"/>
  <c r="F683" i="21" s="1"/>
  <c r="F684" i="21" s="1"/>
  <c r="F685" i="21" s="1"/>
  <c r="F686" i="21" s="1"/>
  <c r="F687" i="21" s="1"/>
  <c r="F688" i="21" s="1"/>
  <c r="F689" i="21" s="1"/>
  <c r="F690" i="21" s="1"/>
  <c r="F691" i="21" s="1"/>
  <c r="F692" i="21" s="1"/>
  <c r="F693" i="21" s="1"/>
  <c r="F694" i="21" s="1"/>
  <c r="F695" i="21" s="1"/>
  <c r="F696" i="21" s="1"/>
  <c r="F697" i="21" s="1"/>
  <c r="F698" i="21" s="1"/>
  <c r="F699" i="21" s="1"/>
  <c r="F700" i="21" s="1"/>
  <c r="F701" i="21" s="1"/>
  <c r="F702" i="21" s="1"/>
  <c r="F703" i="21" s="1"/>
  <c r="F704" i="21" s="1"/>
  <c r="F705" i="21" s="1"/>
  <c r="F706" i="21" s="1"/>
  <c r="F707" i="21" s="1"/>
  <c r="F708" i="21" s="1"/>
  <c r="F709" i="21" s="1"/>
  <c r="F710" i="21" s="1"/>
  <c r="F711" i="21" s="1"/>
  <c r="F712" i="21" s="1"/>
  <c r="F713" i="21" s="1"/>
  <c r="F714" i="21" s="1"/>
  <c r="F715" i="21" s="1"/>
  <c r="F716" i="21" s="1"/>
  <c r="F717" i="21" s="1"/>
  <c r="F718" i="21" s="1"/>
  <c r="F719" i="21" s="1"/>
  <c r="F720" i="21" s="1"/>
  <c r="F721" i="21" s="1"/>
  <c r="F722" i="21" s="1"/>
  <c r="F723" i="21" s="1"/>
  <c r="F724" i="21" s="1"/>
  <c r="F725" i="21" s="1"/>
  <c r="F726" i="21" s="1"/>
  <c r="F727" i="21" s="1"/>
  <c r="F728" i="21" s="1"/>
  <c r="F729" i="21" s="1"/>
  <c r="F730" i="21" s="1"/>
  <c r="F731" i="21" s="1"/>
  <c r="F732" i="21" s="1"/>
  <c r="F733" i="21" s="1"/>
  <c r="F734" i="21" s="1"/>
  <c r="F735" i="21" s="1"/>
  <c r="F736" i="21" s="1"/>
  <c r="F737" i="21" s="1"/>
  <c r="F738" i="21" s="1"/>
  <c r="F739" i="21" s="1"/>
  <c r="F740" i="21" s="1"/>
  <c r="F741" i="21" s="1"/>
  <c r="F742" i="21" s="1"/>
  <c r="F743" i="21" s="1"/>
  <c r="F744" i="21" s="1"/>
  <c r="F745" i="21" s="1"/>
  <c r="F746" i="21" s="1"/>
  <c r="F747" i="21" s="1"/>
  <c r="F748" i="21" s="1"/>
  <c r="F749" i="21" s="1"/>
  <c r="F750" i="21" s="1"/>
  <c r="F751" i="21" s="1"/>
  <c r="F752" i="21" s="1"/>
  <c r="F753" i="21" s="1"/>
  <c r="F754" i="21" s="1"/>
  <c r="F755" i="21" s="1"/>
  <c r="F756" i="21" s="1"/>
  <c r="F757" i="21" s="1"/>
  <c r="F758" i="21" s="1"/>
  <c r="F759" i="21" s="1"/>
  <c r="F760" i="21" s="1"/>
  <c r="F761" i="21" s="1"/>
  <c r="F762" i="21" s="1"/>
  <c r="F763" i="21" s="1"/>
  <c r="F764" i="21" s="1"/>
  <c r="F765" i="21" s="1"/>
  <c r="F766" i="21" s="1"/>
  <c r="F767" i="21" s="1"/>
  <c r="F768" i="21" s="1"/>
  <c r="F769" i="21" s="1"/>
  <c r="F770" i="21" s="1"/>
  <c r="F771" i="21" s="1"/>
  <c r="F772" i="21" s="1"/>
  <c r="F773" i="21" s="1"/>
  <c r="F774" i="21" s="1"/>
  <c r="F775" i="21" s="1"/>
  <c r="F776" i="21" s="1"/>
  <c r="F777" i="21" s="1"/>
  <c r="F778" i="21" s="1"/>
  <c r="F779" i="21" s="1"/>
  <c r="F780" i="21" s="1"/>
  <c r="F781" i="21" s="1"/>
  <c r="F782" i="21" s="1"/>
  <c r="F783" i="21" s="1"/>
  <c r="F784" i="21" s="1"/>
  <c r="F785" i="21" s="1"/>
  <c r="F786" i="21" s="1"/>
  <c r="F787" i="21" s="1"/>
  <c r="F788" i="21" s="1"/>
  <c r="F789" i="21" s="1"/>
  <c r="F790" i="21" s="1"/>
  <c r="F791" i="21" s="1"/>
  <c r="F792" i="21" s="1"/>
  <c r="F793" i="21" s="1"/>
  <c r="F794" i="21" s="1"/>
  <c r="F795" i="21" s="1"/>
  <c r="F796" i="21" s="1"/>
  <c r="F797" i="21" s="1"/>
  <c r="F798" i="21" s="1"/>
  <c r="F799" i="21" s="1"/>
  <c r="F800" i="21" s="1"/>
  <c r="F801" i="21" s="1"/>
  <c r="F802" i="21" s="1"/>
  <c r="F803" i="21" s="1"/>
  <c r="F804" i="21" s="1"/>
  <c r="F805" i="21" s="1"/>
  <c r="F806" i="21" s="1"/>
  <c r="F807" i="21" s="1"/>
  <c r="F808" i="21" s="1"/>
  <c r="F809" i="21" s="1"/>
  <c r="F810" i="21" s="1"/>
  <c r="F811" i="21" s="1"/>
  <c r="F812" i="21" s="1"/>
  <c r="F813" i="21" s="1"/>
  <c r="F814" i="21" s="1"/>
  <c r="F815" i="21" s="1"/>
  <c r="F816" i="21" s="1"/>
  <c r="F817" i="21" s="1"/>
  <c r="F818" i="21" s="1"/>
  <c r="F819" i="21" s="1"/>
  <c r="F820" i="21" s="1"/>
  <c r="F821" i="21" s="1"/>
  <c r="F822" i="21" s="1"/>
  <c r="F823" i="21" s="1"/>
  <c r="F824" i="21" s="1"/>
  <c r="F825" i="21" s="1"/>
  <c r="F826" i="21" s="1"/>
  <c r="F827" i="21" s="1"/>
  <c r="F828" i="21" s="1"/>
  <c r="F829" i="21" s="1"/>
  <c r="F830" i="21" s="1"/>
  <c r="F831" i="21" s="1"/>
  <c r="F832" i="21" s="1"/>
  <c r="F833" i="21" s="1"/>
  <c r="F834" i="21" s="1"/>
  <c r="F835" i="21" s="1"/>
  <c r="F836" i="21" s="1"/>
  <c r="F837" i="21" s="1"/>
  <c r="F838" i="21" s="1"/>
  <c r="F839" i="21" s="1"/>
  <c r="F840" i="21" s="1"/>
  <c r="F841" i="21" s="1"/>
  <c r="F842" i="21" s="1"/>
  <c r="F843" i="21" s="1"/>
  <c r="F844" i="21" s="1"/>
  <c r="F845" i="21" s="1"/>
  <c r="F846" i="21" s="1"/>
  <c r="F847" i="21" s="1"/>
  <c r="F848" i="21" s="1"/>
  <c r="F849" i="21" s="1"/>
  <c r="F850" i="21" s="1"/>
  <c r="F851" i="21" s="1"/>
  <c r="F852" i="21" s="1"/>
  <c r="F853" i="21" s="1"/>
  <c r="F854" i="21" s="1"/>
  <c r="F855" i="21" s="1"/>
  <c r="F856" i="21" s="1"/>
  <c r="F857" i="21" s="1"/>
  <c r="F858" i="21" s="1"/>
  <c r="F859" i="21" s="1"/>
  <c r="F860" i="21" s="1"/>
  <c r="F861" i="21" s="1"/>
  <c r="F862" i="21" s="1"/>
  <c r="F863" i="21" s="1"/>
  <c r="F864" i="21" s="1"/>
  <c r="F865" i="21" s="1"/>
  <c r="F866" i="21" s="1"/>
  <c r="F867" i="21" s="1"/>
  <c r="F868" i="21" s="1"/>
  <c r="F869" i="21" s="1"/>
  <c r="F870" i="21" s="1"/>
  <c r="F871" i="21" s="1"/>
  <c r="F872" i="21" s="1"/>
  <c r="F873" i="21" s="1"/>
  <c r="F874" i="21" s="1"/>
  <c r="F875" i="21" s="1"/>
  <c r="F876" i="21" s="1"/>
  <c r="F877" i="21" s="1"/>
  <c r="F878" i="21" s="1"/>
  <c r="F879" i="21" s="1"/>
  <c r="F880" i="21" s="1"/>
  <c r="F881" i="21" s="1"/>
  <c r="F882" i="21" s="1"/>
  <c r="F883" i="21" s="1"/>
  <c r="F884" i="21" s="1"/>
  <c r="F885" i="21" s="1"/>
  <c r="F886" i="21" s="1"/>
  <c r="F887" i="21" s="1"/>
  <c r="F888" i="21" s="1"/>
  <c r="F889" i="21" s="1"/>
  <c r="F890" i="21" s="1"/>
  <c r="F891" i="21" s="1"/>
  <c r="F892" i="21" s="1"/>
  <c r="F893" i="21" s="1"/>
  <c r="F894" i="21" s="1"/>
  <c r="F895" i="21" s="1"/>
  <c r="F896" i="21" s="1"/>
  <c r="F897" i="21" s="1"/>
  <c r="F898" i="21" s="1"/>
  <c r="F899" i="21" s="1"/>
  <c r="F900" i="21" s="1"/>
  <c r="F901" i="21" s="1"/>
  <c r="F902" i="21" s="1"/>
  <c r="F903" i="21" s="1"/>
  <c r="F904" i="21" s="1"/>
  <c r="F905" i="21" s="1"/>
  <c r="F906" i="21" s="1"/>
  <c r="F907" i="21" s="1"/>
  <c r="F908" i="21" s="1"/>
  <c r="F909" i="21" s="1"/>
  <c r="F910" i="21" s="1"/>
  <c r="F911" i="21" s="1"/>
  <c r="F912" i="21" s="1"/>
  <c r="F913" i="21" s="1"/>
  <c r="F914" i="21" s="1"/>
  <c r="F915" i="21" s="1"/>
  <c r="F916" i="21" s="1"/>
  <c r="F917" i="21" s="1"/>
  <c r="F918" i="21" s="1"/>
  <c r="F919" i="21" s="1"/>
  <c r="F920" i="21" s="1"/>
  <c r="F921" i="21" s="1"/>
  <c r="F922" i="21" s="1"/>
  <c r="F923" i="21" s="1"/>
  <c r="F924" i="21" s="1"/>
  <c r="F925" i="21" s="1"/>
  <c r="F926" i="21" s="1"/>
  <c r="F927" i="21" s="1"/>
  <c r="F928" i="21" s="1"/>
  <c r="F929" i="21" s="1"/>
  <c r="F930" i="21" s="1"/>
  <c r="F931" i="21" s="1"/>
  <c r="F932" i="21" s="1"/>
  <c r="F933" i="21" s="1"/>
  <c r="F934" i="21" s="1"/>
  <c r="F935" i="21" s="1"/>
  <c r="F936" i="21" s="1"/>
  <c r="F937" i="21" s="1"/>
  <c r="F938" i="21" s="1"/>
  <c r="F939" i="21" s="1"/>
  <c r="F940" i="21" s="1"/>
  <c r="F941" i="21" s="1"/>
  <c r="F942" i="21" s="1"/>
  <c r="F943" i="21" s="1"/>
  <c r="F944" i="21" s="1"/>
  <c r="F945" i="21" s="1"/>
  <c r="F946" i="21" s="1"/>
  <c r="F947" i="21" s="1"/>
  <c r="F948" i="21" s="1"/>
  <c r="F949" i="21" s="1"/>
  <c r="F950" i="21" s="1"/>
  <c r="F951" i="21" s="1"/>
  <c r="F952" i="21" s="1"/>
  <c r="F953" i="21" s="1"/>
  <c r="F954" i="21" s="1"/>
  <c r="F955" i="21" s="1"/>
  <c r="F956" i="21" s="1"/>
  <c r="F957" i="21" s="1"/>
  <c r="F958" i="21" s="1"/>
  <c r="F959" i="21" s="1"/>
  <c r="F960" i="21" s="1"/>
  <c r="F961" i="21" s="1"/>
  <c r="F962" i="21" s="1"/>
  <c r="F963" i="21" s="1"/>
  <c r="F964" i="21" s="1"/>
  <c r="F965" i="21" s="1"/>
  <c r="F966" i="21" s="1"/>
  <c r="F967" i="21" s="1"/>
  <c r="F968" i="21" s="1"/>
  <c r="F969" i="21" s="1"/>
  <c r="F970" i="21" s="1"/>
  <c r="F971" i="21" s="1"/>
  <c r="F972" i="21" s="1"/>
  <c r="F973" i="21" s="1"/>
  <c r="F974" i="21" s="1"/>
  <c r="F975" i="21" s="1"/>
  <c r="F976" i="21" s="1"/>
  <c r="F977" i="21" s="1"/>
  <c r="F978" i="21" s="1"/>
  <c r="F979" i="21" s="1"/>
  <c r="F980" i="21" s="1"/>
  <c r="F981" i="21" s="1"/>
  <c r="F982" i="21" s="1"/>
  <c r="F983" i="21" s="1"/>
  <c r="F984" i="21" s="1"/>
  <c r="F985" i="21" s="1"/>
  <c r="F986" i="21" s="1"/>
  <c r="F987" i="21" s="1"/>
  <c r="F988" i="21" s="1"/>
  <c r="F989" i="21" s="1"/>
  <c r="F990" i="21" s="1"/>
  <c r="F991" i="21" s="1"/>
  <c r="F992" i="21" s="1"/>
  <c r="F993" i="21" s="1"/>
  <c r="F994" i="21" s="1"/>
  <c r="F995" i="21" s="1"/>
  <c r="F996" i="21" s="1"/>
  <c r="F997" i="21" s="1"/>
  <c r="F998" i="21" s="1"/>
  <c r="F999" i="21" s="1"/>
  <c r="F1000" i="21" s="1"/>
  <c r="F1001" i="21" s="1"/>
  <c r="F1002" i="21" s="1"/>
  <c r="F1003" i="21" s="1"/>
  <c r="F1004" i="21" s="1"/>
  <c r="F1005" i="21" s="1"/>
  <c r="F1006" i="21" s="1"/>
  <c r="F1007" i="21" s="1"/>
  <c r="F1008" i="21" s="1"/>
  <c r="F1009" i="21" s="1"/>
  <c r="F1010" i="21" s="1"/>
  <c r="F1011" i="21" s="1"/>
  <c r="F1012" i="21" s="1"/>
  <c r="F1013" i="21" s="1"/>
  <c r="F1014" i="21" s="1"/>
  <c r="F1015" i="21" s="1"/>
  <c r="F1016" i="21" s="1"/>
  <c r="F1017" i="21" s="1"/>
  <c r="F1018" i="21" s="1"/>
  <c r="F1019" i="21" s="1"/>
  <c r="F1020" i="21" s="1"/>
  <c r="F1021" i="21" s="1"/>
  <c r="F1022" i="21" s="1"/>
  <c r="F1023" i="21" s="1"/>
  <c r="F1024" i="21" s="1"/>
  <c r="F1025" i="21" s="1"/>
  <c r="F1026" i="21" s="1"/>
  <c r="F1027" i="21" s="1"/>
  <c r="F1028" i="21" s="1"/>
  <c r="F1029" i="21" s="1"/>
  <c r="F1030" i="21" s="1"/>
  <c r="F1031" i="21" s="1"/>
  <c r="F1032" i="21" s="1"/>
  <c r="F1033" i="21" s="1"/>
  <c r="F1034" i="21" s="1"/>
  <c r="F1035" i="21" s="1"/>
  <c r="F1036" i="21" s="1"/>
  <c r="F1037" i="21" s="1"/>
  <c r="F1038" i="21" s="1"/>
  <c r="F1039" i="21" s="1"/>
  <c r="F1040" i="21" s="1"/>
  <c r="F1041" i="21" s="1"/>
  <c r="F1042" i="21" s="1"/>
  <c r="F1043" i="21" s="1"/>
  <c r="F1044" i="21" s="1"/>
  <c r="F1045" i="21" s="1"/>
  <c r="F1046" i="21" s="1"/>
  <c r="F1047" i="21" s="1"/>
  <c r="F1048" i="21" s="1"/>
  <c r="F1049" i="21" s="1"/>
  <c r="F1050" i="21" s="1"/>
  <c r="F1051" i="21" s="1"/>
  <c r="F1052" i="21" s="1"/>
  <c r="F1053" i="21" s="1"/>
  <c r="F1054" i="21" s="1"/>
  <c r="F1055" i="21" s="1"/>
  <c r="F1056" i="21" s="1"/>
  <c r="F1057" i="21" s="1"/>
  <c r="F1058" i="21" s="1"/>
  <c r="F1059" i="21" s="1"/>
  <c r="F1060" i="21" s="1"/>
  <c r="F1061" i="21" s="1"/>
  <c r="F1062" i="21" s="1"/>
  <c r="F1063" i="21" s="1"/>
  <c r="F1064" i="21" s="1"/>
  <c r="F1065" i="21" s="1"/>
  <c r="F1066" i="21" s="1"/>
  <c r="F1067" i="21" s="1"/>
  <c r="F1068" i="21" s="1"/>
  <c r="F1069" i="21" s="1"/>
  <c r="F1070" i="21" s="1"/>
  <c r="F1071" i="21" s="1"/>
  <c r="F1072" i="21" s="1"/>
  <c r="F1073" i="21" s="1"/>
  <c r="F1074" i="21" s="1"/>
  <c r="F1075" i="21" s="1"/>
  <c r="F1076" i="21" s="1"/>
  <c r="F1077" i="21" s="1"/>
  <c r="F1078" i="21" s="1"/>
  <c r="F1079" i="21" s="1"/>
  <c r="F1080" i="21" s="1"/>
  <c r="F1081" i="21" s="1"/>
  <c r="F1082" i="21" s="1"/>
  <c r="F1083" i="21" s="1"/>
  <c r="F1084" i="21" s="1"/>
  <c r="F1085" i="21" s="1"/>
  <c r="F1086" i="21" s="1"/>
  <c r="F1087" i="21" s="1"/>
  <c r="F1088" i="21" s="1"/>
  <c r="F1089" i="21" s="1"/>
  <c r="F1090" i="21" s="1"/>
  <c r="F1091" i="21" s="1"/>
  <c r="F1092" i="21" s="1"/>
  <c r="F1093" i="21" s="1"/>
  <c r="F1094" i="21" s="1"/>
  <c r="F1095" i="21" s="1"/>
  <c r="F1096" i="21" s="1"/>
  <c r="F1097" i="21" s="1"/>
  <c r="F1098" i="21" s="1"/>
  <c r="F1099" i="21" s="1"/>
  <c r="F1100" i="21" s="1"/>
  <c r="F1101" i="21" s="1"/>
  <c r="F1102" i="21" s="1"/>
  <c r="F1103" i="21" s="1"/>
  <c r="F1104" i="21" s="1"/>
  <c r="F1105" i="21" s="1"/>
  <c r="F1106" i="21" s="1"/>
  <c r="F1107" i="21" s="1"/>
  <c r="F1108" i="21" s="1"/>
  <c r="F1109" i="21" s="1"/>
  <c r="F1110" i="21" s="1"/>
  <c r="F1111" i="21" s="1"/>
  <c r="F1112" i="21" s="1"/>
  <c r="F1113" i="21" s="1"/>
  <c r="F1114" i="21" s="1"/>
  <c r="F1115" i="21" s="1"/>
  <c r="F1116" i="21" s="1"/>
  <c r="F1117" i="21" s="1"/>
  <c r="F1118" i="21" s="1"/>
  <c r="F1119" i="21" s="1"/>
  <c r="F1120" i="21" s="1"/>
  <c r="F1121" i="21" s="1"/>
  <c r="F1122" i="21" s="1"/>
  <c r="F1123" i="21" s="1"/>
  <c r="F1124" i="21" s="1"/>
  <c r="F1125" i="21" s="1"/>
  <c r="F1126" i="21" s="1"/>
  <c r="F1127" i="21" s="1"/>
  <c r="F1128" i="21" s="1"/>
  <c r="F1129" i="21" s="1"/>
  <c r="F1130" i="21" s="1"/>
  <c r="F1131" i="21" s="1"/>
  <c r="F1132" i="21" s="1"/>
  <c r="F1133" i="21" s="1"/>
  <c r="F1134" i="21" s="1"/>
  <c r="F1135" i="21" s="1"/>
  <c r="F1136" i="21" s="1"/>
  <c r="F1137" i="21" s="1"/>
  <c r="F1138" i="21" s="1"/>
  <c r="F1139" i="21" s="1"/>
  <c r="F1140" i="21" s="1"/>
  <c r="F1141" i="21" s="1"/>
  <c r="F1142" i="21" s="1"/>
  <c r="F1143" i="21" s="1"/>
  <c r="F1144" i="21" s="1"/>
  <c r="F1145" i="21" s="1"/>
  <c r="F1146" i="21" s="1"/>
  <c r="F1147" i="21" s="1"/>
  <c r="F1148" i="21" s="1"/>
  <c r="F1149" i="21" s="1"/>
  <c r="F1150" i="21" s="1"/>
  <c r="F1151" i="21" s="1"/>
  <c r="F1152" i="21" s="1"/>
  <c r="F1153" i="21" s="1"/>
  <c r="F1154" i="21" s="1"/>
  <c r="F1155" i="21" s="1"/>
  <c r="F1156" i="21" s="1"/>
  <c r="F1157" i="21" s="1"/>
  <c r="F1158" i="21" s="1"/>
  <c r="F1159" i="21" s="1"/>
  <c r="F1160" i="21" s="1"/>
  <c r="F1161" i="21" s="1"/>
  <c r="F1162" i="21" s="1"/>
  <c r="F1163" i="21" s="1"/>
  <c r="F1164" i="21" s="1"/>
  <c r="F1165" i="21" s="1"/>
  <c r="F1166" i="21" s="1"/>
  <c r="F1167" i="21" s="1"/>
  <c r="F1168" i="21" s="1"/>
  <c r="F1169" i="21" s="1"/>
  <c r="F1170" i="21" s="1"/>
  <c r="F1171" i="21" s="1"/>
  <c r="F1172" i="21" s="1"/>
  <c r="F1173" i="21" s="1"/>
  <c r="F1174" i="21" s="1"/>
  <c r="F1175" i="21" s="1"/>
  <c r="F1176" i="21" s="1"/>
  <c r="F1177" i="21" s="1"/>
  <c r="F1178" i="21" s="1"/>
  <c r="F1179" i="21" s="1"/>
  <c r="F1180" i="21" s="1"/>
  <c r="F1181" i="21" s="1"/>
  <c r="F1182" i="21" s="1"/>
  <c r="F1183" i="21" s="1"/>
  <c r="F1184" i="21" s="1"/>
  <c r="F1185" i="21" s="1"/>
  <c r="F1186" i="21" s="1"/>
  <c r="F1187" i="21" s="1"/>
  <c r="F1188" i="21" s="1"/>
  <c r="F1189" i="21" s="1"/>
  <c r="F1190" i="21" s="1"/>
  <c r="F1191" i="21" s="1"/>
  <c r="F1192" i="21" s="1"/>
  <c r="F1193" i="21" s="1"/>
  <c r="F1194" i="21" s="1"/>
  <c r="F1195" i="21" s="1"/>
  <c r="F1196" i="21" s="1"/>
  <c r="F1197" i="21" s="1"/>
  <c r="F1198" i="21" s="1"/>
  <c r="F1199" i="21" s="1"/>
  <c r="F1200" i="21" s="1"/>
  <c r="F1201" i="21" s="1"/>
  <c r="F1202" i="21" s="1"/>
  <c r="F1203" i="21" s="1"/>
  <c r="F1204" i="21" s="1"/>
  <c r="F1205" i="21" s="1"/>
  <c r="F1206" i="21" s="1"/>
  <c r="F1207" i="21" s="1"/>
  <c r="F1208" i="21" s="1"/>
  <c r="F1209" i="21" s="1"/>
  <c r="F1210" i="21" s="1"/>
  <c r="F1211" i="21" s="1"/>
  <c r="F1212" i="21" s="1"/>
  <c r="F1213" i="21" s="1"/>
  <c r="F1214" i="21" s="1"/>
  <c r="F1215" i="21" s="1"/>
  <c r="F1216" i="21" s="1"/>
  <c r="F1217" i="21" s="1"/>
  <c r="F1218" i="21" s="1"/>
  <c r="F1219" i="21" s="1"/>
  <c r="F1220" i="21" s="1"/>
  <c r="F1221" i="21" s="1"/>
  <c r="F1222" i="21" s="1"/>
  <c r="F1223" i="21" s="1"/>
  <c r="F1224" i="21" s="1"/>
  <c r="F1225" i="21" s="1"/>
  <c r="F1226" i="21" s="1"/>
  <c r="F1227" i="21" s="1"/>
  <c r="F1228" i="21" s="1"/>
  <c r="F1229" i="21" s="1"/>
  <c r="F1230" i="21" s="1"/>
  <c r="F1231" i="21" s="1"/>
  <c r="F1232" i="21" s="1"/>
  <c r="F1233" i="21" s="1"/>
  <c r="F1234" i="21" s="1"/>
  <c r="F1235" i="21" s="1"/>
  <c r="F1236" i="21" s="1"/>
  <c r="F1237" i="21" s="1"/>
  <c r="F1238" i="21" s="1"/>
  <c r="F1239" i="21" s="1"/>
  <c r="F1240" i="21" s="1"/>
  <c r="F1241" i="21" s="1"/>
  <c r="F1242" i="21" s="1"/>
  <c r="F1243" i="21" s="1"/>
  <c r="F1244" i="21" s="1"/>
  <c r="F1245" i="21" s="1"/>
  <c r="F1246" i="21" s="1"/>
  <c r="F1247" i="21" s="1"/>
  <c r="F1248" i="21" s="1"/>
  <c r="F1249" i="21" s="1"/>
  <c r="F1250" i="21" s="1"/>
  <c r="F1251" i="21" s="1"/>
  <c r="F1252" i="21" s="1"/>
  <c r="F1253" i="21" s="1"/>
  <c r="F1254" i="21" s="1"/>
  <c r="F1255" i="21" s="1"/>
  <c r="F1256" i="21" s="1"/>
  <c r="F1257" i="21" s="1"/>
  <c r="F1258" i="21" s="1"/>
  <c r="F1259" i="21" s="1"/>
  <c r="F1260" i="21" s="1"/>
  <c r="F1261" i="21" s="1"/>
  <c r="F1262" i="21" s="1"/>
  <c r="F1263" i="21" s="1"/>
  <c r="F1264" i="21" s="1"/>
  <c r="F1265" i="21" s="1"/>
  <c r="F1266" i="21" s="1"/>
  <c r="F1267" i="21" s="1"/>
  <c r="F1268" i="21" s="1"/>
  <c r="F1269" i="21" s="1"/>
  <c r="F1270" i="21" s="1"/>
  <c r="F1271" i="21" s="1"/>
  <c r="F1272" i="21" s="1"/>
  <c r="F1273" i="21" s="1"/>
  <c r="F1274" i="21" s="1"/>
  <c r="F1275" i="21" s="1"/>
  <c r="F1276" i="21" s="1"/>
  <c r="F1277" i="21" s="1"/>
  <c r="F1278" i="21" s="1"/>
  <c r="F1279" i="21" s="1"/>
  <c r="F1280" i="21" s="1"/>
  <c r="F1281" i="21" s="1"/>
  <c r="F1282" i="21" s="1"/>
  <c r="F1283" i="21" s="1"/>
  <c r="F1284" i="21" s="1"/>
  <c r="F1285" i="21" s="1"/>
  <c r="F1286" i="21" s="1"/>
  <c r="F1287" i="21" s="1"/>
  <c r="F1288" i="21" s="1"/>
  <c r="F1289" i="21" s="1"/>
  <c r="F1290" i="21" s="1"/>
  <c r="F1291" i="21" s="1"/>
  <c r="F1292" i="21" s="1"/>
  <c r="F1293" i="21" s="1"/>
  <c r="F1294" i="21" s="1"/>
  <c r="F1295" i="21" s="1"/>
  <c r="F1296" i="21" s="1"/>
  <c r="F1297" i="21" s="1"/>
  <c r="F1298" i="21" s="1"/>
  <c r="F1299" i="21" s="1"/>
  <c r="F1300" i="21" s="1"/>
  <c r="F1301" i="21" s="1"/>
  <c r="F1302" i="21" s="1"/>
  <c r="F1303" i="21" s="1"/>
  <c r="F1304" i="21" s="1"/>
  <c r="F1305" i="21" s="1"/>
  <c r="F1306" i="21" s="1"/>
  <c r="F1307" i="21" s="1"/>
  <c r="F1308" i="21" s="1"/>
  <c r="F1309" i="21" s="1"/>
  <c r="F1310" i="21" s="1"/>
  <c r="F1311" i="21" s="1"/>
  <c r="F1312" i="21" s="1"/>
  <c r="F1313" i="21" s="1"/>
  <c r="F1314" i="21" s="1"/>
  <c r="F1315" i="21" s="1"/>
  <c r="F1316" i="21" s="1"/>
  <c r="F1317" i="21" s="1"/>
  <c r="F1318" i="21" s="1"/>
  <c r="F1319" i="21" s="1"/>
  <c r="F1320" i="21" s="1"/>
  <c r="F1321" i="21" s="1"/>
  <c r="F1322" i="21" s="1"/>
  <c r="F1323" i="21" s="1"/>
  <c r="F1324" i="21" s="1"/>
  <c r="F1325" i="21" s="1"/>
  <c r="F1326" i="21" s="1"/>
  <c r="F1327" i="21" s="1"/>
  <c r="F1328" i="21" s="1"/>
  <c r="F1329" i="21" s="1"/>
  <c r="F1330" i="21" s="1"/>
  <c r="F1331" i="21" s="1"/>
  <c r="F1332" i="21" s="1"/>
  <c r="F1333" i="21" s="1"/>
  <c r="F1334" i="21" s="1"/>
  <c r="F1335" i="21" s="1"/>
  <c r="F1336" i="21" s="1"/>
  <c r="F1337" i="21" s="1"/>
  <c r="F1338" i="21" s="1"/>
  <c r="F1339" i="21" s="1"/>
  <c r="F1340" i="21" s="1"/>
  <c r="F1341" i="21" s="1"/>
  <c r="F1342" i="21" s="1"/>
  <c r="F1343" i="21" s="1"/>
  <c r="F1344" i="21" s="1"/>
  <c r="F1345" i="21" s="1"/>
  <c r="F1346" i="21" s="1"/>
  <c r="F1347" i="21" s="1"/>
  <c r="F1348" i="21" s="1"/>
  <c r="F1349" i="21" s="1"/>
  <c r="F1350" i="21" s="1"/>
  <c r="F1351" i="21" s="1"/>
  <c r="F1352" i="21" s="1"/>
  <c r="F1353" i="21" s="1"/>
  <c r="F1354" i="21" s="1"/>
  <c r="F1355" i="21" s="1"/>
  <c r="F1356" i="21" s="1"/>
  <c r="F1357" i="21" s="1"/>
  <c r="F1358" i="21" s="1"/>
  <c r="F1359" i="21" s="1"/>
  <c r="F1360" i="21" s="1"/>
  <c r="F1361" i="21" s="1"/>
  <c r="F1362" i="21" s="1"/>
  <c r="F1363" i="21" s="1"/>
  <c r="F1364" i="21" s="1"/>
  <c r="F1365" i="21" s="1"/>
  <c r="F1366" i="21" s="1"/>
  <c r="F1367" i="21" s="1"/>
  <c r="F1368" i="21" s="1"/>
  <c r="F1369" i="21" s="1"/>
  <c r="F1370" i="21" s="1"/>
  <c r="F1371" i="21" s="1"/>
  <c r="F1372" i="21" s="1"/>
  <c r="F1373" i="21" s="1"/>
  <c r="F1374" i="21" s="1"/>
  <c r="F1375" i="21" s="1"/>
  <c r="F1376" i="21" s="1"/>
  <c r="F1377" i="21" s="1"/>
  <c r="F1378" i="21" s="1"/>
  <c r="F1379" i="21" s="1"/>
  <c r="F1380" i="21" s="1"/>
  <c r="F1381" i="21" s="1"/>
  <c r="F1382" i="21" s="1"/>
  <c r="F1383" i="21" s="1"/>
  <c r="F1384" i="21" s="1"/>
  <c r="F1385" i="21" s="1"/>
  <c r="F1386" i="21" s="1"/>
  <c r="F1387" i="21" s="1"/>
  <c r="F1388" i="21" s="1"/>
  <c r="F1389" i="21" s="1"/>
  <c r="F1390" i="21" s="1"/>
  <c r="F1391" i="21" s="1"/>
  <c r="F1392" i="21" s="1"/>
  <c r="F1393" i="21" s="1"/>
  <c r="F1394" i="21" s="1"/>
  <c r="F1395" i="21" s="1"/>
  <c r="F1396" i="21" s="1"/>
  <c r="F1397" i="21" s="1"/>
  <c r="F1398" i="21" s="1"/>
  <c r="F1399" i="21" s="1"/>
  <c r="F1400" i="21" s="1"/>
  <c r="F1401" i="21" s="1"/>
  <c r="F1402" i="21" s="1"/>
  <c r="F1403" i="21" s="1"/>
  <c r="F1404" i="21" s="1"/>
  <c r="F1405" i="21" s="1"/>
  <c r="F1406" i="21" s="1"/>
  <c r="F1407" i="21" s="1"/>
  <c r="F1408" i="21" s="1"/>
  <c r="F1409" i="21" s="1"/>
  <c r="F1410" i="21" s="1"/>
  <c r="F1411" i="21" s="1"/>
  <c r="F1412" i="21" s="1"/>
  <c r="F1413" i="21" s="1"/>
  <c r="F1414" i="21" s="1"/>
  <c r="F1415" i="21" s="1"/>
  <c r="F1416" i="21" s="1"/>
  <c r="F1417" i="21" s="1"/>
  <c r="F1418" i="21" s="1"/>
  <c r="F1419" i="21" s="1"/>
  <c r="F1420" i="21" s="1"/>
  <c r="F1421" i="21" s="1"/>
  <c r="F1422" i="21" s="1"/>
  <c r="F1423" i="21" s="1"/>
  <c r="F1424" i="21" s="1"/>
  <c r="F1425" i="21" s="1"/>
  <c r="F1426" i="21" s="1"/>
  <c r="F1427" i="21" s="1"/>
  <c r="F1428" i="21" s="1"/>
  <c r="F1429" i="21" s="1"/>
  <c r="F1430" i="21" s="1"/>
  <c r="F1431" i="21" s="1"/>
  <c r="F1432" i="21" s="1"/>
  <c r="F1433" i="21" s="1"/>
  <c r="F1434" i="21" s="1"/>
  <c r="F1435" i="21" s="1"/>
  <c r="F1436" i="21" s="1"/>
  <c r="F1437" i="21" s="1"/>
  <c r="F1438" i="21" s="1"/>
  <c r="F1439" i="21" s="1"/>
  <c r="F1440" i="21" s="1"/>
  <c r="F1441" i="21" s="1"/>
  <c r="F1442" i="21" s="1"/>
  <c r="F1443" i="21" s="1"/>
  <c r="F1444" i="21" s="1"/>
  <c r="F1445" i="21" s="1"/>
  <c r="F1446" i="21" s="1"/>
  <c r="F1447" i="21" s="1"/>
  <c r="F1448" i="21" s="1"/>
  <c r="F1449" i="21" s="1"/>
  <c r="F1450" i="21" s="1"/>
  <c r="F1451" i="21" s="1"/>
  <c r="F1452" i="21" s="1"/>
  <c r="F1453" i="21" s="1"/>
  <c r="F1454" i="21" s="1"/>
  <c r="F1455" i="21" s="1"/>
  <c r="F1456" i="21" s="1"/>
  <c r="F1457" i="21" s="1"/>
  <c r="F1458" i="21" s="1"/>
  <c r="F1459" i="21" s="1"/>
  <c r="F1460" i="21" s="1"/>
  <c r="F1461" i="21" s="1"/>
  <c r="F1462" i="21" s="1"/>
  <c r="F1463" i="21" s="1"/>
  <c r="F1464" i="21" s="1"/>
  <c r="F1465" i="21" s="1"/>
  <c r="F1466" i="21" s="1"/>
  <c r="F1467" i="21" s="1"/>
  <c r="F1468" i="21" s="1"/>
  <c r="F1469" i="21" s="1"/>
  <c r="F1470" i="21" s="1"/>
  <c r="F1471" i="21" s="1"/>
  <c r="F1472" i="21" s="1"/>
  <c r="F1473" i="21" s="1"/>
  <c r="F1474" i="21" s="1"/>
  <c r="F1475" i="21" s="1"/>
  <c r="F1476" i="21" s="1"/>
  <c r="F1477" i="21" s="1"/>
  <c r="F1478" i="21" s="1"/>
  <c r="F1479" i="21" s="1"/>
  <c r="F1480" i="21" s="1"/>
  <c r="F1481" i="21" s="1"/>
  <c r="F1482" i="21" s="1"/>
  <c r="F1483" i="21" s="1"/>
  <c r="F1484" i="21" s="1"/>
  <c r="F1485" i="21" s="1"/>
  <c r="F1486" i="21" s="1"/>
  <c r="F1487" i="21" s="1"/>
  <c r="F1488" i="21" s="1"/>
  <c r="F1489" i="21" s="1"/>
  <c r="F1490" i="21" s="1"/>
  <c r="F1491" i="21" s="1"/>
  <c r="F1492" i="21" s="1"/>
  <c r="F1493" i="21" s="1"/>
  <c r="F1494" i="21" s="1"/>
  <c r="F1495" i="21" s="1"/>
  <c r="F1496" i="21" s="1"/>
  <c r="F1497" i="21" s="1"/>
  <c r="F1498" i="21" s="1"/>
  <c r="F1499" i="21" s="1"/>
  <c r="F1500" i="21" s="1"/>
  <c r="F1501" i="21" s="1"/>
  <c r="F1502" i="21" s="1"/>
  <c r="F1503" i="21" s="1"/>
  <c r="F1504" i="21" s="1"/>
  <c r="F1505" i="21" s="1"/>
  <c r="F1506" i="21" s="1"/>
  <c r="F1507" i="21" s="1"/>
  <c r="F1508" i="21" s="1"/>
  <c r="F1509" i="21" s="1"/>
  <c r="F1510" i="21" s="1"/>
  <c r="F1511" i="21" s="1"/>
  <c r="F1512" i="21" s="1"/>
  <c r="F1513" i="21" s="1"/>
  <c r="F1514" i="21" s="1"/>
  <c r="F1515" i="21" s="1"/>
  <c r="F1516" i="21" s="1"/>
  <c r="F1517" i="21" s="1"/>
  <c r="F1518" i="21" s="1"/>
  <c r="F1519" i="21" s="1"/>
  <c r="F1520" i="21" s="1"/>
  <c r="F1521" i="21" s="1"/>
  <c r="F1522" i="21" s="1"/>
  <c r="F1523" i="21" s="1"/>
  <c r="F1524" i="21" s="1"/>
  <c r="F1525" i="21" s="1"/>
  <c r="F1526" i="21" s="1"/>
  <c r="F1527" i="21" s="1"/>
  <c r="F1528" i="21" s="1"/>
  <c r="F1529" i="21" s="1"/>
  <c r="F1530" i="21" s="1"/>
  <c r="F1531" i="21" s="1"/>
  <c r="F1532" i="21" s="1"/>
  <c r="F1533" i="21" s="1"/>
  <c r="F1534" i="21" s="1"/>
  <c r="F1535" i="21" s="1"/>
  <c r="F1536" i="21" s="1"/>
  <c r="F1537" i="21" s="1"/>
  <c r="F1538" i="21" s="1"/>
  <c r="F1539" i="21" s="1"/>
  <c r="F1540" i="21" s="1"/>
  <c r="F1541" i="21" s="1"/>
  <c r="F1542" i="21" s="1"/>
  <c r="F1543" i="21" s="1"/>
  <c r="F1544" i="21" s="1"/>
  <c r="F1545" i="21" s="1"/>
  <c r="F1546" i="21" s="1"/>
  <c r="F1547" i="21" s="1"/>
  <c r="F1548" i="21" s="1"/>
  <c r="F1549" i="21" s="1"/>
  <c r="F1550" i="21" s="1"/>
  <c r="F1551" i="21" s="1"/>
  <c r="F1552" i="21" s="1"/>
  <c r="F1553" i="21" s="1"/>
  <c r="F1554" i="21" s="1"/>
  <c r="F1555" i="21" s="1"/>
  <c r="F1556" i="21" s="1"/>
  <c r="F1557" i="21" s="1"/>
  <c r="F1558" i="21" s="1"/>
  <c r="F1559" i="21" s="1"/>
  <c r="F1560" i="21" s="1"/>
  <c r="F1561" i="21" s="1"/>
  <c r="F1562" i="21" s="1"/>
  <c r="F1563" i="21" s="1"/>
  <c r="F1564" i="21" s="1"/>
  <c r="F1565" i="21" s="1"/>
  <c r="F1566" i="21" s="1"/>
  <c r="F1567" i="21" s="1"/>
  <c r="F1568" i="21" s="1"/>
  <c r="F1569" i="21" s="1"/>
  <c r="F1570" i="21" s="1"/>
  <c r="F1571" i="21" s="1"/>
  <c r="F1572" i="21" s="1"/>
  <c r="F1573" i="21" s="1"/>
  <c r="F1574" i="21" s="1"/>
  <c r="F1575" i="21" s="1"/>
  <c r="F1576" i="21" s="1"/>
  <c r="F1577" i="21" s="1"/>
  <c r="F1578" i="21" s="1"/>
  <c r="F1579" i="21" s="1"/>
  <c r="F1580" i="21" s="1"/>
  <c r="F1581" i="21" s="1"/>
  <c r="F1582" i="21" s="1"/>
  <c r="F1583" i="21" s="1"/>
  <c r="F1584" i="21" s="1"/>
  <c r="F1585" i="21" s="1"/>
  <c r="F1586" i="21" s="1"/>
  <c r="F1587" i="21" s="1"/>
  <c r="F1588" i="21" s="1"/>
  <c r="F1589" i="21" s="1"/>
  <c r="F1590" i="21" s="1"/>
  <c r="F1591" i="21" s="1"/>
  <c r="F1592" i="21" s="1"/>
  <c r="F1593" i="21" s="1"/>
  <c r="F1594" i="21" s="1"/>
  <c r="F1595" i="21" s="1"/>
  <c r="F1596" i="21" s="1"/>
  <c r="F1597" i="21" s="1"/>
  <c r="F1598" i="21" s="1"/>
  <c r="F1599" i="21" s="1"/>
  <c r="F1600" i="21" s="1"/>
  <c r="F1601" i="21" s="1"/>
  <c r="F1602" i="21" s="1"/>
  <c r="F1603" i="21" s="1"/>
  <c r="F1604" i="21" s="1"/>
  <c r="F1605" i="21" s="1"/>
  <c r="F1606" i="21" s="1"/>
  <c r="F1607" i="21" s="1"/>
  <c r="F1608" i="21" s="1"/>
  <c r="F1609" i="21" s="1"/>
  <c r="F1610" i="21" s="1"/>
  <c r="F1611" i="21" s="1"/>
  <c r="F1612" i="21" s="1"/>
  <c r="F1613" i="21" s="1"/>
  <c r="F1614" i="21" s="1"/>
  <c r="F1615" i="21" s="1"/>
  <c r="F1616" i="21" s="1"/>
  <c r="F1617" i="21" s="1"/>
  <c r="F1618" i="21" s="1"/>
  <c r="F1619" i="21" s="1"/>
  <c r="F1620" i="21" s="1"/>
  <c r="F1621" i="21" s="1"/>
  <c r="F1622" i="21" s="1"/>
  <c r="F1623" i="21" s="1"/>
  <c r="F1624" i="21" s="1"/>
  <c r="F1625" i="21" s="1"/>
  <c r="F1626" i="21" s="1"/>
  <c r="F1627" i="21" s="1"/>
  <c r="F1628" i="21" s="1"/>
  <c r="F1629" i="21" s="1"/>
  <c r="F1630" i="21" s="1"/>
  <c r="F1631" i="21" s="1"/>
  <c r="F1632" i="21" s="1"/>
  <c r="F1633" i="21" s="1"/>
  <c r="F1634" i="21" s="1"/>
  <c r="F1635" i="21" s="1"/>
  <c r="F1636" i="21" s="1"/>
  <c r="F1637" i="21" s="1"/>
  <c r="F1638" i="21" s="1"/>
  <c r="F1639" i="21" s="1"/>
  <c r="F1640" i="21" s="1"/>
  <c r="F1641" i="21" s="1"/>
  <c r="F1642" i="21" s="1"/>
  <c r="F1643" i="21" s="1"/>
  <c r="F1644" i="21" s="1"/>
  <c r="F1645" i="21" s="1"/>
  <c r="F1646" i="21" s="1"/>
  <c r="F1647" i="21" s="1"/>
  <c r="F1648" i="21" s="1"/>
  <c r="F1649" i="21" s="1"/>
  <c r="F1650" i="21" s="1"/>
  <c r="F1651" i="21" s="1"/>
  <c r="F1652" i="21" s="1"/>
  <c r="F1653" i="21" s="1"/>
  <c r="F1654" i="21" s="1"/>
  <c r="F1655" i="21" s="1"/>
  <c r="F1656" i="21" s="1"/>
  <c r="F1657" i="21" s="1"/>
  <c r="F1658" i="21" s="1"/>
  <c r="F1659" i="21" s="1"/>
  <c r="F1660" i="21" s="1"/>
  <c r="F1661" i="21" s="1"/>
  <c r="F1662" i="21" s="1"/>
  <c r="F1663" i="21" s="1"/>
  <c r="F1664" i="21" s="1"/>
  <c r="F1665" i="21" s="1"/>
  <c r="F1666" i="21" s="1"/>
  <c r="F1667" i="21" s="1"/>
  <c r="F1668" i="21" s="1"/>
  <c r="F1669" i="21" s="1"/>
  <c r="F1670" i="21" s="1"/>
  <c r="F1671" i="21" s="1"/>
  <c r="F1672" i="21" s="1"/>
  <c r="F1673" i="21" s="1"/>
  <c r="F1674" i="21" s="1"/>
  <c r="F1675" i="21" s="1"/>
  <c r="F1676" i="21" s="1"/>
  <c r="F1677" i="21" s="1"/>
  <c r="F1678" i="21" s="1"/>
  <c r="F1679" i="21" s="1"/>
  <c r="F1680" i="21" s="1"/>
  <c r="F1681" i="21" s="1"/>
  <c r="F1682" i="21" s="1"/>
  <c r="F1683" i="21" s="1"/>
  <c r="F1684" i="21" s="1"/>
  <c r="F1685" i="21" s="1"/>
  <c r="F1686" i="21" s="1"/>
  <c r="F1687" i="21" s="1"/>
  <c r="F1688" i="21" s="1"/>
  <c r="F1689" i="21" s="1"/>
  <c r="F1690" i="21" s="1"/>
  <c r="F1691" i="21" s="1"/>
  <c r="F1692" i="21" s="1"/>
  <c r="F1693" i="21" s="1"/>
  <c r="F1694" i="21" s="1"/>
  <c r="F1695" i="21" s="1"/>
  <c r="F1696" i="21" s="1"/>
  <c r="F1697" i="21" s="1"/>
  <c r="F1698" i="21" s="1"/>
  <c r="F1699" i="21" s="1"/>
  <c r="F1700" i="21" s="1"/>
  <c r="F1701" i="21" s="1"/>
  <c r="F1702" i="21" s="1"/>
  <c r="F1703" i="21" s="1"/>
  <c r="F1704" i="21" s="1"/>
  <c r="F1705" i="21" s="1"/>
  <c r="F1706" i="21" s="1"/>
  <c r="F1707" i="21" s="1"/>
  <c r="F1708" i="21" s="1"/>
  <c r="F1709" i="21" s="1"/>
  <c r="F1710" i="21" s="1"/>
  <c r="F1711" i="21" s="1"/>
  <c r="F1712" i="21" s="1"/>
  <c r="F1713" i="21" s="1"/>
  <c r="F1714" i="21" s="1"/>
  <c r="F1715" i="21" s="1"/>
  <c r="F1716" i="21" s="1"/>
  <c r="F1717" i="21" s="1"/>
  <c r="F1718" i="21" s="1"/>
  <c r="F1719" i="21" s="1"/>
  <c r="F1720" i="21" s="1"/>
  <c r="F1721" i="21" s="1"/>
  <c r="F1722" i="21" s="1"/>
  <c r="F1723" i="21" s="1"/>
  <c r="F1724" i="21" s="1"/>
  <c r="F1725" i="21" s="1"/>
  <c r="F1726" i="21" s="1"/>
  <c r="F1727" i="21" s="1"/>
  <c r="F1728" i="21" s="1"/>
  <c r="F1729" i="21" s="1"/>
  <c r="F1730" i="21" s="1"/>
  <c r="F1731" i="21" s="1"/>
  <c r="F1732" i="21" s="1"/>
  <c r="F1733" i="21" s="1"/>
  <c r="F1734" i="21" s="1"/>
  <c r="F1735" i="21" s="1"/>
  <c r="F1736" i="21" s="1"/>
  <c r="F1737" i="21" s="1"/>
  <c r="F1738" i="21" s="1"/>
  <c r="F1739" i="21" s="1"/>
  <c r="F1740" i="21" s="1"/>
  <c r="F1741" i="21" s="1"/>
  <c r="F1742" i="21" s="1"/>
  <c r="F1743" i="21" s="1"/>
  <c r="F1744" i="21" s="1"/>
  <c r="F1745" i="21" s="1"/>
  <c r="F1746" i="21" s="1"/>
  <c r="F1747" i="21" s="1"/>
  <c r="F1748" i="21" s="1"/>
  <c r="F1749" i="21" s="1"/>
  <c r="F1750" i="21" s="1"/>
  <c r="F1751" i="21" s="1"/>
  <c r="F1752" i="21" s="1"/>
  <c r="F1753" i="21" s="1"/>
  <c r="F1754" i="21" s="1"/>
  <c r="F1755" i="21" s="1"/>
  <c r="F1756" i="21" s="1"/>
  <c r="F1757" i="21" s="1"/>
  <c r="F1758" i="21" s="1"/>
  <c r="F1759" i="21" s="1"/>
  <c r="F1760" i="21" s="1"/>
  <c r="F1761" i="21" s="1"/>
  <c r="F1762" i="21" s="1"/>
  <c r="F1763" i="21" s="1"/>
  <c r="F1764" i="21" s="1"/>
  <c r="F1765" i="21" s="1"/>
  <c r="F1766" i="21" s="1"/>
  <c r="F1767" i="21" s="1"/>
  <c r="F1768" i="21" s="1"/>
  <c r="F1769" i="21" s="1"/>
  <c r="F1770" i="21" s="1"/>
  <c r="F1771" i="21" s="1"/>
  <c r="F1772" i="21" s="1"/>
  <c r="F1773" i="21" s="1"/>
  <c r="F1774" i="21" s="1"/>
  <c r="F1775" i="21" s="1"/>
  <c r="F1776" i="21" s="1"/>
  <c r="F1777" i="21" s="1"/>
  <c r="F1778" i="21" s="1"/>
  <c r="F1779" i="21" s="1"/>
  <c r="F1780" i="21" s="1"/>
  <c r="F1781" i="21" s="1"/>
  <c r="F1782" i="21" s="1"/>
  <c r="F1783" i="21" s="1"/>
  <c r="F1784" i="21" s="1"/>
  <c r="F1785" i="21" s="1"/>
  <c r="F1786" i="21" s="1"/>
  <c r="F1787" i="21" s="1"/>
  <c r="F1788" i="21" s="1"/>
  <c r="F1789" i="21" s="1"/>
  <c r="F1790" i="21" s="1"/>
  <c r="F1791" i="21" s="1"/>
  <c r="F1792" i="21" s="1"/>
  <c r="F1793" i="21" s="1"/>
  <c r="F1794" i="21" s="1"/>
  <c r="F1795" i="21" s="1"/>
  <c r="F1796" i="21" s="1"/>
  <c r="F1797" i="21" s="1"/>
  <c r="F1798" i="21" s="1"/>
  <c r="F1799" i="21" s="1"/>
  <c r="F1800" i="21" s="1"/>
  <c r="F1801" i="21" s="1"/>
  <c r="F1802" i="21" s="1"/>
  <c r="F1803" i="21" s="1"/>
  <c r="F1804" i="21" s="1"/>
  <c r="F1805" i="21" s="1"/>
  <c r="F1806" i="21" s="1"/>
  <c r="F1807" i="21" s="1"/>
  <c r="F1808" i="21" s="1"/>
  <c r="F1809" i="21" s="1"/>
  <c r="F1810" i="21" s="1"/>
  <c r="F1811" i="21" s="1"/>
  <c r="F1812" i="21" s="1"/>
  <c r="F1813" i="21" s="1"/>
  <c r="F1814" i="21" s="1"/>
  <c r="F1815" i="21" s="1"/>
  <c r="F1816" i="21" s="1"/>
  <c r="F1817" i="21" s="1"/>
  <c r="F1818" i="21" s="1"/>
  <c r="F1819" i="21" s="1"/>
  <c r="F1820" i="21" s="1"/>
  <c r="F1821" i="21" s="1"/>
  <c r="F1822" i="21" s="1"/>
  <c r="F1823" i="21" s="1"/>
  <c r="F1824" i="21" s="1"/>
  <c r="F1825" i="21" s="1"/>
  <c r="F1826" i="21" s="1"/>
  <c r="F1827" i="21" s="1"/>
  <c r="F1828" i="21" s="1"/>
  <c r="F1829" i="21" s="1"/>
  <c r="F1830" i="21" s="1"/>
  <c r="F1831" i="21" s="1"/>
  <c r="F1832" i="21" s="1"/>
  <c r="F1833" i="21" s="1"/>
  <c r="F1834" i="21" s="1"/>
  <c r="F1835" i="21" s="1"/>
  <c r="F1836" i="21" s="1"/>
  <c r="F1837" i="21" s="1"/>
  <c r="F1838" i="21" s="1"/>
  <c r="F1839" i="21" s="1"/>
  <c r="F1840" i="21" s="1"/>
  <c r="F1841" i="21" s="1"/>
  <c r="F1842" i="21" s="1"/>
  <c r="F1843" i="21" s="1"/>
  <c r="F1844" i="21" s="1"/>
  <c r="F1845" i="21" s="1"/>
  <c r="F1846" i="21" s="1"/>
  <c r="F1847" i="21" s="1"/>
  <c r="F1848" i="21" s="1"/>
  <c r="F1849" i="21" s="1"/>
  <c r="F1850" i="21" s="1"/>
  <c r="F1851" i="21" s="1"/>
  <c r="F1852" i="21" s="1"/>
  <c r="F1853" i="21" s="1"/>
  <c r="F1854" i="21" s="1"/>
  <c r="F1855" i="21" s="1"/>
  <c r="F1856" i="21" s="1"/>
  <c r="F1857" i="21" s="1"/>
  <c r="F1858" i="21" s="1"/>
  <c r="F1859" i="21" s="1"/>
  <c r="F1860" i="21" s="1"/>
  <c r="F1861" i="21" s="1"/>
  <c r="F1862" i="21" s="1"/>
  <c r="F1863" i="21" s="1"/>
  <c r="F1864" i="21" s="1"/>
  <c r="F1865" i="21" s="1"/>
  <c r="F1866" i="21" s="1"/>
  <c r="F1867" i="21" s="1"/>
  <c r="F1868" i="21" s="1"/>
  <c r="F1869" i="21" s="1"/>
  <c r="F1870" i="21" s="1"/>
  <c r="F1871" i="21" s="1"/>
  <c r="F1872" i="21" s="1"/>
  <c r="F1873" i="21" s="1"/>
  <c r="F1874" i="21" s="1"/>
  <c r="F1875" i="21" s="1"/>
  <c r="F1876" i="21" s="1"/>
  <c r="F1877" i="21" s="1"/>
  <c r="F1878" i="21" s="1"/>
  <c r="F1879" i="21" s="1"/>
  <c r="F1880" i="21" s="1"/>
  <c r="F1881" i="21" s="1"/>
  <c r="F1882" i="21" s="1"/>
  <c r="F1883" i="21" s="1"/>
  <c r="F1884" i="21" s="1"/>
  <c r="F1885" i="21" s="1"/>
  <c r="F1886" i="21" s="1"/>
  <c r="F262" i="24"/>
  <c r="F263" i="24" s="1"/>
  <c r="F264" i="24" s="1"/>
  <c r="F265" i="24" s="1"/>
  <c r="F266" i="24" s="1"/>
  <c r="F267" i="24" s="1"/>
  <c r="F268" i="24" s="1"/>
  <c r="F269" i="24" s="1"/>
  <c r="F270" i="24" s="1"/>
  <c r="F271" i="24" s="1"/>
  <c r="F272" i="24" s="1"/>
  <c r="F273" i="24" s="1"/>
  <c r="F274" i="24" s="1"/>
  <c r="F275" i="24" s="1"/>
  <c r="F276" i="24" s="1"/>
  <c r="F277" i="24" s="1"/>
  <c r="F278" i="24" s="1"/>
  <c r="F279" i="24" s="1"/>
  <c r="F280" i="24" s="1"/>
  <c r="F281" i="24" s="1"/>
  <c r="F282" i="24" s="1"/>
  <c r="F283" i="24" s="1"/>
  <c r="F284" i="24" s="1"/>
  <c r="F285" i="24" s="1"/>
  <c r="F286" i="24" s="1"/>
  <c r="F287" i="24" s="1"/>
  <c r="F288" i="24" s="1"/>
  <c r="F289" i="24" s="1"/>
  <c r="F290" i="24" s="1"/>
  <c r="F291" i="24" s="1"/>
  <c r="F292" i="24" s="1"/>
  <c r="F293" i="24" s="1"/>
  <c r="F294" i="24" s="1"/>
  <c r="F295" i="24" s="1"/>
  <c r="F296" i="24" s="1"/>
  <c r="F297" i="24" s="1"/>
  <c r="F298" i="24" s="1"/>
  <c r="F299" i="24" s="1"/>
  <c r="F300" i="24" s="1"/>
  <c r="F301" i="24" s="1"/>
  <c r="F302" i="24" s="1"/>
  <c r="F303" i="24" s="1"/>
  <c r="F304" i="24" s="1"/>
  <c r="F305" i="24" s="1"/>
  <c r="F306" i="24" s="1"/>
  <c r="F307" i="24" s="1"/>
  <c r="F308" i="24" s="1"/>
  <c r="F309" i="24" s="1"/>
  <c r="F310" i="24" s="1"/>
  <c r="F311" i="24" s="1"/>
  <c r="F312" i="24" s="1"/>
  <c r="F313" i="24" s="1"/>
  <c r="F314" i="24" s="1"/>
  <c r="F315" i="24" s="1"/>
  <c r="F316" i="24" s="1"/>
  <c r="F317" i="24" s="1"/>
  <c r="F318" i="24" s="1"/>
  <c r="F319" i="24" s="1"/>
  <c r="F320" i="24" s="1"/>
  <c r="F321" i="24" s="1"/>
  <c r="F322" i="24" s="1"/>
  <c r="F323" i="24" s="1"/>
  <c r="F324" i="24" s="1"/>
  <c r="F325" i="24" s="1"/>
  <c r="F326" i="24" s="1"/>
  <c r="F327" i="24" s="1"/>
  <c r="F328" i="24" s="1"/>
  <c r="F329" i="24" s="1"/>
  <c r="F330" i="24" s="1"/>
  <c r="F331" i="24" s="1"/>
  <c r="F332" i="24" s="1"/>
  <c r="F333" i="24" s="1"/>
  <c r="F334" i="24" s="1"/>
  <c r="F335" i="24" s="1"/>
  <c r="F336" i="24" s="1"/>
  <c r="F337" i="24" s="1"/>
  <c r="F338" i="24" s="1"/>
  <c r="F339" i="24" s="1"/>
  <c r="F340" i="24" s="1"/>
  <c r="F341" i="24" s="1"/>
  <c r="F342" i="24" s="1"/>
  <c r="AF9" i="9"/>
  <c r="AF14" i="9"/>
  <c r="AF48" i="9"/>
  <c r="AF38" i="9"/>
  <c r="AM47" i="9"/>
  <c r="AN37" i="9"/>
  <c r="AO38" i="9" s="1"/>
  <c r="AM42" i="9"/>
  <c r="AF43" i="9"/>
  <c r="AM8" i="9"/>
  <c r="AN8" i="9"/>
  <c r="AM18" i="9"/>
  <c r="AN42" i="9"/>
  <c r="AF33" i="9"/>
  <c r="AM32" i="9"/>
  <c r="AN32" i="9"/>
  <c r="AF19" i="9"/>
  <c r="AN18" i="9"/>
  <c r="AO14" i="9"/>
  <c r="Z43" i="9"/>
  <c r="AC48" i="9"/>
  <c r="Z9" i="9"/>
  <c r="Z19" i="9"/>
  <c r="AC14" i="9"/>
  <c r="AC38" i="9"/>
  <c r="AC9" i="9"/>
  <c r="AC19" i="9"/>
  <c r="W33" i="9"/>
  <c r="W9" i="9"/>
  <c r="W19" i="9"/>
  <c r="Z48" i="9"/>
  <c r="AC43" i="9"/>
  <c r="AC33" i="9"/>
  <c r="Z33" i="9"/>
  <c r="D1775" i="20"/>
  <c r="F343" i="24" l="1"/>
  <c r="F344" i="24" s="1"/>
  <c r="F345" i="24" s="1"/>
  <c r="F346" i="24" s="1"/>
  <c r="F347" i="24" s="1"/>
  <c r="F348" i="24" s="1"/>
  <c r="F349" i="24" s="1"/>
  <c r="F350" i="24" s="1"/>
  <c r="F351" i="24" s="1"/>
  <c r="F352" i="24" s="1"/>
  <c r="F353" i="24" s="1"/>
  <c r="F354" i="24" s="1"/>
  <c r="F355" i="24" s="1"/>
  <c r="Z51" i="9"/>
  <c r="AO9" i="9"/>
  <c r="AO19" i="9"/>
  <c r="AO43" i="9"/>
  <c r="AF51" i="9"/>
  <c r="AO33" i="9"/>
  <c r="AC51" i="9"/>
  <c r="W51" i="9"/>
  <c r="D1662" i="20"/>
  <c r="F356" i="24" l="1"/>
  <c r="F357" i="24" s="1"/>
  <c r="F358" i="24" s="1"/>
  <c r="F359" i="24" s="1"/>
  <c r="F360" i="24" s="1"/>
  <c r="F361" i="24" s="1"/>
  <c r="F362" i="24" s="1"/>
  <c r="F363" i="24" s="1"/>
  <c r="F364" i="24" s="1"/>
  <c r="F365" i="24" s="1"/>
  <c r="F366" i="24" s="1"/>
  <c r="F367" i="24" s="1"/>
  <c r="F368" i="24" s="1"/>
  <c r="F369" i="24" s="1"/>
  <c r="F370" i="24" s="1"/>
  <c r="F371" i="24" s="1"/>
  <c r="F372" i="24" s="1"/>
  <c r="F373" i="24" s="1"/>
  <c r="F374" i="24" s="1"/>
  <c r="F375" i="24" s="1"/>
  <c r="F376" i="24" s="1"/>
  <c r="F377" i="24" s="1"/>
  <c r="F378" i="24" s="1"/>
  <c r="F379" i="24" s="1"/>
  <c r="F380" i="24" s="1"/>
  <c r="F381" i="24" s="1"/>
  <c r="F382" i="24" s="1"/>
  <c r="F383" i="24" s="1"/>
  <c r="F384" i="24" s="1"/>
  <c r="F385" i="24" s="1"/>
  <c r="F386" i="24" s="1"/>
  <c r="F387" i="24" s="1"/>
  <c r="F388" i="24" s="1"/>
  <c r="F389" i="24" s="1"/>
  <c r="F390" i="24" s="1"/>
  <c r="F391" i="24" s="1"/>
  <c r="F392" i="24" s="1"/>
  <c r="F393" i="24" s="1"/>
  <c r="F394" i="24" s="1"/>
  <c r="F395" i="24" s="1"/>
  <c r="F396" i="24" s="1"/>
  <c r="F397" i="24" s="1"/>
  <c r="F398" i="24" s="1"/>
  <c r="F399" i="24" s="1"/>
  <c r="F400" i="24" s="1"/>
  <c r="F401" i="24" s="1"/>
  <c r="F402" i="24" s="1"/>
  <c r="F403" i="24" s="1"/>
  <c r="F404" i="24" s="1"/>
  <c r="F405" i="24" s="1"/>
  <c r="F406" i="24" s="1"/>
  <c r="F407" i="24" s="1"/>
  <c r="F408" i="24" s="1"/>
  <c r="F409" i="24" s="1"/>
  <c r="F410" i="24" s="1"/>
  <c r="F411" i="24" s="1"/>
  <c r="F412" i="24" s="1"/>
  <c r="F413" i="24" s="1"/>
  <c r="F414" i="24" s="1"/>
  <c r="F415" i="24" s="1"/>
  <c r="F416" i="24" s="1"/>
  <c r="F417" i="24" s="1"/>
  <c r="F418" i="24" s="1"/>
  <c r="F419" i="24" s="1"/>
  <c r="F420" i="24" s="1"/>
  <c r="F421" i="24" s="1"/>
  <c r="F422" i="24" s="1"/>
  <c r="F423" i="24" s="1"/>
  <c r="F424" i="24" s="1"/>
  <c r="F425" i="24" s="1"/>
  <c r="F426" i="24" s="1"/>
  <c r="F427" i="24" s="1"/>
  <c r="F428" i="24" s="1"/>
  <c r="F429" i="24" s="1"/>
  <c r="F430" i="24" s="1"/>
  <c r="F431" i="24" s="1"/>
  <c r="F432" i="24" s="1"/>
  <c r="F433" i="24" s="1"/>
  <c r="F434" i="24" s="1"/>
  <c r="F435" i="24" s="1"/>
  <c r="F436" i="24" s="1"/>
  <c r="F437" i="24" s="1"/>
  <c r="F438" i="24" s="1"/>
  <c r="F439" i="24" s="1"/>
  <c r="F440" i="24" s="1"/>
  <c r="F441" i="24" s="1"/>
  <c r="F442" i="24" s="1"/>
  <c r="F443" i="24" s="1"/>
  <c r="F444" i="24" s="1"/>
  <c r="F445" i="24" s="1"/>
  <c r="F446" i="24" s="1"/>
  <c r="F447" i="24" s="1"/>
  <c r="F448" i="24" s="1"/>
  <c r="F449" i="24" s="1"/>
  <c r="F450" i="24" s="1"/>
  <c r="F451" i="24" s="1"/>
  <c r="F452" i="24" s="1"/>
  <c r="F453" i="24" s="1"/>
  <c r="F454" i="24" s="1"/>
  <c r="F455" i="24" s="1"/>
  <c r="F456" i="24" s="1"/>
  <c r="F457" i="24" s="1"/>
  <c r="F458" i="24" s="1"/>
  <c r="F459" i="24" s="1"/>
  <c r="F460" i="24" s="1"/>
  <c r="F461" i="24" s="1"/>
  <c r="F462" i="24" s="1"/>
  <c r="F463" i="24" s="1"/>
  <c r="F464" i="24" s="1"/>
  <c r="F465" i="24" s="1"/>
  <c r="F466" i="24" s="1"/>
  <c r="F467" i="24" s="1"/>
  <c r="F468" i="24" s="1"/>
  <c r="F469" i="24" s="1"/>
  <c r="F470" i="24" s="1"/>
  <c r="F471" i="24" s="1"/>
  <c r="F472" i="24" s="1"/>
  <c r="F473" i="24" s="1"/>
  <c r="F474" i="24" s="1"/>
  <c r="F475" i="24" s="1"/>
  <c r="F476" i="24" s="1"/>
  <c r="F477" i="24" s="1"/>
  <c r="F478" i="24" s="1"/>
  <c r="F479" i="24" s="1"/>
  <c r="F480" i="24" s="1"/>
  <c r="F481" i="24" s="1"/>
  <c r="F482" i="24" s="1"/>
  <c r="F483" i="24" s="1"/>
  <c r="F484" i="24" s="1"/>
  <c r="F485" i="24" s="1"/>
  <c r="F486" i="24" s="1"/>
  <c r="F487" i="24" s="1"/>
  <c r="F488" i="24" s="1"/>
  <c r="F489" i="24" s="1"/>
  <c r="F490" i="24" s="1"/>
  <c r="F491" i="24" s="1"/>
  <c r="F492" i="24" s="1"/>
  <c r="F493" i="24" s="1"/>
  <c r="F494" i="24" s="1"/>
  <c r="F495" i="24" s="1"/>
  <c r="F496" i="24" s="1"/>
  <c r="F497" i="24" s="1"/>
  <c r="F498" i="24" s="1"/>
  <c r="F499" i="24" s="1"/>
  <c r="F500" i="24" s="1"/>
  <c r="F501" i="24" s="1"/>
  <c r="F502" i="24" s="1"/>
  <c r="F503" i="24" s="1"/>
  <c r="F504" i="24" s="1"/>
  <c r="F505" i="24" s="1"/>
  <c r="F506" i="24" s="1"/>
  <c r="F507" i="24" s="1"/>
  <c r="F508" i="24" s="1"/>
  <c r="F509" i="24" s="1"/>
  <c r="F510" i="24" s="1"/>
  <c r="F511" i="24" s="1"/>
  <c r="F512" i="24" s="1"/>
  <c r="F513" i="24" s="1"/>
  <c r="F514" i="24" s="1"/>
  <c r="F515" i="24" s="1"/>
  <c r="F516" i="24" s="1"/>
  <c r="F517" i="24" s="1"/>
  <c r="F518" i="24" s="1"/>
  <c r="F519" i="24" s="1"/>
  <c r="F520" i="24" s="1"/>
  <c r="F521" i="24" s="1"/>
  <c r="F522" i="24" s="1"/>
  <c r="F523" i="24" s="1"/>
  <c r="F524" i="24" s="1"/>
  <c r="F525" i="24" s="1"/>
  <c r="F526" i="24" s="1"/>
  <c r="F527" i="24" s="1"/>
  <c r="F528" i="24" s="1"/>
  <c r="F529" i="24" s="1"/>
  <c r="F530" i="24" s="1"/>
  <c r="F531" i="24" s="1"/>
  <c r="F532" i="24" s="1"/>
  <c r="F533" i="24" s="1"/>
  <c r="F534" i="24" s="1"/>
  <c r="F535" i="24" s="1"/>
  <c r="F536" i="24" s="1"/>
  <c r="F537" i="24" s="1"/>
  <c r="F538" i="24" s="1"/>
  <c r="F539" i="24" s="1"/>
  <c r="F540" i="24" s="1"/>
  <c r="F541" i="24" s="1"/>
  <c r="F542" i="24" s="1"/>
  <c r="F543" i="24" s="1"/>
  <c r="F544" i="24" s="1"/>
  <c r="F545" i="24" s="1"/>
  <c r="F546" i="24" s="1"/>
  <c r="F547" i="24" s="1"/>
  <c r="F548" i="24" s="1"/>
  <c r="F549" i="24" s="1"/>
  <c r="F550" i="24" s="1"/>
  <c r="F551" i="24" s="1"/>
  <c r="F552" i="24" s="1"/>
  <c r="F553" i="24" s="1"/>
  <c r="F554" i="24" s="1"/>
  <c r="F555" i="24" s="1"/>
  <c r="F556" i="24" s="1"/>
  <c r="F557" i="24" s="1"/>
  <c r="F558" i="24" s="1"/>
  <c r="F559" i="24" s="1"/>
  <c r="F560" i="24" s="1"/>
  <c r="F561" i="24" s="1"/>
  <c r="F562" i="24" s="1"/>
  <c r="F563" i="24" s="1"/>
  <c r="F564" i="24" s="1"/>
  <c r="F565" i="24" s="1"/>
  <c r="F566" i="24" s="1"/>
  <c r="F567" i="24" s="1"/>
  <c r="F568" i="24" s="1"/>
  <c r="F569" i="24" s="1"/>
  <c r="F570" i="24" s="1"/>
  <c r="F571" i="24" s="1"/>
  <c r="F572" i="24" s="1"/>
  <c r="F573" i="24" s="1"/>
  <c r="F574" i="24" s="1"/>
  <c r="F575" i="24" s="1"/>
  <c r="F576" i="24" s="1"/>
  <c r="F577" i="24" s="1"/>
  <c r="F578" i="24" s="1"/>
  <c r="F579" i="24" s="1"/>
  <c r="F580" i="24" s="1"/>
  <c r="F581" i="24" s="1"/>
  <c r="F582" i="24" s="1"/>
  <c r="F583" i="24" s="1"/>
  <c r="F584" i="24" s="1"/>
  <c r="F585" i="24" s="1"/>
  <c r="F586" i="24" s="1"/>
  <c r="F587" i="24" s="1"/>
  <c r="F588" i="24" s="1"/>
  <c r="F589" i="24" s="1"/>
  <c r="F590" i="24" s="1"/>
  <c r="F591" i="24" s="1"/>
  <c r="D1615" i="20"/>
  <c r="F592" i="24" l="1"/>
  <c r="F593" i="24" s="1"/>
  <c r="F594" i="24" s="1"/>
  <c r="F595" i="24" s="1"/>
  <c r="F596" i="24" s="1"/>
  <c r="F597" i="24" s="1"/>
  <c r="F598" i="24" s="1"/>
  <c r="F599" i="24" s="1"/>
  <c r="F600" i="24" s="1"/>
  <c r="F601" i="24" s="1"/>
  <c r="F602" i="24" s="1"/>
  <c r="F603" i="24" s="1"/>
  <c r="F604" i="24" s="1"/>
  <c r="F605" i="24" s="1"/>
  <c r="F606" i="24" s="1"/>
  <c r="F607" i="24" s="1"/>
  <c r="F608" i="24" s="1"/>
  <c r="F609" i="24" s="1"/>
  <c r="F610" i="24" s="1"/>
  <c r="F611" i="24" s="1"/>
  <c r="F612" i="24" s="1"/>
  <c r="F613" i="24" s="1"/>
  <c r="F614" i="24" s="1"/>
  <c r="F615" i="24" s="1"/>
  <c r="F616" i="24" s="1"/>
  <c r="F617" i="24" s="1"/>
  <c r="F618" i="24" s="1"/>
  <c r="F619" i="24" s="1"/>
  <c r="F620" i="24" s="1"/>
  <c r="F621" i="24" s="1"/>
  <c r="F622" i="24" s="1"/>
  <c r="F623" i="24" s="1"/>
  <c r="F624" i="24" s="1"/>
  <c r="F625" i="24" s="1"/>
  <c r="F626" i="24" s="1"/>
  <c r="F627" i="24" s="1"/>
  <c r="F628" i="24" s="1"/>
  <c r="F629" i="24" s="1"/>
  <c r="F630" i="24" s="1"/>
  <c r="F631" i="24" s="1"/>
  <c r="F632" i="24" s="1"/>
  <c r="F633" i="24" s="1"/>
  <c r="F634" i="24" s="1"/>
  <c r="F635" i="24" s="1"/>
  <c r="F636" i="24" s="1"/>
  <c r="F637" i="24" s="1"/>
  <c r="F638" i="24" s="1"/>
  <c r="F639" i="24" s="1"/>
  <c r="F640" i="24" s="1"/>
  <c r="F641" i="24" s="1"/>
  <c r="F642" i="24" s="1"/>
  <c r="F643" i="24" s="1"/>
  <c r="F644" i="24" s="1"/>
  <c r="F645" i="24" s="1"/>
  <c r="F646" i="24" s="1"/>
  <c r="F647" i="24" s="1"/>
  <c r="F648" i="24" s="1"/>
  <c r="F649" i="24" s="1"/>
  <c r="F650" i="24" s="1"/>
  <c r="F651" i="24" s="1"/>
  <c r="F652" i="24" s="1"/>
  <c r="F653" i="24" s="1"/>
  <c r="F654" i="24" s="1"/>
  <c r="F655" i="24" s="1"/>
  <c r="F656" i="24" s="1"/>
  <c r="F657" i="24" s="1"/>
  <c r="F658" i="24" s="1"/>
  <c r="F659" i="24" s="1"/>
  <c r="F660" i="24" s="1"/>
  <c r="F661" i="24" s="1"/>
  <c r="F662" i="24" s="1"/>
  <c r="F663" i="24" s="1"/>
  <c r="F664" i="24" s="1"/>
  <c r="F665" i="24" s="1"/>
  <c r="F666" i="24" s="1"/>
  <c r="F667" i="24" s="1"/>
  <c r="F668" i="24" s="1"/>
  <c r="F669" i="24" s="1"/>
  <c r="F670" i="24" s="1"/>
  <c r="F671" i="24" s="1"/>
  <c r="F672" i="24" s="1"/>
  <c r="F673" i="24" s="1"/>
  <c r="F674" i="24" s="1"/>
  <c r="F675" i="24" s="1"/>
  <c r="F676" i="24" s="1"/>
  <c r="F677" i="24" s="1"/>
  <c r="F678" i="24" s="1"/>
  <c r="F679" i="24" s="1"/>
  <c r="F680" i="24" s="1"/>
  <c r="F681" i="24" s="1"/>
  <c r="F682" i="24" s="1"/>
  <c r="F683" i="24" s="1"/>
  <c r="F684" i="24" s="1"/>
  <c r="F685" i="24" s="1"/>
  <c r="F686" i="24" s="1"/>
  <c r="F687" i="24" s="1"/>
  <c r="F688" i="24" s="1"/>
  <c r="F689" i="24" s="1"/>
  <c r="F690" i="24" s="1"/>
  <c r="F691" i="24" s="1"/>
  <c r="F692" i="24" s="1"/>
  <c r="F693" i="24" s="1"/>
  <c r="F694" i="24" s="1"/>
  <c r="F695" i="24" s="1"/>
  <c r="F696" i="24" s="1"/>
  <c r="F697" i="24" s="1"/>
  <c r="F698" i="24" s="1"/>
  <c r="F699" i="24" s="1"/>
  <c r="F700" i="24" s="1"/>
  <c r="F701" i="24" s="1"/>
  <c r="F702" i="24" s="1"/>
  <c r="F703" i="24" s="1"/>
  <c r="F704" i="24" s="1"/>
  <c r="F705" i="24" s="1"/>
  <c r="F706" i="24" s="1"/>
  <c r="F707" i="24" s="1"/>
  <c r="F708" i="24" s="1"/>
  <c r="F709" i="24" s="1"/>
  <c r="F710" i="24" s="1"/>
  <c r="F711" i="24" s="1"/>
  <c r="F712" i="24" s="1"/>
  <c r="F713" i="24" s="1"/>
  <c r="F714" i="24" s="1"/>
  <c r="F715" i="24" s="1"/>
  <c r="F716" i="24" s="1"/>
  <c r="F717" i="24" s="1"/>
  <c r="F718" i="24" s="1"/>
  <c r="F719" i="24" s="1"/>
  <c r="F720" i="24" s="1"/>
  <c r="F721" i="24" s="1"/>
  <c r="F722" i="24" s="1"/>
  <c r="F723" i="24" s="1"/>
  <c r="F724" i="24" s="1"/>
  <c r="F725" i="24" s="1"/>
  <c r="F726" i="24" s="1"/>
  <c r="F727" i="24" s="1"/>
  <c r="F728" i="24" s="1"/>
  <c r="F729" i="24" s="1"/>
  <c r="F730" i="24" s="1"/>
  <c r="F731" i="24" s="1"/>
  <c r="F732" i="24" s="1"/>
  <c r="F733" i="24" s="1"/>
  <c r="F734" i="24" s="1"/>
  <c r="F735" i="24" s="1"/>
  <c r="F736" i="24" s="1"/>
  <c r="F737" i="24" s="1"/>
  <c r="F738" i="24" s="1"/>
  <c r="F739" i="24" s="1"/>
  <c r="F740" i="24" s="1"/>
  <c r="F741" i="24" s="1"/>
  <c r="F742" i="24" s="1"/>
  <c r="F743" i="24" s="1"/>
  <c r="F744" i="24" s="1"/>
  <c r="F745" i="24" s="1"/>
  <c r="F746" i="24" s="1"/>
  <c r="F747" i="24" s="1"/>
  <c r="F748" i="24" s="1"/>
  <c r="F749" i="24" s="1"/>
  <c r="F750" i="24" s="1"/>
  <c r="F751" i="24" s="1"/>
  <c r="F752" i="24" s="1"/>
  <c r="F753" i="24" s="1"/>
  <c r="F754" i="24" s="1"/>
  <c r="F755" i="24" s="1"/>
  <c r="F756" i="24" s="1"/>
  <c r="F757" i="24" s="1"/>
  <c r="F758" i="24" s="1"/>
  <c r="F759" i="24" s="1"/>
  <c r="D1574" i="20"/>
  <c r="F760" i="24" l="1"/>
  <c r="F761" i="24" s="1"/>
  <c r="F762" i="24" s="1"/>
  <c r="F763" i="24" s="1"/>
  <c r="F764" i="24" s="1"/>
  <c r="F765" i="24" s="1"/>
  <c r="F766" i="24" s="1"/>
  <c r="F767" i="24" s="1"/>
  <c r="F768" i="24" s="1"/>
  <c r="F769" i="24" s="1"/>
  <c r="F770" i="24" s="1"/>
  <c r="F771" i="24" s="1"/>
  <c r="F772" i="24" s="1"/>
  <c r="F773" i="24" s="1"/>
  <c r="F774" i="24" s="1"/>
  <c r="F775" i="24" s="1"/>
  <c r="F776" i="24" s="1"/>
  <c r="F777" i="24" s="1"/>
  <c r="F778" i="24" s="1"/>
  <c r="F779" i="24" s="1"/>
  <c r="F780" i="24" s="1"/>
  <c r="F781" i="24" s="1"/>
  <c r="F782" i="24" s="1"/>
  <c r="F783" i="24" s="1"/>
  <c r="F784" i="24" s="1"/>
  <c r="F785" i="24" s="1"/>
  <c r="F786" i="24" s="1"/>
  <c r="F787" i="24" s="1"/>
  <c r="F788" i="24" s="1"/>
  <c r="F789" i="24" s="1"/>
  <c r="F790" i="24" s="1"/>
  <c r="F791" i="24" s="1"/>
  <c r="F792" i="24" s="1"/>
  <c r="F793" i="24" s="1"/>
  <c r="F794" i="24" s="1"/>
  <c r="F795" i="24" s="1"/>
  <c r="F796" i="24" s="1"/>
  <c r="F797" i="24" s="1"/>
  <c r="F798" i="24" s="1"/>
  <c r="F799" i="24" s="1"/>
  <c r="F800" i="24" s="1"/>
  <c r="F801" i="24" s="1"/>
  <c r="F802" i="24" s="1"/>
  <c r="F803" i="24" s="1"/>
  <c r="F804" i="24" s="1"/>
  <c r="F805" i="24" s="1"/>
  <c r="F806" i="24" s="1"/>
  <c r="F807" i="24" s="1"/>
  <c r="F808" i="24" s="1"/>
  <c r="F809" i="24" s="1"/>
  <c r="F810" i="24" s="1"/>
  <c r="F811" i="24" s="1"/>
  <c r="F812" i="24" s="1"/>
  <c r="F813" i="24" s="1"/>
  <c r="F814" i="24" s="1"/>
  <c r="F815" i="24" s="1"/>
  <c r="F816" i="24" s="1"/>
  <c r="F817" i="24" s="1"/>
  <c r="F818" i="24" s="1"/>
  <c r="F819" i="24" s="1"/>
  <c r="F820" i="24" s="1"/>
  <c r="F821" i="24" s="1"/>
  <c r="F822" i="24" s="1"/>
  <c r="F823" i="24" s="1"/>
  <c r="F824" i="24" s="1"/>
  <c r="F825" i="24" s="1"/>
  <c r="F826" i="24" s="1"/>
  <c r="F827" i="24" s="1"/>
  <c r="F828" i="24" s="1"/>
  <c r="F829" i="24" s="1"/>
  <c r="F830" i="24" s="1"/>
  <c r="F831" i="24" s="1"/>
  <c r="F832" i="24" s="1"/>
  <c r="F833" i="24" s="1"/>
  <c r="F834" i="24" s="1"/>
  <c r="F835" i="24" s="1"/>
  <c r="F836" i="24" s="1"/>
  <c r="F837" i="24" s="1"/>
  <c r="F838" i="24" s="1"/>
  <c r="F839" i="24" s="1"/>
  <c r="F840" i="24" s="1"/>
  <c r="F841" i="24" s="1"/>
  <c r="F842" i="24" s="1"/>
  <c r="F843" i="24" s="1"/>
  <c r="F844" i="24" s="1"/>
  <c r="F845" i="24" s="1"/>
  <c r="F846" i="24" s="1"/>
  <c r="F847" i="24" s="1"/>
  <c r="F848" i="24" s="1"/>
  <c r="F849" i="24" s="1"/>
  <c r="F850" i="24" s="1"/>
  <c r="F851" i="24" s="1"/>
  <c r="F852" i="24" s="1"/>
  <c r="F853" i="24" s="1"/>
  <c r="F854" i="24" s="1"/>
  <c r="F855" i="24" s="1"/>
  <c r="F856" i="24" s="1"/>
  <c r="F857" i="24" s="1"/>
  <c r="F858" i="24" s="1"/>
  <c r="F859" i="24" s="1"/>
  <c r="F860" i="24" s="1"/>
  <c r="F861" i="24" s="1"/>
  <c r="F862" i="24" s="1"/>
  <c r="F863" i="24" s="1"/>
  <c r="F864" i="24" s="1"/>
  <c r="F865" i="24" s="1"/>
  <c r="F866" i="24" s="1"/>
  <c r="F867" i="24" s="1"/>
  <c r="F868" i="24" s="1"/>
  <c r="F869" i="24" s="1"/>
  <c r="F870" i="24" s="1"/>
  <c r="F871" i="24" s="1"/>
  <c r="F872" i="24" s="1"/>
  <c r="F873" i="24" s="1"/>
  <c r="F874" i="24" s="1"/>
  <c r="F875" i="24" s="1"/>
  <c r="F876" i="24" s="1"/>
  <c r="F877" i="24" s="1"/>
  <c r="F878" i="24" s="1"/>
  <c r="F879" i="24" s="1"/>
  <c r="F880" i="24" s="1"/>
  <c r="F881" i="24" s="1"/>
  <c r="F882" i="24" s="1"/>
  <c r="F883" i="24" s="1"/>
  <c r="F884" i="24" s="1"/>
  <c r="F885" i="24" s="1"/>
  <c r="F886" i="24" s="1"/>
  <c r="F887" i="24" s="1"/>
  <c r="F888" i="24" s="1"/>
  <c r="F889" i="24" s="1"/>
  <c r="F890" i="24" s="1"/>
  <c r="F891" i="24" s="1"/>
  <c r="F892" i="24" s="1"/>
  <c r="F893" i="24" s="1"/>
  <c r="F894" i="24" s="1"/>
  <c r="F895" i="24" s="1"/>
  <c r="F896" i="24" s="1"/>
  <c r="F897" i="24" s="1"/>
  <c r="F898" i="24" s="1"/>
  <c r="F899" i="24" s="1"/>
  <c r="F900" i="24" s="1"/>
  <c r="F901" i="24" s="1"/>
  <c r="F902" i="24" s="1"/>
  <c r="F903" i="24" s="1"/>
  <c r="F904" i="24" s="1"/>
  <c r="F905" i="24" s="1"/>
  <c r="F906" i="24" s="1"/>
  <c r="F907" i="24" s="1"/>
  <c r="F908" i="24" s="1"/>
  <c r="F909" i="24" s="1"/>
  <c r="F910" i="24" s="1"/>
  <c r="F911" i="24" s="1"/>
  <c r="F912" i="24" s="1"/>
  <c r="F913" i="24" s="1"/>
  <c r="F914" i="24" s="1"/>
  <c r="F915" i="24" s="1"/>
  <c r="F916" i="24" s="1"/>
  <c r="F917" i="24" s="1"/>
  <c r="D1526" i="20"/>
  <c r="F918" i="24" l="1"/>
  <c r="F919" i="24" s="1"/>
  <c r="L73" i="17"/>
  <c r="C74" i="17"/>
  <c r="F920" i="24" l="1"/>
  <c r="F921" i="24" s="1"/>
  <c r="F922" i="24" s="1"/>
  <c r="F923" i="24" s="1"/>
  <c r="F924" i="24" s="1"/>
  <c r="F925" i="24" s="1"/>
  <c r="F926" i="24" s="1"/>
  <c r="F927" i="24" s="1"/>
  <c r="F928" i="24" s="1"/>
  <c r="F929" i="24" s="1"/>
  <c r="F930" i="24" s="1"/>
  <c r="F931" i="24" s="1"/>
  <c r="F932" i="24" s="1"/>
  <c r="F933" i="24" s="1"/>
  <c r="F934" i="24" s="1"/>
  <c r="F935" i="24" s="1"/>
  <c r="F936" i="24" s="1"/>
  <c r="F937" i="24" s="1"/>
  <c r="F938" i="24" s="1"/>
  <c r="F939" i="24" s="1"/>
  <c r="F940" i="24" s="1"/>
  <c r="F941" i="24" s="1"/>
  <c r="F942" i="24" s="1"/>
  <c r="F943" i="24" s="1"/>
  <c r="F944" i="24" s="1"/>
  <c r="F945" i="24" s="1"/>
  <c r="F946" i="24" s="1"/>
  <c r="F947" i="24" s="1"/>
  <c r="F948" i="24" s="1"/>
  <c r="F949" i="24" s="1"/>
  <c r="F950" i="24" s="1"/>
  <c r="F951" i="24" s="1"/>
  <c r="F952" i="24" s="1"/>
  <c r="F953" i="24" s="1"/>
  <c r="F954" i="24" s="1"/>
  <c r="F955" i="24" s="1"/>
  <c r="F956" i="24" s="1"/>
  <c r="F957" i="24" s="1"/>
  <c r="F958" i="24" s="1"/>
  <c r="F959" i="24" s="1"/>
  <c r="F960" i="24" s="1"/>
  <c r="F961" i="24" s="1"/>
  <c r="F962" i="24" s="1"/>
  <c r="F963" i="24" s="1"/>
  <c r="F964" i="24" s="1"/>
  <c r="F965" i="24" s="1"/>
  <c r="F966" i="24" s="1"/>
  <c r="F967" i="24" s="1"/>
  <c r="F968" i="24" s="1"/>
  <c r="F969" i="24" s="1"/>
  <c r="F970" i="24" s="1"/>
  <c r="F971" i="24" s="1"/>
  <c r="F972" i="24" s="1"/>
  <c r="F973" i="24" s="1"/>
  <c r="F974" i="24" s="1"/>
  <c r="F975" i="24" s="1"/>
  <c r="F976" i="24" s="1"/>
  <c r="F977" i="24" s="1"/>
  <c r="F978" i="24" s="1"/>
  <c r="F979" i="24" s="1"/>
  <c r="F980" i="24" s="1"/>
  <c r="F981" i="24" s="1"/>
  <c r="F982" i="24" s="1"/>
  <c r="F983" i="24" s="1"/>
  <c r="F984" i="24" s="1"/>
  <c r="F985" i="24" s="1"/>
  <c r="F986" i="24" s="1"/>
  <c r="F987" i="24" s="1"/>
  <c r="F988" i="24" s="1"/>
  <c r="F989" i="24" s="1"/>
  <c r="F990" i="24" s="1"/>
  <c r="F991" i="24" s="1"/>
  <c r="F992" i="24" s="1"/>
  <c r="F993" i="24" s="1"/>
  <c r="F994" i="24" s="1"/>
  <c r="F995" i="24" s="1"/>
  <c r="F996" i="24" s="1"/>
  <c r="F997" i="24" s="1"/>
  <c r="F998" i="24" s="1"/>
  <c r="F999" i="24" s="1"/>
  <c r="F1000" i="24" s="1"/>
  <c r="F1001" i="24" s="1"/>
  <c r="F1002" i="24" s="1"/>
  <c r="F1003" i="24" s="1"/>
  <c r="F1004" i="24" s="1"/>
  <c r="F1005" i="24" s="1"/>
  <c r="F1006" i="24" s="1"/>
  <c r="F1007" i="24" s="1"/>
  <c r="F1008" i="24" s="1"/>
  <c r="F1009" i="24" s="1"/>
  <c r="F1010" i="24" s="1"/>
  <c r="F1011" i="24" s="1"/>
  <c r="F1012" i="24" s="1"/>
  <c r="F1013" i="24" s="1"/>
  <c r="F1014" i="24" s="1"/>
  <c r="F1015" i="24" s="1"/>
  <c r="F1016" i="24" s="1"/>
  <c r="F1017" i="24" s="1"/>
  <c r="F1018" i="24" s="1"/>
  <c r="F1019" i="24" s="1"/>
  <c r="F1020" i="24" s="1"/>
  <c r="F1021" i="24" s="1"/>
  <c r="F1022" i="24" s="1"/>
  <c r="F1023" i="24" s="1"/>
  <c r="F1024" i="24" s="1"/>
  <c r="F1025" i="24" s="1"/>
  <c r="F1026" i="24" s="1"/>
  <c r="F1027" i="24" s="1"/>
  <c r="F1028" i="24" s="1"/>
  <c r="F1029" i="24" s="1"/>
  <c r="F1030" i="24" s="1"/>
  <c r="F1031" i="24" s="1"/>
  <c r="F1032" i="24" s="1"/>
  <c r="F1033" i="24" s="1"/>
  <c r="F1034" i="24" s="1"/>
  <c r="F1035" i="24" s="1"/>
  <c r="F1036" i="24" s="1"/>
  <c r="F1037" i="24" s="1"/>
  <c r="F1038" i="24" s="1"/>
  <c r="F1039" i="24" s="1"/>
  <c r="F1040" i="24" s="1"/>
  <c r="F1041" i="24" s="1"/>
  <c r="F1042" i="24" s="1"/>
  <c r="F1043" i="24" s="1"/>
  <c r="F1044" i="24" s="1"/>
  <c r="F1045" i="24" s="1"/>
  <c r="F1046" i="24" s="1"/>
  <c r="F1047" i="24" s="1"/>
  <c r="F1048" i="24" s="1"/>
  <c r="F1049" i="24" s="1"/>
  <c r="F1050" i="24" s="1"/>
  <c r="F1051" i="24" s="1"/>
  <c r="F1052" i="24" s="1"/>
  <c r="F1053" i="24" s="1"/>
  <c r="F1054" i="24" s="1"/>
  <c r="F1055" i="24" s="1"/>
  <c r="F1056" i="24" s="1"/>
  <c r="F1057" i="24" s="1"/>
  <c r="F1058" i="24" s="1"/>
  <c r="F1059" i="24" s="1"/>
  <c r="F1060" i="24" s="1"/>
  <c r="F1061" i="24" s="1"/>
  <c r="F1062" i="24" s="1"/>
  <c r="F1063" i="24" s="1"/>
  <c r="F1064" i="24" s="1"/>
  <c r="F1065" i="24" s="1"/>
  <c r="F1066" i="24" s="1"/>
  <c r="F1067" i="24" s="1"/>
  <c r="F1068" i="24" s="1"/>
  <c r="F1069" i="24" s="1"/>
  <c r="F1070" i="24" s="1"/>
  <c r="F1071" i="24" s="1"/>
  <c r="F1072" i="24" s="1"/>
  <c r="F1073" i="24" s="1"/>
  <c r="F1074" i="24" s="1"/>
  <c r="F1075" i="24" s="1"/>
  <c r="F1076" i="24" s="1"/>
  <c r="F1077" i="24" s="1"/>
  <c r="F1078" i="24" s="1"/>
  <c r="F1079" i="24" s="1"/>
  <c r="F1080" i="24" s="1"/>
  <c r="F1081" i="24" s="1"/>
  <c r="F1082" i="24" s="1"/>
  <c r="F1083" i="24" s="1"/>
  <c r="D1473" i="20"/>
  <c r="D1472" i="20"/>
  <c r="F1084" i="24" l="1"/>
  <c r="F1085" i="24" s="1"/>
  <c r="F1086" i="24" s="1"/>
  <c r="F1087" i="24" s="1"/>
  <c r="F1088" i="24" s="1"/>
  <c r="F1089" i="24" s="1"/>
  <c r="F1090" i="24" s="1"/>
  <c r="F1091" i="24" s="1"/>
  <c r="F1092" i="24" s="1"/>
  <c r="F1093" i="24" s="1"/>
  <c r="F1094" i="24" s="1"/>
  <c r="F1095" i="24" s="1"/>
  <c r="F1096" i="24" s="1"/>
  <c r="F1097" i="24" s="1"/>
  <c r="F1098" i="24" s="1"/>
  <c r="F1099" i="24" s="1"/>
  <c r="F1100" i="24" s="1"/>
  <c r="F1101" i="24" s="1"/>
  <c r="F1102" i="24" s="1"/>
  <c r="F1103" i="24" s="1"/>
  <c r="F1104" i="24" s="1"/>
  <c r="F1105" i="24" s="1"/>
  <c r="F1106" i="24" s="1"/>
  <c r="F1107" i="24" s="1"/>
  <c r="F1108" i="24" s="1"/>
  <c r="F1109" i="24" s="1"/>
  <c r="F1110" i="24" s="1"/>
  <c r="F1111" i="24" s="1"/>
  <c r="F1112" i="24" s="1"/>
  <c r="F1113" i="24" s="1"/>
  <c r="F1114" i="24" s="1"/>
  <c r="F1115" i="24" s="1"/>
  <c r="F1116" i="24" s="1"/>
  <c r="F1117" i="24" s="1"/>
  <c r="F1118" i="24" s="1"/>
  <c r="F1119" i="24" s="1"/>
  <c r="F1120" i="24" s="1"/>
  <c r="F1121" i="24" s="1"/>
  <c r="F1122" i="24" s="1"/>
  <c r="F1123" i="24" s="1"/>
  <c r="F1124" i="24" s="1"/>
  <c r="F1125" i="24" s="1"/>
  <c r="F1126" i="24" s="1"/>
  <c r="F1127" i="24" s="1"/>
  <c r="F1128" i="24" s="1"/>
  <c r="F1129" i="24" s="1"/>
  <c r="F1130" i="24" s="1"/>
  <c r="F1131" i="24" s="1"/>
  <c r="F1132" i="24" s="1"/>
  <c r="F1133" i="24" s="1"/>
  <c r="F1134" i="24" s="1"/>
  <c r="F1135" i="24" s="1"/>
  <c r="F1136" i="24" s="1"/>
  <c r="F1137" i="24" s="1"/>
  <c r="F1138" i="24" s="1"/>
  <c r="F1139" i="24" s="1"/>
  <c r="F1140" i="24" s="1"/>
  <c r="F1141" i="24" s="1"/>
  <c r="F1142" i="24" s="1"/>
  <c r="F1143" i="24" s="1"/>
  <c r="F1144" i="24" s="1"/>
  <c r="F1145" i="24" s="1"/>
  <c r="F1146" i="24" s="1"/>
  <c r="F1147" i="24" s="1"/>
  <c r="F1148" i="24" s="1"/>
  <c r="F1149" i="24" s="1"/>
  <c r="F1150" i="24" s="1"/>
  <c r="F1151" i="24" s="1"/>
  <c r="F1152" i="24" s="1"/>
  <c r="F1153" i="24" s="1"/>
  <c r="F1154" i="24" s="1"/>
  <c r="F1155" i="24" s="1"/>
  <c r="F1156" i="24" s="1"/>
  <c r="F1157" i="24" s="1"/>
  <c r="F1158" i="24" s="1"/>
  <c r="F1159" i="24" s="1"/>
  <c r="F1160" i="24" s="1"/>
  <c r="F1161" i="24" s="1"/>
  <c r="F1162" i="24" s="1"/>
  <c r="F1163" i="24" s="1"/>
  <c r="F1164" i="24" s="1"/>
  <c r="F1165" i="24" s="1"/>
  <c r="F1166" i="24" s="1"/>
  <c r="F1167" i="24" s="1"/>
  <c r="F1168" i="24" s="1"/>
  <c r="F1169" i="24" s="1"/>
  <c r="F1170" i="24" s="1"/>
  <c r="F1171" i="24" s="1"/>
  <c r="F1172" i="24" s="1"/>
  <c r="F1173" i="24" s="1"/>
  <c r="F1174" i="24" s="1"/>
  <c r="F1175" i="24" s="1"/>
  <c r="F1176" i="24" s="1"/>
  <c r="F1177" i="24" s="1"/>
  <c r="F1178" i="24" s="1"/>
  <c r="F1179" i="24" s="1"/>
  <c r="F1180" i="24" s="1"/>
  <c r="F1181" i="24" s="1"/>
  <c r="F1182" i="24" s="1"/>
  <c r="F1183" i="24" s="1"/>
  <c r="F1184" i="24" s="1"/>
  <c r="F1185" i="24" s="1"/>
  <c r="F1186" i="24" s="1"/>
  <c r="F1187" i="24" s="1"/>
  <c r="F1188" i="24" s="1"/>
  <c r="F1189" i="24" s="1"/>
  <c r="F1190" i="24" s="1"/>
  <c r="F1191" i="24" s="1"/>
  <c r="F1192" i="24" s="1"/>
  <c r="F1193" i="24" s="1"/>
  <c r="F1194" i="24" s="1"/>
  <c r="F1195" i="24" s="1"/>
  <c r="F1196" i="24" s="1"/>
  <c r="F1197" i="24" s="1"/>
  <c r="F1198" i="24" s="1"/>
  <c r="F1199" i="24" s="1"/>
  <c r="F1200" i="24" s="1"/>
  <c r="F1201" i="24" s="1"/>
  <c r="F1202" i="24" s="1"/>
  <c r="F1203" i="24" s="1"/>
  <c r="F1204" i="24" s="1"/>
  <c r="F1208" i="24" s="1"/>
  <c r="F1209" i="24" s="1"/>
  <c r="F1210" i="24" s="1"/>
  <c r="F1211" i="24" s="1"/>
  <c r="F1212" i="24" s="1"/>
  <c r="F1213" i="24" s="1"/>
  <c r="F1214" i="24" s="1"/>
  <c r="F1215" i="24" s="1"/>
  <c r="F1216" i="24" s="1"/>
  <c r="F1217" i="24" s="1"/>
  <c r="F1218" i="24" s="1"/>
  <c r="F1219" i="24" s="1"/>
  <c r="F1220" i="24" s="1"/>
  <c r="F1221" i="24" s="1"/>
  <c r="F1222" i="24" s="1"/>
  <c r="F1223" i="24" s="1"/>
  <c r="F1224" i="24" s="1"/>
  <c r="F1225" i="24" s="1"/>
  <c r="F1226" i="24" s="1"/>
  <c r="F1227" i="24" s="1"/>
  <c r="F1228" i="24" s="1"/>
  <c r="F1229" i="24" s="1"/>
  <c r="F1230" i="24" s="1"/>
  <c r="F1231" i="24" s="1"/>
  <c r="F1232" i="24" s="1"/>
  <c r="F1233" i="24" s="1"/>
  <c r="F1234" i="24" s="1"/>
  <c r="F1235" i="24" s="1"/>
  <c r="F1236" i="24" s="1"/>
  <c r="F1237" i="24" s="1"/>
  <c r="F1238" i="24" s="1"/>
  <c r="F1239" i="24" s="1"/>
  <c r="F1240" i="24" s="1"/>
  <c r="F1241" i="24" s="1"/>
  <c r="F1242" i="24" s="1"/>
  <c r="F1243" i="24" s="1"/>
  <c r="F1244" i="24" s="1"/>
  <c r="F1245" i="24" s="1"/>
  <c r="F1246" i="24" s="1"/>
  <c r="F1247" i="24" s="1"/>
  <c r="F1248" i="24" s="1"/>
  <c r="F1249" i="24" s="1"/>
  <c r="F1250" i="24" s="1"/>
  <c r="F1251" i="24" s="1"/>
  <c r="F1252" i="24" s="1"/>
  <c r="F1253" i="24" s="1"/>
  <c r="F1254" i="24" s="1"/>
  <c r="F1255" i="24" s="1"/>
  <c r="F1256" i="24" s="1"/>
  <c r="F1257" i="24" s="1"/>
  <c r="F1258" i="24" s="1"/>
  <c r="F1259" i="24" s="1"/>
  <c r="F1260" i="24" s="1"/>
  <c r="F1261" i="24" s="1"/>
  <c r="F1262" i="24" s="1"/>
  <c r="F1263" i="24" s="1"/>
  <c r="D1229" i="20"/>
  <c r="D61" i="20"/>
  <c r="S47" i="9"/>
  <c r="R47" i="9"/>
  <c r="S42" i="9"/>
  <c r="R42" i="9"/>
  <c r="S37" i="9"/>
  <c r="R37" i="9"/>
  <c r="S32" i="9"/>
  <c r="R32" i="9"/>
  <c r="S18" i="9"/>
  <c r="R18" i="9"/>
  <c r="S13" i="9"/>
  <c r="R13" i="9"/>
  <c r="S8" i="9"/>
  <c r="R8" i="9"/>
  <c r="F1264" i="24" l="1"/>
  <c r="F1265" i="24" s="1"/>
  <c r="F1266" i="24" s="1"/>
  <c r="F1267" i="24" s="1"/>
  <c r="F1268" i="24" s="1"/>
  <c r="F1269" i="24" s="1"/>
  <c r="F1270" i="24" s="1"/>
  <c r="F1271" i="24" s="1"/>
  <c r="F1272" i="24" s="1"/>
  <c r="F1273" i="24" s="1"/>
  <c r="F1274" i="24" s="1"/>
  <c r="F1275" i="24" s="1"/>
  <c r="F1276" i="24" s="1"/>
  <c r="F1277" i="24" s="1"/>
  <c r="F1278" i="24" s="1"/>
  <c r="F1279" i="24" s="1"/>
  <c r="F1280" i="24" s="1"/>
  <c r="F1281" i="24" s="1"/>
  <c r="F1282" i="24" s="1"/>
  <c r="F1283" i="24" s="1"/>
  <c r="F1284" i="24" s="1"/>
  <c r="F1285" i="24" s="1"/>
  <c r="F1286" i="24" s="1"/>
  <c r="F1287" i="24" s="1"/>
  <c r="F1288" i="24" s="1"/>
  <c r="F1289" i="24" s="1"/>
  <c r="F1290" i="24" s="1"/>
  <c r="F1291" i="24" s="1"/>
  <c r="F1292" i="24" s="1"/>
  <c r="T48" i="9"/>
  <c r="T33" i="9"/>
  <c r="T38" i="9"/>
  <c r="T14" i="9"/>
  <c r="T43" i="9"/>
  <c r="T19" i="9"/>
  <c r="T9" i="9"/>
  <c r="D1295" i="20"/>
  <c r="F1293" i="24" l="1"/>
  <c r="F1294" i="24" s="1"/>
  <c r="F1295" i="24" s="1"/>
  <c r="F1296" i="24" s="1"/>
  <c r="F1297" i="24" s="1"/>
  <c r="F1298" i="24" s="1"/>
  <c r="F1299" i="24" s="1"/>
  <c r="F1300" i="24" s="1"/>
  <c r="F1301" i="24" s="1"/>
  <c r="F1302" i="24" s="1"/>
  <c r="F1303" i="24" s="1"/>
  <c r="F1304" i="24" s="1"/>
  <c r="F1305" i="24" s="1"/>
  <c r="F1306" i="24" s="1"/>
  <c r="F1307" i="24" s="1"/>
  <c r="F1308" i="24" s="1"/>
  <c r="F1309" i="24" s="1"/>
  <c r="F1310" i="24" s="1"/>
  <c r="F1311" i="24" s="1"/>
  <c r="F1312" i="24" s="1"/>
  <c r="F1313" i="24" s="1"/>
  <c r="F1314" i="24" s="1"/>
  <c r="F1315" i="24" s="1"/>
  <c r="F1316" i="24" s="1"/>
  <c r="F1317" i="24" s="1"/>
  <c r="F1318" i="24" s="1"/>
  <c r="F1319" i="24" s="1"/>
  <c r="F1320" i="24" s="1"/>
  <c r="F1321" i="24" s="1"/>
  <c r="F1322" i="24" s="1"/>
  <c r="T51" i="9"/>
  <c r="AN45" i="9"/>
  <c r="N48" i="9"/>
  <c r="K48" i="9"/>
  <c r="H48" i="9"/>
  <c r="O47" i="9"/>
  <c r="M47" i="9"/>
  <c r="L47" i="9"/>
  <c r="J47" i="9"/>
  <c r="I47" i="9"/>
  <c r="G47" i="9"/>
  <c r="F47" i="9"/>
  <c r="D47" i="9"/>
  <c r="C47" i="9"/>
  <c r="P8" i="9"/>
  <c r="O8" i="9"/>
  <c r="P18" i="9"/>
  <c r="O18" i="9"/>
  <c r="P42" i="9"/>
  <c r="O42" i="9"/>
  <c r="P32" i="9"/>
  <c r="O32" i="9"/>
  <c r="Q9" i="9" l="1"/>
  <c r="AN47" i="9"/>
  <c r="AO48" i="9" s="1"/>
  <c r="AO51" i="9" s="1"/>
  <c r="E48" i="9"/>
  <c r="P47" i="9"/>
  <c r="Q48" i="9" s="1"/>
  <c r="Q43" i="9"/>
  <c r="Q19" i="9"/>
  <c r="Q33" i="9"/>
  <c r="Q51" i="9" l="1"/>
  <c r="D787" i="20"/>
  <c r="D596" i="20"/>
  <c r="D469" i="20"/>
  <c r="B104" i="20"/>
  <c r="F9" i="20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F39" i="20" s="1"/>
  <c r="F40" i="20" s="1"/>
  <c r="F41" i="20" s="1"/>
  <c r="F42" i="20" s="1"/>
  <c r="F43" i="20" s="1"/>
  <c r="F44" i="20" s="1"/>
  <c r="F45" i="20" s="1"/>
  <c r="F46" i="20" s="1"/>
  <c r="F47" i="20" s="1"/>
  <c r="F48" i="20" s="1"/>
  <c r="F49" i="20" s="1"/>
  <c r="F50" i="20" l="1"/>
  <c r="N43" i="9"/>
  <c r="M42" i="9"/>
  <c r="L42" i="9"/>
  <c r="M32" i="9"/>
  <c r="L32" i="9"/>
  <c r="M18" i="9"/>
  <c r="L18" i="9"/>
  <c r="M8" i="9"/>
  <c r="L8" i="9"/>
  <c r="D792" i="19"/>
  <c r="F1044" i="19"/>
  <c r="F1045" i="19" s="1"/>
  <c r="F1046" i="19" s="1"/>
  <c r="F1047" i="19" s="1"/>
  <c r="F1048" i="19" s="1"/>
  <c r="F1049" i="19" s="1"/>
  <c r="F1050" i="19" s="1"/>
  <c r="F1051" i="19" s="1"/>
  <c r="F1052" i="19" s="1"/>
  <c r="F1053" i="19" s="1"/>
  <c r="F1054" i="19" s="1"/>
  <c r="F1055" i="19" s="1"/>
  <c r="F1056" i="19" s="1"/>
  <c r="F1057" i="19" s="1"/>
  <c r="F1058" i="19" s="1"/>
  <c r="F1059" i="19" s="1"/>
  <c r="F1060" i="19" s="1"/>
  <c r="F1061" i="19" s="1"/>
  <c r="F1062" i="19" s="1"/>
  <c r="F1063" i="19" s="1"/>
  <c r="F1064" i="19" s="1"/>
  <c r="F1065" i="19" s="1"/>
  <c r="F1066" i="19" s="1"/>
  <c r="F1067" i="19" s="1"/>
  <c r="F1068" i="19" s="1"/>
  <c r="F1069" i="19" s="1"/>
  <c r="F1070" i="19" s="1"/>
  <c r="F1071" i="19" s="1"/>
  <c r="F1072" i="19" s="1"/>
  <c r="F1073" i="19" s="1"/>
  <c r="F1074" i="19" s="1"/>
  <c r="F1075" i="19" s="1"/>
  <c r="F1076" i="19" s="1"/>
  <c r="F1077" i="19" s="1"/>
  <c r="F1078" i="19" s="1"/>
  <c r="F1079" i="19" s="1"/>
  <c r="F1080" i="19" s="1"/>
  <c r="F1081" i="19" s="1"/>
  <c r="F1082" i="19" s="1"/>
  <c r="F1083" i="19" s="1"/>
  <c r="F1084" i="19" s="1"/>
  <c r="F1085" i="19" s="1"/>
  <c r="F1086" i="19" s="1"/>
  <c r="F1087" i="19" s="1"/>
  <c r="F1088" i="19" s="1"/>
  <c r="F1089" i="19" s="1"/>
  <c r="F1090" i="19" s="1"/>
  <c r="F1091" i="19" s="1"/>
  <c r="F1092" i="19" s="1"/>
  <c r="F1093" i="19" s="1"/>
  <c r="F1094" i="19" s="1"/>
  <c r="F1095" i="19" s="1"/>
  <c r="F1096" i="19" s="1"/>
  <c r="F1097" i="19" s="1"/>
  <c r="F1098" i="19" s="1"/>
  <c r="F1099" i="19" s="1"/>
  <c r="F1100" i="19" s="1"/>
  <c r="F1101" i="19" s="1"/>
  <c r="F1102" i="19" s="1"/>
  <c r="F1103" i="19" s="1"/>
  <c r="F1104" i="19" s="1"/>
  <c r="F1105" i="19" s="1"/>
  <c r="F1106" i="19" s="1"/>
  <c r="F1107" i="19" s="1"/>
  <c r="F1108" i="19" s="1"/>
  <c r="F1109" i="19" s="1"/>
  <c r="F1110" i="19" s="1"/>
  <c r="F1111" i="19" s="1"/>
  <c r="F1112" i="19" s="1"/>
  <c r="F1113" i="19" s="1"/>
  <c r="F1114" i="19" s="1"/>
  <c r="F1115" i="19" s="1"/>
  <c r="F1116" i="19" s="1"/>
  <c r="F1117" i="19" s="1"/>
  <c r="F1118" i="19" s="1"/>
  <c r="F1119" i="19" s="1"/>
  <c r="F1120" i="19" s="1"/>
  <c r="F1121" i="19" s="1"/>
  <c r="F1122" i="19" s="1"/>
  <c r="F1123" i="19" s="1"/>
  <c r="F1124" i="19" s="1"/>
  <c r="F1125" i="19" s="1"/>
  <c r="D601" i="19"/>
  <c r="D474" i="19"/>
  <c r="B106" i="19"/>
  <c r="F9" i="19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F47" i="19" s="1"/>
  <c r="F48" i="19" s="1"/>
  <c r="F49" i="19" s="1"/>
  <c r="F50" i="19" s="1"/>
  <c r="F51" i="19" s="1"/>
  <c r="F52" i="19" s="1"/>
  <c r="F53" i="19" s="1"/>
  <c r="F54" i="19" s="1"/>
  <c r="F55" i="19" s="1"/>
  <c r="F56" i="19" s="1"/>
  <c r="F57" i="19" s="1"/>
  <c r="F58" i="19" s="1"/>
  <c r="F59" i="19" s="1"/>
  <c r="F60" i="19" s="1"/>
  <c r="F61" i="19" s="1"/>
  <c r="F62" i="19" s="1"/>
  <c r="F63" i="19" s="1"/>
  <c r="F64" i="19" s="1"/>
  <c r="F65" i="19" s="1"/>
  <c r="F66" i="19" s="1"/>
  <c r="F67" i="19" s="1"/>
  <c r="F68" i="19" s="1"/>
  <c r="F69" i="19" s="1"/>
  <c r="F70" i="19" s="1"/>
  <c r="F71" i="19" s="1"/>
  <c r="F72" i="19" s="1"/>
  <c r="F73" i="19" s="1"/>
  <c r="F74" i="19" s="1"/>
  <c r="F75" i="19" s="1"/>
  <c r="F76" i="19" s="1"/>
  <c r="F77" i="19" s="1"/>
  <c r="F78" i="19" s="1"/>
  <c r="F79" i="19" s="1"/>
  <c r="F80" i="19" s="1"/>
  <c r="F81" i="19" s="1"/>
  <c r="F82" i="19" s="1"/>
  <c r="F83" i="19" s="1"/>
  <c r="F84" i="19" s="1"/>
  <c r="F85" i="19" s="1"/>
  <c r="F86" i="19" s="1"/>
  <c r="F87" i="19" s="1"/>
  <c r="F88" i="19" s="1"/>
  <c r="F89" i="19" s="1"/>
  <c r="F90" i="19" s="1"/>
  <c r="F91" i="19" s="1"/>
  <c r="F92" i="19" s="1"/>
  <c r="F93" i="19" s="1"/>
  <c r="F94" i="19" s="1"/>
  <c r="F95" i="19" s="1"/>
  <c r="F96" i="19" s="1"/>
  <c r="F97" i="19" s="1"/>
  <c r="F98" i="19" s="1"/>
  <c r="F99" i="19" s="1"/>
  <c r="F100" i="19" s="1"/>
  <c r="F101" i="19" s="1"/>
  <c r="F102" i="19" s="1"/>
  <c r="F103" i="19" s="1"/>
  <c r="F104" i="19" s="1"/>
  <c r="F105" i="19" s="1"/>
  <c r="F51" i="20" l="1"/>
  <c r="F52" i="20" s="1"/>
  <c r="F53" i="20" s="1"/>
  <c r="F54" i="20" s="1"/>
  <c r="F55" i="20" s="1"/>
  <c r="F56" i="20" s="1"/>
  <c r="F57" i="20" s="1"/>
  <c r="F58" i="20" s="1"/>
  <c r="F59" i="20" s="1"/>
  <c r="F60" i="20" s="1"/>
  <c r="F61" i="20" s="1"/>
  <c r="N9" i="9"/>
  <c r="N33" i="9"/>
  <c r="N19" i="9"/>
  <c r="F106" i="19"/>
  <c r="F107" i="19" s="1"/>
  <c r="F108" i="19" s="1"/>
  <c r="F109" i="19" s="1"/>
  <c r="F110" i="19" s="1"/>
  <c r="F111" i="19" s="1"/>
  <c r="F112" i="19" s="1"/>
  <c r="F113" i="19" s="1"/>
  <c r="F114" i="19" s="1"/>
  <c r="F115" i="19" s="1"/>
  <c r="F116" i="19" s="1"/>
  <c r="F117" i="19" s="1"/>
  <c r="F118" i="19" s="1"/>
  <c r="F119" i="19" s="1"/>
  <c r="F120" i="19" s="1"/>
  <c r="F121" i="19" s="1"/>
  <c r="F122" i="19" s="1"/>
  <c r="F123" i="19" s="1"/>
  <c r="F124" i="19" s="1"/>
  <c r="F125" i="19" s="1"/>
  <c r="F126" i="19" s="1"/>
  <c r="F127" i="19" s="1"/>
  <c r="F128" i="19" s="1"/>
  <c r="F129" i="19" s="1"/>
  <c r="F130" i="19" s="1"/>
  <c r="F131" i="19" s="1"/>
  <c r="F132" i="19" s="1"/>
  <c r="F133" i="19" s="1"/>
  <c r="F134" i="19" s="1"/>
  <c r="F135" i="19" s="1"/>
  <c r="F136" i="19" s="1"/>
  <c r="F137" i="19" s="1"/>
  <c r="F138" i="19" s="1"/>
  <c r="F139" i="19" s="1"/>
  <c r="F140" i="19" s="1"/>
  <c r="F141" i="19" s="1"/>
  <c r="F142" i="19" s="1"/>
  <c r="F143" i="19" s="1"/>
  <c r="F144" i="19" s="1"/>
  <c r="F145" i="19" s="1"/>
  <c r="F146" i="19" s="1"/>
  <c r="F147" i="19" s="1"/>
  <c r="F148" i="19" s="1"/>
  <c r="F149" i="19" s="1"/>
  <c r="F150" i="19" s="1"/>
  <c r="F151" i="19" s="1"/>
  <c r="F152" i="19" s="1"/>
  <c r="F153" i="19" s="1"/>
  <c r="F154" i="19" s="1"/>
  <c r="F155" i="19" s="1"/>
  <c r="F156" i="19" s="1"/>
  <c r="F157" i="19" s="1"/>
  <c r="F158" i="19" s="1"/>
  <c r="F159" i="19" s="1"/>
  <c r="F160" i="19" s="1"/>
  <c r="F161" i="19" s="1"/>
  <c r="F162" i="19" s="1"/>
  <c r="F163" i="19" s="1"/>
  <c r="F164" i="19" s="1"/>
  <c r="F165" i="19" s="1"/>
  <c r="F166" i="19" s="1"/>
  <c r="F167" i="19" s="1"/>
  <c r="F168" i="19" s="1"/>
  <c r="F169" i="19" s="1"/>
  <c r="F170" i="19" s="1"/>
  <c r="F171" i="19" s="1"/>
  <c r="F172" i="19" s="1"/>
  <c r="F173" i="19" s="1"/>
  <c r="F174" i="19" s="1"/>
  <c r="F175" i="19" s="1"/>
  <c r="F176" i="19" s="1"/>
  <c r="F177" i="19" s="1"/>
  <c r="F178" i="19" s="1"/>
  <c r="F179" i="19" s="1"/>
  <c r="F180" i="19" s="1"/>
  <c r="F181" i="19" s="1"/>
  <c r="F182" i="19" s="1"/>
  <c r="F183" i="19" s="1"/>
  <c r="F184" i="19" s="1"/>
  <c r="F185" i="19" s="1"/>
  <c r="F186" i="19" s="1"/>
  <c r="F187" i="19" s="1"/>
  <c r="F188" i="19" s="1"/>
  <c r="F189" i="19" s="1"/>
  <c r="F190" i="19" s="1"/>
  <c r="F191" i="19" s="1"/>
  <c r="F192" i="19" s="1"/>
  <c r="F193" i="19" s="1"/>
  <c r="F194" i="19" s="1"/>
  <c r="F195" i="19" s="1"/>
  <c r="F196" i="19" s="1"/>
  <c r="F197" i="19" s="1"/>
  <c r="F198" i="19" s="1"/>
  <c r="F199" i="19" s="1"/>
  <c r="F200" i="19" s="1"/>
  <c r="F201" i="19" s="1"/>
  <c r="F202" i="19" s="1"/>
  <c r="F203" i="19" s="1"/>
  <c r="F204" i="19" s="1"/>
  <c r="F205" i="19" s="1"/>
  <c r="F206" i="19" s="1"/>
  <c r="F207" i="19" s="1"/>
  <c r="F208" i="19" s="1"/>
  <c r="F209" i="19" s="1"/>
  <c r="F210" i="19" s="1"/>
  <c r="F211" i="19" s="1"/>
  <c r="F212" i="19" s="1"/>
  <c r="F213" i="19" s="1"/>
  <c r="F214" i="19" s="1"/>
  <c r="F215" i="19" s="1"/>
  <c r="F216" i="19" s="1"/>
  <c r="F217" i="19" s="1"/>
  <c r="F218" i="19" s="1"/>
  <c r="F219" i="19" s="1"/>
  <c r="F220" i="19" s="1"/>
  <c r="F221" i="19" s="1"/>
  <c r="F222" i="19" s="1"/>
  <c r="F223" i="19" s="1"/>
  <c r="F224" i="19" s="1"/>
  <c r="F225" i="19" s="1"/>
  <c r="F226" i="19" s="1"/>
  <c r="F227" i="19" s="1"/>
  <c r="F228" i="19" s="1"/>
  <c r="F229" i="19" s="1"/>
  <c r="F230" i="19" s="1"/>
  <c r="F231" i="19" s="1"/>
  <c r="F232" i="19" s="1"/>
  <c r="F233" i="19" s="1"/>
  <c r="F234" i="19" s="1"/>
  <c r="F235" i="19" s="1"/>
  <c r="F236" i="19" s="1"/>
  <c r="F237" i="19" s="1"/>
  <c r="F238" i="19" s="1"/>
  <c r="F239" i="19" s="1"/>
  <c r="F240" i="19" s="1"/>
  <c r="F241" i="19" s="1"/>
  <c r="F242" i="19" s="1"/>
  <c r="F243" i="19" s="1"/>
  <c r="F244" i="19" s="1"/>
  <c r="F245" i="19" s="1"/>
  <c r="F246" i="19" s="1"/>
  <c r="F247" i="19" s="1"/>
  <c r="F248" i="19" s="1"/>
  <c r="F249" i="19" s="1"/>
  <c r="F250" i="19" s="1"/>
  <c r="F251" i="19" s="1"/>
  <c r="F252" i="19" s="1"/>
  <c r="F253" i="19" s="1"/>
  <c r="F254" i="19" s="1"/>
  <c r="F255" i="19" s="1"/>
  <c r="F256" i="19" s="1"/>
  <c r="F257" i="19" s="1"/>
  <c r="F258" i="19" s="1"/>
  <c r="F259" i="19" s="1"/>
  <c r="F260" i="19" s="1"/>
  <c r="F261" i="19" s="1"/>
  <c r="F262" i="19" s="1"/>
  <c r="F263" i="19" s="1"/>
  <c r="F264" i="19" s="1"/>
  <c r="F265" i="19" s="1"/>
  <c r="F266" i="19" s="1"/>
  <c r="F267" i="19" s="1"/>
  <c r="F268" i="19" s="1"/>
  <c r="F269" i="19" s="1"/>
  <c r="F270" i="19" s="1"/>
  <c r="F271" i="19" s="1"/>
  <c r="F272" i="19" s="1"/>
  <c r="F273" i="19" s="1"/>
  <c r="F274" i="19" s="1"/>
  <c r="F275" i="19" s="1"/>
  <c r="F276" i="19" s="1"/>
  <c r="F277" i="19" s="1"/>
  <c r="F278" i="19" s="1"/>
  <c r="F279" i="19" s="1"/>
  <c r="F280" i="19" s="1"/>
  <c r="F281" i="19" s="1"/>
  <c r="F282" i="19" s="1"/>
  <c r="F283" i="19" s="1"/>
  <c r="F284" i="19" s="1"/>
  <c r="F285" i="19" s="1"/>
  <c r="F286" i="19" s="1"/>
  <c r="F287" i="19" s="1"/>
  <c r="F288" i="19" s="1"/>
  <c r="F289" i="19" s="1"/>
  <c r="F290" i="19" s="1"/>
  <c r="F291" i="19" s="1"/>
  <c r="F292" i="19" s="1"/>
  <c r="F293" i="19" s="1"/>
  <c r="F294" i="19" s="1"/>
  <c r="F295" i="19" s="1"/>
  <c r="F296" i="19" s="1"/>
  <c r="F297" i="19" s="1"/>
  <c r="F298" i="19" s="1"/>
  <c r="F299" i="19" s="1"/>
  <c r="F300" i="19" s="1"/>
  <c r="F301" i="19" s="1"/>
  <c r="F302" i="19" s="1"/>
  <c r="F303" i="19" s="1"/>
  <c r="F304" i="19" s="1"/>
  <c r="F305" i="19" s="1"/>
  <c r="F306" i="19" s="1"/>
  <c r="F307" i="19" s="1"/>
  <c r="F308" i="19" s="1"/>
  <c r="F309" i="19" s="1"/>
  <c r="F310" i="19" s="1"/>
  <c r="F311" i="19" s="1"/>
  <c r="F312" i="19" s="1"/>
  <c r="F313" i="19" s="1"/>
  <c r="F314" i="19" s="1"/>
  <c r="F315" i="19" s="1"/>
  <c r="F316" i="19" s="1"/>
  <c r="F317" i="19" s="1"/>
  <c r="F318" i="19" s="1"/>
  <c r="F319" i="19" s="1"/>
  <c r="F320" i="19" s="1"/>
  <c r="F321" i="19" s="1"/>
  <c r="F322" i="19" s="1"/>
  <c r="F323" i="19" s="1"/>
  <c r="F324" i="19" s="1"/>
  <c r="F325" i="19" s="1"/>
  <c r="F326" i="19" s="1"/>
  <c r="F327" i="19" s="1"/>
  <c r="F328" i="19" s="1"/>
  <c r="F329" i="19" s="1"/>
  <c r="F330" i="19" s="1"/>
  <c r="F331" i="19" s="1"/>
  <c r="F332" i="19" s="1"/>
  <c r="F333" i="19" s="1"/>
  <c r="F334" i="19" s="1"/>
  <c r="F335" i="19" s="1"/>
  <c r="F336" i="19" s="1"/>
  <c r="F337" i="19" s="1"/>
  <c r="F338" i="19" s="1"/>
  <c r="F339" i="19" s="1"/>
  <c r="F340" i="19" s="1"/>
  <c r="F341" i="19" s="1"/>
  <c r="F342" i="19" s="1"/>
  <c r="F343" i="19" s="1"/>
  <c r="F344" i="19" s="1"/>
  <c r="F345" i="19" s="1"/>
  <c r="F346" i="19" s="1"/>
  <c r="F347" i="19" s="1"/>
  <c r="F348" i="19" s="1"/>
  <c r="F349" i="19" s="1"/>
  <c r="F350" i="19" s="1"/>
  <c r="F351" i="19" s="1"/>
  <c r="F352" i="19" s="1"/>
  <c r="F353" i="19" s="1"/>
  <c r="F354" i="19" s="1"/>
  <c r="F355" i="19" s="1"/>
  <c r="F356" i="19" s="1"/>
  <c r="F357" i="19" s="1"/>
  <c r="F358" i="19" s="1"/>
  <c r="F359" i="19" s="1"/>
  <c r="F360" i="19" s="1"/>
  <c r="F361" i="19" s="1"/>
  <c r="F362" i="19" s="1"/>
  <c r="F363" i="19" s="1"/>
  <c r="F364" i="19" s="1"/>
  <c r="F365" i="19" s="1"/>
  <c r="F366" i="19" s="1"/>
  <c r="F367" i="19" s="1"/>
  <c r="F368" i="19" s="1"/>
  <c r="F369" i="19" s="1"/>
  <c r="F370" i="19" s="1"/>
  <c r="F371" i="19" s="1"/>
  <c r="F372" i="19" s="1"/>
  <c r="F373" i="19" s="1"/>
  <c r="F374" i="19" s="1"/>
  <c r="F375" i="19" s="1"/>
  <c r="F376" i="19" s="1"/>
  <c r="F377" i="19" s="1"/>
  <c r="F378" i="19" s="1"/>
  <c r="F379" i="19" s="1"/>
  <c r="F380" i="19" s="1"/>
  <c r="F381" i="19" s="1"/>
  <c r="F382" i="19" s="1"/>
  <c r="F383" i="19" s="1"/>
  <c r="F384" i="19" s="1"/>
  <c r="F385" i="19" s="1"/>
  <c r="F386" i="19" s="1"/>
  <c r="F387" i="19" s="1"/>
  <c r="F388" i="19" s="1"/>
  <c r="F389" i="19" s="1"/>
  <c r="F390" i="19" s="1"/>
  <c r="F391" i="19" s="1"/>
  <c r="F392" i="19" s="1"/>
  <c r="F393" i="19" s="1"/>
  <c r="F394" i="19" s="1"/>
  <c r="F395" i="19" s="1"/>
  <c r="F396" i="19" s="1"/>
  <c r="F397" i="19" s="1"/>
  <c r="F398" i="19" s="1"/>
  <c r="F399" i="19" s="1"/>
  <c r="F400" i="19" s="1"/>
  <c r="F401" i="19" s="1"/>
  <c r="F402" i="19" s="1"/>
  <c r="F403" i="19" s="1"/>
  <c r="F404" i="19" s="1"/>
  <c r="F405" i="19" s="1"/>
  <c r="F406" i="19" s="1"/>
  <c r="F407" i="19" s="1"/>
  <c r="F408" i="19" s="1"/>
  <c r="F409" i="19" s="1"/>
  <c r="F410" i="19" s="1"/>
  <c r="F411" i="19" s="1"/>
  <c r="F412" i="19" s="1"/>
  <c r="F413" i="19" s="1"/>
  <c r="F414" i="19" s="1"/>
  <c r="F415" i="19" s="1"/>
  <c r="F416" i="19" s="1"/>
  <c r="F417" i="19" s="1"/>
  <c r="F418" i="19" s="1"/>
  <c r="F419" i="19" s="1"/>
  <c r="F420" i="19" s="1"/>
  <c r="F421" i="19" s="1"/>
  <c r="F422" i="19" s="1"/>
  <c r="F423" i="19" s="1"/>
  <c r="F424" i="19" s="1"/>
  <c r="F425" i="19" s="1"/>
  <c r="F426" i="19" s="1"/>
  <c r="F427" i="19" s="1"/>
  <c r="F428" i="19" s="1"/>
  <c r="F429" i="19" s="1"/>
  <c r="F430" i="19" s="1"/>
  <c r="F431" i="19" s="1"/>
  <c r="F432" i="19" s="1"/>
  <c r="F433" i="19" s="1"/>
  <c r="F434" i="19" s="1"/>
  <c r="F435" i="19" s="1"/>
  <c r="F436" i="19" s="1"/>
  <c r="F437" i="19" s="1"/>
  <c r="F438" i="19" s="1"/>
  <c r="F439" i="19" s="1"/>
  <c r="F440" i="19" s="1"/>
  <c r="F441" i="19" s="1"/>
  <c r="F442" i="19" s="1"/>
  <c r="F443" i="19" s="1"/>
  <c r="F444" i="19" s="1"/>
  <c r="F445" i="19" s="1"/>
  <c r="F446" i="19" s="1"/>
  <c r="F447" i="19" s="1"/>
  <c r="F448" i="19" s="1"/>
  <c r="F449" i="19" s="1"/>
  <c r="F450" i="19" s="1"/>
  <c r="F451" i="19" s="1"/>
  <c r="F452" i="19" s="1"/>
  <c r="F453" i="19" s="1"/>
  <c r="F454" i="19" s="1"/>
  <c r="F455" i="19" s="1"/>
  <c r="F456" i="19" s="1"/>
  <c r="F457" i="19" s="1"/>
  <c r="F458" i="19" s="1"/>
  <c r="F459" i="19" s="1"/>
  <c r="F460" i="19" s="1"/>
  <c r="F461" i="19" s="1"/>
  <c r="F462" i="19" s="1"/>
  <c r="F463" i="19" s="1"/>
  <c r="F464" i="19" s="1"/>
  <c r="F465" i="19" s="1"/>
  <c r="F466" i="19" s="1"/>
  <c r="F467" i="19" s="1"/>
  <c r="F468" i="19" s="1"/>
  <c r="F469" i="19" s="1"/>
  <c r="F470" i="19" s="1"/>
  <c r="F471" i="19" s="1"/>
  <c r="F472" i="19" s="1"/>
  <c r="F473" i="19" s="1"/>
  <c r="F474" i="19" s="1"/>
  <c r="F475" i="19" s="1"/>
  <c r="F476" i="19" s="1"/>
  <c r="F477" i="19" s="1"/>
  <c r="F478" i="19" s="1"/>
  <c r="F479" i="19" s="1"/>
  <c r="F480" i="19" s="1"/>
  <c r="F481" i="19" s="1"/>
  <c r="F482" i="19" s="1"/>
  <c r="F483" i="19" s="1"/>
  <c r="F484" i="19" s="1"/>
  <c r="F485" i="19" s="1"/>
  <c r="F486" i="19" s="1"/>
  <c r="F487" i="19" s="1"/>
  <c r="F488" i="19" s="1"/>
  <c r="F489" i="19" s="1"/>
  <c r="F490" i="19" s="1"/>
  <c r="F491" i="19" s="1"/>
  <c r="F492" i="19" s="1"/>
  <c r="F493" i="19" s="1"/>
  <c r="F494" i="19" s="1"/>
  <c r="F495" i="19" s="1"/>
  <c r="F496" i="19" s="1"/>
  <c r="F497" i="19" s="1"/>
  <c r="F498" i="19" s="1"/>
  <c r="F499" i="19" s="1"/>
  <c r="F500" i="19" s="1"/>
  <c r="F501" i="19" s="1"/>
  <c r="F502" i="19" s="1"/>
  <c r="F503" i="19" s="1"/>
  <c r="F504" i="19" s="1"/>
  <c r="F505" i="19" s="1"/>
  <c r="F506" i="19" s="1"/>
  <c r="F507" i="19" s="1"/>
  <c r="F508" i="19" s="1"/>
  <c r="F509" i="19" s="1"/>
  <c r="F510" i="19" s="1"/>
  <c r="F511" i="19" s="1"/>
  <c r="F512" i="19" s="1"/>
  <c r="F513" i="19" s="1"/>
  <c r="F514" i="19" s="1"/>
  <c r="F515" i="19" s="1"/>
  <c r="F516" i="19" s="1"/>
  <c r="F517" i="19" s="1"/>
  <c r="F518" i="19" s="1"/>
  <c r="F519" i="19" s="1"/>
  <c r="F520" i="19" s="1"/>
  <c r="F521" i="19" s="1"/>
  <c r="F522" i="19" s="1"/>
  <c r="F523" i="19" s="1"/>
  <c r="F524" i="19" s="1"/>
  <c r="F525" i="19" s="1"/>
  <c r="F526" i="19" s="1"/>
  <c r="F527" i="19" s="1"/>
  <c r="F528" i="19" s="1"/>
  <c r="F529" i="19" s="1"/>
  <c r="F530" i="19" s="1"/>
  <c r="F531" i="19" s="1"/>
  <c r="F532" i="19" s="1"/>
  <c r="F533" i="19" s="1"/>
  <c r="F534" i="19" s="1"/>
  <c r="F535" i="19" s="1"/>
  <c r="F536" i="19" s="1"/>
  <c r="F537" i="19" s="1"/>
  <c r="F538" i="19" s="1"/>
  <c r="F539" i="19" s="1"/>
  <c r="F540" i="19" s="1"/>
  <c r="F541" i="19" s="1"/>
  <c r="F542" i="19" s="1"/>
  <c r="F543" i="19" s="1"/>
  <c r="F544" i="19" s="1"/>
  <c r="F545" i="19" s="1"/>
  <c r="F546" i="19" s="1"/>
  <c r="F547" i="19" s="1"/>
  <c r="F548" i="19" s="1"/>
  <c r="F549" i="19" s="1"/>
  <c r="F550" i="19" s="1"/>
  <c r="F551" i="19" s="1"/>
  <c r="F552" i="19" s="1"/>
  <c r="F553" i="19" s="1"/>
  <c r="F554" i="19" s="1"/>
  <c r="F555" i="19" s="1"/>
  <c r="F556" i="19" s="1"/>
  <c r="F557" i="19" s="1"/>
  <c r="F558" i="19" s="1"/>
  <c r="F559" i="19" s="1"/>
  <c r="F560" i="19" s="1"/>
  <c r="F561" i="19" s="1"/>
  <c r="F562" i="19" s="1"/>
  <c r="F563" i="19" s="1"/>
  <c r="F564" i="19" s="1"/>
  <c r="F565" i="19" s="1"/>
  <c r="F566" i="19" s="1"/>
  <c r="F567" i="19" s="1"/>
  <c r="F568" i="19" s="1"/>
  <c r="F569" i="19" s="1"/>
  <c r="F570" i="19" s="1"/>
  <c r="F571" i="19" s="1"/>
  <c r="F572" i="19" s="1"/>
  <c r="F573" i="19" s="1"/>
  <c r="F574" i="19" s="1"/>
  <c r="F575" i="19" s="1"/>
  <c r="F576" i="19" s="1"/>
  <c r="F577" i="19" s="1"/>
  <c r="F578" i="19" s="1"/>
  <c r="F579" i="19" s="1"/>
  <c r="F580" i="19" s="1"/>
  <c r="F581" i="19" s="1"/>
  <c r="F582" i="19" s="1"/>
  <c r="F583" i="19" s="1"/>
  <c r="F584" i="19" s="1"/>
  <c r="F585" i="19" s="1"/>
  <c r="F586" i="19" s="1"/>
  <c r="F587" i="19" s="1"/>
  <c r="F588" i="19" s="1"/>
  <c r="F589" i="19" s="1"/>
  <c r="F590" i="19" s="1"/>
  <c r="F591" i="19" s="1"/>
  <c r="F592" i="19" s="1"/>
  <c r="F593" i="19" s="1"/>
  <c r="F594" i="19" s="1"/>
  <c r="F595" i="19" s="1"/>
  <c r="F596" i="19" s="1"/>
  <c r="F597" i="19" s="1"/>
  <c r="F598" i="19" s="1"/>
  <c r="F599" i="19" s="1"/>
  <c r="F600" i="19" s="1"/>
  <c r="F601" i="19" s="1"/>
  <c r="F602" i="19" s="1"/>
  <c r="F603" i="19" s="1"/>
  <c r="F604" i="19" s="1"/>
  <c r="F605" i="19" s="1"/>
  <c r="F606" i="19" s="1"/>
  <c r="F607" i="19" s="1"/>
  <c r="F608" i="19" s="1"/>
  <c r="F609" i="19" s="1"/>
  <c r="F610" i="19" s="1"/>
  <c r="F611" i="19" s="1"/>
  <c r="F612" i="19" s="1"/>
  <c r="F613" i="19" s="1"/>
  <c r="F614" i="19" s="1"/>
  <c r="F615" i="19" s="1"/>
  <c r="F616" i="19" s="1"/>
  <c r="F617" i="19" s="1"/>
  <c r="F618" i="19" s="1"/>
  <c r="F619" i="19" s="1"/>
  <c r="F620" i="19" s="1"/>
  <c r="F621" i="19" s="1"/>
  <c r="F622" i="19" s="1"/>
  <c r="F623" i="19" s="1"/>
  <c r="F624" i="19" s="1"/>
  <c r="F625" i="19" s="1"/>
  <c r="F626" i="19" s="1"/>
  <c r="F627" i="19" s="1"/>
  <c r="F628" i="19" s="1"/>
  <c r="F629" i="19" s="1"/>
  <c r="F630" i="19" s="1"/>
  <c r="F631" i="19" s="1"/>
  <c r="F632" i="19" s="1"/>
  <c r="F633" i="19" s="1"/>
  <c r="F634" i="19" s="1"/>
  <c r="F635" i="19" s="1"/>
  <c r="F636" i="19" s="1"/>
  <c r="F637" i="19" s="1"/>
  <c r="F638" i="19" s="1"/>
  <c r="F639" i="19" s="1"/>
  <c r="F640" i="19" s="1"/>
  <c r="F641" i="19" s="1"/>
  <c r="F642" i="19" s="1"/>
  <c r="F643" i="19" s="1"/>
  <c r="F644" i="19" s="1"/>
  <c r="F645" i="19" s="1"/>
  <c r="F646" i="19" s="1"/>
  <c r="F647" i="19" s="1"/>
  <c r="F648" i="19" s="1"/>
  <c r="F649" i="19" s="1"/>
  <c r="F650" i="19" s="1"/>
  <c r="F651" i="19" s="1"/>
  <c r="F652" i="19" s="1"/>
  <c r="F653" i="19" s="1"/>
  <c r="F654" i="19" s="1"/>
  <c r="F655" i="19" s="1"/>
  <c r="F656" i="19" s="1"/>
  <c r="F657" i="19" s="1"/>
  <c r="F658" i="19" s="1"/>
  <c r="F659" i="19" s="1"/>
  <c r="F660" i="19" s="1"/>
  <c r="F661" i="19" s="1"/>
  <c r="F662" i="19" s="1"/>
  <c r="F663" i="19" s="1"/>
  <c r="F664" i="19" s="1"/>
  <c r="F665" i="19" s="1"/>
  <c r="F666" i="19" s="1"/>
  <c r="F667" i="19" s="1"/>
  <c r="F668" i="19" s="1"/>
  <c r="F669" i="19" s="1"/>
  <c r="F670" i="19" s="1"/>
  <c r="F671" i="19" s="1"/>
  <c r="F672" i="19" s="1"/>
  <c r="F673" i="19" s="1"/>
  <c r="F674" i="19" s="1"/>
  <c r="F675" i="19" s="1"/>
  <c r="F676" i="19" s="1"/>
  <c r="F677" i="19" s="1"/>
  <c r="F678" i="19" s="1"/>
  <c r="F679" i="19" s="1"/>
  <c r="F680" i="19" s="1"/>
  <c r="F681" i="19" s="1"/>
  <c r="F682" i="19" s="1"/>
  <c r="F683" i="19" s="1"/>
  <c r="F684" i="19" s="1"/>
  <c r="F685" i="19" s="1"/>
  <c r="F686" i="19" s="1"/>
  <c r="F687" i="19" s="1"/>
  <c r="F688" i="19" s="1"/>
  <c r="F689" i="19" s="1"/>
  <c r="F690" i="19" s="1"/>
  <c r="F691" i="19" s="1"/>
  <c r="F692" i="19" s="1"/>
  <c r="F693" i="19" s="1"/>
  <c r="F694" i="19" s="1"/>
  <c r="F695" i="19" s="1"/>
  <c r="F696" i="19" s="1"/>
  <c r="F697" i="19" s="1"/>
  <c r="F698" i="19" s="1"/>
  <c r="F699" i="19" s="1"/>
  <c r="F700" i="19" s="1"/>
  <c r="F701" i="19" s="1"/>
  <c r="F702" i="19" s="1"/>
  <c r="F703" i="19" s="1"/>
  <c r="F704" i="19" s="1"/>
  <c r="F705" i="19" s="1"/>
  <c r="F706" i="19" s="1"/>
  <c r="F707" i="19" s="1"/>
  <c r="F708" i="19" s="1"/>
  <c r="F709" i="19" s="1"/>
  <c r="F710" i="19" s="1"/>
  <c r="F711" i="19" s="1"/>
  <c r="F712" i="19" s="1"/>
  <c r="F713" i="19" s="1"/>
  <c r="F714" i="19" s="1"/>
  <c r="F715" i="19" s="1"/>
  <c r="F716" i="19" s="1"/>
  <c r="F717" i="19" s="1"/>
  <c r="F718" i="19" s="1"/>
  <c r="F719" i="19" s="1"/>
  <c r="F720" i="19" s="1"/>
  <c r="F721" i="19" s="1"/>
  <c r="F722" i="19" s="1"/>
  <c r="F723" i="19" s="1"/>
  <c r="F724" i="19" s="1"/>
  <c r="F725" i="19" s="1"/>
  <c r="F726" i="19" s="1"/>
  <c r="F727" i="19" s="1"/>
  <c r="F728" i="19" s="1"/>
  <c r="F729" i="19" s="1"/>
  <c r="F730" i="19" s="1"/>
  <c r="F731" i="19" s="1"/>
  <c r="F732" i="19" s="1"/>
  <c r="F733" i="19" s="1"/>
  <c r="F734" i="19" s="1"/>
  <c r="F735" i="19" s="1"/>
  <c r="F736" i="19" s="1"/>
  <c r="F737" i="19" s="1"/>
  <c r="F738" i="19" s="1"/>
  <c r="F739" i="19" s="1"/>
  <c r="F740" i="19" s="1"/>
  <c r="F741" i="19" s="1"/>
  <c r="F742" i="19" s="1"/>
  <c r="F743" i="19" s="1"/>
  <c r="F744" i="19" s="1"/>
  <c r="F745" i="19" s="1"/>
  <c r="F746" i="19" s="1"/>
  <c r="F747" i="19" s="1"/>
  <c r="F748" i="19" s="1"/>
  <c r="F749" i="19" s="1"/>
  <c r="F750" i="19" s="1"/>
  <c r="F751" i="19" s="1"/>
  <c r="F752" i="19" s="1"/>
  <c r="F753" i="19" s="1"/>
  <c r="F754" i="19" s="1"/>
  <c r="F755" i="19" s="1"/>
  <c r="F756" i="19" s="1"/>
  <c r="F757" i="19" s="1"/>
  <c r="F758" i="19" s="1"/>
  <c r="F759" i="19" s="1"/>
  <c r="F760" i="19" s="1"/>
  <c r="F761" i="19" s="1"/>
  <c r="F762" i="19" s="1"/>
  <c r="F763" i="19" s="1"/>
  <c r="F764" i="19" s="1"/>
  <c r="F765" i="19" s="1"/>
  <c r="F766" i="19" s="1"/>
  <c r="F767" i="19" s="1"/>
  <c r="F768" i="19" s="1"/>
  <c r="F769" i="19" s="1"/>
  <c r="F770" i="19" s="1"/>
  <c r="F771" i="19" s="1"/>
  <c r="F772" i="19" s="1"/>
  <c r="F773" i="19" s="1"/>
  <c r="F774" i="19" s="1"/>
  <c r="F775" i="19" s="1"/>
  <c r="F776" i="19" s="1"/>
  <c r="F777" i="19" s="1"/>
  <c r="F778" i="19" s="1"/>
  <c r="F779" i="19" s="1"/>
  <c r="F780" i="19" s="1"/>
  <c r="F781" i="19" s="1"/>
  <c r="F782" i="19" s="1"/>
  <c r="F783" i="19" s="1"/>
  <c r="F784" i="19" s="1"/>
  <c r="F785" i="19" s="1"/>
  <c r="F786" i="19" s="1"/>
  <c r="F787" i="19" s="1"/>
  <c r="F788" i="19" s="1"/>
  <c r="F789" i="19" s="1"/>
  <c r="F790" i="19" s="1"/>
  <c r="F1178" i="19"/>
  <c r="F1179" i="19" s="1"/>
  <c r="F1180" i="19" s="1"/>
  <c r="F1181" i="19" s="1"/>
  <c r="F1182" i="19" s="1"/>
  <c r="F1183" i="19" s="1"/>
  <c r="F1184" i="19" s="1"/>
  <c r="F1185" i="19" s="1"/>
  <c r="F1186" i="19" s="1"/>
  <c r="F1187" i="19" s="1"/>
  <c r="F1188" i="19" s="1"/>
  <c r="F1189" i="19" s="1"/>
  <c r="F1190" i="19" s="1"/>
  <c r="F1191" i="19" s="1"/>
  <c r="F1192" i="19" s="1"/>
  <c r="F1193" i="19" s="1"/>
  <c r="F1194" i="19" s="1"/>
  <c r="F1195" i="19" s="1"/>
  <c r="F1196" i="19" s="1"/>
  <c r="F1197" i="19" s="1"/>
  <c r="F1198" i="19" s="1"/>
  <c r="F1199" i="19" s="1"/>
  <c r="F1200" i="19" s="1"/>
  <c r="F1201" i="19" s="1"/>
  <c r="F1202" i="19" s="1"/>
  <c r="F1203" i="19" s="1"/>
  <c r="F1204" i="19" s="1"/>
  <c r="F1205" i="19" s="1"/>
  <c r="F1206" i="19" s="1"/>
  <c r="F1207" i="19" s="1"/>
  <c r="F1208" i="19" s="1"/>
  <c r="F1209" i="19" s="1"/>
  <c r="F1210" i="19" s="1"/>
  <c r="F1211" i="19" s="1"/>
  <c r="F1212" i="19" s="1"/>
  <c r="F1213" i="19" s="1"/>
  <c r="F1214" i="19" s="1"/>
  <c r="F1215" i="19" s="1"/>
  <c r="F1216" i="19" s="1"/>
  <c r="F1217" i="19" s="1"/>
  <c r="F1218" i="19" s="1"/>
  <c r="F1219" i="19" s="1"/>
  <c r="F1220" i="19" s="1"/>
  <c r="F1221" i="19" s="1"/>
  <c r="F1222" i="19" s="1"/>
  <c r="F1223" i="19" s="1"/>
  <c r="F1224" i="19" s="1"/>
  <c r="F1225" i="19" s="1"/>
  <c r="F1226" i="19" s="1"/>
  <c r="F1227" i="19" s="1"/>
  <c r="F1228" i="19" s="1"/>
  <c r="F1229" i="19" s="1"/>
  <c r="F1230" i="19" s="1"/>
  <c r="F1231" i="19" s="1"/>
  <c r="F1232" i="19" s="1"/>
  <c r="F1233" i="19" s="1"/>
  <c r="F1234" i="19" s="1"/>
  <c r="F1235" i="19" s="1"/>
  <c r="F1236" i="19" s="1"/>
  <c r="F1237" i="19" s="1"/>
  <c r="F1238" i="19" s="1"/>
  <c r="F1126" i="19"/>
  <c r="F1127" i="19" s="1"/>
  <c r="F1128" i="19" s="1"/>
  <c r="F1129" i="19" s="1"/>
  <c r="F1130" i="19" s="1"/>
  <c r="F1131" i="19" s="1"/>
  <c r="F1132" i="19" s="1"/>
  <c r="F1133" i="19" s="1"/>
  <c r="F1134" i="19" s="1"/>
  <c r="F1135" i="19" s="1"/>
  <c r="F1136" i="19" s="1"/>
  <c r="F1137" i="19" s="1"/>
  <c r="F1138" i="19" s="1"/>
  <c r="F1139" i="19" s="1"/>
  <c r="F1140" i="19" s="1"/>
  <c r="F1141" i="19" s="1"/>
  <c r="F1142" i="19" s="1"/>
  <c r="F1143" i="19" s="1"/>
  <c r="F1144" i="19" s="1"/>
  <c r="F1145" i="19" s="1"/>
  <c r="F1146" i="19" s="1"/>
  <c r="F1147" i="19" s="1"/>
  <c r="F1148" i="19" s="1"/>
  <c r="F1149" i="19" s="1"/>
  <c r="F1150" i="19" s="1"/>
  <c r="F1151" i="19" s="1"/>
  <c r="F1152" i="19" s="1"/>
  <c r="F1153" i="19" s="1"/>
  <c r="F1154" i="19" s="1"/>
  <c r="F1155" i="19" s="1"/>
  <c r="F1156" i="19" s="1"/>
  <c r="F1157" i="19" s="1"/>
  <c r="F1158" i="19" s="1"/>
  <c r="F1159" i="19" s="1"/>
  <c r="F1160" i="19" s="1"/>
  <c r="F1161" i="19" s="1"/>
  <c r="F1162" i="19" s="1"/>
  <c r="F1163" i="19" s="1"/>
  <c r="F1164" i="19" s="1"/>
  <c r="F1165" i="19" s="1"/>
  <c r="F1166" i="19" s="1"/>
  <c r="F1167" i="19" s="1"/>
  <c r="F1168" i="19" s="1"/>
  <c r="F1169" i="19" s="1"/>
  <c r="F1170" i="19" s="1"/>
  <c r="F1171" i="19" s="1"/>
  <c r="F1172" i="19" s="1"/>
  <c r="F1173" i="19" s="1"/>
  <c r="F1174" i="19" s="1"/>
  <c r="F1175" i="19" s="1"/>
  <c r="F62" i="20" l="1"/>
  <c r="F63" i="20" s="1"/>
  <c r="N51" i="9"/>
  <c r="F791" i="19"/>
  <c r="F792" i="19" s="1"/>
  <c r="F793" i="19" s="1"/>
  <c r="F794" i="19" s="1"/>
  <c r="F795" i="19" s="1"/>
  <c r="F796" i="19" s="1"/>
  <c r="F797" i="19" s="1"/>
  <c r="F798" i="19" s="1"/>
  <c r="F799" i="19" s="1"/>
  <c r="F800" i="19" s="1"/>
  <c r="F801" i="19" s="1"/>
  <c r="F802" i="19" s="1"/>
  <c r="F803" i="19" s="1"/>
  <c r="F804" i="19" s="1"/>
  <c r="F805" i="19" s="1"/>
  <c r="F806" i="19" s="1"/>
  <c r="F807" i="19" s="1"/>
  <c r="F808" i="19" s="1"/>
  <c r="F809" i="19" s="1"/>
  <c r="F810" i="19" s="1"/>
  <c r="F811" i="19" s="1"/>
  <c r="F812" i="19" s="1"/>
  <c r="F813" i="19" s="1"/>
  <c r="F814" i="19" s="1"/>
  <c r="F815" i="19" s="1"/>
  <c r="F816" i="19" s="1"/>
  <c r="F817" i="19" s="1"/>
  <c r="F818" i="19" s="1"/>
  <c r="F819" i="19" s="1"/>
  <c r="F820" i="19" s="1"/>
  <c r="F821" i="19" s="1"/>
  <c r="F822" i="19" s="1"/>
  <c r="F823" i="19" s="1"/>
  <c r="F824" i="19" s="1"/>
  <c r="F825" i="19" s="1"/>
  <c r="F826" i="19" s="1"/>
  <c r="F827" i="19" s="1"/>
  <c r="F828" i="19" s="1"/>
  <c r="F829" i="19" s="1"/>
  <c r="F830" i="19" s="1"/>
  <c r="F831" i="19" s="1"/>
  <c r="F832" i="19" s="1"/>
  <c r="F833" i="19" s="1"/>
  <c r="F834" i="19" s="1"/>
  <c r="F835" i="19" s="1"/>
  <c r="F836" i="19" s="1"/>
  <c r="F837" i="19" s="1"/>
  <c r="F838" i="19" s="1"/>
  <c r="F839" i="19" s="1"/>
  <c r="F840" i="19" s="1"/>
  <c r="F841" i="19" s="1"/>
  <c r="F842" i="19" s="1"/>
  <c r="F843" i="19" s="1"/>
  <c r="F844" i="19" s="1"/>
  <c r="F845" i="19" s="1"/>
  <c r="F846" i="19" s="1"/>
  <c r="F847" i="19" s="1"/>
  <c r="F848" i="19" s="1"/>
  <c r="F849" i="19" s="1"/>
  <c r="F850" i="19" s="1"/>
  <c r="F851" i="19" s="1"/>
  <c r="F852" i="19" s="1"/>
  <c r="F853" i="19" s="1"/>
  <c r="F854" i="19" s="1"/>
  <c r="F855" i="19" s="1"/>
  <c r="F856" i="19" s="1"/>
  <c r="F857" i="19" s="1"/>
  <c r="F858" i="19" s="1"/>
  <c r="F859" i="19" s="1"/>
  <c r="F860" i="19" s="1"/>
  <c r="F861" i="19" s="1"/>
  <c r="F862" i="19" s="1"/>
  <c r="F863" i="19" s="1"/>
  <c r="F864" i="19" s="1"/>
  <c r="F865" i="19" s="1"/>
  <c r="F866" i="19" s="1"/>
  <c r="F867" i="19" s="1"/>
  <c r="F868" i="19" s="1"/>
  <c r="F869" i="19" s="1"/>
  <c r="F870" i="19" s="1"/>
  <c r="F871" i="19" s="1"/>
  <c r="F872" i="19" s="1"/>
  <c r="F873" i="19" s="1"/>
  <c r="F874" i="19" s="1"/>
  <c r="F875" i="19" s="1"/>
  <c r="F876" i="19" s="1"/>
  <c r="F877" i="19" s="1"/>
  <c r="F878" i="19" s="1"/>
  <c r="F879" i="19" s="1"/>
  <c r="F880" i="19" s="1"/>
  <c r="F881" i="19" s="1"/>
  <c r="F882" i="19" s="1"/>
  <c r="F883" i="19" s="1"/>
  <c r="F884" i="19" s="1"/>
  <c r="F885" i="19" s="1"/>
  <c r="F886" i="19" s="1"/>
  <c r="F887" i="19" s="1"/>
  <c r="F888" i="19" s="1"/>
  <c r="F889" i="19" s="1"/>
  <c r="F890" i="19" s="1"/>
  <c r="F891" i="19" s="1"/>
  <c r="F892" i="19" s="1"/>
  <c r="F893" i="19" s="1"/>
  <c r="F894" i="19" s="1"/>
  <c r="F895" i="19" s="1"/>
  <c r="F896" i="19" s="1"/>
  <c r="F897" i="19" s="1"/>
  <c r="F898" i="19" s="1"/>
  <c r="F899" i="19" s="1"/>
  <c r="F900" i="19" s="1"/>
  <c r="F901" i="19" s="1"/>
  <c r="F902" i="19" s="1"/>
  <c r="F903" i="19" s="1"/>
  <c r="F904" i="19" s="1"/>
  <c r="F905" i="19" s="1"/>
  <c r="F1243" i="19"/>
  <c r="F1244" i="19" s="1"/>
  <c r="F1245" i="19" s="1"/>
  <c r="F1246" i="19" s="1"/>
  <c r="F1247" i="19" s="1"/>
  <c r="F1248" i="19" s="1"/>
  <c r="F1249" i="19" s="1"/>
  <c r="F1250" i="19" s="1"/>
  <c r="F1251" i="19" s="1"/>
  <c r="F1252" i="19" s="1"/>
  <c r="F1253" i="19" s="1"/>
  <c r="F1254" i="19" s="1"/>
  <c r="F1255" i="19" s="1"/>
  <c r="F1256" i="19" s="1"/>
  <c r="F1257" i="19" s="1"/>
  <c r="F1258" i="19" s="1"/>
  <c r="F1259" i="19" s="1"/>
  <c r="F1260" i="19" s="1"/>
  <c r="F1261" i="19" s="1"/>
  <c r="F1262" i="19" s="1"/>
  <c r="F1263" i="19" s="1"/>
  <c r="F1264" i="19" s="1"/>
  <c r="F1265" i="19" s="1"/>
  <c r="F1266" i="19" s="1"/>
  <c r="F1267" i="19" s="1"/>
  <c r="F1239" i="19"/>
  <c r="F1240" i="19" s="1"/>
  <c r="E6" i="17"/>
  <c r="E7" i="17" s="1"/>
  <c r="E8" i="17" s="1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F4" i="15"/>
  <c r="F64" i="20" l="1"/>
  <c r="F65" i="20" s="1"/>
  <c r="F66" i="20" s="1"/>
  <c r="F67" i="20" s="1"/>
  <c r="F68" i="20" s="1"/>
  <c r="F69" i="20" s="1"/>
  <c r="F70" i="20" s="1"/>
  <c r="F71" i="20" s="1"/>
  <c r="F72" i="20" s="1"/>
  <c r="F73" i="20" s="1"/>
  <c r="F74" i="20" s="1"/>
  <c r="F75" i="20" s="1"/>
  <c r="F76" i="20" s="1"/>
  <c r="F77" i="20" s="1"/>
  <c r="F78" i="20" s="1"/>
  <c r="F79" i="20" s="1"/>
  <c r="F80" i="20" s="1"/>
  <c r="F81" i="20" s="1"/>
  <c r="F82" i="20" s="1"/>
  <c r="F83" i="20" s="1"/>
  <c r="F84" i="20" s="1"/>
  <c r="F85" i="20" s="1"/>
  <c r="F86" i="20" s="1"/>
  <c r="F87" i="20" s="1"/>
  <c r="F88" i="20" s="1"/>
  <c r="F89" i="20" s="1"/>
  <c r="F90" i="20" s="1"/>
  <c r="F91" i="20" s="1"/>
  <c r="F92" i="20" s="1"/>
  <c r="F93" i="20" s="1"/>
  <c r="F94" i="20" s="1"/>
  <c r="F95" i="20" s="1"/>
  <c r="F96" i="20" s="1"/>
  <c r="F97" i="20" s="1"/>
  <c r="F98" i="20" s="1"/>
  <c r="F99" i="20" s="1"/>
  <c r="F100" i="20" s="1"/>
  <c r="F101" i="20" s="1"/>
  <c r="F102" i="20" s="1"/>
  <c r="F103" i="20" s="1"/>
  <c r="F104" i="20" s="1"/>
  <c r="F105" i="20" s="1"/>
  <c r="F106" i="20" s="1"/>
  <c r="F107" i="20" s="1"/>
  <c r="F108" i="20" s="1"/>
  <c r="F109" i="20" s="1"/>
  <c r="F110" i="20" s="1"/>
  <c r="F111" i="20" s="1"/>
  <c r="F112" i="20" s="1"/>
  <c r="F113" i="20" s="1"/>
  <c r="F114" i="20" s="1"/>
  <c r="F115" i="20" s="1"/>
  <c r="F116" i="20" s="1"/>
  <c r="F117" i="20" s="1"/>
  <c r="F118" i="20" s="1"/>
  <c r="F119" i="20" s="1"/>
  <c r="F120" i="20" s="1"/>
  <c r="F121" i="20" s="1"/>
  <c r="F906" i="19"/>
  <c r="F907" i="19" s="1"/>
  <c r="F908" i="19" s="1"/>
  <c r="F909" i="19" s="1"/>
  <c r="F910" i="19" s="1"/>
  <c r="F911" i="19" s="1"/>
  <c r="F912" i="19" s="1"/>
  <c r="F913" i="19" s="1"/>
  <c r="F914" i="19" s="1"/>
  <c r="F915" i="19" s="1"/>
  <c r="F916" i="19" s="1"/>
  <c r="F917" i="19" s="1"/>
  <c r="F918" i="19" s="1"/>
  <c r="F919" i="19" s="1"/>
  <c r="F920" i="19" s="1"/>
  <c r="F921" i="19" s="1"/>
  <c r="F922" i="19" s="1"/>
  <c r="F923" i="19" s="1"/>
  <c r="F924" i="19" s="1"/>
  <c r="F925" i="19" s="1"/>
  <c r="F926" i="19" s="1"/>
  <c r="F927" i="19" s="1"/>
  <c r="F928" i="19" s="1"/>
  <c r="F929" i="19" s="1"/>
  <c r="F930" i="19" s="1"/>
  <c r="F931" i="19" s="1"/>
  <c r="F932" i="19" s="1"/>
  <c r="F933" i="19" s="1"/>
  <c r="F934" i="19" s="1"/>
  <c r="F935" i="19" s="1"/>
  <c r="F936" i="19" s="1"/>
  <c r="F937" i="19" s="1"/>
  <c r="F938" i="19" s="1"/>
  <c r="F939" i="19" s="1"/>
  <c r="F940" i="19" s="1"/>
  <c r="F941" i="19" s="1"/>
  <c r="F942" i="19" s="1"/>
  <c r="F943" i="19" s="1"/>
  <c r="F944" i="19" s="1"/>
  <c r="F945" i="19" s="1"/>
  <c r="F946" i="19" s="1"/>
  <c r="F947" i="19" s="1"/>
  <c r="F948" i="19" s="1"/>
  <c r="F949" i="19" s="1"/>
  <c r="F950" i="19" s="1"/>
  <c r="F951" i="19" s="1"/>
  <c r="F952" i="19" s="1"/>
  <c r="F953" i="19" s="1"/>
  <c r="F954" i="19" s="1"/>
  <c r="F955" i="19" s="1"/>
  <c r="F956" i="19" s="1"/>
  <c r="F957" i="19" s="1"/>
  <c r="F958" i="19" s="1"/>
  <c r="F959" i="19" s="1"/>
  <c r="F960" i="19" s="1"/>
  <c r="F961" i="19" s="1"/>
  <c r="F962" i="19" s="1"/>
  <c r="F963" i="19" s="1"/>
  <c r="F964" i="19" s="1"/>
  <c r="F965" i="19" s="1"/>
  <c r="F966" i="19" s="1"/>
  <c r="F967" i="19" s="1"/>
  <c r="F968" i="19" s="1"/>
  <c r="F969" i="19" s="1"/>
  <c r="F970" i="19" s="1"/>
  <c r="F971" i="19" s="1"/>
  <c r="F972" i="19" s="1"/>
  <c r="F973" i="19" s="1"/>
  <c r="F974" i="19" s="1"/>
  <c r="F975" i="19" s="1"/>
  <c r="F976" i="19" s="1"/>
  <c r="F977" i="19" s="1"/>
  <c r="F978" i="19" s="1"/>
  <c r="F979" i="19" s="1"/>
  <c r="F980" i="19" s="1"/>
  <c r="F981" i="19" s="1"/>
  <c r="F982" i="19" s="1"/>
  <c r="F983" i="19" s="1"/>
  <c r="F984" i="19" s="1"/>
  <c r="F985" i="19" s="1"/>
  <c r="F986" i="19" s="1"/>
  <c r="F987" i="19" s="1"/>
  <c r="F988" i="19" s="1"/>
  <c r="F989" i="19" s="1"/>
  <c r="F990" i="19" s="1"/>
  <c r="F991" i="19" s="1"/>
  <c r="F992" i="19" s="1"/>
  <c r="F993" i="19" s="1"/>
  <c r="F994" i="19" s="1"/>
  <c r="F995" i="19" s="1"/>
  <c r="F996" i="19" s="1"/>
  <c r="F997" i="19" s="1"/>
  <c r="F998" i="19" s="1"/>
  <c r="F999" i="19" s="1"/>
  <c r="F1000" i="19" s="1"/>
  <c r="F1001" i="19" s="1"/>
  <c r="F1002" i="19" s="1"/>
  <c r="F1003" i="19" s="1"/>
  <c r="F1004" i="19" s="1"/>
  <c r="F1005" i="19" s="1"/>
  <c r="F1006" i="19" s="1"/>
  <c r="F1007" i="19" s="1"/>
  <c r="F1008" i="19" s="1"/>
  <c r="F1009" i="19" s="1"/>
  <c r="F1010" i="19" s="1"/>
  <c r="F1011" i="19" s="1"/>
  <c r="F1012" i="19" s="1"/>
  <c r="F1013" i="19" s="1"/>
  <c r="F1014" i="19" s="1"/>
  <c r="F1015" i="19" s="1"/>
  <c r="F1016" i="19" s="1"/>
  <c r="F1017" i="19" s="1"/>
  <c r="F1018" i="19" s="1"/>
  <c r="F1019" i="19" s="1"/>
  <c r="F1020" i="19" s="1"/>
  <c r="F1021" i="19" s="1"/>
  <c r="F1022" i="19" s="1"/>
  <c r="F1023" i="19" s="1"/>
  <c r="F1024" i="19" s="1"/>
  <c r="F1025" i="19" s="1"/>
  <c r="F1026" i="19" s="1"/>
  <c r="F1027" i="19" s="1"/>
  <c r="F1028" i="19" s="1"/>
  <c r="F1029" i="19" s="1"/>
  <c r="F1030" i="19" s="1"/>
  <c r="F1031" i="19" s="1"/>
  <c r="F1032" i="19" s="1"/>
  <c r="F1033" i="19" s="1"/>
  <c r="F1034" i="19" s="1"/>
  <c r="F1035" i="19" s="1"/>
  <c r="F1036" i="19" s="1"/>
  <c r="F1037" i="19" s="1"/>
  <c r="F1038" i="19" s="1"/>
  <c r="E66" i="17"/>
  <c r="E67" i="17" s="1"/>
  <c r="E70" i="17" s="1"/>
  <c r="F878" i="14"/>
  <c r="F879" i="14" s="1"/>
  <c r="F880" i="14" s="1"/>
  <c r="F881" i="14" s="1"/>
  <c r="F882" i="14" s="1"/>
  <c r="F883" i="14" s="1"/>
  <c r="F884" i="14" s="1"/>
  <c r="F885" i="14" s="1"/>
  <c r="F886" i="14" s="1"/>
  <c r="F887" i="14" s="1"/>
  <c r="F888" i="14" s="1"/>
  <c r="F889" i="14" s="1"/>
  <c r="F890" i="14" s="1"/>
  <c r="F891" i="14" s="1"/>
  <c r="F892" i="14" s="1"/>
  <c r="F893" i="14" s="1"/>
  <c r="F894" i="14" s="1"/>
  <c r="F895" i="14" s="1"/>
  <c r="F896" i="14" s="1"/>
  <c r="F897" i="14" s="1"/>
  <c r="F898" i="14" s="1"/>
  <c r="F899" i="14" s="1"/>
  <c r="F900" i="14" s="1"/>
  <c r="F901" i="14" s="1"/>
  <c r="F902" i="14" s="1"/>
  <c r="F903" i="14" s="1"/>
  <c r="F904" i="14" s="1"/>
  <c r="F905" i="14" s="1"/>
  <c r="F906" i="14" s="1"/>
  <c r="F907" i="14" s="1"/>
  <c r="F908" i="14" s="1"/>
  <c r="F909" i="14" s="1"/>
  <c r="F910" i="14" s="1"/>
  <c r="F911" i="14" s="1"/>
  <c r="F912" i="14" s="1"/>
  <c r="F913" i="14" s="1"/>
  <c r="F914" i="14" s="1"/>
  <c r="F915" i="14" s="1"/>
  <c r="F916" i="14" s="1"/>
  <c r="F917" i="14" s="1"/>
  <c r="F918" i="14" s="1"/>
  <c r="F919" i="14" s="1"/>
  <c r="F920" i="14" s="1"/>
  <c r="F921" i="14" s="1"/>
  <c r="F922" i="14" s="1"/>
  <c r="F923" i="14" s="1"/>
  <c r="F924" i="14" s="1"/>
  <c r="F925" i="14" s="1"/>
  <c r="F926" i="14" s="1"/>
  <c r="F927" i="14" s="1"/>
  <c r="F928" i="14" s="1"/>
  <c r="F929" i="14" s="1"/>
  <c r="F930" i="14" s="1"/>
  <c r="F931" i="14" s="1"/>
  <c r="F932" i="14" s="1"/>
  <c r="F933" i="14" s="1"/>
  <c r="F934" i="14" s="1"/>
  <c r="F935" i="14" s="1"/>
  <c r="F936" i="14" s="1"/>
  <c r="F937" i="14" s="1"/>
  <c r="F938" i="14" s="1"/>
  <c r="F939" i="14" s="1"/>
  <c r="F940" i="14" s="1"/>
  <c r="F941" i="14" s="1"/>
  <c r="F942" i="14" s="1"/>
  <c r="F943" i="14" s="1"/>
  <c r="F944" i="14" s="1"/>
  <c r="F945" i="14" s="1"/>
  <c r="F946" i="14" s="1"/>
  <c r="F947" i="14" s="1"/>
  <c r="F948" i="14" s="1"/>
  <c r="F949" i="14" s="1"/>
  <c r="F950" i="14" s="1"/>
  <c r="F951" i="14" s="1"/>
  <c r="F952" i="14" s="1"/>
  <c r="F953" i="14" s="1"/>
  <c r="F954" i="14" s="1"/>
  <c r="F955" i="14" s="1"/>
  <c r="F992" i="14" s="1"/>
  <c r="F993" i="14" s="1"/>
  <c r="F994" i="14" s="1"/>
  <c r="F995" i="14" s="1"/>
  <c r="F996" i="14" s="1"/>
  <c r="F997" i="14" s="1"/>
  <c r="F998" i="14" s="1"/>
  <c r="F999" i="14" s="1"/>
  <c r="F1000" i="14" s="1"/>
  <c r="F1001" i="14" s="1"/>
  <c r="F1002" i="14" s="1"/>
  <c r="F1003" i="14" s="1"/>
  <c r="F1004" i="14" s="1"/>
  <c r="F1005" i="14" s="1"/>
  <c r="F1006" i="14" s="1"/>
  <c r="F1007" i="14" s="1"/>
  <c r="F1008" i="14" s="1"/>
  <c r="F1009" i="14" s="1"/>
  <c r="F1010" i="14" s="1"/>
  <c r="F1011" i="14" s="1"/>
  <c r="F1012" i="14" s="1"/>
  <c r="F1013" i="14" s="1"/>
  <c r="F1014" i="14" s="1"/>
  <c r="F1015" i="14" s="1"/>
  <c r="F1016" i="14" s="1"/>
  <c r="F1017" i="14" s="1"/>
  <c r="F1018" i="14" s="1"/>
  <c r="F1019" i="14" s="1"/>
  <c r="F1020" i="14" s="1"/>
  <c r="F1021" i="14" s="1"/>
  <c r="F1022" i="14" s="1"/>
  <c r="F1023" i="14" s="1"/>
  <c r="F1024" i="14" s="1"/>
  <c r="F1025" i="14" s="1"/>
  <c r="F1026" i="14" s="1"/>
  <c r="F1027" i="14" s="1"/>
  <c r="F1028" i="14" s="1"/>
  <c r="F1029" i="14" s="1"/>
  <c r="F1030" i="14" s="1"/>
  <c r="F1031" i="14" s="1"/>
  <c r="F1032" i="14" s="1"/>
  <c r="F1033" i="14" s="1"/>
  <c r="F1034" i="14" s="1"/>
  <c r="D601" i="14"/>
  <c r="D474" i="14"/>
  <c r="B106" i="14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77" i="14" s="1"/>
  <c r="F78" i="14" s="1"/>
  <c r="F79" i="14" s="1"/>
  <c r="F80" i="14" s="1"/>
  <c r="F81" i="14" s="1"/>
  <c r="F82" i="14" s="1"/>
  <c r="F83" i="14" s="1"/>
  <c r="F84" i="14" s="1"/>
  <c r="F85" i="14" s="1"/>
  <c r="F86" i="14" s="1"/>
  <c r="F87" i="14" s="1"/>
  <c r="F88" i="14" s="1"/>
  <c r="F89" i="14" s="1"/>
  <c r="F90" i="14" s="1"/>
  <c r="F91" i="14" s="1"/>
  <c r="F92" i="14" s="1"/>
  <c r="F93" i="14" s="1"/>
  <c r="F94" i="14" s="1"/>
  <c r="F95" i="14" s="1"/>
  <c r="F96" i="14" s="1"/>
  <c r="F97" i="14" s="1"/>
  <c r="F98" i="14" s="1"/>
  <c r="F99" i="14" s="1"/>
  <c r="F100" i="14" s="1"/>
  <c r="F101" i="14" s="1"/>
  <c r="F102" i="14" s="1"/>
  <c r="F103" i="14" s="1"/>
  <c r="F104" i="14" s="1"/>
  <c r="F105" i="14" s="1"/>
  <c r="D601" i="2"/>
  <c r="F122" i="20" l="1"/>
  <c r="F123" i="20" s="1"/>
  <c r="F124" i="20" s="1"/>
  <c r="F125" i="20" s="1"/>
  <c r="F5" i="15"/>
  <c r="F6" i="15" s="1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06" i="14"/>
  <c r="F107" i="14" s="1"/>
  <c r="F108" i="14" s="1"/>
  <c r="F109" i="14" s="1"/>
  <c r="F110" i="14" s="1"/>
  <c r="F111" i="14" s="1"/>
  <c r="F112" i="14" s="1"/>
  <c r="F113" i="14" s="1"/>
  <c r="F114" i="14" s="1"/>
  <c r="F115" i="14" s="1"/>
  <c r="F116" i="14" s="1"/>
  <c r="F117" i="14" s="1"/>
  <c r="F118" i="14" s="1"/>
  <c r="F119" i="14" s="1"/>
  <c r="F120" i="14" s="1"/>
  <c r="F121" i="14" s="1"/>
  <c r="F122" i="14" s="1"/>
  <c r="F123" i="14" s="1"/>
  <c r="F124" i="14" s="1"/>
  <c r="F125" i="14" s="1"/>
  <c r="F126" i="14" s="1"/>
  <c r="F127" i="14" s="1"/>
  <c r="F128" i="14" s="1"/>
  <c r="F129" i="14" s="1"/>
  <c r="F130" i="14" s="1"/>
  <c r="F131" i="14" s="1"/>
  <c r="F132" i="14" s="1"/>
  <c r="F133" i="14" s="1"/>
  <c r="F134" i="14" s="1"/>
  <c r="F135" i="14" s="1"/>
  <c r="F136" i="14" s="1"/>
  <c r="F137" i="14" s="1"/>
  <c r="F138" i="14" s="1"/>
  <c r="F139" i="14" s="1"/>
  <c r="F140" i="14" s="1"/>
  <c r="F141" i="14" s="1"/>
  <c r="F142" i="14" s="1"/>
  <c r="F143" i="14" s="1"/>
  <c r="F144" i="14" s="1"/>
  <c r="F145" i="14" s="1"/>
  <c r="F146" i="14" s="1"/>
  <c r="F147" i="14" s="1"/>
  <c r="F148" i="14" s="1"/>
  <c r="F149" i="14" s="1"/>
  <c r="F150" i="14" s="1"/>
  <c r="F151" i="14" s="1"/>
  <c r="F152" i="14" s="1"/>
  <c r="F153" i="14" s="1"/>
  <c r="F154" i="14" s="1"/>
  <c r="F155" i="14" s="1"/>
  <c r="F156" i="14" s="1"/>
  <c r="F157" i="14" s="1"/>
  <c r="F158" i="14" s="1"/>
  <c r="F159" i="14" s="1"/>
  <c r="F160" i="14" s="1"/>
  <c r="F161" i="14" s="1"/>
  <c r="F162" i="14" s="1"/>
  <c r="F163" i="14" s="1"/>
  <c r="F164" i="14" s="1"/>
  <c r="F165" i="14" s="1"/>
  <c r="F166" i="14" s="1"/>
  <c r="F167" i="14" s="1"/>
  <c r="F168" i="14" s="1"/>
  <c r="F169" i="14" s="1"/>
  <c r="F170" i="14" s="1"/>
  <c r="F171" i="14" s="1"/>
  <c r="F172" i="14" s="1"/>
  <c r="F173" i="14" s="1"/>
  <c r="F174" i="14" s="1"/>
  <c r="F175" i="14" s="1"/>
  <c r="F176" i="14" s="1"/>
  <c r="F177" i="14" s="1"/>
  <c r="F178" i="14" s="1"/>
  <c r="F179" i="14" s="1"/>
  <c r="F180" i="14" s="1"/>
  <c r="F181" i="14" s="1"/>
  <c r="F182" i="14" s="1"/>
  <c r="F183" i="14" s="1"/>
  <c r="F184" i="14" s="1"/>
  <c r="F185" i="14" s="1"/>
  <c r="F186" i="14" s="1"/>
  <c r="F187" i="14" s="1"/>
  <c r="F188" i="14" s="1"/>
  <c r="F189" i="14" s="1"/>
  <c r="F190" i="14" s="1"/>
  <c r="F191" i="14" s="1"/>
  <c r="F192" i="14" s="1"/>
  <c r="F193" i="14" s="1"/>
  <c r="F194" i="14" s="1"/>
  <c r="F195" i="14" s="1"/>
  <c r="F196" i="14" s="1"/>
  <c r="F197" i="14" s="1"/>
  <c r="F198" i="14" s="1"/>
  <c r="F199" i="14" s="1"/>
  <c r="F200" i="14" s="1"/>
  <c r="F201" i="14" s="1"/>
  <c r="F202" i="14" s="1"/>
  <c r="F203" i="14" s="1"/>
  <c r="F204" i="14" s="1"/>
  <c r="F205" i="14" s="1"/>
  <c r="F206" i="14" s="1"/>
  <c r="F207" i="14" s="1"/>
  <c r="F208" i="14" s="1"/>
  <c r="F209" i="14" s="1"/>
  <c r="F210" i="14" s="1"/>
  <c r="F211" i="14" s="1"/>
  <c r="F212" i="14" s="1"/>
  <c r="F213" i="14" s="1"/>
  <c r="F214" i="14" s="1"/>
  <c r="F215" i="14" s="1"/>
  <c r="F216" i="14" s="1"/>
  <c r="F217" i="14" s="1"/>
  <c r="F218" i="14" s="1"/>
  <c r="F219" i="14" s="1"/>
  <c r="F220" i="14" s="1"/>
  <c r="F221" i="14" s="1"/>
  <c r="F222" i="14" s="1"/>
  <c r="F223" i="14" s="1"/>
  <c r="F224" i="14" s="1"/>
  <c r="F225" i="14" s="1"/>
  <c r="F226" i="14" s="1"/>
  <c r="F227" i="14" s="1"/>
  <c r="F228" i="14" s="1"/>
  <c r="F229" i="14" s="1"/>
  <c r="F230" i="14" s="1"/>
  <c r="F231" i="14" s="1"/>
  <c r="F232" i="14" s="1"/>
  <c r="F233" i="14" s="1"/>
  <c r="F234" i="14" s="1"/>
  <c r="F235" i="14" s="1"/>
  <c r="F236" i="14" s="1"/>
  <c r="F237" i="14" s="1"/>
  <c r="F238" i="14" s="1"/>
  <c r="F239" i="14" s="1"/>
  <c r="F240" i="14" s="1"/>
  <c r="F241" i="14" s="1"/>
  <c r="F242" i="14" s="1"/>
  <c r="F243" i="14" s="1"/>
  <c r="F244" i="14" s="1"/>
  <c r="F245" i="14" s="1"/>
  <c r="F246" i="14" s="1"/>
  <c r="F247" i="14" s="1"/>
  <c r="F248" i="14" s="1"/>
  <c r="F249" i="14" s="1"/>
  <c r="F250" i="14" s="1"/>
  <c r="F251" i="14" s="1"/>
  <c r="F252" i="14" s="1"/>
  <c r="F253" i="14" s="1"/>
  <c r="F254" i="14" s="1"/>
  <c r="F255" i="14" s="1"/>
  <c r="F256" i="14" s="1"/>
  <c r="F257" i="14" s="1"/>
  <c r="F258" i="14" s="1"/>
  <c r="F259" i="14" s="1"/>
  <c r="F260" i="14" s="1"/>
  <c r="F261" i="14" s="1"/>
  <c r="F262" i="14" s="1"/>
  <c r="F263" i="14" s="1"/>
  <c r="F264" i="14" s="1"/>
  <c r="F265" i="14" s="1"/>
  <c r="F266" i="14" s="1"/>
  <c r="F267" i="14" s="1"/>
  <c r="F268" i="14" s="1"/>
  <c r="F269" i="14" s="1"/>
  <c r="F270" i="14" s="1"/>
  <c r="F271" i="14" s="1"/>
  <c r="F272" i="14" s="1"/>
  <c r="F273" i="14" s="1"/>
  <c r="F274" i="14" s="1"/>
  <c r="F275" i="14" s="1"/>
  <c r="F276" i="14" s="1"/>
  <c r="F277" i="14" s="1"/>
  <c r="F278" i="14" s="1"/>
  <c r="F279" i="14" s="1"/>
  <c r="F280" i="14" s="1"/>
  <c r="F281" i="14" s="1"/>
  <c r="F282" i="14" s="1"/>
  <c r="F283" i="14" s="1"/>
  <c r="F284" i="14" s="1"/>
  <c r="F285" i="14" s="1"/>
  <c r="F286" i="14" s="1"/>
  <c r="F287" i="14" s="1"/>
  <c r="F288" i="14" s="1"/>
  <c r="F289" i="14" s="1"/>
  <c r="F290" i="14" s="1"/>
  <c r="F291" i="14" s="1"/>
  <c r="F292" i="14" s="1"/>
  <c r="F293" i="14" s="1"/>
  <c r="F294" i="14" s="1"/>
  <c r="F295" i="14" s="1"/>
  <c r="F296" i="14" s="1"/>
  <c r="F297" i="14" s="1"/>
  <c r="F298" i="14" s="1"/>
  <c r="F299" i="14" s="1"/>
  <c r="F300" i="14" s="1"/>
  <c r="F301" i="14" s="1"/>
  <c r="F302" i="14" s="1"/>
  <c r="F303" i="14" s="1"/>
  <c r="F304" i="14" s="1"/>
  <c r="F305" i="14" s="1"/>
  <c r="F306" i="14" s="1"/>
  <c r="F307" i="14" s="1"/>
  <c r="F308" i="14" s="1"/>
  <c r="F309" i="14" s="1"/>
  <c r="F310" i="14" s="1"/>
  <c r="F311" i="14" s="1"/>
  <c r="F312" i="14" s="1"/>
  <c r="F313" i="14" s="1"/>
  <c r="F314" i="14" s="1"/>
  <c r="F315" i="14" s="1"/>
  <c r="F316" i="14" s="1"/>
  <c r="F317" i="14" s="1"/>
  <c r="F318" i="14" s="1"/>
  <c r="F319" i="14" s="1"/>
  <c r="F320" i="14" s="1"/>
  <c r="F321" i="14" s="1"/>
  <c r="F322" i="14" s="1"/>
  <c r="F323" i="14" s="1"/>
  <c r="F324" i="14" s="1"/>
  <c r="F325" i="14" s="1"/>
  <c r="F326" i="14" s="1"/>
  <c r="F327" i="14" s="1"/>
  <c r="F328" i="14" s="1"/>
  <c r="F329" i="14" s="1"/>
  <c r="F330" i="14" s="1"/>
  <c r="F331" i="14" s="1"/>
  <c r="F332" i="14" s="1"/>
  <c r="F333" i="14" s="1"/>
  <c r="F334" i="14" s="1"/>
  <c r="F335" i="14" s="1"/>
  <c r="F336" i="14" s="1"/>
  <c r="F337" i="14" s="1"/>
  <c r="F338" i="14" s="1"/>
  <c r="F339" i="14" s="1"/>
  <c r="F340" i="14" s="1"/>
  <c r="F341" i="14" s="1"/>
  <c r="F342" i="14" s="1"/>
  <c r="F343" i="14" s="1"/>
  <c r="F344" i="14" s="1"/>
  <c r="F345" i="14" s="1"/>
  <c r="F346" i="14" s="1"/>
  <c r="F347" i="14" s="1"/>
  <c r="F348" i="14" s="1"/>
  <c r="F349" i="14" s="1"/>
  <c r="F350" i="14" s="1"/>
  <c r="F351" i="14" s="1"/>
  <c r="F352" i="14" s="1"/>
  <c r="F353" i="14" s="1"/>
  <c r="F354" i="14" s="1"/>
  <c r="F355" i="14" s="1"/>
  <c r="F356" i="14" s="1"/>
  <c r="F357" i="14" s="1"/>
  <c r="F358" i="14" s="1"/>
  <c r="F359" i="14" s="1"/>
  <c r="F360" i="14" s="1"/>
  <c r="F361" i="14" s="1"/>
  <c r="F362" i="14" s="1"/>
  <c r="F363" i="14" s="1"/>
  <c r="F364" i="14" s="1"/>
  <c r="F365" i="14" s="1"/>
  <c r="F366" i="14" s="1"/>
  <c r="F367" i="14" s="1"/>
  <c r="F368" i="14" s="1"/>
  <c r="F369" i="14" s="1"/>
  <c r="F370" i="14" s="1"/>
  <c r="F371" i="14" s="1"/>
  <c r="F372" i="14" s="1"/>
  <c r="F373" i="14" s="1"/>
  <c r="F374" i="14" s="1"/>
  <c r="F375" i="14" s="1"/>
  <c r="F376" i="14" s="1"/>
  <c r="F377" i="14" s="1"/>
  <c r="F378" i="14" s="1"/>
  <c r="F379" i="14" s="1"/>
  <c r="F380" i="14" s="1"/>
  <c r="F381" i="14" s="1"/>
  <c r="F382" i="14" s="1"/>
  <c r="F383" i="14" s="1"/>
  <c r="F384" i="14" s="1"/>
  <c r="F385" i="14" s="1"/>
  <c r="F386" i="14" s="1"/>
  <c r="F387" i="14" s="1"/>
  <c r="F388" i="14" s="1"/>
  <c r="F389" i="14" s="1"/>
  <c r="F390" i="14" s="1"/>
  <c r="F391" i="14" s="1"/>
  <c r="F392" i="14" s="1"/>
  <c r="F393" i="14" s="1"/>
  <c r="F394" i="14" s="1"/>
  <c r="F395" i="14" s="1"/>
  <c r="F396" i="14" s="1"/>
  <c r="F397" i="14" s="1"/>
  <c r="F398" i="14" s="1"/>
  <c r="F399" i="14" s="1"/>
  <c r="F400" i="14" s="1"/>
  <c r="F401" i="14" s="1"/>
  <c r="F402" i="14" s="1"/>
  <c r="F403" i="14" s="1"/>
  <c r="F404" i="14" s="1"/>
  <c r="F405" i="14" s="1"/>
  <c r="F406" i="14" s="1"/>
  <c r="F407" i="14" s="1"/>
  <c r="F408" i="14" s="1"/>
  <c r="F409" i="14" s="1"/>
  <c r="F410" i="14" s="1"/>
  <c r="F411" i="14" s="1"/>
  <c r="F412" i="14" s="1"/>
  <c r="F413" i="14" s="1"/>
  <c r="F414" i="14" s="1"/>
  <c r="F415" i="14" s="1"/>
  <c r="F416" i="14" s="1"/>
  <c r="F417" i="14" s="1"/>
  <c r="F418" i="14" s="1"/>
  <c r="F419" i="14" s="1"/>
  <c r="F420" i="14" s="1"/>
  <c r="F421" i="14" s="1"/>
  <c r="F422" i="14" s="1"/>
  <c r="F423" i="14" s="1"/>
  <c r="F424" i="14" s="1"/>
  <c r="F425" i="14" s="1"/>
  <c r="F426" i="14" s="1"/>
  <c r="F427" i="14" s="1"/>
  <c r="F428" i="14" s="1"/>
  <c r="F429" i="14" s="1"/>
  <c r="F430" i="14" s="1"/>
  <c r="F431" i="14" s="1"/>
  <c r="F432" i="14" s="1"/>
  <c r="F433" i="14" s="1"/>
  <c r="F434" i="14" s="1"/>
  <c r="F435" i="14" s="1"/>
  <c r="F436" i="14" s="1"/>
  <c r="F437" i="14" s="1"/>
  <c r="F438" i="14" s="1"/>
  <c r="F439" i="14" s="1"/>
  <c r="F440" i="14" s="1"/>
  <c r="F441" i="14" s="1"/>
  <c r="F442" i="14" s="1"/>
  <c r="F443" i="14" s="1"/>
  <c r="F444" i="14" s="1"/>
  <c r="F445" i="14" s="1"/>
  <c r="F446" i="14" s="1"/>
  <c r="F447" i="14" s="1"/>
  <c r="F448" i="14" s="1"/>
  <c r="F449" i="14" s="1"/>
  <c r="F450" i="14" s="1"/>
  <c r="F451" i="14" s="1"/>
  <c r="F452" i="14" s="1"/>
  <c r="F453" i="14" s="1"/>
  <c r="F454" i="14" s="1"/>
  <c r="F455" i="14" s="1"/>
  <c r="F456" i="14" s="1"/>
  <c r="F457" i="14" s="1"/>
  <c r="F458" i="14" s="1"/>
  <c r="F459" i="14" s="1"/>
  <c r="F460" i="14" s="1"/>
  <c r="F461" i="14" s="1"/>
  <c r="F462" i="14" s="1"/>
  <c r="F463" i="14" s="1"/>
  <c r="F464" i="14" s="1"/>
  <c r="F465" i="14" s="1"/>
  <c r="F466" i="14" s="1"/>
  <c r="F467" i="14" s="1"/>
  <c r="F468" i="14" s="1"/>
  <c r="F469" i="14" s="1"/>
  <c r="F470" i="14" s="1"/>
  <c r="F471" i="14" s="1"/>
  <c r="F472" i="14" s="1"/>
  <c r="F473" i="14" s="1"/>
  <c r="F474" i="14" s="1"/>
  <c r="F475" i="14" s="1"/>
  <c r="F476" i="14" s="1"/>
  <c r="F477" i="14" s="1"/>
  <c r="F478" i="14" s="1"/>
  <c r="F479" i="14" s="1"/>
  <c r="F480" i="14" s="1"/>
  <c r="F481" i="14" s="1"/>
  <c r="F482" i="14" s="1"/>
  <c r="F483" i="14" s="1"/>
  <c r="F484" i="14" s="1"/>
  <c r="F485" i="14" s="1"/>
  <c r="F486" i="14" s="1"/>
  <c r="F487" i="14" s="1"/>
  <c r="F488" i="14" s="1"/>
  <c r="F489" i="14" s="1"/>
  <c r="F490" i="14" s="1"/>
  <c r="F491" i="14" s="1"/>
  <c r="F492" i="14" s="1"/>
  <c r="F493" i="14" s="1"/>
  <c r="F494" i="14" s="1"/>
  <c r="F495" i="14" s="1"/>
  <c r="F496" i="14" s="1"/>
  <c r="F497" i="14" s="1"/>
  <c r="F498" i="14" s="1"/>
  <c r="F499" i="14" s="1"/>
  <c r="F500" i="14" s="1"/>
  <c r="F501" i="14" s="1"/>
  <c r="F502" i="14" s="1"/>
  <c r="F503" i="14" s="1"/>
  <c r="F504" i="14" s="1"/>
  <c r="F505" i="14" s="1"/>
  <c r="F506" i="14" s="1"/>
  <c r="F507" i="14" s="1"/>
  <c r="F508" i="14" s="1"/>
  <c r="F509" i="14" s="1"/>
  <c r="F510" i="14" s="1"/>
  <c r="F511" i="14" s="1"/>
  <c r="F512" i="14" s="1"/>
  <c r="F513" i="14" s="1"/>
  <c r="F514" i="14" s="1"/>
  <c r="F515" i="14" s="1"/>
  <c r="F516" i="14" s="1"/>
  <c r="F517" i="14" s="1"/>
  <c r="F518" i="14" s="1"/>
  <c r="F519" i="14" s="1"/>
  <c r="F520" i="14" s="1"/>
  <c r="F521" i="14" s="1"/>
  <c r="F522" i="14" s="1"/>
  <c r="F523" i="14" s="1"/>
  <c r="F524" i="14" s="1"/>
  <c r="F525" i="14" s="1"/>
  <c r="F526" i="14" s="1"/>
  <c r="F527" i="14" s="1"/>
  <c r="F528" i="14" s="1"/>
  <c r="F529" i="14" s="1"/>
  <c r="F530" i="14" s="1"/>
  <c r="F531" i="14" s="1"/>
  <c r="F532" i="14" s="1"/>
  <c r="F533" i="14" s="1"/>
  <c r="F534" i="14" s="1"/>
  <c r="F535" i="14" s="1"/>
  <c r="F536" i="14" s="1"/>
  <c r="F537" i="14" s="1"/>
  <c r="F538" i="14" s="1"/>
  <c r="F539" i="14" s="1"/>
  <c r="F540" i="14" s="1"/>
  <c r="F541" i="14" s="1"/>
  <c r="F542" i="14" s="1"/>
  <c r="F543" i="14" s="1"/>
  <c r="F544" i="14" s="1"/>
  <c r="F545" i="14" s="1"/>
  <c r="F546" i="14" s="1"/>
  <c r="F547" i="14" s="1"/>
  <c r="F548" i="14" s="1"/>
  <c r="F549" i="14" s="1"/>
  <c r="F550" i="14" s="1"/>
  <c r="F551" i="14" s="1"/>
  <c r="F552" i="14" s="1"/>
  <c r="F553" i="14" s="1"/>
  <c r="F554" i="14" s="1"/>
  <c r="F555" i="14" s="1"/>
  <c r="F556" i="14" s="1"/>
  <c r="F557" i="14" s="1"/>
  <c r="F558" i="14" s="1"/>
  <c r="F559" i="14" s="1"/>
  <c r="F560" i="14" s="1"/>
  <c r="F561" i="14" s="1"/>
  <c r="F562" i="14" s="1"/>
  <c r="F563" i="14" s="1"/>
  <c r="F564" i="14" s="1"/>
  <c r="F565" i="14" s="1"/>
  <c r="F566" i="14" s="1"/>
  <c r="F567" i="14" s="1"/>
  <c r="F568" i="14" s="1"/>
  <c r="F569" i="14" s="1"/>
  <c r="F570" i="14" s="1"/>
  <c r="F571" i="14" s="1"/>
  <c r="F572" i="14" s="1"/>
  <c r="F573" i="14" s="1"/>
  <c r="F574" i="14" s="1"/>
  <c r="F575" i="14" s="1"/>
  <c r="F576" i="14" s="1"/>
  <c r="F577" i="14" s="1"/>
  <c r="F578" i="14" s="1"/>
  <c r="F579" i="14" s="1"/>
  <c r="F580" i="14" s="1"/>
  <c r="F581" i="14" s="1"/>
  <c r="F582" i="14" s="1"/>
  <c r="F583" i="14" s="1"/>
  <c r="F584" i="14" s="1"/>
  <c r="F585" i="14" s="1"/>
  <c r="F586" i="14" s="1"/>
  <c r="F587" i="14" s="1"/>
  <c r="F588" i="14" s="1"/>
  <c r="F589" i="14" s="1"/>
  <c r="F590" i="14" s="1"/>
  <c r="F591" i="14" s="1"/>
  <c r="F592" i="14" s="1"/>
  <c r="F593" i="14" s="1"/>
  <c r="F594" i="14" s="1"/>
  <c r="F595" i="14" s="1"/>
  <c r="F596" i="14" s="1"/>
  <c r="F597" i="14" s="1"/>
  <c r="F598" i="14" s="1"/>
  <c r="F599" i="14" s="1"/>
  <c r="F600" i="14" s="1"/>
  <c r="F601" i="14" s="1"/>
  <c r="F602" i="14" s="1"/>
  <c r="F603" i="14" s="1"/>
  <c r="F604" i="14" s="1"/>
  <c r="F605" i="14" s="1"/>
  <c r="F606" i="14" s="1"/>
  <c r="F607" i="14" s="1"/>
  <c r="F608" i="14" s="1"/>
  <c r="F609" i="14" s="1"/>
  <c r="F610" i="14" s="1"/>
  <c r="F611" i="14" s="1"/>
  <c r="F612" i="14" s="1"/>
  <c r="F613" i="14" s="1"/>
  <c r="F614" i="14" s="1"/>
  <c r="F615" i="14" s="1"/>
  <c r="F616" i="14" s="1"/>
  <c r="F617" i="14" s="1"/>
  <c r="F618" i="14" s="1"/>
  <c r="F619" i="14" s="1"/>
  <c r="F620" i="14" s="1"/>
  <c r="F621" i="14" s="1"/>
  <c r="F622" i="14" s="1"/>
  <c r="F623" i="14" s="1"/>
  <c r="F624" i="14" s="1"/>
  <c r="F625" i="14" s="1"/>
  <c r="F626" i="14" s="1"/>
  <c r="F627" i="14" s="1"/>
  <c r="F628" i="14" s="1"/>
  <c r="F629" i="14" s="1"/>
  <c r="F630" i="14" s="1"/>
  <c r="F631" i="14" s="1"/>
  <c r="F632" i="14" s="1"/>
  <c r="F633" i="14" s="1"/>
  <c r="F634" i="14" s="1"/>
  <c r="F635" i="14" s="1"/>
  <c r="F636" i="14" s="1"/>
  <c r="F637" i="14" s="1"/>
  <c r="F638" i="14" s="1"/>
  <c r="F639" i="14" s="1"/>
  <c r="F640" i="14" s="1"/>
  <c r="F641" i="14" s="1"/>
  <c r="F642" i="14" s="1"/>
  <c r="F643" i="14" s="1"/>
  <c r="F644" i="14" s="1"/>
  <c r="F645" i="14" s="1"/>
  <c r="F646" i="14" s="1"/>
  <c r="F647" i="14" s="1"/>
  <c r="F648" i="14" s="1"/>
  <c r="F649" i="14" s="1"/>
  <c r="F650" i="14" s="1"/>
  <c r="F651" i="14" s="1"/>
  <c r="F652" i="14" s="1"/>
  <c r="F653" i="14" s="1"/>
  <c r="F654" i="14" s="1"/>
  <c r="F655" i="14" s="1"/>
  <c r="F656" i="14" s="1"/>
  <c r="F657" i="14" s="1"/>
  <c r="F658" i="14" s="1"/>
  <c r="F659" i="14" s="1"/>
  <c r="F660" i="14" s="1"/>
  <c r="F661" i="14" s="1"/>
  <c r="F662" i="14" s="1"/>
  <c r="F663" i="14" s="1"/>
  <c r="F664" i="14" s="1"/>
  <c r="F665" i="14" s="1"/>
  <c r="F666" i="14" s="1"/>
  <c r="F667" i="14" s="1"/>
  <c r="F668" i="14" s="1"/>
  <c r="F669" i="14" s="1"/>
  <c r="F670" i="14" s="1"/>
  <c r="F671" i="14" s="1"/>
  <c r="F672" i="14" s="1"/>
  <c r="F673" i="14" s="1"/>
  <c r="F674" i="14" s="1"/>
  <c r="F675" i="14" s="1"/>
  <c r="F676" i="14" s="1"/>
  <c r="F677" i="14" s="1"/>
  <c r="F678" i="14" s="1"/>
  <c r="F679" i="14" s="1"/>
  <c r="F680" i="14" s="1"/>
  <c r="F681" i="14" s="1"/>
  <c r="F682" i="14" s="1"/>
  <c r="F683" i="14" s="1"/>
  <c r="F684" i="14" s="1"/>
  <c r="F685" i="14" s="1"/>
  <c r="F686" i="14" s="1"/>
  <c r="F687" i="14" s="1"/>
  <c r="F688" i="14" s="1"/>
  <c r="F689" i="14" s="1"/>
  <c r="F690" i="14" s="1"/>
  <c r="F691" i="14" s="1"/>
  <c r="F692" i="14" s="1"/>
  <c r="F693" i="14" s="1"/>
  <c r="F694" i="14" s="1"/>
  <c r="F695" i="14" s="1"/>
  <c r="F696" i="14" s="1"/>
  <c r="F697" i="14" s="1"/>
  <c r="F698" i="14" s="1"/>
  <c r="F699" i="14" s="1"/>
  <c r="F700" i="14" s="1"/>
  <c r="F701" i="14" s="1"/>
  <c r="F702" i="14" s="1"/>
  <c r="F703" i="14" s="1"/>
  <c r="F704" i="14" s="1"/>
  <c r="F705" i="14" s="1"/>
  <c r="F706" i="14" s="1"/>
  <c r="F707" i="14" s="1"/>
  <c r="F708" i="14" s="1"/>
  <c r="F709" i="14" s="1"/>
  <c r="F710" i="14" s="1"/>
  <c r="F711" i="14" s="1"/>
  <c r="F712" i="14" s="1"/>
  <c r="F713" i="14" s="1"/>
  <c r="F714" i="14" s="1"/>
  <c r="F715" i="14" s="1"/>
  <c r="F716" i="14" s="1"/>
  <c r="F717" i="14" s="1"/>
  <c r="F718" i="14" s="1"/>
  <c r="F719" i="14" s="1"/>
  <c r="F720" i="14" s="1"/>
  <c r="F721" i="14" s="1"/>
  <c r="F722" i="14" s="1"/>
  <c r="F723" i="14" s="1"/>
  <c r="F724" i="14" s="1"/>
  <c r="F725" i="14" s="1"/>
  <c r="F726" i="14" s="1"/>
  <c r="F727" i="14" s="1"/>
  <c r="F728" i="14" s="1"/>
  <c r="F729" i="14" s="1"/>
  <c r="F730" i="14" s="1"/>
  <c r="F731" i="14" s="1"/>
  <c r="F732" i="14" s="1"/>
  <c r="F733" i="14" s="1"/>
  <c r="F734" i="14" s="1"/>
  <c r="F735" i="14" s="1"/>
  <c r="F736" i="14" s="1"/>
  <c r="F737" i="14" s="1"/>
  <c r="F738" i="14" s="1"/>
  <c r="F739" i="14" s="1"/>
  <c r="F740" i="14" s="1"/>
  <c r="F741" i="14" s="1"/>
  <c r="F742" i="14" s="1"/>
  <c r="F743" i="14" s="1"/>
  <c r="F744" i="14" s="1"/>
  <c r="F745" i="14" s="1"/>
  <c r="F746" i="14" s="1"/>
  <c r="F747" i="14" s="1"/>
  <c r="F748" i="14" s="1"/>
  <c r="F749" i="14" s="1"/>
  <c r="F750" i="14" s="1"/>
  <c r="F751" i="14" s="1"/>
  <c r="F752" i="14" s="1"/>
  <c r="F753" i="14" s="1"/>
  <c r="F754" i="14" s="1"/>
  <c r="F755" i="14" s="1"/>
  <c r="F756" i="14" s="1"/>
  <c r="F757" i="14" s="1"/>
  <c r="F758" i="14" s="1"/>
  <c r="F759" i="14" s="1"/>
  <c r="F760" i="14" s="1"/>
  <c r="F761" i="14" s="1"/>
  <c r="F762" i="14" s="1"/>
  <c r="F763" i="14" s="1"/>
  <c r="F764" i="14" s="1"/>
  <c r="F765" i="14" s="1"/>
  <c r="F766" i="14" s="1"/>
  <c r="F767" i="14" s="1"/>
  <c r="F768" i="14" s="1"/>
  <c r="F769" i="14" s="1"/>
  <c r="F770" i="14" s="1"/>
  <c r="F771" i="14" s="1"/>
  <c r="F772" i="14" s="1"/>
  <c r="F773" i="14" s="1"/>
  <c r="F774" i="14" s="1"/>
  <c r="F775" i="14" s="1"/>
  <c r="F776" i="14" s="1"/>
  <c r="F777" i="14" s="1"/>
  <c r="F778" i="14" s="1"/>
  <c r="F779" i="14" s="1"/>
  <c r="F780" i="14" s="1"/>
  <c r="F781" i="14" s="1"/>
  <c r="F782" i="14" s="1"/>
  <c r="F783" i="14" s="1"/>
  <c r="F784" i="14" s="1"/>
  <c r="F785" i="14" s="1"/>
  <c r="F786" i="14" s="1"/>
  <c r="F787" i="14" s="1"/>
  <c r="F788" i="14" s="1"/>
  <c r="F789" i="14" s="1"/>
  <c r="F790" i="14" s="1"/>
  <c r="F791" i="14" s="1"/>
  <c r="F792" i="14" s="1"/>
  <c r="F793" i="14" s="1"/>
  <c r="F794" i="14" s="1"/>
  <c r="F795" i="14" s="1"/>
  <c r="F796" i="14" s="1"/>
  <c r="F797" i="14" s="1"/>
  <c r="F798" i="14" s="1"/>
  <c r="F799" i="14" s="1"/>
  <c r="F800" i="14" s="1"/>
  <c r="F801" i="14" s="1"/>
  <c r="F802" i="14" s="1"/>
  <c r="F803" i="14" s="1"/>
  <c r="F804" i="14" s="1"/>
  <c r="F805" i="14" s="1"/>
  <c r="F806" i="14" s="1"/>
  <c r="F807" i="14" s="1"/>
  <c r="F808" i="14" s="1"/>
  <c r="F809" i="14" s="1"/>
  <c r="F810" i="14" s="1"/>
  <c r="F811" i="14" s="1"/>
  <c r="F812" i="14" s="1"/>
  <c r="F813" i="14" s="1"/>
  <c r="F814" i="14" s="1"/>
  <c r="F815" i="14" s="1"/>
  <c r="F816" i="14" s="1"/>
  <c r="F817" i="14" s="1"/>
  <c r="F818" i="14" s="1"/>
  <c r="F819" i="14" s="1"/>
  <c r="F820" i="14" s="1"/>
  <c r="F821" i="14" s="1"/>
  <c r="F822" i="14" s="1"/>
  <c r="F823" i="14" s="1"/>
  <c r="F824" i="14" s="1"/>
  <c r="F825" i="14" s="1"/>
  <c r="F826" i="14" s="1"/>
  <c r="F827" i="14" s="1"/>
  <c r="F828" i="14" s="1"/>
  <c r="F829" i="14" s="1"/>
  <c r="F830" i="14" s="1"/>
  <c r="F831" i="14" s="1"/>
  <c r="F832" i="14" s="1"/>
  <c r="F833" i="14" s="1"/>
  <c r="F834" i="14" s="1"/>
  <c r="F835" i="14" s="1"/>
  <c r="F836" i="14" s="1"/>
  <c r="F837" i="14" s="1"/>
  <c r="F838" i="14" s="1"/>
  <c r="F839" i="14" s="1"/>
  <c r="F840" i="14" s="1"/>
  <c r="F841" i="14" s="1"/>
  <c r="F842" i="14" s="1"/>
  <c r="F843" i="14" s="1"/>
  <c r="F844" i="14" s="1"/>
  <c r="F845" i="14" s="1"/>
  <c r="F846" i="14" s="1"/>
  <c r="F847" i="14" s="1"/>
  <c r="F848" i="14" s="1"/>
  <c r="F849" i="14" s="1"/>
  <c r="F850" i="14" s="1"/>
  <c r="F851" i="14" s="1"/>
  <c r="F852" i="14" s="1"/>
  <c r="F853" i="14" s="1"/>
  <c r="F854" i="14" s="1"/>
  <c r="F855" i="14" s="1"/>
  <c r="F856" i="14" s="1"/>
  <c r="F857" i="14" s="1"/>
  <c r="F858" i="14" s="1"/>
  <c r="F859" i="14" s="1"/>
  <c r="F860" i="14" s="1"/>
  <c r="F861" i="14" s="1"/>
  <c r="F862" i="14" s="1"/>
  <c r="F863" i="14" s="1"/>
  <c r="F864" i="14" s="1"/>
  <c r="F1035" i="14"/>
  <c r="F1036" i="14" s="1"/>
  <c r="F956" i="14"/>
  <c r="F957" i="14" s="1"/>
  <c r="F958" i="14" s="1"/>
  <c r="F959" i="14" s="1"/>
  <c r="F960" i="14" s="1"/>
  <c r="F961" i="14" s="1"/>
  <c r="F962" i="14" s="1"/>
  <c r="F963" i="14" s="1"/>
  <c r="F964" i="14" s="1"/>
  <c r="F965" i="14" s="1"/>
  <c r="F966" i="14" s="1"/>
  <c r="F967" i="14" s="1"/>
  <c r="F968" i="14" s="1"/>
  <c r="F969" i="14" s="1"/>
  <c r="F970" i="14" s="1"/>
  <c r="F971" i="14" s="1"/>
  <c r="F972" i="14" s="1"/>
  <c r="F973" i="14" s="1"/>
  <c r="F974" i="14" s="1"/>
  <c r="F975" i="14" s="1"/>
  <c r="F976" i="14" s="1"/>
  <c r="F977" i="14" s="1"/>
  <c r="F978" i="14" s="1"/>
  <c r="F979" i="14" s="1"/>
  <c r="F980" i="14" s="1"/>
  <c r="F981" i="14" s="1"/>
  <c r="F982" i="14" s="1"/>
  <c r="F983" i="14" s="1"/>
  <c r="F984" i="14" s="1"/>
  <c r="F985" i="14" s="1"/>
  <c r="F986" i="14" s="1"/>
  <c r="F987" i="14" s="1"/>
  <c r="F988" i="14" s="1"/>
  <c r="F989" i="14" s="1"/>
  <c r="K43" i="9"/>
  <c r="J42" i="9"/>
  <c r="I42" i="9"/>
  <c r="J32" i="9"/>
  <c r="I32" i="9"/>
  <c r="J18" i="9"/>
  <c r="I18" i="9"/>
  <c r="J8" i="9"/>
  <c r="I8" i="9"/>
  <c r="F126" i="20" l="1"/>
  <c r="F127" i="20" s="1"/>
  <c r="F128" i="20" s="1"/>
  <c r="F129" i="20" s="1"/>
  <c r="F130" i="20" s="1"/>
  <c r="F131" i="20" s="1"/>
  <c r="F132" i="20" s="1"/>
  <c r="F133" i="20" s="1"/>
  <c r="F134" i="20" s="1"/>
  <c r="F135" i="20" s="1"/>
  <c r="F136" i="20" s="1"/>
  <c r="F137" i="20" s="1"/>
  <c r="F138" i="20" s="1"/>
  <c r="F139" i="20" s="1"/>
  <c r="F140" i="20" s="1"/>
  <c r="F141" i="20" s="1"/>
  <c r="F142" i="20" s="1"/>
  <c r="F143" i="20" s="1"/>
  <c r="F144" i="20" s="1"/>
  <c r="F145" i="20" s="1"/>
  <c r="F146" i="20" s="1"/>
  <c r="F147" i="20" s="1"/>
  <c r="F148" i="20" s="1"/>
  <c r="F149" i="20" s="1"/>
  <c r="F150" i="20" s="1"/>
  <c r="F151" i="20" s="1"/>
  <c r="F152" i="20" s="1"/>
  <c r="F153" i="20" s="1"/>
  <c r="F154" i="20" s="1"/>
  <c r="F155" i="20" s="1"/>
  <c r="F156" i="20" s="1"/>
  <c r="F157" i="20" s="1"/>
  <c r="F158" i="20" s="1"/>
  <c r="F159" i="20" s="1"/>
  <c r="F160" i="20" s="1"/>
  <c r="F161" i="20" s="1"/>
  <c r="F162" i="20" s="1"/>
  <c r="F163" i="20" s="1"/>
  <c r="F164" i="20" s="1"/>
  <c r="F165" i="20" s="1"/>
  <c r="F166" i="20" s="1"/>
  <c r="F167" i="20" s="1"/>
  <c r="F168" i="20" s="1"/>
  <c r="F169" i="20" s="1"/>
  <c r="F170" i="20" s="1"/>
  <c r="F171" i="20" s="1"/>
  <c r="F172" i="20" s="1"/>
  <c r="F173" i="20" s="1"/>
  <c r="F174" i="20" s="1"/>
  <c r="F175" i="20" s="1"/>
  <c r="F176" i="20" s="1"/>
  <c r="F177" i="20" s="1"/>
  <c r="F178" i="20" s="1"/>
  <c r="F179" i="20" s="1"/>
  <c r="F180" i="20" s="1"/>
  <c r="F181" i="20" s="1"/>
  <c r="F182" i="20" s="1"/>
  <c r="F183" i="20" s="1"/>
  <c r="F184" i="20" s="1"/>
  <c r="F185" i="20" s="1"/>
  <c r="F186" i="20" s="1"/>
  <c r="F187" i="20" s="1"/>
  <c r="F188" i="20" s="1"/>
  <c r="F189" i="20" s="1"/>
  <c r="F190" i="20" s="1"/>
  <c r="F191" i="20" s="1"/>
  <c r="F865" i="14"/>
  <c r="F866" i="14" s="1"/>
  <c r="F867" i="14" s="1"/>
  <c r="F868" i="14" s="1"/>
  <c r="F869" i="14" s="1"/>
  <c r="F870" i="14" s="1"/>
  <c r="F871" i="14" s="1"/>
  <c r="F872" i="14" s="1"/>
  <c r="F1037" i="14"/>
  <c r="F1038" i="14" s="1"/>
  <c r="F1039" i="14" s="1"/>
  <c r="F1040" i="14" s="1"/>
  <c r="F1041" i="14" s="1"/>
  <c r="F1042" i="14" s="1"/>
  <c r="F1043" i="14" s="1"/>
  <c r="F1044" i="14" s="1"/>
  <c r="F1045" i="14" s="1"/>
  <c r="F1046" i="14" s="1"/>
  <c r="F1047" i="14" s="1"/>
  <c r="F1048" i="14" s="1"/>
  <c r="F1049" i="14" s="1"/>
  <c r="F1050" i="14" s="1"/>
  <c r="F1051" i="14" s="1"/>
  <c r="F1052" i="14" s="1"/>
  <c r="K9" i="9"/>
  <c r="K19" i="9"/>
  <c r="K33" i="9"/>
  <c r="F192" i="20" l="1"/>
  <c r="F193" i="20" s="1"/>
  <c r="F194" i="20" s="1"/>
  <c r="F1057" i="14"/>
  <c r="F1058" i="14" s="1"/>
  <c r="F1059" i="14" s="1"/>
  <c r="F1060" i="14" s="1"/>
  <c r="F1061" i="14" s="1"/>
  <c r="F1062" i="14" s="1"/>
  <c r="F1063" i="14" s="1"/>
  <c r="F1064" i="14" s="1"/>
  <c r="F1065" i="14" s="1"/>
  <c r="F1066" i="14" s="1"/>
  <c r="F1067" i="14" s="1"/>
  <c r="F1068" i="14" s="1"/>
  <c r="F1069" i="14" s="1"/>
  <c r="F1070" i="14" s="1"/>
  <c r="F1071" i="14" s="1"/>
  <c r="F1072" i="14" s="1"/>
  <c r="F1073" i="14" s="1"/>
  <c r="F1074" i="14" s="1"/>
  <c r="F1075" i="14" s="1"/>
  <c r="F1076" i="14" s="1"/>
  <c r="F1077" i="14" s="1"/>
  <c r="F1078" i="14" s="1"/>
  <c r="F1079" i="14" s="1"/>
  <c r="F1080" i="14" s="1"/>
  <c r="F1081" i="14" s="1"/>
  <c r="F1053" i="14"/>
  <c r="F1054" i="14" s="1"/>
  <c r="K51" i="9"/>
  <c r="D474" i="2"/>
  <c r="F195" i="20" l="1"/>
  <c r="F196" i="20" s="1"/>
  <c r="F197" i="20" s="1"/>
  <c r="F198" i="20" s="1"/>
  <c r="F199" i="20" s="1"/>
  <c r="F200" i="20" s="1"/>
  <c r="F201" i="20" s="1"/>
  <c r="F202" i="20" s="1"/>
  <c r="F203" i="20" s="1"/>
  <c r="F204" i="20" s="1"/>
  <c r="F205" i="20" s="1"/>
  <c r="F206" i="20" s="1"/>
  <c r="F207" i="20" s="1"/>
  <c r="F208" i="20" s="1"/>
  <c r="F209" i="20" s="1"/>
  <c r="F210" i="20" s="1"/>
  <c r="F211" i="20" s="1"/>
  <c r="F212" i="20" s="1"/>
  <c r="F213" i="20" s="1"/>
  <c r="F214" i="20" s="1"/>
  <c r="F215" i="20" s="1"/>
  <c r="F216" i="20" s="1"/>
  <c r="F217" i="20" s="1"/>
  <c r="M40" i="13"/>
  <c r="L40" i="13"/>
  <c r="M39" i="13"/>
  <c r="L39" i="13"/>
  <c r="M38" i="13"/>
  <c r="L38" i="13"/>
  <c r="M35" i="13"/>
  <c r="L35" i="13"/>
  <c r="M34" i="13"/>
  <c r="L34" i="13"/>
  <c r="M33" i="13"/>
  <c r="L33" i="13"/>
  <c r="M30" i="13"/>
  <c r="L30" i="13"/>
  <c r="M29" i="13"/>
  <c r="M28" i="13"/>
  <c r="L28" i="13"/>
  <c r="M27" i="13"/>
  <c r="M26" i="13"/>
  <c r="M25" i="13"/>
  <c r="L25" i="13"/>
  <c r="M24" i="13"/>
  <c r="M23" i="13"/>
  <c r="M22" i="13"/>
  <c r="L22" i="13"/>
  <c r="M21" i="13"/>
  <c r="L21" i="13"/>
  <c r="M18" i="13"/>
  <c r="L18" i="13"/>
  <c r="M17" i="13"/>
  <c r="L17" i="13"/>
  <c r="M16" i="13"/>
  <c r="L16" i="13"/>
  <c r="M13" i="13"/>
  <c r="L13" i="13"/>
  <c r="M12" i="13"/>
  <c r="L12" i="13"/>
  <c r="M11" i="13"/>
  <c r="L11" i="13"/>
  <c r="L7" i="13"/>
  <c r="M7" i="13"/>
  <c r="L8" i="13"/>
  <c r="M8" i="13"/>
  <c r="M6" i="13"/>
  <c r="L6" i="13"/>
  <c r="I24" i="13"/>
  <c r="L24" i="13" s="1"/>
  <c r="I23" i="13"/>
  <c r="L23" i="13" s="1"/>
  <c r="I29" i="13"/>
  <c r="L29" i="13" s="1"/>
  <c r="I27" i="13"/>
  <c r="L27" i="13" s="1"/>
  <c r="I26" i="13"/>
  <c r="L26" i="13" s="1"/>
  <c r="K42" i="13"/>
  <c r="J41" i="13"/>
  <c r="I41" i="13"/>
  <c r="J36" i="13"/>
  <c r="I36" i="13"/>
  <c r="J31" i="13"/>
  <c r="J19" i="13"/>
  <c r="I19" i="13"/>
  <c r="K15" i="13"/>
  <c r="J14" i="13"/>
  <c r="I14" i="13"/>
  <c r="J9" i="13"/>
  <c r="I9" i="13"/>
  <c r="H42" i="13"/>
  <c r="G41" i="13"/>
  <c r="F41" i="13"/>
  <c r="D41" i="13"/>
  <c r="C41" i="13"/>
  <c r="G36" i="13"/>
  <c r="F36" i="13"/>
  <c r="H37" i="13" s="1"/>
  <c r="D36" i="13"/>
  <c r="C36" i="13"/>
  <c r="G31" i="13"/>
  <c r="F31" i="13"/>
  <c r="D31" i="13"/>
  <c r="C31" i="13"/>
  <c r="G19" i="13"/>
  <c r="F19" i="13"/>
  <c r="D19" i="13"/>
  <c r="C19" i="13"/>
  <c r="H15" i="13"/>
  <c r="G14" i="13"/>
  <c r="F14" i="13"/>
  <c r="D14" i="13"/>
  <c r="C14" i="13"/>
  <c r="G9" i="13"/>
  <c r="F9" i="13"/>
  <c r="D9" i="13"/>
  <c r="C9" i="13"/>
  <c r="E10" i="13" s="1"/>
  <c r="F218" i="20" l="1"/>
  <c r="F219" i="20" s="1"/>
  <c r="F220" i="20" s="1"/>
  <c r="F221" i="20" s="1"/>
  <c r="F222" i="20" s="1"/>
  <c r="F223" i="20" s="1"/>
  <c r="F224" i="20" s="1"/>
  <c r="F225" i="20" s="1"/>
  <c r="F226" i="20" s="1"/>
  <c r="F227" i="20" s="1"/>
  <c r="F228" i="20" s="1"/>
  <c r="F229" i="20" s="1"/>
  <c r="F230" i="20" s="1"/>
  <c r="F231" i="20" s="1"/>
  <c r="F232" i="20" s="1"/>
  <c r="F233" i="20" s="1"/>
  <c r="F234" i="20" s="1"/>
  <c r="F235" i="20" s="1"/>
  <c r="F236" i="20" s="1"/>
  <c r="F237" i="20" s="1"/>
  <c r="F238" i="20" s="1"/>
  <c r="F239" i="20" s="1"/>
  <c r="F240" i="20" s="1"/>
  <c r="F241" i="20" s="1"/>
  <c r="F242" i="20" s="1"/>
  <c r="F243" i="20" s="1"/>
  <c r="F244" i="20" s="1"/>
  <c r="F245" i="20" s="1"/>
  <c r="F246" i="20" s="1"/>
  <c r="F247" i="20" s="1"/>
  <c r="F248" i="20" s="1"/>
  <c r="F249" i="20" s="1"/>
  <c r="F250" i="20" s="1"/>
  <c r="F251" i="20" s="1"/>
  <c r="F252" i="20" s="1"/>
  <c r="F253" i="20" s="1"/>
  <c r="F254" i="20" s="1"/>
  <c r="F255" i="20" s="1"/>
  <c r="F256" i="20" s="1"/>
  <c r="F257" i="20" s="1"/>
  <c r="F258" i="20" s="1"/>
  <c r="F259" i="20" s="1"/>
  <c r="F260" i="20" s="1"/>
  <c r="F261" i="20" s="1"/>
  <c r="F262" i="20" s="1"/>
  <c r="F263" i="20" s="1"/>
  <c r="F264" i="20" s="1"/>
  <c r="F265" i="20" s="1"/>
  <c r="F266" i="20" s="1"/>
  <c r="F267" i="20" s="1"/>
  <c r="F268" i="20" s="1"/>
  <c r="F269" i="20" s="1"/>
  <c r="F270" i="20" s="1"/>
  <c r="F271" i="20" s="1"/>
  <c r="F272" i="20" s="1"/>
  <c r="F273" i="20" s="1"/>
  <c r="F274" i="20" s="1"/>
  <c r="F275" i="20" s="1"/>
  <c r="F276" i="20" s="1"/>
  <c r="F277" i="20" s="1"/>
  <c r="F278" i="20" s="1"/>
  <c r="F279" i="20" s="1"/>
  <c r="F280" i="20" s="1"/>
  <c r="F281" i="20" s="1"/>
  <c r="F282" i="20" s="1"/>
  <c r="F283" i="20" s="1"/>
  <c r="F284" i="20" s="1"/>
  <c r="F285" i="20" s="1"/>
  <c r="F286" i="20" s="1"/>
  <c r="F287" i="20" s="1"/>
  <c r="F288" i="20" s="1"/>
  <c r="F289" i="20" s="1"/>
  <c r="F290" i="20" s="1"/>
  <c r="F291" i="20" s="1"/>
  <c r="F292" i="20" s="1"/>
  <c r="F293" i="20" s="1"/>
  <c r="F294" i="20" s="1"/>
  <c r="F295" i="20" s="1"/>
  <c r="F296" i="20" s="1"/>
  <c r="F297" i="20" s="1"/>
  <c r="F298" i="20" s="1"/>
  <c r="F299" i="20" s="1"/>
  <c r="F300" i="20" s="1"/>
  <c r="F301" i="20" s="1"/>
  <c r="F302" i="20" s="1"/>
  <c r="F303" i="20" s="1"/>
  <c r="F304" i="20" s="1"/>
  <c r="F305" i="20" s="1"/>
  <c r="F306" i="20" s="1"/>
  <c r="F307" i="20" s="1"/>
  <c r="F308" i="20" s="1"/>
  <c r="F309" i="20" s="1"/>
  <c r="F310" i="20" s="1"/>
  <c r="F311" i="20" s="1"/>
  <c r="F312" i="20" s="1"/>
  <c r="F313" i="20" s="1"/>
  <c r="F314" i="20" s="1"/>
  <c r="F315" i="20" s="1"/>
  <c r="F316" i="20" s="1"/>
  <c r="F317" i="20" s="1"/>
  <c r="F318" i="20" s="1"/>
  <c r="F319" i="20" s="1"/>
  <c r="F320" i="20" s="1"/>
  <c r="F321" i="20" s="1"/>
  <c r="F322" i="20" s="1"/>
  <c r="F323" i="20" s="1"/>
  <c r="F324" i="20" s="1"/>
  <c r="F325" i="20" s="1"/>
  <c r="F326" i="20" s="1"/>
  <c r="F327" i="20" s="1"/>
  <c r="F328" i="20" s="1"/>
  <c r="F329" i="20" s="1"/>
  <c r="F330" i="20" s="1"/>
  <c r="F331" i="20" s="1"/>
  <c r="F332" i="20" s="1"/>
  <c r="F333" i="20" s="1"/>
  <c r="F334" i="20" s="1"/>
  <c r="F335" i="20" s="1"/>
  <c r="F336" i="20" s="1"/>
  <c r="F337" i="20" s="1"/>
  <c r="F338" i="20" s="1"/>
  <c r="F339" i="20" s="1"/>
  <c r="F340" i="20" s="1"/>
  <c r="F341" i="20" s="1"/>
  <c r="F342" i="20" s="1"/>
  <c r="F343" i="20" s="1"/>
  <c r="F344" i="20" s="1"/>
  <c r="F345" i="20" s="1"/>
  <c r="F346" i="20" s="1"/>
  <c r="F347" i="20" s="1"/>
  <c r="F348" i="20" s="1"/>
  <c r="F349" i="20" s="1"/>
  <c r="F350" i="20" s="1"/>
  <c r="F351" i="20" s="1"/>
  <c r="F352" i="20" s="1"/>
  <c r="F353" i="20" s="1"/>
  <c r="F354" i="20" s="1"/>
  <c r="F355" i="20" s="1"/>
  <c r="F356" i="20" s="1"/>
  <c r="F357" i="20" s="1"/>
  <c r="F358" i="20" s="1"/>
  <c r="F359" i="20" s="1"/>
  <c r="F360" i="20" s="1"/>
  <c r="F361" i="20" s="1"/>
  <c r="F362" i="20" s="1"/>
  <c r="F363" i="20" s="1"/>
  <c r="F364" i="20" s="1"/>
  <c r="F365" i="20" s="1"/>
  <c r="F366" i="20" s="1"/>
  <c r="F367" i="20" s="1"/>
  <c r="F368" i="20" s="1"/>
  <c r="F369" i="20" s="1"/>
  <c r="F370" i="20" s="1"/>
  <c r="F371" i="20" s="1"/>
  <c r="F372" i="20" s="1"/>
  <c r="F373" i="20" s="1"/>
  <c r="F374" i="20" s="1"/>
  <c r="F375" i="20" s="1"/>
  <c r="F376" i="20" s="1"/>
  <c r="F377" i="20" s="1"/>
  <c r="F378" i="20" s="1"/>
  <c r="F379" i="20" s="1"/>
  <c r="F380" i="20" s="1"/>
  <c r="F381" i="20" s="1"/>
  <c r="F382" i="20" s="1"/>
  <c r="F383" i="20" s="1"/>
  <c r="F384" i="20" s="1"/>
  <c r="F385" i="20" s="1"/>
  <c r="F386" i="20" s="1"/>
  <c r="F387" i="20" s="1"/>
  <c r="F388" i="20" s="1"/>
  <c r="F389" i="20" s="1"/>
  <c r="F390" i="20" s="1"/>
  <c r="F391" i="20" s="1"/>
  <c r="F392" i="20" s="1"/>
  <c r="F393" i="20" s="1"/>
  <c r="F394" i="20" s="1"/>
  <c r="F395" i="20" s="1"/>
  <c r="F396" i="20" s="1"/>
  <c r="F397" i="20" s="1"/>
  <c r="F398" i="20" s="1"/>
  <c r="F399" i="20" s="1"/>
  <c r="F400" i="20" s="1"/>
  <c r="F401" i="20" s="1"/>
  <c r="F402" i="20" s="1"/>
  <c r="F403" i="20" s="1"/>
  <c r="F404" i="20" s="1"/>
  <c r="F405" i="20" s="1"/>
  <c r="F406" i="20" s="1"/>
  <c r="F407" i="20" s="1"/>
  <c r="F408" i="20" s="1"/>
  <c r="F409" i="20" s="1"/>
  <c r="F410" i="20" s="1"/>
  <c r="F411" i="20" s="1"/>
  <c r="F412" i="20" s="1"/>
  <c r="F413" i="20" s="1"/>
  <c r="F414" i="20" s="1"/>
  <c r="F415" i="20" s="1"/>
  <c r="F416" i="20" s="1"/>
  <c r="F417" i="20" s="1"/>
  <c r="F418" i="20" s="1"/>
  <c r="F419" i="20" s="1"/>
  <c r="F420" i="20" s="1"/>
  <c r="F421" i="20" s="1"/>
  <c r="F422" i="20" s="1"/>
  <c r="F423" i="20" s="1"/>
  <c r="F424" i="20" s="1"/>
  <c r="F425" i="20" s="1"/>
  <c r="F426" i="20" s="1"/>
  <c r="F427" i="20" s="1"/>
  <c r="F428" i="20" s="1"/>
  <c r="F429" i="20" s="1"/>
  <c r="F430" i="20" s="1"/>
  <c r="F431" i="20" s="1"/>
  <c r="F432" i="20" s="1"/>
  <c r="F433" i="20" s="1"/>
  <c r="F434" i="20" s="1"/>
  <c r="F435" i="20" s="1"/>
  <c r="F436" i="20" s="1"/>
  <c r="F437" i="20" s="1"/>
  <c r="F438" i="20" s="1"/>
  <c r="F439" i="20" s="1"/>
  <c r="F440" i="20" s="1"/>
  <c r="F441" i="20" s="1"/>
  <c r="F442" i="20" s="1"/>
  <c r="F443" i="20" s="1"/>
  <c r="F444" i="20" s="1"/>
  <c r="F445" i="20" s="1"/>
  <c r="F446" i="20" s="1"/>
  <c r="F447" i="20" s="1"/>
  <c r="F448" i="20" s="1"/>
  <c r="F449" i="20" s="1"/>
  <c r="F450" i="20" s="1"/>
  <c r="F451" i="20" s="1"/>
  <c r="F452" i="20" s="1"/>
  <c r="F453" i="20" s="1"/>
  <c r="F454" i="20" s="1"/>
  <c r="F455" i="20" s="1"/>
  <c r="F456" i="20" s="1"/>
  <c r="F457" i="20" s="1"/>
  <c r="F458" i="20" s="1"/>
  <c r="F459" i="20" s="1"/>
  <c r="F460" i="20" s="1"/>
  <c r="F461" i="20" s="1"/>
  <c r="F462" i="20" s="1"/>
  <c r="F463" i="20" s="1"/>
  <c r="F464" i="20" s="1"/>
  <c r="F465" i="20" s="1"/>
  <c r="F466" i="20" s="1"/>
  <c r="F467" i="20" s="1"/>
  <c r="F468" i="20" s="1"/>
  <c r="F469" i="20" s="1"/>
  <c r="F470" i="20" s="1"/>
  <c r="F471" i="20" s="1"/>
  <c r="F472" i="20" s="1"/>
  <c r="F473" i="20" s="1"/>
  <c r="F474" i="20" s="1"/>
  <c r="F475" i="20" s="1"/>
  <c r="F476" i="20" s="1"/>
  <c r="F477" i="20" s="1"/>
  <c r="F478" i="20" s="1"/>
  <c r="F479" i="20" s="1"/>
  <c r="F480" i="20" s="1"/>
  <c r="F481" i="20" s="1"/>
  <c r="F482" i="20" s="1"/>
  <c r="F483" i="20" s="1"/>
  <c r="F484" i="20" s="1"/>
  <c r="F485" i="20" s="1"/>
  <c r="F486" i="20" s="1"/>
  <c r="F487" i="20" s="1"/>
  <c r="F488" i="20" s="1"/>
  <c r="F489" i="20" s="1"/>
  <c r="F490" i="20" s="1"/>
  <c r="F491" i="20" s="1"/>
  <c r="F492" i="20" s="1"/>
  <c r="F493" i="20" s="1"/>
  <c r="F494" i="20" s="1"/>
  <c r="F495" i="20" s="1"/>
  <c r="F496" i="20" s="1"/>
  <c r="F497" i="20" s="1"/>
  <c r="F498" i="20" s="1"/>
  <c r="F499" i="20" s="1"/>
  <c r="F500" i="20" s="1"/>
  <c r="F501" i="20" s="1"/>
  <c r="F502" i="20" s="1"/>
  <c r="F503" i="20" s="1"/>
  <c r="F504" i="20" s="1"/>
  <c r="F505" i="20" s="1"/>
  <c r="F506" i="20" s="1"/>
  <c r="F507" i="20" s="1"/>
  <c r="F508" i="20" s="1"/>
  <c r="F509" i="20" s="1"/>
  <c r="F510" i="20" s="1"/>
  <c r="F511" i="20" s="1"/>
  <c r="F512" i="20" s="1"/>
  <c r="F513" i="20" s="1"/>
  <c r="F514" i="20" s="1"/>
  <c r="F515" i="20" s="1"/>
  <c r="F516" i="20" s="1"/>
  <c r="F517" i="20" s="1"/>
  <c r="F518" i="20" s="1"/>
  <c r="F519" i="20" s="1"/>
  <c r="F520" i="20" s="1"/>
  <c r="F521" i="20" s="1"/>
  <c r="F522" i="20" s="1"/>
  <c r="F523" i="20" s="1"/>
  <c r="F524" i="20" s="1"/>
  <c r="F525" i="20" s="1"/>
  <c r="F526" i="20" s="1"/>
  <c r="F527" i="20" s="1"/>
  <c r="F528" i="20" s="1"/>
  <c r="F529" i="20" s="1"/>
  <c r="F530" i="20" s="1"/>
  <c r="F531" i="20" s="1"/>
  <c r="F532" i="20" s="1"/>
  <c r="F533" i="20" s="1"/>
  <c r="F534" i="20" s="1"/>
  <c r="F535" i="20" s="1"/>
  <c r="F536" i="20" s="1"/>
  <c r="F537" i="20" s="1"/>
  <c r="F538" i="20" s="1"/>
  <c r="F539" i="20" s="1"/>
  <c r="F540" i="20" s="1"/>
  <c r="F541" i="20" s="1"/>
  <c r="F542" i="20" s="1"/>
  <c r="F543" i="20" s="1"/>
  <c r="F544" i="20" s="1"/>
  <c r="F545" i="20" s="1"/>
  <c r="F546" i="20" s="1"/>
  <c r="F547" i="20" s="1"/>
  <c r="F548" i="20" s="1"/>
  <c r="F549" i="20" s="1"/>
  <c r="F550" i="20" s="1"/>
  <c r="F551" i="20" s="1"/>
  <c r="F552" i="20" s="1"/>
  <c r="F553" i="20" s="1"/>
  <c r="F554" i="20" s="1"/>
  <c r="F555" i="20" s="1"/>
  <c r="F556" i="20" s="1"/>
  <c r="F557" i="20" s="1"/>
  <c r="F558" i="20" s="1"/>
  <c r="F559" i="20" s="1"/>
  <c r="F560" i="20" s="1"/>
  <c r="F561" i="20" s="1"/>
  <c r="F562" i="20" s="1"/>
  <c r="F563" i="20" s="1"/>
  <c r="F564" i="20" s="1"/>
  <c r="F565" i="20" s="1"/>
  <c r="F566" i="20" s="1"/>
  <c r="F567" i="20" s="1"/>
  <c r="F568" i="20" s="1"/>
  <c r="F569" i="20" s="1"/>
  <c r="F570" i="20" s="1"/>
  <c r="F571" i="20" s="1"/>
  <c r="F572" i="20" s="1"/>
  <c r="F573" i="20" s="1"/>
  <c r="F574" i="20" s="1"/>
  <c r="F575" i="20" s="1"/>
  <c r="F576" i="20" s="1"/>
  <c r="F577" i="20" s="1"/>
  <c r="F578" i="20" s="1"/>
  <c r="F579" i="20" s="1"/>
  <c r="F580" i="20" s="1"/>
  <c r="F581" i="20" s="1"/>
  <c r="F582" i="20" s="1"/>
  <c r="F583" i="20" s="1"/>
  <c r="F584" i="20" s="1"/>
  <c r="F585" i="20" s="1"/>
  <c r="F586" i="20" s="1"/>
  <c r="F587" i="20" s="1"/>
  <c r="F588" i="20" s="1"/>
  <c r="F589" i="20" s="1"/>
  <c r="F590" i="20" s="1"/>
  <c r="F591" i="20" s="1"/>
  <c r="F592" i="20" s="1"/>
  <c r="F593" i="20" s="1"/>
  <c r="F594" i="20" s="1"/>
  <c r="F595" i="20" s="1"/>
  <c r="F596" i="20" s="1"/>
  <c r="F597" i="20" s="1"/>
  <c r="F598" i="20" s="1"/>
  <c r="F599" i="20" s="1"/>
  <c r="F600" i="20" s="1"/>
  <c r="F601" i="20" s="1"/>
  <c r="F602" i="20" s="1"/>
  <c r="F603" i="20" s="1"/>
  <c r="F604" i="20" s="1"/>
  <c r="F605" i="20" s="1"/>
  <c r="F606" i="20" s="1"/>
  <c r="F607" i="20" s="1"/>
  <c r="F608" i="20" s="1"/>
  <c r="F609" i="20" s="1"/>
  <c r="F610" i="20" s="1"/>
  <c r="F611" i="20" s="1"/>
  <c r="F612" i="20" s="1"/>
  <c r="F613" i="20" s="1"/>
  <c r="F614" i="20" s="1"/>
  <c r="F615" i="20" s="1"/>
  <c r="F616" i="20" s="1"/>
  <c r="F617" i="20" s="1"/>
  <c r="F618" i="20" s="1"/>
  <c r="F619" i="20" s="1"/>
  <c r="F620" i="20" s="1"/>
  <c r="F621" i="20" s="1"/>
  <c r="F622" i="20" s="1"/>
  <c r="F623" i="20" s="1"/>
  <c r="F624" i="20" s="1"/>
  <c r="F625" i="20" s="1"/>
  <c r="F626" i="20" s="1"/>
  <c r="F627" i="20" s="1"/>
  <c r="F628" i="20" s="1"/>
  <c r="F629" i="20" s="1"/>
  <c r="F630" i="20" s="1"/>
  <c r="F631" i="20" s="1"/>
  <c r="F632" i="20" s="1"/>
  <c r="F633" i="20" s="1"/>
  <c r="F634" i="20" s="1"/>
  <c r="F635" i="20" s="1"/>
  <c r="F636" i="20" s="1"/>
  <c r="F637" i="20" s="1"/>
  <c r="F638" i="20" s="1"/>
  <c r="F639" i="20" s="1"/>
  <c r="F640" i="20" s="1"/>
  <c r="F641" i="20" s="1"/>
  <c r="F642" i="20" s="1"/>
  <c r="F643" i="20" s="1"/>
  <c r="F644" i="20" s="1"/>
  <c r="F645" i="20" s="1"/>
  <c r="F646" i="20" s="1"/>
  <c r="F647" i="20" s="1"/>
  <c r="F648" i="20" s="1"/>
  <c r="F649" i="20" s="1"/>
  <c r="F650" i="20" s="1"/>
  <c r="F651" i="20" s="1"/>
  <c r="F652" i="20" s="1"/>
  <c r="F653" i="20" s="1"/>
  <c r="F654" i="20" s="1"/>
  <c r="F655" i="20" s="1"/>
  <c r="F656" i="20" s="1"/>
  <c r="F657" i="20" s="1"/>
  <c r="F658" i="20" s="1"/>
  <c r="F659" i="20" s="1"/>
  <c r="F660" i="20" s="1"/>
  <c r="F661" i="20" s="1"/>
  <c r="F662" i="20" s="1"/>
  <c r="F663" i="20" s="1"/>
  <c r="F664" i="20" s="1"/>
  <c r="F665" i="20" s="1"/>
  <c r="F666" i="20" s="1"/>
  <c r="F667" i="20" s="1"/>
  <c r="F668" i="20" s="1"/>
  <c r="F669" i="20" s="1"/>
  <c r="F670" i="20" s="1"/>
  <c r="F671" i="20" s="1"/>
  <c r="F672" i="20" s="1"/>
  <c r="F673" i="20" s="1"/>
  <c r="F674" i="20" s="1"/>
  <c r="F675" i="20" s="1"/>
  <c r="F676" i="20" s="1"/>
  <c r="F677" i="20" s="1"/>
  <c r="F678" i="20" s="1"/>
  <c r="F679" i="20" s="1"/>
  <c r="F680" i="20" s="1"/>
  <c r="F681" i="20" s="1"/>
  <c r="F682" i="20" s="1"/>
  <c r="F683" i="20" s="1"/>
  <c r="F684" i="20" s="1"/>
  <c r="F685" i="20" s="1"/>
  <c r="F686" i="20" s="1"/>
  <c r="F687" i="20" s="1"/>
  <c r="F688" i="20" s="1"/>
  <c r="F689" i="20" s="1"/>
  <c r="F690" i="20" s="1"/>
  <c r="F691" i="20" s="1"/>
  <c r="F692" i="20" s="1"/>
  <c r="F693" i="20" s="1"/>
  <c r="F694" i="20" s="1"/>
  <c r="F695" i="20" s="1"/>
  <c r="F696" i="20" s="1"/>
  <c r="F697" i="20" s="1"/>
  <c r="F698" i="20" s="1"/>
  <c r="F699" i="20" s="1"/>
  <c r="F700" i="20" s="1"/>
  <c r="F701" i="20" s="1"/>
  <c r="F702" i="20" s="1"/>
  <c r="F703" i="20" s="1"/>
  <c r="F704" i="20" s="1"/>
  <c r="F705" i="20" s="1"/>
  <c r="F706" i="20" s="1"/>
  <c r="F707" i="20" s="1"/>
  <c r="F708" i="20" s="1"/>
  <c r="F709" i="20" s="1"/>
  <c r="F710" i="20" s="1"/>
  <c r="F711" i="20" s="1"/>
  <c r="F712" i="20" s="1"/>
  <c r="F713" i="20" s="1"/>
  <c r="F714" i="20" s="1"/>
  <c r="F715" i="20" s="1"/>
  <c r="F716" i="20" s="1"/>
  <c r="F717" i="20" s="1"/>
  <c r="F718" i="20" s="1"/>
  <c r="F719" i="20" s="1"/>
  <c r="F720" i="20" s="1"/>
  <c r="F721" i="20" s="1"/>
  <c r="F722" i="20" s="1"/>
  <c r="F723" i="20" s="1"/>
  <c r="F724" i="20" s="1"/>
  <c r="F725" i="20" s="1"/>
  <c r="F726" i="20" s="1"/>
  <c r="F727" i="20" s="1"/>
  <c r="F728" i="20" s="1"/>
  <c r="F729" i="20" s="1"/>
  <c r="F730" i="20" s="1"/>
  <c r="F731" i="20" s="1"/>
  <c r="F732" i="20" s="1"/>
  <c r="F733" i="20" s="1"/>
  <c r="F734" i="20" s="1"/>
  <c r="F735" i="20" s="1"/>
  <c r="F736" i="20" s="1"/>
  <c r="F737" i="20" s="1"/>
  <c r="F738" i="20" s="1"/>
  <c r="F739" i="20" s="1"/>
  <c r="F740" i="20" s="1"/>
  <c r="F741" i="20" s="1"/>
  <c r="F742" i="20" s="1"/>
  <c r="F743" i="20" s="1"/>
  <c r="F744" i="20" s="1"/>
  <c r="F745" i="20" s="1"/>
  <c r="F746" i="20" s="1"/>
  <c r="F747" i="20" s="1"/>
  <c r="F748" i="20" s="1"/>
  <c r="F749" i="20" s="1"/>
  <c r="F750" i="20" s="1"/>
  <c r="F751" i="20" s="1"/>
  <c r="F752" i="20" s="1"/>
  <c r="F753" i="20" s="1"/>
  <c r="F754" i="20" s="1"/>
  <c r="F755" i="20" s="1"/>
  <c r="F756" i="20" s="1"/>
  <c r="F757" i="20" s="1"/>
  <c r="F758" i="20" s="1"/>
  <c r="F759" i="20" s="1"/>
  <c r="F760" i="20" s="1"/>
  <c r="F761" i="20" s="1"/>
  <c r="F762" i="20" s="1"/>
  <c r="F763" i="20" s="1"/>
  <c r="F764" i="20" s="1"/>
  <c r="F765" i="20" s="1"/>
  <c r="F766" i="20" s="1"/>
  <c r="F767" i="20" s="1"/>
  <c r="F768" i="20" s="1"/>
  <c r="F769" i="20" s="1"/>
  <c r="F770" i="20" s="1"/>
  <c r="F771" i="20" s="1"/>
  <c r="F772" i="20" s="1"/>
  <c r="F773" i="20" s="1"/>
  <c r="F774" i="20" s="1"/>
  <c r="F775" i="20" s="1"/>
  <c r="F776" i="20" s="1"/>
  <c r="F777" i="20" s="1"/>
  <c r="F778" i="20" s="1"/>
  <c r="F779" i="20" s="1"/>
  <c r="F780" i="20" s="1"/>
  <c r="F781" i="20" s="1"/>
  <c r="F782" i="20" s="1"/>
  <c r="F783" i="20" s="1"/>
  <c r="F784" i="20" s="1"/>
  <c r="F785" i="20" s="1"/>
  <c r="F786" i="20" s="1"/>
  <c r="F787" i="20" s="1"/>
  <c r="F788" i="20" s="1"/>
  <c r="F789" i="20" s="1"/>
  <c r="F790" i="20" s="1"/>
  <c r="F791" i="20" s="1"/>
  <c r="F792" i="20" s="1"/>
  <c r="F793" i="20" s="1"/>
  <c r="F794" i="20" s="1"/>
  <c r="F795" i="20" s="1"/>
  <c r="F796" i="20" s="1"/>
  <c r="F797" i="20" s="1"/>
  <c r="F798" i="20" s="1"/>
  <c r="F799" i="20" s="1"/>
  <c r="F800" i="20" s="1"/>
  <c r="F801" i="20" s="1"/>
  <c r="F802" i="20" s="1"/>
  <c r="F803" i="20" s="1"/>
  <c r="F804" i="20" s="1"/>
  <c r="F805" i="20" s="1"/>
  <c r="F806" i="20" s="1"/>
  <c r="F807" i="20" s="1"/>
  <c r="F808" i="20" s="1"/>
  <c r="F809" i="20" s="1"/>
  <c r="F810" i="20" s="1"/>
  <c r="F811" i="20" s="1"/>
  <c r="F812" i="20" s="1"/>
  <c r="F813" i="20" s="1"/>
  <c r="F814" i="20" s="1"/>
  <c r="F815" i="20" s="1"/>
  <c r="F816" i="20" s="1"/>
  <c r="F817" i="20" s="1"/>
  <c r="F818" i="20" s="1"/>
  <c r="F819" i="20" s="1"/>
  <c r="F820" i="20" s="1"/>
  <c r="F821" i="20" s="1"/>
  <c r="F822" i="20" s="1"/>
  <c r="F823" i="20" s="1"/>
  <c r="F824" i="20" s="1"/>
  <c r="F825" i="20" s="1"/>
  <c r="F826" i="20" s="1"/>
  <c r="F827" i="20" s="1"/>
  <c r="F828" i="20" s="1"/>
  <c r="F829" i="20" s="1"/>
  <c r="F830" i="20" s="1"/>
  <c r="F831" i="20" s="1"/>
  <c r="F832" i="20" s="1"/>
  <c r="F833" i="20" s="1"/>
  <c r="F834" i="20" s="1"/>
  <c r="F835" i="20" s="1"/>
  <c r="F836" i="20" s="1"/>
  <c r="F837" i="20" s="1"/>
  <c r="F838" i="20" s="1"/>
  <c r="F839" i="20" s="1"/>
  <c r="F840" i="20" s="1"/>
  <c r="F841" i="20" s="1"/>
  <c r="F842" i="20" s="1"/>
  <c r="F843" i="20" s="1"/>
  <c r="F844" i="20" s="1"/>
  <c r="F845" i="20" s="1"/>
  <c r="F846" i="20" s="1"/>
  <c r="F847" i="20" s="1"/>
  <c r="F848" i="20" s="1"/>
  <c r="F849" i="20" s="1"/>
  <c r="F850" i="20" s="1"/>
  <c r="F851" i="20" s="1"/>
  <c r="F852" i="20" s="1"/>
  <c r="F853" i="20" s="1"/>
  <c r="F854" i="20" s="1"/>
  <c r="F855" i="20" s="1"/>
  <c r="F856" i="20" s="1"/>
  <c r="F857" i="20" s="1"/>
  <c r="F858" i="20" s="1"/>
  <c r="F859" i="20" s="1"/>
  <c r="F860" i="20" s="1"/>
  <c r="F861" i="20" s="1"/>
  <c r="F862" i="20" s="1"/>
  <c r="F863" i="20" s="1"/>
  <c r="F864" i="20" s="1"/>
  <c r="F865" i="20" s="1"/>
  <c r="F866" i="20" s="1"/>
  <c r="F867" i="20" s="1"/>
  <c r="F868" i="20" s="1"/>
  <c r="F869" i="20" s="1"/>
  <c r="F870" i="20" s="1"/>
  <c r="F871" i="20" s="1"/>
  <c r="F872" i="20" s="1"/>
  <c r="F873" i="20" s="1"/>
  <c r="F874" i="20" s="1"/>
  <c r="F875" i="20" s="1"/>
  <c r="F876" i="20" s="1"/>
  <c r="F877" i="20" s="1"/>
  <c r="F878" i="20" s="1"/>
  <c r="F879" i="20" s="1"/>
  <c r="F880" i="20" s="1"/>
  <c r="F881" i="20" s="1"/>
  <c r="F882" i="20" s="1"/>
  <c r="F883" i="20" s="1"/>
  <c r="F884" i="20" s="1"/>
  <c r="F885" i="20" s="1"/>
  <c r="F886" i="20" s="1"/>
  <c r="F887" i="20" s="1"/>
  <c r="F888" i="20" s="1"/>
  <c r="F889" i="20" s="1"/>
  <c r="F890" i="20" s="1"/>
  <c r="F891" i="20" s="1"/>
  <c r="F892" i="20" s="1"/>
  <c r="F893" i="20" s="1"/>
  <c r="F894" i="20" s="1"/>
  <c r="F895" i="20" s="1"/>
  <c r="F896" i="20" s="1"/>
  <c r="F897" i="20" s="1"/>
  <c r="F898" i="20" s="1"/>
  <c r="F899" i="20" s="1"/>
  <c r="F900" i="20" s="1"/>
  <c r="F901" i="20" s="1"/>
  <c r="F902" i="20" s="1"/>
  <c r="F903" i="20" s="1"/>
  <c r="F904" i="20" s="1"/>
  <c r="F905" i="20" s="1"/>
  <c r="F906" i="20" s="1"/>
  <c r="F907" i="20" s="1"/>
  <c r="F908" i="20" s="1"/>
  <c r="F909" i="20" s="1"/>
  <c r="F910" i="20" s="1"/>
  <c r="F911" i="20" s="1"/>
  <c r="F912" i="20" s="1"/>
  <c r="F913" i="20" s="1"/>
  <c r="F914" i="20" s="1"/>
  <c r="F915" i="20" s="1"/>
  <c r="F916" i="20" s="1"/>
  <c r="F917" i="20" s="1"/>
  <c r="F918" i="20" s="1"/>
  <c r="F919" i="20" s="1"/>
  <c r="F920" i="20" s="1"/>
  <c r="F921" i="20" s="1"/>
  <c r="F922" i="20" s="1"/>
  <c r="F923" i="20" s="1"/>
  <c r="F924" i="20" s="1"/>
  <c r="F925" i="20" s="1"/>
  <c r="F926" i="20" s="1"/>
  <c r="F927" i="20" s="1"/>
  <c r="F928" i="20" s="1"/>
  <c r="F929" i="20" s="1"/>
  <c r="F930" i="20" s="1"/>
  <c r="F931" i="20" s="1"/>
  <c r="F932" i="20" s="1"/>
  <c r="F933" i="20" s="1"/>
  <c r="F934" i="20" s="1"/>
  <c r="F935" i="20" s="1"/>
  <c r="F936" i="20" s="1"/>
  <c r="F937" i="20" s="1"/>
  <c r="F938" i="20" s="1"/>
  <c r="F939" i="20" s="1"/>
  <c r="F940" i="20" s="1"/>
  <c r="F941" i="20" s="1"/>
  <c r="F942" i="20" s="1"/>
  <c r="F943" i="20" s="1"/>
  <c r="F944" i="20" s="1"/>
  <c r="F945" i="20" s="1"/>
  <c r="F946" i="20" s="1"/>
  <c r="F947" i="20" s="1"/>
  <c r="F948" i="20" s="1"/>
  <c r="F949" i="20" s="1"/>
  <c r="F950" i="20" s="1"/>
  <c r="F951" i="20" s="1"/>
  <c r="F952" i="20" s="1"/>
  <c r="F953" i="20" s="1"/>
  <c r="F954" i="20" s="1"/>
  <c r="F955" i="20" s="1"/>
  <c r="F956" i="20" s="1"/>
  <c r="F957" i="20" s="1"/>
  <c r="F958" i="20" s="1"/>
  <c r="F959" i="20" s="1"/>
  <c r="F960" i="20" s="1"/>
  <c r="F961" i="20" s="1"/>
  <c r="F962" i="20" s="1"/>
  <c r="F963" i="20" s="1"/>
  <c r="F964" i="20" s="1"/>
  <c r="F965" i="20" s="1"/>
  <c r="F966" i="20" s="1"/>
  <c r="F967" i="20" s="1"/>
  <c r="F968" i="20" s="1"/>
  <c r="F969" i="20" s="1"/>
  <c r="F970" i="20" s="1"/>
  <c r="F971" i="20" s="1"/>
  <c r="F972" i="20" s="1"/>
  <c r="F973" i="20" s="1"/>
  <c r="F974" i="20" s="1"/>
  <c r="F975" i="20" s="1"/>
  <c r="F976" i="20" s="1"/>
  <c r="F977" i="20" s="1"/>
  <c r="F978" i="20" s="1"/>
  <c r="F979" i="20" s="1"/>
  <c r="F980" i="20" s="1"/>
  <c r="F981" i="20" s="1"/>
  <c r="F982" i="20" s="1"/>
  <c r="F983" i="20" s="1"/>
  <c r="F984" i="20" s="1"/>
  <c r="F985" i="20" s="1"/>
  <c r="F986" i="20" s="1"/>
  <c r="F987" i="20" s="1"/>
  <c r="F988" i="20" s="1"/>
  <c r="F989" i="20" s="1"/>
  <c r="F990" i="20" s="1"/>
  <c r="F991" i="20" s="1"/>
  <c r="F992" i="20" s="1"/>
  <c r="F993" i="20" s="1"/>
  <c r="F994" i="20" s="1"/>
  <c r="F995" i="20" s="1"/>
  <c r="F996" i="20" s="1"/>
  <c r="F997" i="20" s="1"/>
  <c r="F998" i="20" s="1"/>
  <c r="F999" i="20" s="1"/>
  <c r="F1000" i="20" s="1"/>
  <c r="F1001" i="20" s="1"/>
  <c r="F1002" i="20" s="1"/>
  <c r="F1003" i="20" s="1"/>
  <c r="F1004" i="20" s="1"/>
  <c r="F1005" i="20" s="1"/>
  <c r="F1006" i="20" s="1"/>
  <c r="F1007" i="20" s="1"/>
  <c r="F1008" i="20" s="1"/>
  <c r="F1009" i="20" s="1"/>
  <c r="F1010" i="20" s="1"/>
  <c r="F1011" i="20" s="1"/>
  <c r="F1012" i="20" s="1"/>
  <c r="F1013" i="20" s="1"/>
  <c r="F1014" i="20" s="1"/>
  <c r="F1015" i="20" s="1"/>
  <c r="F1016" i="20" s="1"/>
  <c r="F1017" i="20" s="1"/>
  <c r="F1018" i="20" s="1"/>
  <c r="F1019" i="20" s="1"/>
  <c r="F1020" i="20" s="1"/>
  <c r="F1021" i="20" s="1"/>
  <c r="F1022" i="20" s="1"/>
  <c r="F1023" i="20" s="1"/>
  <c r="F1024" i="20" s="1"/>
  <c r="F1025" i="20" s="1"/>
  <c r="F1026" i="20" s="1"/>
  <c r="F1027" i="20" s="1"/>
  <c r="F1028" i="20" s="1"/>
  <c r="F1029" i="20" s="1"/>
  <c r="F1030" i="20" s="1"/>
  <c r="F1031" i="20" s="1"/>
  <c r="F1032" i="20" s="1"/>
  <c r="F1033" i="20" s="1"/>
  <c r="F1034" i="20" s="1"/>
  <c r="F1035" i="20" s="1"/>
  <c r="F1036" i="20" s="1"/>
  <c r="F1037" i="20" s="1"/>
  <c r="F1038" i="20" s="1"/>
  <c r="F1039" i="20" s="1"/>
  <c r="F1040" i="20" s="1"/>
  <c r="F1041" i="20" s="1"/>
  <c r="F1042" i="20" s="1"/>
  <c r="F1043" i="20" s="1"/>
  <c r="F1044" i="20" s="1"/>
  <c r="F1045" i="20" s="1"/>
  <c r="F1046" i="20" s="1"/>
  <c r="F1047" i="20" s="1"/>
  <c r="F1048" i="20" s="1"/>
  <c r="F1049" i="20" s="1"/>
  <c r="F1050" i="20" s="1"/>
  <c r="F1051" i="20" s="1"/>
  <c r="F1052" i="20" s="1"/>
  <c r="F1053" i="20" s="1"/>
  <c r="F1054" i="20" s="1"/>
  <c r="F1055" i="20" s="1"/>
  <c r="F1056" i="20" s="1"/>
  <c r="F1057" i="20" s="1"/>
  <c r="F1058" i="20" s="1"/>
  <c r="F1059" i="20" s="1"/>
  <c r="F1060" i="20" s="1"/>
  <c r="F1061" i="20" s="1"/>
  <c r="F1062" i="20" s="1"/>
  <c r="F1063" i="20" s="1"/>
  <c r="F1064" i="20" s="1"/>
  <c r="F1065" i="20" s="1"/>
  <c r="F1066" i="20" s="1"/>
  <c r="F1067" i="20" s="1"/>
  <c r="F1068" i="20" s="1"/>
  <c r="F1069" i="20" s="1"/>
  <c r="F1070" i="20" s="1"/>
  <c r="F1071" i="20" s="1"/>
  <c r="F1072" i="20" s="1"/>
  <c r="F1073" i="20" s="1"/>
  <c r="F1074" i="20" s="1"/>
  <c r="F1075" i="20" s="1"/>
  <c r="F1076" i="20" s="1"/>
  <c r="F1077" i="20" s="1"/>
  <c r="F1078" i="20" s="1"/>
  <c r="F1079" i="20" s="1"/>
  <c r="F1080" i="20" s="1"/>
  <c r="F1081" i="20" s="1"/>
  <c r="F1082" i="20" s="1"/>
  <c r="F1083" i="20" s="1"/>
  <c r="F1084" i="20" s="1"/>
  <c r="F1085" i="20" s="1"/>
  <c r="F1086" i="20" s="1"/>
  <c r="F1087" i="20" s="1"/>
  <c r="F1088" i="20" s="1"/>
  <c r="F1089" i="20" s="1"/>
  <c r="F1090" i="20" s="1"/>
  <c r="F1091" i="20" s="1"/>
  <c r="F1092" i="20" s="1"/>
  <c r="F1093" i="20" s="1"/>
  <c r="F1094" i="20" s="1"/>
  <c r="F1095" i="20" s="1"/>
  <c r="F1096" i="20" s="1"/>
  <c r="F1097" i="20" s="1"/>
  <c r="F1098" i="20" s="1"/>
  <c r="F1099" i="20" s="1"/>
  <c r="F1100" i="20" s="1"/>
  <c r="F1101" i="20" s="1"/>
  <c r="F1102" i="20" s="1"/>
  <c r="F1103" i="20" s="1"/>
  <c r="F1104" i="20" s="1"/>
  <c r="F1105" i="20" s="1"/>
  <c r="F1106" i="20" s="1"/>
  <c r="F1107" i="20" s="1"/>
  <c r="F1108" i="20" s="1"/>
  <c r="F1109" i="20" s="1"/>
  <c r="F1110" i="20" s="1"/>
  <c r="F1111" i="20" s="1"/>
  <c r="F1112" i="20" s="1"/>
  <c r="F1113" i="20" s="1"/>
  <c r="F1114" i="20" s="1"/>
  <c r="F1115" i="20" s="1"/>
  <c r="F1116" i="20" s="1"/>
  <c r="F1117" i="20" s="1"/>
  <c r="F1118" i="20" s="1"/>
  <c r="F1119" i="20" s="1"/>
  <c r="F1120" i="20" s="1"/>
  <c r="F1121" i="20" s="1"/>
  <c r="F1122" i="20" s="1"/>
  <c r="F1123" i="20" s="1"/>
  <c r="F1124" i="20" s="1"/>
  <c r="F1125" i="20" s="1"/>
  <c r="F1126" i="20" s="1"/>
  <c r="F1127" i="20" s="1"/>
  <c r="F1128" i="20" s="1"/>
  <c r="F1129" i="20" s="1"/>
  <c r="F1130" i="20" s="1"/>
  <c r="F1131" i="20" s="1"/>
  <c r="F1132" i="20" s="1"/>
  <c r="F1133" i="20" s="1"/>
  <c r="F1134" i="20" s="1"/>
  <c r="F1135" i="20" s="1"/>
  <c r="F1136" i="20" s="1"/>
  <c r="F1137" i="20" s="1"/>
  <c r="F1138" i="20" s="1"/>
  <c r="F1139" i="20" s="1"/>
  <c r="F1140" i="20" s="1"/>
  <c r="F1141" i="20" s="1"/>
  <c r="F1142" i="20" s="1"/>
  <c r="F1143" i="20" s="1"/>
  <c r="F1144" i="20" s="1"/>
  <c r="F1145" i="20" s="1"/>
  <c r="F1146" i="20" s="1"/>
  <c r="F1147" i="20" s="1"/>
  <c r="F1148" i="20" s="1"/>
  <c r="F1149" i="20" s="1"/>
  <c r="F1150" i="20" s="1"/>
  <c r="F1151" i="20" s="1"/>
  <c r="F1152" i="20" s="1"/>
  <c r="F1153" i="20" s="1"/>
  <c r="F1154" i="20" s="1"/>
  <c r="F1155" i="20" s="1"/>
  <c r="F1156" i="20" s="1"/>
  <c r="F1157" i="20" s="1"/>
  <c r="F1158" i="20" s="1"/>
  <c r="F1159" i="20" s="1"/>
  <c r="F1160" i="20" s="1"/>
  <c r="F1161" i="20" s="1"/>
  <c r="F1162" i="20" s="1"/>
  <c r="F1163" i="20" s="1"/>
  <c r="F1164" i="20" s="1"/>
  <c r="F1165" i="20" s="1"/>
  <c r="F1166" i="20" s="1"/>
  <c r="F1167" i="20" s="1"/>
  <c r="F1168" i="20" s="1"/>
  <c r="F1169" i="20" s="1"/>
  <c r="F1170" i="20" s="1"/>
  <c r="F1171" i="20" s="1"/>
  <c r="F1172" i="20" s="1"/>
  <c r="F1173" i="20" s="1"/>
  <c r="F1174" i="20" s="1"/>
  <c r="F1175" i="20" s="1"/>
  <c r="F1176" i="20" s="1"/>
  <c r="F1177" i="20" s="1"/>
  <c r="F1178" i="20" s="1"/>
  <c r="F1179" i="20" s="1"/>
  <c r="F1180" i="20" s="1"/>
  <c r="F1181" i="20" s="1"/>
  <c r="F1182" i="20" s="1"/>
  <c r="F1183" i="20" s="1"/>
  <c r="F1184" i="20" s="1"/>
  <c r="F1185" i="20" s="1"/>
  <c r="F1186" i="20" s="1"/>
  <c r="F1187" i="20" s="1"/>
  <c r="F1188" i="20" s="1"/>
  <c r="F1189" i="20" s="1"/>
  <c r="F1190" i="20" s="1"/>
  <c r="F1191" i="20" s="1"/>
  <c r="F1192" i="20" s="1"/>
  <c r="F1193" i="20" s="1"/>
  <c r="F1194" i="20" s="1"/>
  <c r="F1195" i="20" s="1"/>
  <c r="F1196" i="20" s="1"/>
  <c r="F1197" i="20" s="1"/>
  <c r="F1198" i="20" s="1"/>
  <c r="F1199" i="20" s="1"/>
  <c r="F1200" i="20" s="1"/>
  <c r="F1201" i="20" s="1"/>
  <c r="F1202" i="20" s="1"/>
  <c r="F1203" i="20" s="1"/>
  <c r="F1204" i="20" s="1"/>
  <c r="F1205" i="20" s="1"/>
  <c r="F1206" i="20" s="1"/>
  <c r="F1207" i="20" s="1"/>
  <c r="F1208" i="20" s="1"/>
  <c r="F1209" i="20" s="1"/>
  <c r="F1210" i="20" s="1"/>
  <c r="F1211" i="20" s="1"/>
  <c r="F1212" i="20" s="1"/>
  <c r="F1213" i="20" s="1"/>
  <c r="F1214" i="20" s="1"/>
  <c r="F1215" i="20" s="1"/>
  <c r="F1216" i="20" s="1"/>
  <c r="F1217" i="20" s="1"/>
  <c r="F1218" i="20" s="1"/>
  <c r="F1219" i="20" s="1"/>
  <c r="F1220" i="20" s="1"/>
  <c r="F1221" i="20" s="1"/>
  <c r="F1222" i="20" s="1"/>
  <c r="F1223" i="20" s="1"/>
  <c r="F1224" i="20" s="1"/>
  <c r="F1225" i="20" s="1"/>
  <c r="F1226" i="20" s="1"/>
  <c r="F1227" i="20" s="1"/>
  <c r="L14" i="13"/>
  <c r="M31" i="13"/>
  <c r="L41" i="13"/>
  <c r="M19" i="13"/>
  <c r="K37" i="13"/>
  <c r="I31" i="13"/>
  <c r="K32" i="13" s="1"/>
  <c r="L36" i="13"/>
  <c r="M36" i="13"/>
  <c r="E15" i="13"/>
  <c r="E37" i="13"/>
  <c r="L31" i="13"/>
  <c r="E32" i="13"/>
  <c r="H32" i="13"/>
  <c r="M14" i="13"/>
  <c r="E20" i="13"/>
  <c r="K20" i="13"/>
  <c r="M41" i="13"/>
  <c r="L19" i="13"/>
  <c r="N20" i="13" s="1"/>
  <c r="E42" i="13"/>
  <c r="H20" i="13"/>
  <c r="M9" i="13"/>
  <c r="H10" i="13"/>
  <c r="L9" i="13"/>
  <c r="K10" i="13"/>
  <c r="F703" i="2"/>
  <c r="F704" i="2" s="1"/>
  <c r="F705" i="2" s="1"/>
  <c r="F706" i="2" s="1"/>
  <c r="F707" i="2" s="1"/>
  <c r="F708" i="2" s="1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F722" i="2" s="1"/>
  <c r="F723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F735" i="2" s="1"/>
  <c r="F736" i="2" s="1"/>
  <c r="F737" i="2" s="1"/>
  <c r="F738" i="2" s="1"/>
  <c r="F739" i="2" s="1"/>
  <c r="F740" i="2" s="1"/>
  <c r="F741" i="2" s="1"/>
  <c r="N42" i="13" l="1"/>
  <c r="N32" i="13"/>
  <c r="N15" i="13"/>
  <c r="F1228" i="20"/>
  <c r="F1229" i="20" s="1"/>
  <c r="F1230" i="20" s="1"/>
  <c r="F1231" i="20" s="1"/>
  <c r="F1232" i="20" s="1"/>
  <c r="F1233" i="20" s="1"/>
  <c r="F1234" i="20" s="1"/>
  <c r="F1235" i="20" s="1"/>
  <c r="F1236" i="20" s="1"/>
  <c r="F1237" i="20" s="1"/>
  <c r="F1238" i="20" s="1"/>
  <c r="F1239" i="20" s="1"/>
  <c r="F1240" i="20" s="1"/>
  <c r="F1241" i="20" s="1"/>
  <c r="F1242" i="20" s="1"/>
  <c r="F1243" i="20" s="1"/>
  <c r="F1244" i="20" s="1"/>
  <c r="F1245" i="20" s="1"/>
  <c r="F1246" i="20" s="1"/>
  <c r="F1247" i="20" s="1"/>
  <c r="F1248" i="20" s="1"/>
  <c r="F1249" i="20" s="1"/>
  <c r="F1250" i="20" s="1"/>
  <c r="F1251" i="20" s="1"/>
  <c r="F1252" i="20" s="1"/>
  <c r="F1253" i="20" s="1"/>
  <c r="F1254" i="20" s="1"/>
  <c r="F1255" i="20" s="1"/>
  <c r="F1256" i="20" s="1"/>
  <c r="F1257" i="20" s="1"/>
  <c r="F1258" i="20" s="1"/>
  <c r="F1259" i="20" s="1"/>
  <c r="F1260" i="20" s="1"/>
  <c r="F1261" i="20" s="1"/>
  <c r="F1262" i="20" s="1"/>
  <c r="F1263" i="20" s="1"/>
  <c r="F1264" i="20" s="1"/>
  <c r="F1265" i="20" s="1"/>
  <c r="F1266" i="20" s="1"/>
  <c r="F1267" i="20" s="1"/>
  <c r="F1268" i="20" s="1"/>
  <c r="F1269" i="20" s="1"/>
  <c r="F1270" i="20" s="1"/>
  <c r="F1271" i="20" s="1"/>
  <c r="F1272" i="20" s="1"/>
  <c r="F1273" i="20" s="1"/>
  <c r="F1274" i="20" s="1"/>
  <c r="F1275" i="20" s="1"/>
  <c r="F1276" i="20" s="1"/>
  <c r="F1277" i="20" s="1"/>
  <c r="F1278" i="20" s="1"/>
  <c r="F1279" i="20" s="1"/>
  <c r="F1280" i="20" s="1"/>
  <c r="F1281" i="20" s="1"/>
  <c r="F1282" i="20" s="1"/>
  <c r="F1283" i="20" s="1"/>
  <c r="F1284" i="20" s="1"/>
  <c r="F1285" i="20" s="1"/>
  <c r="F1286" i="20" s="1"/>
  <c r="F1287" i="20" s="1"/>
  <c r="F1288" i="20" s="1"/>
  <c r="F1289" i="20" s="1"/>
  <c r="F1290" i="20" s="1"/>
  <c r="F1291" i="20" s="1"/>
  <c r="F1292" i="20" s="1"/>
  <c r="F1293" i="20" s="1"/>
  <c r="F1294" i="20" s="1"/>
  <c r="F1295" i="20" s="1"/>
  <c r="F1296" i="20" s="1"/>
  <c r="F1297" i="20" s="1"/>
  <c r="F1298" i="20" s="1"/>
  <c r="F1299" i="20" s="1"/>
  <c r="F1300" i="20" s="1"/>
  <c r="F1301" i="20" s="1"/>
  <c r="F1302" i="20" s="1"/>
  <c r="F1303" i="20" s="1"/>
  <c r="F1304" i="20" s="1"/>
  <c r="F1305" i="20" s="1"/>
  <c r="F1306" i="20" s="1"/>
  <c r="F1307" i="20" s="1"/>
  <c r="F1308" i="20" s="1"/>
  <c r="F1309" i="20" s="1"/>
  <c r="F1310" i="20" s="1"/>
  <c r="F1311" i="20" s="1"/>
  <c r="F1312" i="20" s="1"/>
  <c r="F1313" i="20" s="1"/>
  <c r="F1314" i="20" s="1"/>
  <c r="F1315" i="20" s="1"/>
  <c r="F1316" i="20" s="1"/>
  <c r="F1317" i="20" s="1"/>
  <c r="F1318" i="20" s="1"/>
  <c r="F1319" i="20" s="1"/>
  <c r="F1320" i="20" s="1"/>
  <c r="F1321" i="20" s="1"/>
  <c r="F1322" i="20" s="1"/>
  <c r="F1323" i="20" s="1"/>
  <c r="F1324" i="20" s="1"/>
  <c r="F1325" i="20" s="1"/>
  <c r="F1326" i="20" s="1"/>
  <c r="F1327" i="20" s="1"/>
  <c r="F1328" i="20" s="1"/>
  <c r="F1329" i="20" s="1"/>
  <c r="F1330" i="20" s="1"/>
  <c r="F1331" i="20" s="1"/>
  <c r="F1332" i="20" s="1"/>
  <c r="F1333" i="20" s="1"/>
  <c r="F1334" i="20" s="1"/>
  <c r="F1335" i="20" s="1"/>
  <c r="F1336" i="20" s="1"/>
  <c r="F1337" i="20" s="1"/>
  <c r="F1338" i="20" s="1"/>
  <c r="F1339" i="20" s="1"/>
  <c r="F1340" i="20" s="1"/>
  <c r="F1341" i="20" s="1"/>
  <c r="F1342" i="20" s="1"/>
  <c r="F1343" i="20" s="1"/>
  <c r="F1344" i="20" s="1"/>
  <c r="F1345" i="20" s="1"/>
  <c r="F1346" i="20" s="1"/>
  <c r="F1347" i="20" s="1"/>
  <c r="F1348" i="20" s="1"/>
  <c r="F1349" i="20" s="1"/>
  <c r="F1350" i="20" s="1"/>
  <c r="F1351" i="20" s="1"/>
  <c r="F1352" i="20" s="1"/>
  <c r="F1353" i="20" s="1"/>
  <c r="E45" i="13"/>
  <c r="H45" i="13"/>
  <c r="E44" i="13"/>
  <c r="N37" i="13"/>
  <c r="H44" i="13"/>
  <c r="H46" i="13" s="1"/>
  <c r="K45" i="13"/>
  <c r="N10" i="13"/>
  <c r="K44" i="13"/>
  <c r="C42" i="9"/>
  <c r="C37" i="9"/>
  <c r="C32" i="9"/>
  <c r="D32" i="9"/>
  <c r="E33" i="9" s="1"/>
  <c r="C18" i="9"/>
  <c r="C13" i="9"/>
  <c r="D8" i="9"/>
  <c r="C8" i="9"/>
  <c r="N45" i="13" l="1"/>
  <c r="K46" i="13"/>
  <c r="F1354" i="20"/>
  <c r="F1355" i="20" s="1"/>
  <c r="F1356" i="20" s="1"/>
  <c r="F1357" i="20" s="1"/>
  <c r="F1358" i="20" s="1"/>
  <c r="F1359" i="20" s="1"/>
  <c r="F1360" i="20" s="1"/>
  <c r="F1361" i="20" s="1"/>
  <c r="F1362" i="20" s="1"/>
  <c r="F1363" i="20" s="1"/>
  <c r="F1364" i="20" s="1"/>
  <c r="F1365" i="20" s="1"/>
  <c r="F1366" i="20" s="1"/>
  <c r="F1367" i="20" s="1"/>
  <c r="F1368" i="20" s="1"/>
  <c r="F1369" i="20" s="1"/>
  <c r="F1370" i="20" s="1"/>
  <c r="F1371" i="20" s="1"/>
  <c r="F1372" i="20" s="1"/>
  <c r="F1373" i="20" s="1"/>
  <c r="F1374" i="20" s="1"/>
  <c r="F1375" i="20" s="1"/>
  <c r="F1376" i="20" s="1"/>
  <c r="F1377" i="20" s="1"/>
  <c r="F1378" i="20" s="1"/>
  <c r="F1379" i="20" s="1"/>
  <c r="F1380" i="20" s="1"/>
  <c r="F1381" i="20" s="1"/>
  <c r="F1382" i="20" s="1"/>
  <c r="F1383" i="20" s="1"/>
  <c r="F1384" i="20" s="1"/>
  <c r="F1385" i="20" s="1"/>
  <c r="F1386" i="20" s="1"/>
  <c r="F1387" i="20" s="1"/>
  <c r="F1388" i="20" s="1"/>
  <c r="F1389" i="20" s="1"/>
  <c r="F1390" i="20" s="1"/>
  <c r="F1391" i="20" s="1"/>
  <c r="F1392" i="20" s="1"/>
  <c r="F1393" i="20" s="1"/>
  <c r="E46" i="13"/>
  <c r="N44" i="13"/>
  <c r="E9" i="9"/>
  <c r="D37" i="9"/>
  <c r="E38" i="9" s="1"/>
  <c r="D13" i="9"/>
  <c r="E14" i="9" s="1"/>
  <c r="D42" i="9"/>
  <c r="E43" i="9" s="1"/>
  <c r="D18" i="9"/>
  <c r="E19" i="9" s="1"/>
  <c r="F1394" i="20" l="1"/>
  <c r="F1395" i="20" s="1"/>
  <c r="F1396" i="20" s="1"/>
  <c r="F1397" i="20" s="1"/>
  <c r="F1398" i="20" s="1"/>
  <c r="F1399" i="20" s="1"/>
  <c r="F1400" i="20" s="1"/>
  <c r="F1401" i="20" s="1"/>
  <c r="F1402" i="20" s="1"/>
  <c r="F1403" i="20" s="1"/>
  <c r="F1404" i="20" s="1"/>
  <c r="F1405" i="20" s="1"/>
  <c r="F1406" i="20" s="1"/>
  <c r="F1407" i="20" s="1"/>
  <c r="F1408" i="20" s="1"/>
  <c r="F1409" i="20" s="1"/>
  <c r="F1410" i="20" s="1"/>
  <c r="F1411" i="20" s="1"/>
  <c r="F1412" i="20" s="1"/>
  <c r="F1413" i="20" s="1"/>
  <c r="F1414" i="20" s="1"/>
  <c r="F1415" i="20" s="1"/>
  <c r="F1416" i="20" s="1"/>
  <c r="F1417" i="20" s="1"/>
  <c r="F1418" i="20" s="1"/>
  <c r="F1419" i="20" s="1"/>
  <c r="F1420" i="20" s="1"/>
  <c r="F1421" i="20" s="1"/>
  <c r="F1422" i="20" s="1"/>
  <c r="F1423" i="20" s="1"/>
  <c r="F1424" i="20" s="1"/>
  <c r="F1425" i="20" s="1"/>
  <c r="F1426" i="20" s="1"/>
  <c r="F1427" i="20" s="1"/>
  <c r="F1428" i="20" s="1"/>
  <c r="F1429" i="20" s="1"/>
  <c r="F1430" i="20" s="1"/>
  <c r="F1431" i="20" s="1"/>
  <c r="F1432" i="20" s="1"/>
  <c r="F1433" i="20" s="1"/>
  <c r="F1434" i="20" s="1"/>
  <c r="F1435" i="20" s="1"/>
  <c r="F1436" i="20" s="1"/>
  <c r="F1437" i="20" s="1"/>
  <c r="F1438" i="20" s="1"/>
  <c r="F1439" i="20" s="1"/>
  <c r="F1440" i="20" s="1"/>
  <c r="F1441" i="20" s="1"/>
  <c r="F1442" i="20" s="1"/>
  <c r="F1443" i="20" s="1"/>
  <c r="F1444" i="20" s="1"/>
  <c r="F1445" i="20" s="1"/>
  <c r="F1446" i="20" s="1"/>
  <c r="F1447" i="20" s="1"/>
  <c r="F1448" i="20" s="1"/>
  <c r="F1449" i="20" s="1"/>
  <c r="F1450" i="20" s="1"/>
  <c r="F1451" i="20" s="1"/>
  <c r="F1452" i="20" s="1"/>
  <c r="F1453" i="20" s="1"/>
  <c r="F1454" i="20" s="1"/>
  <c r="F1455" i="20" s="1"/>
  <c r="F1456" i="20" s="1"/>
  <c r="F1457" i="20" s="1"/>
  <c r="F1458" i="20" s="1"/>
  <c r="F1459" i="20" s="1"/>
  <c r="F1460" i="20" s="1"/>
  <c r="F1461" i="20" s="1"/>
  <c r="F1462" i="20" s="1"/>
  <c r="F1463" i="20" s="1"/>
  <c r="F1464" i="20" s="1"/>
  <c r="F1465" i="20" s="1"/>
  <c r="F1466" i="20" s="1"/>
  <c r="F1467" i="20" s="1"/>
  <c r="F1468" i="20" s="1"/>
  <c r="F1469" i="20" s="1"/>
  <c r="F1470" i="20" s="1"/>
  <c r="F1471" i="20" s="1"/>
  <c r="E51" i="9"/>
  <c r="F1472" i="20" l="1"/>
  <c r="F1473" i="20" s="1"/>
  <c r="F1474" i="20" s="1"/>
  <c r="F1475" i="20" s="1"/>
  <c r="F1476" i="20" s="1"/>
  <c r="F1477" i="20" s="1"/>
  <c r="F1478" i="20" s="1"/>
  <c r="F1479" i="20" s="1"/>
  <c r="F1480" i="20" s="1"/>
  <c r="F1481" i="20" s="1"/>
  <c r="F1482" i="20" s="1"/>
  <c r="F1483" i="20" s="1"/>
  <c r="F1484" i="20" s="1"/>
  <c r="F1485" i="20" s="1"/>
  <c r="F1486" i="20" s="1"/>
  <c r="F1487" i="20" s="1"/>
  <c r="F1488" i="20" s="1"/>
  <c r="F1489" i="20" s="1"/>
  <c r="F1490" i="20" s="1"/>
  <c r="F1491" i="20" s="1"/>
  <c r="F1492" i="20" s="1"/>
  <c r="F1493" i="20" s="1"/>
  <c r="F1494" i="20" s="1"/>
  <c r="F1495" i="20" s="1"/>
  <c r="F1496" i="20" s="1"/>
  <c r="F1497" i="20" s="1"/>
  <c r="F1498" i="20" s="1"/>
  <c r="F1499" i="20" s="1"/>
  <c r="F1500" i="20" s="1"/>
  <c r="F1501" i="20" s="1"/>
  <c r="F1502" i="20" s="1"/>
  <c r="F1503" i="20" s="1"/>
  <c r="F1504" i="20" s="1"/>
  <c r="F1505" i="20" s="1"/>
  <c r="F1506" i="20" s="1"/>
  <c r="F1507" i="20" s="1"/>
  <c r="F1508" i="20" s="1"/>
  <c r="F1509" i="20" s="1"/>
  <c r="F1510" i="20" s="1"/>
  <c r="F1511" i="20" s="1"/>
  <c r="F1512" i="20" s="1"/>
  <c r="F1513" i="20" s="1"/>
  <c r="F1514" i="20" s="1"/>
  <c r="F1515" i="20" s="1"/>
  <c r="F1516" i="20" s="1"/>
  <c r="F1517" i="20" s="1"/>
  <c r="F1518" i="20" s="1"/>
  <c r="F1519" i="20" s="1"/>
  <c r="F1520" i="20" s="1"/>
  <c r="F1521" i="20" s="1"/>
  <c r="F1522" i="20" s="1"/>
  <c r="F1523" i="20" s="1"/>
  <c r="F1524" i="20" s="1"/>
  <c r="F1525" i="20" s="1"/>
  <c r="F1526" i="20" l="1"/>
  <c r="F1527" i="20" s="1"/>
  <c r="F1528" i="20" s="1"/>
  <c r="F1529" i="20" s="1"/>
  <c r="F1530" i="20" s="1"/>
  <c r="F1531" i="20" s="1"/>
  <c r="F1532" i="20" s="1"/>
  <c r="F1533" i="20" s="1"/>
  <c r="F1534" i="20" s="1"/>
  <c r="F1535" i="20" s="1"/>
  <c r="F1536" i="20" s="1"/>
  <c r="F1537" i="20" s="1"/>
  <c r="F1538" i="20" s="1"/>
  <c r="F1539" i="20" s="1"/>
  <c r="F1540" i="20" s="1"/>
  <c r="F1541" i="20" s="1"/>
  <c r="F1542" i="20" s="1"/>
  <c r="F1543" i="20" s="1"/>
  <c r="F1544" i="20" s="1"/>
  <c r="F1545" i="20" s="1"/>
  <c r="F1546" i="20" s="1"/>
  <c r="F1547" i="20" s="1"/>
  <c r="F1548" i="20" s="1"/>
  <c r="F1549" i="20" s="1"/>
  <c r="F1550" i="20" s="1"/>
  <c r="F1551" i="20" s="1"/>
  <c r="F1552" i="20" s="1"/>
  <c r="F1553" i="20" s="1"/>
  <c r="F1554" i="20" s="1"/>
  <c r="F1555" i="20" s="1"/>
  <c r="F1556" i="20" s="1"/>
  <c r="F1557" i="20" s="1"/>
  <c r="F1558" i="20" s="1"/>
  <c r="F1559" i="20" s="1"/>
  <c r="F1560" i="20" s="1"/>
  <c r="F1561" i="20" s="1"/>
  <c r="F1562" i="20" s="1"/>
  <c r="F1563" i="20" s="1"/>
  <c r="F1564" i="20" s="1"/>
  <c r="F1565" i="20" s="1"/>
  <c r="F1566" i="20" s="1"/>
  <c r="F1567" i="20" s="1"/>
  <c r="F1568" i="20" s="1"/>
  <c r="F1569" i="20" s="1"/>
  <c r="F1570" i="20" s="1"/>
  <c r="F1571" i="20" s="1"/>
  <c r="F1572" i="20" s="1"/>
  <c r="F1573" i="20" s="1"/>
  <c r="B100" i="12"/>
  <c r="B106" i="2"/>
  <c r="F1574" i="20" l="1"/>
  <c r="F1575" i="20" s="1"/>
  <c r="F1576" i="20" s="1"/>
  <c r="F1577" i="20" s="1"/>
  <c r="F1578" i="20" s="1"/>
  <c r="F1579" i="20" s="1"/>
  <c r="F1580" i="20" s="1"/>
  <c r="F1581" i="20" s="1"/>
  <c r="F1582" i="20" s="1"/>
  <c r="F1583" i="20" s="1"/>
  <c r="F1584" i="20" s="1"/>
  <c r="F1585" i="20" s="1"/>
  <c r="F1586" i="20" s="1"/>
  <c r="F1587" i="20" s="1"/>
  <c r="F1588" i="20" s="1"/>
  <c r="F1589" i="20" s="1"/>
  <c r="F1590" i="20" s="1"/>
  <c r="F1591" i="20" s="1"/>
  <c r="F1592" i="20" s="1"/>
  <c r="F1593" i="20" s="1"/>
  <c r="F1594" i="20" s="1"/>
  <c r="F1595" i="20" s="1"/>
  <c r="F1596" i="20" s="1"/>
  <c r="F1597" i="20" s="1"/>
  <c r="F1598" i="20" s="1"/>
  <c r="F1599" i="20" s="1"/>
  <c r="F1600" i="20" s="1"/>
  <c r="F1601" i="20" s="1"/>
  <c r="F1602" i="20" s="1"/>
  <c r="F1603" i="20" s="1"/>
  <c r="F1604" i="20" s="1"/>
  <c r="F1605" i="20" s="1"/>
  <c r="F1606" i="20" s="1"/>
  <c r="F1607" i="20" s="1"/>
  <c r="F1608" i="20" s="1"/>
  <c r="F1609" i="20" s="1"/>
  <c r="F1610" i="20" s="1"/>
  <c r="F1611" i="20" s="1"/>
  <c r="F1612" i="20" s="1"/>
  <c r="F1613" i="20" s="1"/>
  <c r="F1614" i="20" s="1"/>
  <c r="G32" i="9"/>
  <c r="F13" i="9"/>
  <c r="G13" i="9"/>
  <c r="G8" i="9"/>
  <c r="C185" i="12"/>
  <c r="C182" i="12"/>
  <c r="H14" i="9" l="1"/>
  <c r="F1615" i="20"/>
  <c r="F1616" i="20" s="1"/>
  <c r="F1617" i="20" s="1"/>
  <c r="F1618" i="20" s="1"/>
  <c r="F1619" i="20" s="1"/>
  <c r="F1620" i="20" s="1"/>
  <c r="F1621" i="20" s="1"/>
  <c r="F1622" i="20" s="1"/>
  <c r="F1623" i="20" s="1"/>
  <c r="F1624" i="20" s="1"/>
  <c r="F1625" i="20" s="1"/>
  <c r="F1626" i="20" s="1"/>
  <c r="F1627" i="20" s="1"/>
  <c r="C187" i="12"/>
  <c r="G37" i="9"/>
  <c r="F18" i="9"/>
  <c r="F37" i="9"/>
  <c r="C184" i="12"/>
  <c r="F1628" i="20" l="1"/>
  <c r="F1629" i="20" s="1"/>
  <c r="F1630" i="20" s="1"/>
  <c r="F1631" i="20" s="1"/>
  <c r="F1632" i="20" s="1"/>
  <c r="F1633" i="20" s="1"/>
  <c r="F1634" i="20" s="1"/>
  <c r="F1635" i="20" s="1"/>
  <c r="F1636" i="20" s="1"/>
  <c r="F1637" i="20" s="1"/>
  <c r="F1638" i="20" s="1"/>
  <c r="F1639" i="20" s="1"/>
  <c r="F1640" i="20" s="1"/>
  <c r="F1641" i="20" s="1"/>
  <c r="F1642" i="20" s="1"/>
  <c r="F1643" i="20" s="1"/>
  <c r="F1644" i="20" s="1"/>
  <c r="F1645" i="20" s="1"/>
  <c r="F1646" i="20" s="1"/>
  <c r="F1647" i="20" s="1"/>
  <c r="F1648" i="20" s="1"/>
  <c r="F1649" i="20" s="1"/>
  <c r="F1650" i="20" s="1"/>
  <c r="F1651" i="20" s="1"/>
  <c r="F1652" i="20" s="1"/>
  <c r="F1653" i="20" s="1"/>
  <c r="F1654" i="20" s="1"/>
  <c r="F1655" i="20" s="1"/>
  <c r="F1656" i="20" s="1"/>
  <c r="F1657" i="20" s="1"/>
  <c r="F1658" i="20" s="1"/>
  <c r="F1659" i="20" s="1"/>
  <c r="F1660" i="20" s="1"/>
  <c r="F1661" i="20" s="1"/>
  <c r="H38" i="9"/>
  <c r="H43" i="9"/>
  <c r="F8" i="9"/>
  <c r="H9" i="9" s="1"/>
  <c r="F1662" i="20" l="1"/>
  <c r="F1663" i="20" s="1"/>
  <c r="F1664" i="20" s="1"/>
  <c r="F1665" i="20" s="1"/>
  <c r="F1666" i="20" s="1"/>
  <c r="F1667" i="20" s="1"/>
  <c r="F1668" i="20" s="1"/>
  <c r="F1669" i="20" s="1"/>
  <c r="F1670" i="20" s="1"/>
  <c r="F1671" i="20" s="1"/>
  <c r="F1672" i="20" s="1"/>
  <c r="F1673" i="20" s="1"/>
  <c r="F1674" i="20" s="1"/>
  <c r="F1675" i="20" s="1"/>
  <c r="F1676" i="20" s="1"/>
  <c r="F1677" i="20" s="1"/>
  <c r="F1678" i="20" s="1"/>
  <c r="F1679" i="20" s="1"/>
  <c r="F1680" i="20" s="1"/>
  <c r="F1681" i="20" s="1"/>
  <c r="F1682" i="20" s="1"/>
  <c r="F1683" i="20" s="1"/>
  <c r="F1684" i="20" s="1"/>
  <c r="F1685" i="20" s="1"/>
  <c r="F1686" i="20" s="1"/>
  <c r="F1687" i="20" s="1"/>
  <c r="F1688" i="20" s="1"/>
  <c r="F1689" i="20" s="1"/>
  <c r="F1690" i="20" s="1"/>
  <c r="F1691" i="20" s="1"/>
  <c r="F1692" i="20" s="1"/>
  <c r="F1693" i="20" s="1"/>
  <c r="F1694" i="20" s="1"/>
  <c r="F1695" i="20" s="1"/>
  <c r="F1696" i="20" s="1"/>
  <c r="F1697" i="20" s="1"/>
  <c r="F1698" i="20" s="1"/>
  <c r="F1699" i="20" s="1"/>
  <c r="F1700" i="20" s="1"/>
  <c r="F1701" i="20" s="1"/>
  <c r="F1702" i="20" s="1"/>
  <c r="F1703" i="20" s="1"/>
  <c r="F1704" i="20" s="1"/>
  <c r="F1705" i="20" s="1"/>
  <c r="F1706" i="20" s="1"/>
  <c r="F1707" i="20" s="1"/>
  <c r="F1708" i="20" s="1"/>
  <c r="F1709" i="20" s="1"/>
  <c r="F1710" i="20" s="1"/>
  <c r="F1711" i="20" s="1"/>
  <c r="F1712" i="20" s="1"/>
  <c r="F1713" i="20" s="1"/>
  <c r="F1714" i="20" s="1"/>
  <c r="F1715" i="20" s="1"/>
  <c r="F1716" i="20" s="1"/>
  <c r="F1717" i="20" s="1"/>
  <c r="F1718" i="20" s="1"/>
  <c r="F1719" i="20" s="1"/>
  <c r="F1720" i="20" s="1"/>
  <c r="F1721" i="20" s="1"/>
  <c r="F1722" i="20" s="1"/>
  <c r="F1723" i="20" s="1"/>
  <c r="F1724" i="20" s="1"/>
  <c r="F1725" i="20" s="1"/>
  <c r="F1726" i="20" s="1"/>
  <c r="F1727" i="20" s="1"/>
  <c r="F1728" i="20" s="1"/>
  <c r="F1729" i="20" s="1"/>
  <c r="F1730" i="20" s="1"/>
  <c r="F1731" i="20" s="1"/>
  <c r="F1732" i="20" s="1"/>
  <c r="F1733" i="20" s="1"/>
  <c r="F1734" i="20" s="1"/>
  <c r="F1735" i="20" s="1"/>
  <c r="F1736" i="20" s="1"/>
  <c r="F1737" i="20" s="1"/>
  <c r="F1738" i="20" s="1"/>
  <c r="F1739" i="20" s="1"/>
  <c r="F1740" i="20" s="1"/>
  <c r="F32" i="9"/>
  <c r="G18" i="9"/>
  <c r="H19" i="9" s="1"/>
  <c r="F742" i="2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F758" i="2" s="1"/>
  <c r="F759" i="2" s="1"/>
  <c r="F760" i="2" s="1"/>
  <c r="F761" i="2" s="1"/>
  <c r="H33" i="9" l="1"/>
  <c r="F1741" i="20"/>
  <c r="F1742" i="20" s="1"/>
  <c r="F1743" i="20" s="1"/>
  <c r="F1744" i="20" s="1"/>
  <c r="F1745" i="20" s="1"/>
  <c r="F1746" i="20" s="1"/>
  <c r="F1747" i="20" s="1"/>
  <c r="F1748" i="20" s="1"/>
  <c r="F1749" i="20" s="1"/>
  <c r="F1750" i="20" s="1"/>
  <c r="F1751" i="20" s="1"/>
  <c r="F1752" i="20" s="1"/>
  <c r="F1753" i="20" s="1"/>
  <c r="F1754" i="20" s="1"/>
  <c r="F1755" i="20" s="1"/>
  <c r="F1756" i="20" s="1"/>
  <c r="F1757" i="20" s="1"/>
  <c r="F1758" i="20" s="1"/>
  <c r="F1759" i="20" s="1"/>
  <c r="F1760" i="20" s="1"/>
  <c r="F1761" i="20" s="1"/>
  <c r="F1762" i="20" s="1"/>
  <c r="F1763" i="20" s="1"/>
  <c r="F1764" i="20" s="1"/>
  <c r="F1765" i="20" s="1"/>
  <c r="F1766" i="20" s="1"/>
  <c r="F1767" i="20" s="1"/>
  <c r="F1768" i="20" s="1"/>
  <c r="F1769" i="20" s="1"/>
  <c r="F1770" i="20" s="1"/>
  <c r="F1771" i="20" s="1"/>
  <c r="F1772" i="20" s="1"/>
  <c r="F1773" i="20" s="1"/>
  <c r="F1774" i="20" s="1"/>
  <c r="H51" i="9"/>
  <c r="F762" i="2"/>
  <c r="F763" i="2" s="1"/>
  <c r="F764" i="2" s="1"/>
  <c r="F765" i="2" s="1"/>
  <c r="F766" i="2" s="1"/>
  <c r="F767" i="2" s="1"/>
  <c r="F768" i="2" s="1"/>
  <c r="C35" i="3"/>
  <c r="C31" i="3"/>
  <c r="E27" i="3"/>
  <c r="E17" i="3"/>
  <c r="E11" i="3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1775" i="20" l="1"/>
  <c r="F1776" i="20" s="1"/>
  <c r="F1777" i="20" s="1"/>
  <c r="F1778" i="20" s="1"/>
  <c r="F1779" i="20" s="1"/>
  <c r="F1780" i="20" s="1"/>
  <c r="F1781" i="20" s="1"/>
  <c r="F1782" i="20" s="1"/>
  <c r="F1783" i="20" s="1"/>
  <c r="F1784" i="20" s="1"/>
  <c r="F1785" i="20" s="1"/>
  <c r="F1786" i="20" s="1"/>
  <c r="F1787" i="20" s="1"/>
  <c r="F1788" i="20" s="1"/>
  <c r="F1789" i="20" s="1"/>
  <c r="F1790" i="20" s="1"/>
  <c r="F1791" i="20" s="1"/>
  <c r="F1792" i="20" s="1"/>
  <c r="F1793" i="20" s="1"/>
  <c r="F1794" i="20" s="1"/>
  <c r="F1795" i="20" s="1"/>
  <c r="F1796" i="20" s="1"/>
  <c r="F1797" i="20" s="1"/>
  <c r="F1798" i="20" s="1"/>
  <c r="F1799" i="20" s="1"/>
  <c r="F1800" i="20" s="1"/>
  <c r="F1801" i="20" s="1"/>
  <c r="F1802" i="20" s="1"/>
  <c r="F1803" i="20" s="1"/>
  <c r="F1804" i="20" s="1"/>
  <c r="F769" i="2"/>
  <c r="F770" i="2" s="1"/>
  <c r="F771" i="2" s="1"/>
  <c r="F772" i="2" s="1"/>
  <c r="F773" i="2" s="1"/>
  <c r="F774" i="2" s="1"/>
  <c r="F775" i="2" s="1"/>
  <c r="F253" i="2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1805" i="20" l="1"/>
  <c r="F1806" i="20" s="1"/>
  <c r="F1807" i="20" s="1"/>
  <c r="F1808" i="20" s="1"/>
  <c r="F1809" i="20" s="1"/>
  <c r="F1810" i="20" s="1"/>
  <c r="F1811" i="20" s="1"/>
  <c r="F1812" i="20" s="1"/>
  <c r="F1813" i="20" s="1"/>
  <c r="F1814" i="20" s="1"/>
  <c r="F1815" i="20" s="1"/>
  <c r="F1816" i="20" s="1"/>
  <c r="F1817" i="20" s="1"/>
  <c r="F1818" i="20" s="1"/>
  <c r="F1819" i="20" s="1"/>
  <c r="F1820" i="20" s="1"/>
  <c r="F1821" i="20" s="1"/>
  <c r="F1822" i="20" s="1"/>
  <c r="F1823" i="20" s="1"/>
  <c r="F1824" i="20" s="1"/>
  <c r="F1825" i="20" s="1"/>
  <c r="F1826" i="20" s="1"/>
  <c r="F1827" i="20" s="1"/>
  <c r="F1828" i="20" s="1"/>
  <c r="F1829" i="20" s="1"/>
  <c r="F1830" i="20" s="1"/>
  <c r="F776" i="2"/>
  <c r="F777" i="2" s="1"/>
  <c r="F778" i="2" s="1"/>
  <c r="F779" i="2" s="1"/>
  <c r="F780" i="2" s="1"/>
  <c r="F782" i="2" s="1"/>
  <c r="F783" i="2" s="1"/>
  <c r="F784" i="2" s="1"/>
  <c r="F785" i="2" s="1"/>
  <c r="F786" i="2" s="1"/>
  <c r="F787" i="2" s="1"/>
  <c r="F788" i="2" s="1"/>
  <c r="F789" i="2" s="1"/>
  <c r="F790" i="2" s="1"/>
  <c r="F791" i="2" s="1"/>
  <c r="F792" i="2" s="1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394" i="2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1831" i="20" l="1"/>
  <c r="F1832" i="20" s="1"/>
  <c r="F1833" i="20" s="1"/>
  <c r="F1834" i="20" s="1"/>
  <c r="F1835" i="20" s="1"/>
  <c r="F1836" i="20" s="1"/>
  <c r="F1837" i="20" s="1"/>
  <c r="F1838" i="20" s="1"/>
  <c r="F1839" i="20" s="1"/>
  <c r="F1840" i="20" s="1"/>
  <c r="F1841" i="20" s="1"/>
  <c r="F818" i="2"/>
  <c r="F819" i="2" s="1"/>
  <c r="F820" i="2" s="1"/>
  <c r="F821" i="2" s="1"/>
  <c r="F822" i="2" s="1"/>
  <c r="F823" i="2" s="1"/>
  <c r="F600" i="2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F625" i="2" s="1"/>
  <c r="F626" i="2" s="1"/>
  <c r="F627" i="2" s="1"/>
  <c r="F628" i="2" s="1"/>
  <c r="F629" i="2" s="1"/>
  <c r="F630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F664" i="2" s="1"/>
  <c r="F665" i="2" s="1"/>
  <c r="F666" i="2" s="1"/>
  <c r="F667" i="2" s="1"/>
  <c r="F668" i="2" s="1"/>
  <c r="F669" i="2" s="1"/>
  <c r="F670" i="2" s="1"/>
  <c r="F671" i="2" s="1"/>
  <c r="F672" i="2" s="1"/>
  <c r="F673" i="2" s="1"/>
  <c r="F674" i="2" s="1"/>
  <c r="F675" i="2" s="1"/>
  <c r="F676" i="2" s="1"/>
  <c r="F677" i="2" s="1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F688" i="2" s="1"/>
  <c r="F689" i="2" s="1"/>
  <c r="F690" i="2" s="1"/>
  <c r="F691" i="2" s="1"/>
  <c r="F692" i="2" s="1"/>
  <c r="F693" i="2" s="1"/>
  <c r="F694" i="2" s="1"/>
  <c r="F695" i="2" s="1"/>
  <c r="F696" i="2" s="1"/>
  <c r="F697" i="2" s="1"/>
  <c r="F698" i="2" s="1"/>
  <c r="F1842" i="20" l="1"/>
  <c r="F1843" i="20" s="1"/>
  <c r="F1844" i="20" s="1"/>
  <c r="F1845" i="20" s="1"/>
  <c r="F1846" i="20" s="1"/>
  <c r="F1847" i="20" s="1"/>
  <c r="F1848" i="20" s="1"/>
  <c r="F1849" i="20" s="1"/>
  <c r="F1850" i="20" s="1"/>
  <c r="F1851" i="20" s="1"/>
  <c r="F1852" i="20" s="1"/>
  <c r="F1853" i="20" s="1"/>
  <c r="F1854" i="20" s="1"/>
  <c r="F1855" i="20" s="1"/>
  <c r="F1856" i="20" s="1"/>
  <c r="F1857" i="20" s="1"/>
  <c r="F1858" i="20" s="1"/>
  <c r="F1859" i="20" s="1"/>
  <c r="F1860" i="20" s="1"/>
  <c r="F1861" i="20" s="1"/>
  <c r="F1862" i="20" s="1"/>
  <c r="F1863" i="20" s="1"/>
  <c r="F1864" i="20" s="1"/>
  <c r="F1865" i="20" s="1"/>
  <c r="F1866" i="20" s="1"/>
  <c r="F1867" i="20" s="1"/>
  <c r="F1868" i="20" s="1"/>
  <c r="F1869" i="20" s="1"/>
  <c r="F1870" i="20" s="1"/>
  <c r="F1871" i="20" s="1"/>
  <c r="F1872" i="20" s="1"/>
  <c r="F1873" i="20" s="1"/>
  <c r="F1874" i="20" s="1"/>
  <c r="F1875" i="20" s="1"/>
  <c r="F1876" i="20" s="1"/>
  <c r="F1877" i="20" s="1"/>
  <c r="F1878" i="20" s="1"/>
  <c r="F1879" i="20" s="1"/>
  <c r="F1880" i="20" s="1"/>
  <c r="F1881" i="20" s="1"/>
  <c r="F1882" i="20" s="1"/>
  <c r="F1883" i="20" s="1"/>
  <c r="F1884" i="20" s="1"/>
  <c r="F1885" i="20" s="1"/>
  <c r="F1886" i="20" s="1"/>
  <c r="F1887" i="20" s="1"/>
  <c r="F1888" i="20" s="1"/>
  <c r="F1889" i="20" s="1"/>
  <c r="F1890" i="20" s="1"/>
  <c r="F1891" i="20" s="1"/>
  <c r="F1892" i="20" s="1"/>
  <c r="F1893" i="20" s="1"/>
  <c r="F1894" i="20" s="1"/>
  <c r="F1895" i="20" s="1"/>
  <c r="F1896" i="20" s="1"/>
  <c r="F1897" i="20" s="1"/>
  <c r="F1898" i="20" s="1"/>
  <c r="F1899" i="20" s="1"/>
  <c r="F1900" i="20" s="1"/>
  <c r="F1901" i="20" s="1"/>
  <c r="F1902" i="20" s="1"/>
  <c r="F1903" i="20" s="1"/>
  <c r="F1904" i="20" s="1"/>
  <c r="F1905" i="20" s="1"/>
  <c r="F1906" i="20" s="1"/>
  <c r="F1907" i="20" s="1"/>
  <c r="F1908" i="20" s="1"/>
  <c r="F1909" i="20" s="1"/>
  <c r="F1910" i="20" s="1"/>
  <c r="F1911" i="20" s="1"/>
  <c r="F1912" i="20" s="1"/>
  <c r="F1913" i="20" s="1"/>
  <c r="F1914" i="20" s="1"/>
  <c r="F1915" i="20" s="1"/>
  <c r="F1916" i="20" s="1"/>
  <c r="F1917" i="20" s="1"/>
  <c r="F1918" i="20" s="1"/>
  <c r="F1919" i="20" s="1"/>
  <c r="F1920" i="20" s="1"/>
  <c r="F1921" i="20" s="1"/>
  <c r="F1922" i="20" s="1"/>
  <c r="F1923" i="20" s="1"/>
  <c r="F1924" i="20" s="1"/>
  <c r="F1925" i="20" s="1"/>
  <c r="F1926" i="20" s="1"/>
  <c r="F1927" i="20" s="1"/>
  <c r="F1928" i="20" s="1"/>
  <c r="F1929" i="20" s="1"/>
  <c r="F1930" i="20" s="1"/>
  <c r="F1931" i="20" s="1"/>
  <c r="F1932" i="20" s="1"/>
  <c r="F1933" i="20" s="1"/>
  <c r="F1934" i="20" s="1"/>
  <c r="F1935" i="20" s="1"/>
  <c r="F1936" i="20" s="1"/>
  <c r="F1937" i="20" s="1"/>
  <c r="F1938" i="20" s="1"/>
  <c r="F1939" i="20" s="1"/>
  <c r="F1940" i="20" s="1"/>
  <c r="F1941" i="20" s="1"/>
  <c r="F1942" i="20" s="1"/>
  <c r="F1943" i="20" s="1"/>
  <c r="F1944" i="20" s="1"/>
  <c r="F1945" i="20" s="1"/>
  <c r="F1946" i="20" s="1"/>
  <c r="F1947" i="20" s="1"/>
  <c r="F1948" i="20" s="1"/>
  <c r="F1949" i="20" s="1"/>
  <c r="F1950" i="20" s="1"/>
  <c r="F1951" i="20" s="1"/>
  <c r="F1952" i="20" s="1"/>
  <c r="F1953" i="20" s="1"/>
  <c r="F1954" i="20" s="1"/>
  <c r="F1955" i="20" s="1"/>
  <c r="F1956" i="20" s="1"/>
  <c r="F1957" i="20" s="1"/>
  <c r="F1958" i="20" s="1"/>
  <c r="F1959" i="20" s="1"/>
  <c r="F1960" i="20" s="1"/>
  <c r="F1961" i="20" s="1"/>
  <c r="F1962" i="20" s="1"/>
  <c r="F1963" i="20" s="1"/>
  <c r="F1964" i="20" s="1"/>
  <c r="F1965" i="20" s="1"/>
  <c r="F1966" i="20" s="1"/>
  <c r="F1967" i="20" s="1"/>
  <c r="F1968" i="20" s="1"/>
  <c r="F1969" i="20" s="1"/>
  <c r="F1970" i="20" s="1"/>
  <c r="F1971" i="20" s="1"/>
  <c r="F1972" i="20" s="1"/>
  <c r="F1973" i="20" s="1"/>
  <c r="F1974" i="20" s="1"/>
  <c r="F1975" i="20" s="1"/>
  <c r="F1976" i="20" s="1"/>
  <c r="F1977" i="20" s="1"/>
  <c r="F1978" i="20" s="1"/>
  <c r="F1979" i="20" s="1"/>
  <c r="F1980" i="20" s="1"/>
  <c r="F1981" i="20" s="1"/>
  <c r="F1982" i="20" s="1"/>
  <c r="F1983" i="20" s="1"/>
  <c r="F1984" i="20" s="1"/>
  <c r="F1985" i="20" s="1"/>
  <c r="F1986" i="20" s="1"/>
  <c r="F1987" i="20" s="1"/>
  <c r="F1988" i="20" s="1"/>
  <c r="F1989" i="20" s="1"/>
  <c r="F1990" i="20" s="1"/>
  <c r="F1991" i="20" s="1"/>
  <c r="F1992" i="20" s="1"/>
  <c r="F1993" i="20" s="1"/>
  <c r="F1994" i="20" s="1"/>
  <c r="F1995" i="20" s="1"/>
  <c r="F1996" i="20" s="1"/>
  <c r="F1997" i="20" s="1"/>
  <c r="F1998" i="20" s="1"/>
  <c r="F1999" i="20" s="1"/>
  <c r="F2000" i="20" s="1"/>
  <c r="F2001" i="20" s="1"/>
  <c r="F2002" i="20" s="1"/>
  <c r="F2003" i="20" s="1"/>
  <c r="F2004" i="20" s="1"/>
  <c r="F2005" i="20" s="1"/>
  <c r="F2006" i="20" s="1"/>
  <c r="F2007" i="20" s="1"/>
  <c r="F2008" i="20" s="1"/>
  <c r="F2009" i="20" s="1"/>
  <c r="F2010" i="20" s="1"/>
  <c r="F2011" i="20" s="1"/>
  <c r="F2012" i="20" s="1"/>
  <c r="F2013" i="20" s="1"/>
  <c r="F2014" i="20" s="1"/>
  <c r="F2015" i="20" s="1"/>
  <c r="F2016" i="20" s="1"/>
  <c r="F2017" i="20" s="1"/>
  <c r="F2018" i="20" s="1"/>
  <c r="F2019" i="20" s="1"/>
  <c r="F2020" i="20" s="1"/>
  <c r="F2021" i="20" s="1"/>
  <c r="F2022" i="20" s="1"/>
  <c r="F2023" i="20" s="1"/>
  <c r="F2024" i="20" s="1"/>
  <c r="F2025" i="20" s="1"/>
  <c r="F2026" i="20" s="1"/>
  <c r="F2027" i="20" s="1"/>
  <c r="F2028" i="20" s="1"/>
  <c r="F2029" i="20" s="1"/>
  <c r="F2030" i="20" s="1"/>
  <c r="F2031" i="20" s="1"/>
  <c r="F2032" i="20" s="1"/>
  <c r="F824" i="2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F836" i="2" s="1"/>
  <c r="F837" i="2" s="1"/>
  <c r="F838" i="2" s="1"/>
  <c r="F839" i="2" s="1"/>
  <c r="F2033" i="20" l="1"/>
  <c r="F2034" i="20" s="1"/>
  <c r="F2035" i="20" s="1"/>
  <c r="F2036" i="20" s="1"/>
  <c r="F2037" i="20" s="1"/>
  <c r="F2038" i="20" s="1"/>
  <c r="F2039" i="20" s="1"/>
  <c r="F2040" i="20" s="1"/>
  <c r="F2041" i="20" s="1"/>
  <c r="F2042" i="20" s="1"/>
  <c r="F2043" i="20" s="1"/>
  <c r="F2044" i="20" s="1"/>
  <c r="F2045" i="20" s="1"/>
  <c r="F2046" i="20" s="1"/>
  <c r="F2047" i="20" s="1"/>
  <c r="F2048" i="20" s="1"/>
  <c r="F2049" i="20" s="1"/>
  <c r="F2050" i="20" s="1"/>
  <c r="F2051" i="20" s="1"/>
  <c r="F2052" i="20" s="1"/>
  <c r="F2053" i="20" s="1"/>
  <c r="F2054" i="20" s="1"/>
  <c r="F2055" i="20" s="1"/>
  <c r="F2056" i="20" s="1"/>
  <c r="F2057" i="20" s="1"/>
  <c r="F2058" i="20" s="1"/>
  <c r="F2059" i="20" s="1"/>
  <c r="F2060" i="20" s="1"/>
  <c r="F2061" i="20" s="1"/>
  <c r="F2062" i="20" s="1"/>
  <c r="F2063" i="20" s="1"/>
  <c r="F2064" i="20" s="1"/>
  <c r="F2065" i="20" s="1"/>
  <c r="F2066" i="20" s="1"/>
  <c r="F2067" i="20" s="1"/>
  <c r="F2068" i="20" s="1"/>
  <c r="F2069" i="20" s="1"/>
  <c r="F2070" i="20" s="1"/>
  <c r="F2071" i="20" s="1"/>
  <c r="F2072" i="20" s="1"/>
  <c r="F2073" i="20" s="1"/>
  <c r="F2074" i="20" s="1"/>
  <c r="F2075" i="20" s="1"/>
  <c r="F2076" i="20" s="1"/>
  <c r="F2077" i="20" s="1"/>
  <c r="F2078" i="20" s="1"/>
  <c r="F2079" i="20" s="1"/>
  <c r="F2080" i="20" s="1"/>
  <c r="F2081" i="20" s="1"/>
  <c r="F2082" i="20" s="1"/>
  <c r="F2083" i="20" s="1"/>
  <c r="F2084" i="20" s="1"/>
  <c r="F2085" i="20" s="1"/>
  <c r="F2086" i="20" s="1"/>
  <c r="F2087" i="20" s="1"/>
  <c r="F2088" i="20" s="1"/>
  <c r="F2089" i="20" s="1"/>
  <c r="F2090" i="20" s="1"/>
  <c r="F2091" i="20" s="1"/>
  <c r="F2092" i="20" s="1"/>
  <c r="F2093" i="20" s="1"/>
  <c r="F2094" i="20" s="1"/>
  <c r="F2095" i="20" s="1"/>
  <c r="F2096" i="20" s="1"/>
  <c r="F2097" i="20" s="1"/>
  <c r="F2098" i="20" s="1"/>
  <c r="F2099" i="20" s="1"/>
  <c r="F2100" i="20" s="1"/>
  <c r="F2101" i="20" s="1"/>
  <c r="F2102" i="20" s="1"/>
  <c r="F2103" i="20" s="1"/>
  <c r="F2104" i="20" s="1"/>
  <c r="F2105" i="20" s="1"/>
  <c r="F2106" i="20" s="1"/>
  <c r="F2107" i="20" s="1"/>
  <c r="F2108" i="20" s="1"/>
  <c r="F2109" i="20" s="1"/>
  <c r="F2110" i="20" s="1"/>
  <c r="F2111" i="20" s="1"/>
  <c r="F2112" i="20" s="1"/>
  <c r="F2113" i="20" s="1"/>
  <c r="F2114" i="20" s="1"/>
  <c r="F2115" i="20" s="1"/>
  <c r="F2116" i="20" s="1"/>
  <c r="F2117" i="20" s="1"/>
  <c r="F2118" i="20" s="1"/>
  <c r="F2119" i="20" s="1"/>
  <c r="F2120" i="20" s="1"/>
  <c r="F2121" i="20" s="1"/>
  <c r="F2122" i="20" s="1"/>
  <c r="F2123" i="20" s="1"/>
  <c r="F2124" i="20" s="1"/>
  <c r="F2125" i="20" s="1"/>
  <c r="F2126" i="20" s="1"/>
  <c r="F2127" i="20" s="1"/>
  <c r="F2128" i="20" s="1"/>
  <c r="F2129" i="20" s="1"/>
  <c r="F2130" i="20" s="1"/>
  <c r="F2131" i="20" s="1"/>
  <c r="F2132" i="20" s="1"/>
  <c r="F2133" i="20" s="1"/>
  <c r="F2134" i="20" s="1"/>
  <c r="F2135" i="20" s="1"/>
  <c r="F2136" i="20" s="1"/>
  <c r="F2137" i="20" s="1"/>
  <c r="F2138" i="20" s="1"/>
  <c r="F2139" i="20" s="1"/>
  <c r="F2140" i="20" s="1"/>
  <c r="F2141" i="20" s="1"/>
  <c r="F2142" i="20" s="1"/>
  <c r="F2143" i="20" s="1"/>
  <c r="F2144" i="20" s="1"/>
  <c r="F2145" i="20" s="1"/>
  <c r="F2146" i="20" s="1"/>
  <c r="F2147" i="20" s="1"/>
  <c r="F2148" i="20" s="1"/>
  <c r="F2149" i="20" s="1"/>
  <c r="F2150" i="20" s="1"/>
  <c r="F2151" i="20" s="1"/>
  <c r="F2152" i="20" s="1"/>
  <c r="F2153" i="20" s="1"/>
  <c r="F2154" i="20" s="1"/>
  <c r="F2155" i="20" s="1"/>
  <c r="F2156" i="20" s="1"/>
  <c r="F2157" i="20" s="1"/>
  <c r="F2158" i="20" s="1"/>
  <c r="F2159" i="20" s="1"/>
  <c r="F2160" i="20" s="1"/>
  <c r="F2161" i="20" s="1"/>
  <c r="F2162" i="20" s="1"/>
  <c r="F2163" i="20" s="1"/>
  <c r="F2164" i="20" s="1"/>
  <c r="F2165" i="20" s="1"/>
  <c r="F2166" i="20" s="1"/>
  <c r="F2167" i="20" s="1"/>
  <c r="F2168" i="20" s="1"/>
  <c r="F2169" i="20" s="1"/>
  <c r="F2170" i="20" s="1"/>
  <c r="F2171" i="20" s="1"/>
  <c r="F2172" i="20" s="1"/>
  <c r="F2173" i="20" s="1"/>
  <c r="F2174" i="20" s="1"/>
  <c r="F2175" i="20" s="1"/>
  <c r="F2176" i="20" s="1"/>
  <c r="F2177" i="20" s="1"/>
  <c r="F2178" i="20" s="1"/>
  <c r="F2179" i="20" s="1"/>
  <c r="F2180" i="20" s="1"/>
  <c r="F2181" i="20" s="1"/>
  <c r="F2182" i="20" s="1"/>
  <c r="F2183" i="20" s="1"/>
  <c r="F2184" i="20" s="1"/>
  <c r="F2185" i="20" s="1"/>
  <c r="F2186" i="20" s="1"/>
  <c r="F2187" i="20" s="1"/>
  <c r="F2188" i="20" s="1"/>
  <c r="F2189" i="20" s="1"/>
  <c r="F2190" i="20" s="1"/>
  <c r="F2191" i="20" s="1"/>
  <c r="F2192" i="20" s="1"/>
  <c r="F2193" i="20" s="1"/>
  <c r="F2194" i="20" s="1"/>
  <c r="F2195" i="20" s="1"/>
  <c r="F2196" i="20" s="1"/>
  <c r="F840" i="2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2197" i="20" l="1"/>
  <c r="F2198" i="20" s="1"/>
  <c r="F2199" i="20" s="1"/>
  <c r="F2200" i="20" s="1"/>
  <c r="F2201" i="20" s="1"/>
  <c r="F2202" i="20" s="1"/>
  <c r="F2203" i="20" s="1"/>
  <c r="F2204" i="20" s="1"/>
  <c r="F2205" i="20" s="1"/>
  <c r="F2206" i="20" s="1"/>
  <c r="F2207" i="20" s="1"/>
  <c r="F2208" i="20" s="1"/>
  <c r="F2209" i="20" s="1"/>
  <c r="F2210" i="20" s="1"/>
  <c r="F2211" i="20" s="1"/>
  <c r="F2212" i="20" s="1"/>
  <c r="F2213" i="20" s="1"/>
  <c r="F2214" i="20" s="1"/>
  <c r="F2215" i="20" s="1"/>
  <c r="F2216" i="20" s="1"/>
  <c r="F2217" i="20" s="1"/>
  <c r="F2218" i="20" s="1"/>
  <c r="F2219" i="20" s="1"/>
  <c r="F2220" i="20" s="1"/>
  <c r="F2221" i="20" s="1"/>
  <c r="F2222" i="20" s="1"/>
  <c r="F2223" i="20" s="1"/>
  <c r="F2224" i="20" s="1"/>
  <c r="F2225" i="20" s="1"/>
  <c r="F2226" i="20" s="1"/>
  <c r="F2227" i="20" s="1"/>
  <c r="F2228" i="20" s="1"/>
  <c r="F2229" i="20" s="1"/>
  <c r="F2230" i="20" s="1"/>
  <c r="F2231" i="20" s="1"/>
  <c r="F2232" i="20" s="1"/>
  <c r="F2233" i="20" s="1"/>
  <c r="F2234" i="20" s="1"/>
  <c r="F2235" i="20" s="1"/>
  <c r="F2236" i="20" s="1"/>
  <c r="F2237" i="20" s="1"/>
  <c r="F2238" i="20" s="1"/>
  <c r="F2239" i="20" s="1"/>
  <c r="F2240" i="20" s="1"/>
  <c r="F2241" i="20" s="1"/>
  <c r="F2242" i="20" s="1"/>
  <c r="F2243" i="20" s="1"/>
  <c r="F2244" i="20" s="1"/>
  <c r="F2245" i="20" s="1"/>
  <c r="F2246" i="20" s="1"/>
  <c r="F2247" i="20" s="1"/>
  <c r="F2248" i="20" s="1"/>
  <c r="F2249" i="20" s="1"/>
  <c r="F2250" i="20" s="1"/>
  <c r="F2251" i="20" s="1"/>
  <c r="F2252" i="20" s="1"/>
  <c r="F2253" i="20" s="1"/>
  <c r="F2254" i="20" s="1"/>
  <c r="F2255" i="20" s="1"/>
  <c r="F2256" i="20" s="1"/>
  <c r="F2257" i="20" s="1"/>
  <c r="F2258" i="20" s="1"/>
  <c r="F2259" i="20" s="1"/>
  <c r="F2260" i="20" s="1"/>
  <c r="F2261" i="20" s="1"/>
  <c r="F2262" i="20" s="1"/>
  <c r="F2263" i="20" s="1"/>
  <c r="F2264" i="20" s="1"/>
  <c r="F2265" i="20" s="1"/>
  <c r="F2266" i="20" s="1"/>
  <c r="F2267" i="20" s="1"/>
  <c r="F2268" i="20" s="1"/>
  <c r="F2269" i="20" s="1"/>
  <c r="F2270" i="20" s="1"/>
  <c r="F2271" i="20" s="1"/>
  <c r="F2272" i="20" s="1"/>
  <c r="F2273" i="20" s="1"/>
  <c r="F2274" i="20" s="1"/>
  <c r="F2275" i="20" s="1"/>
  <c r="F2276" i="20" s="1"/>
  <c r="F2277" i="20" s="1"/>
  <c r="F2278" i="20" s="1"/>
  <c r="F2279" i="20" s="1"/>
  <c r="F2280" i="20" s="1"/>
  <c r="F2281" i="20" s="1"/>
  <c r="F2282" i="20" s="1"/>
  <c r="F2283" i="20" s="1"/>
  <c r="F2284" i="20" s="1"/>
  <c r="F2285" i="20" s="1"/>
  <c r="F2286" i="20" s="1"/>
  <c r="F2287" i="20" s="1"/>
  <c r="F2288" i="20" s="1"/>
  <c r="F2289" i="20" s="1"/>
  <c r="F2290" i="20" s="1"/>
  <c r="F2291" i="20" s="1"/>
  <c r="F2292" i="20" s="1"/>
  <c r="F2293" i="20" s="1"/>
  <c r="F2294" i="20" s="1"/>
  <c r="F2295" i="20" s="1"/>
  <c r="F2296" i="20" s="1"/>
  <c r="F2297" i="20" s="1"/>
  <c r="F2298" i="20" s="1"/>
  <c r="F2299" i="20" s="1"/>
  <c r="F2300" i="20" s="1"/>
  <c r="F2301" i="20" s="1"/>
  <c r="F2302" i="20" s="1"/>
  <c r="F2303" i="20" s="1"/>
  <c r="F2304" i="20" s="1"/>
  <c r="F2305" i="20" s="1"/>
  <c r="F2306" i="20" s="1"/>
  <c r="F2307" i="20" s="1"/>
  <c r="F2308" i="20" s="1"/>
  <c r="F2309" i="20" s="1"/>
  <c r="F2310" i="20" s="1"/>
  <c r="F2311" i="20" s="1"/>
  <c r="F2312" i="20" s="1"/>
  <c r="F2313" i="20" s="1"/>
  <c r="F2314" i="20" s="1"/>
  <c r="F2315" i="20" s="1"/>
  <c r="F2316" i="20" s="1"/>
  <c r="F2317" i="20" s="1"/>
  <c r="F2318" i="20" s="1"/>
  <c r="F2319" i="20" s="1"/>
  <c r="F2320" i="20" s="1"/>
  <c r="F2321" i="20" s="1"/>
  <c r="F2322" i="20" s="1"/>
  <c r="F2323" i="20" s="1"/>
  <c r="F2324" i="20" s="1"/>
  <c r="F2325" i="20" s="1"/>
  <c r="F2326" i="20" s="1"/>
  <c r="F2327" i="20" s="1"/>
  <c r="F2328" i="20" s="1"/>
  <c r="F2329" i="20" s="1"/>
  <c r="F2330" i="20" s="1"/>
  <c r="F2331" i="20" s="1"/>
  <c r="F2332" i="20" s="1"/>
  <c r="F2333" i="20" s="1"/>
  <c r="F2334" i="20" s="1"/>
  <c r="F2335" i="20" s="1"/>
  <c r="F2336" i="20" s="1"/>
  <c r="F2337" i="20" s="1"/>
  <c r="F2338" i="20" s="1"/>
  <c r="F2339" i="20" s="1"/>
  <c r="F2340" i="20" s="1"/>
  <c r="F2341" i="20" s="1"/>
  <c r="F2342" i="20" s="1"/>
  <c r="F2343" i="20" s="1"/>
  <c r="F2344" i="20" s="1"/>
  <c r="F2345" i="20" s="1"/>
  <c r="F2346" i="20" s="1"/>
  <c r="F2347" i="20" s="1"/>
  <c r="F2348" i="20" s="1"/>
  <c r="F2349" i="20" s="1"/>
  <c r="F2350" i="20" s="1"/>
  <c r="F2351" i="20" s="1"/>
  <c r="F2352" i="20" s="1"/>
  <c r="F2353" i="20" s="1"/>
  <c r="F2354" i="20" s="1"/>
  <c r="F2355" i="20" s="1"/>
  <c r="F2356" i="20" s="1"/>
  <c r="F2357" i="20" s="1"/>
  <c r="F2358" i="20" s="1"/>
  <c r="F2359" i="20" s="1"/>
  <c r="F2360" i="20" s="1"/>
  <c r="F2361" i="20" s="1"/>
  <c r="F2362" i="20" s="1"/>
  <c r="F2363" i="20" s="1"/>
  <c r="F2364" i="20" s="1"/>
  <c r="F2365" i="20" s="1"/>
  <c r="F2366" i="20" s="1"/>
  <c r="F2367" i="20"/>
  <c r="F2368" i="20" s="1"/>
  <c r="F2369" i="20" s="1"/>
  <c r="F2370" i="20" s="1"/>
  <c r="F2371" i="20" s="1"/>
  <c r="F2372" i="20" s="1"/>
  <c r="F2373" i="20" s="1"/>
  <c r="F2374" i="20" s="1"/>
  <c r="F2375" i="20" s="1"/>
  <c r="F2376" i="20" s="1"/>
  <c r="F2377" i="20" s="1"/>
  <c r="F2378" i="20" s="1"/>
  <c r="F2379" i="20" s="1"/>
  <c r="F2380" i="20" s="1"/>
  <c r="F2381" i="20" s="1"/>
  <c r="F2382" i="20" s="1"/>
  <c r="F2383" i="20" s="1"/>
  <c r="F2384" i="20" s="1"/>
  <c r="F2385" i="20" s="1"/>
  <c r="F2386" i="20" s="1"/>
  <c r="F2387" i="20" s="1"/>
  <c r="F2388" i="20" s="1"/>
  <c r="F2389" i="20" s="1"/>
  <c r="F2390" i="20" s="1"/>
  <c r="F2391" i="20" s="1"/>
  <c r="F2392" i="20" s="1"/>
  <c r="F2393" i="20" s="1"/>
  <c r="F2394" i="20" s="1"/>
  <c r="F2395" i="20" s="1"/>
  <c r="F2396" i="20" s="1"/>
  <c r="F2397" i="20" s="1"/>
  <c r="F2398" i="20" s="1"/>
  <c r="F2399" i="20" s="1"/>
  <c r="F2400" i="20" s="1"/>
  <c r="F2401" i="20" s="1"/>
  <c r="F2402" i="20" s="1"/>
  <c r="F2403" i="20" s="1"/>
  <c r="F2404" i="20" s="1"/>
  <c r="F2405" i="20" s="1"/>
  <c r="F2406" i="20" s="1"/>
  <c r="F2407" i="20" s="1"/>
  <c r="F2408" i="20" s="1"/>
  <c r="F2409" i="20" s="1"/>
  <c r="F2410" i="20" s="1"/>
  <c r="F2411" i="20" s="1"/>
  <c r="F2412" i="20" s="1"/>
  <c r="F2413" i="20" s="1"/>
  <c r="F2414" i="20" s="1"/>
  <c r="F2415" i="20" s="1"/>
  <c r="F2416" i="20" s="1"/>
  <c r="F2417" i="20" s="1"/>
  <c r="F2418" i="20" s="1"/>
  <c r="F2419" i="20" s="1"/>
  <c r="F2420" i="20" s="1"/>
  <c r="F2421" i="20" s="1"/>
  <c r="F2422" i="20" s="1"/>
  <c r="F2423" i="20" s="1"/>
  <c r="F2424" i="20" s="1"/>
  <c r="F2425" i="20" s="1"/>
  <c r="F2426" i="20" s="1"/>
  <c r="F2427" i="20" s="1"/>
  <c r="F2428" i="20" s="1"/>
  <c r="F2429" i="20" s="1"/>
  <c r="F2430" i="20" s="1"/>
  <c r="F2431" i="20" s="1"/>
  <c r="F2432" i="20" s="1"/>
  <c r="F2433" i="20" s="1"/>
  <c r="F2434" i="20" s="1"/>
  <c r="F2435" i="20" s="1"/>
  <c r="F2436" i="20" s="1"/>
  <c r="F2437" i="20" s="1"/>
  <c r="F2438" i="20" s="1"/>
  <c r="F2439" i="20" s="1"/>
  <c r="F2440" i="20" s="1"/>
  <c r="F2441" i="20" s="1"/>
  <c r="F2442" i="20" s="1"/>
  <c r="F2443" i="20" s="1"/>
  <c r="F2444" i="20" s="1"/>
  <c r="F2445" i="20" s="1"/>
  <c r="F2446" i="20" s="1"/>
  <c r="F2447" i="20" s="1"/>
  <c r="F2448" i="20" s="1"/>
  <c r="F2449" i="20" s="1"/>
  <c r="F2450" i="20" s="1"/>
  <c r="F2451" i="20" s="1"/>
  <c r="F2452" i="20" s="1"/>
  <c r="F2453" i="20" s="1"/>
  <c r="F2454" i="20" s="1"/>
  <c r="F2455" i="20" s="1"/>
  <c r="F2456" i="20" s="1"/>
  <c r="F2457" i="20" s="1"/>
  <c r="F2458" i="20" s="1"/>
  <c r="F2459" i="20" s="1"/>
  <c r="F2460" i="20" s="1"/>
  <c r="F2461" i="20" s="1"/>
  <c r="F2462" i="20" s="1"/>
  <c r="F2463" i="20" s="1"/>
  <c r="F2464" i="20" s="1"/>
  <c r="F2465" i="20" s="1"/>
  <c r="F2466" i="20" s="1"/>
  <c r="F2467" i="20" s="1"/>
  <c r="F2468" i="20" s="1"/>
  <c r="F2469" i="20" s="1"/>
  <c r="F2470" i="20" s="1"/>
  <c r="F2471" i="20" s="1"/>
  <c r="F2472" i="20" s="1"/>
  <c r="F2473" i="20" s="1"/>
  <c r="F2474" i="20" s="1"/>
  <c r="F2475" i="20" s="1"/>
  <c r="F2476" i="20" s="1"/>
  <c r="F2477" i="20" s="1"/>
  <c r="F2478" i="20" s="1"/>
  <c r="F2479" i="20" s="1"/>
  <c r="F2480" i="20" s="1"/>
  <c r="F2481" i="20" s="1"/>
  <c r="F2482" i="20" s="1"/>
  <c r="F2483" i="20" s="1"/>
  <c r="F2484" i="20" s="1"/>
  <c r="F2485" i="20" s="1"/>
  <c r="F2486" i="20" s="1"/>
  <c r="F2487" i="20" s="1"/>
  <c r="F2488" i="20" s="1"/>
  <c r="F2489" i="20" s="1"/>
  <c r="F2490" i="20" s="1"/>
  <c r="F2491" i="20" s="1"/>
  <c r="F2492" i="20" s="1"/>
  <c r="F2493" i="20" s="1"/>
  <c r="F2494" i="20" s="1"/>
  <c r="F2495" i="20" s="1"/>
  <c r="F2496" i="20" s="1"/>
  <c r="F2497" i="20" s="1"/>
  <c r="F2498" i="20" s="1"/>
  <c r="F2499" i="20" s="1"/>
  <c r="F2500" i="20" s="1"/>
  <c r="F2501" i="20" s="1"/>
  <c r="F2502" i="20" s="1"/>
  <c r="F2503" i="20" s="1"/>
  <c r="F2504" i="20" s="1"/>
  <c r="F2505" i="20" s="1"/>
  <c r="F2506" i="20" s="1"/>
  <c r="F2507" i="20" s="1"/>
  <c r="F2508" i="20" s="1"/>
  <c r="F2509" i="20" s="1"/>
  <c r="F2510" i="20" s="1"/>
  <c r="F2511" i="20" s="1"/>
  <c r="F2512" i="20" s="1"/>
  <c r="F2513" i="20" s="1"/>
  <c r="F2514" i="20" s="1"/>
  <c r="F2515" i="20" s="1"/>
  <c r="F2516" i="20" s="1"/>
  <c r="F2517" i="20" s="1"/>
  <c r="F2518" i="20" s="1"/>
  <c r="F2519" i="20" s="1"/>
  <c r="F2520" i="20" s="1"/>
  <c r="F2521" i="20" s="1"/>
  <c r="F2522" i="20" s="1"/>
  <c r="F2523" i="20" s="1"/>
  <c r="F2524" i="20" s="1"/>
  <c r="F2525" i="20" s="1"/>
  <c r="F2526" i="20" s="1"/>
  <c r="F2527" i="20" s="1"/>
  <c r="F2528" i="20" s="1"/>
  <c r="F2529" i="20" s="1"/>
  <c r="F2530" i="20" s="1"/>
  <c r="F2531" i="20" s="1"/>
  <c r="F2532" i="20" s="1"/>
  <c r="F2533" i="20" s="1"/>
  <c r="F2534" i="20" s="1"/>
  <c r="F2535" i="20" s="1"/>
  <c r="F2536" i="20" s="1"/>
  <c r="F2537" i="20" s="1"/>
  <c r="F2538" i="20" s="1"/>
  <c r="F2539" i="20" s="1"/>
  <c r="F2540" i="20" s="1"/>
  <c r="F2541" i="20" s="1"/>
  <c r="F851" i="2"/>
  <c r="F852" i="2" s="1"/>
  <c r="F853" i="2" s="1"/>
  <c r="F854" i="2" s="1"/>
  <c r="F855" i="2" s="1"/>
  <c r="F856" i="2" s="1"/>
  <c r="F857" i="2" s="1"/>
  <c r="F858" i="2" s="1"/>
  <c r="F859" i="2" s="1"/>
  <c r="F860" i="2" s="1"/>
  <c r="F861" i="2" l="1"/>
  <c r="F862" i="2" s="1"/>
  <c r="F863" i="2" s="1"/>
  <c r="F864" i="2" s="1"/>
  <c r="F865" i="2" s="1"/>
  <c r="F866" i="2" s="1"/>
  <c r="F867" i="2" s="1"/>
  <c r="F868" i="2" s="1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</calcChain>
</file>

<file path=xl/sharedStrings.xml><?xml version="1.0" encoding="utf-8"?>
<sst xmlns="http://schemas.openxmlformats.org/spreadsheetml/2006/main" count="39402" uniqueCount="1260">
  <si>
    <t>ACCOUNT STATEMENT</t>
  </si>
  <si>
    <t>Nomor Referensi</t>
  </si>
  <si>
    <t>Tgl Transaksi</t>
  </si>
  <si>
    <t>Debit</t>
  </si>
  <si>
    <t>Kredit</t>
  </si>
  <si>
    <t>Saldo</t>
  </si>
  <si>
    <t>Keterangan</t>
  </si>
  <si>
    <t>000DCTM24359A6VL</t>
  </si>
  <si>
    <t xml:space="preserve">6019233200018095  BMIDIN01  000145217296 DARI 3200018095 AGUNG PRAMONO KE 3200028199 MASJID AL-JABAR setor awal  INTERNAL TRANSFER MOBILE BANKING </t>
  </si>
  <si>
    <t xml:space="preserve">   ADM FEE HARD TOKEN CMS </t>
  </si>
  <si>
    <t>000CBBF25003A3CW</t>
  </si>
  <si>
    <t xml:space="preserve">3609100803200028199  BMRIIDJA  000025368653 TRANSFER DARI BMRIIDJA 1160002214741 INDRA EDI SANTOSO  CDT TRF BENFC BIFAST </t>
  </si>
  <si>
    <t>000DCTM25003A2E1</t>
  </si>
  <si>
    <t>000CBBF25003B27L</t>
  </si>
  <si>
    <t xml:space="preserve">3609245103200028199  BSMDIDJA  000024265117 TRANSFER DARI BSMDIDJA 7131678171 RIZKYHIDAYATSL  CDT TRF BENFC BIFAST </t>
  </si>
  <si>
    <t>000CBBF25006A5K2</t>
  </si>
  <si>
    <t xml:space="preserve">3609100803200028199  BMRIIDJA  000022597617 TRANSFER DARI BMRIIDJA 9000000119371 PUTIE AMBUN SURI  CDT TRF BENFC BIFAST </t>
  </si>
  <si>
    <t>000CBBF25006B4X4</t>
  </si>
  <si>
    <t xml:space="preserve">3609100803200028199  BMRIIDJA  000027063068 TRANSFER DARI BMRIIDJA 1270007796301 AGUNG PRAMONO  CDT TRF BENFC BIFAST </t>
  </si>
  <si>
    <t>320CHDP250060007</t>
  </si>
  <si>
    <t xml:space="preserve"> 001111982423   SETOR TUNAI </t>
  </si>
  <si>
    <t>000CBBF25007A02I</t>
  </si>
  <si>
    <t xml:space="preserve">3609101403200028199  CENAIDJA  000046859394 TRANSFER DARI CENAIDJA 8730630426 LAELASARI  CDT TRF BENFC BIFAST </t>
  </si>
  <si>
    <t>000CBBF250079810</t>
  </si>
  <si>
    <t xml:space="preserve">3609101403200028199  CENAIDJA  000046928080 TRANSFER DARI CENAIDJA 2301962683 NITA ROSITA  CDT TRF BENFC BIFAST </t>
  </si>
  <si>
    <t>000CBBF25007A5Q4</t>
  </si>
  <si>
    <t xml:space="preserve">3609100803200028199  BMRIIDJA  000020362929 TRANSFER DARI BMRIIDJA 1190004215685 AMRAN ANWAR  CDT TRF BENFC BIFAST </t>
  </si>
  <si>
    <t>000DCMS250071340</t>
  </si>
  <si>
    <t xml:space="preserve">6019233200028199  A5520001  000099476403 TRANSFER KE BSMDIDJA 7232861341 A IMRON ROSADI OPERASI-REIMBURSE VOUCHER &amp; PAJAK IMRON  DBT TRF BIFAST CMS </t>
  </si>
  <si>
    <t xml:space="preserve">6019233200028199  A5520001  000099476403 TRANSFER KE BSMDIDJA 7232861341 A IMRON ROSADI OPERASI-REIMBURSE VOUCHER &amp; PAJAK IMRON  CHARGE DBT TRF BIFAST </t>
  </si>
  <si>
    <t>000APIN250073039</t>
  </si>
  <si>
    <t xml:space="preserve">6019233070040823  FLIP0108  010807381030 DARI 3070040823 FLIPTECH LENTERA INSPIRASI PER KE 3200028199 MASJID AL-JABAR FLP750738103  INTERNAL TRANSFER ATM </t>
  </si>
  <si>
    <t>000CBBF250082473</t>
  </si>
  <si>
    <t xml:space="preserve">3609100903200028199  BNINIDJA  000015138312 TRANSFER DARI BNINIDJA 0153001306 AGUNG SANTOSO  CDT TRF BENFC BIFAST </t>
  </si>
  <si>
    <t>000DCTM250083202</t>
  </si>
  <si>
    <t xml:space="preserve">6019233200013631  BMIDIN01  000173277342 DARI 3200013631 DRS SARWONO KE 3200028199 MASJID AL-JABAR Utk jum'at barokhah masjif  INTERNAL TRANSFER MOBILE BANKING </t>
  </si>
  <si>
    <t>000CBBF250086014</t>
  </si>
  <si>
    <t xml:space="preserve">3609100203200028199  BRINIDJA  000042039905 TRANSFER DARI BRINIDJA 207901004129502 SAFONI MAWARDI  CDT TRF BENFC BIFAST </t>
  </si>
  <si>
    <t>000CBBF250088338</t>
  </si>
  <si>
    <t xml:space="preserve">3609100203200028199  BRINIDJA  000043008055 TRANSFER DARI BRINIDJA 207901004929504 ENICA AGUSTINA  CDT TRF BENFC BIFAST </t>
  </si>
  <si>
    <t>320DCTC250080033</t>
  </si>
  <si>
    <t xml:space="preserve">6019233200028199  TID320  108101202928 DARI 3200028199 MASJID AL-JABAR KE 3200025114 SUGENG PRIYONO Op-Servis AC Reimburse Pak Sug  INTERNAL TRANSFER CMS </t>
  </si>
  <si>
    <t>000DCMS250081199</t>
  </si>
  <si>
    <t xml:space="preserve">6019233200028199  A5520001  000066776847 TRANSFER KE BMRIIDJA 1720004139285 WATTIA NETI PEMBAYARAN REKENING JUMAT BAROKAHALJABAR  DBT TRF BIFAST CMS </t>
  </si>
  <si>
    <t xml:space="preserve">6019233200028199  A5520001  000066776847 TRANSFER KE BMRIIDJA 1720004139285 WATTIA NETI PEMBAYARAN REKENING JUMAT BAROKAHALJABAR  CHARGE DBT TRF BIFAST </t>
  </si>
  <si>
    <t>000DCTM25008A4CB</t>
  </si>
  <si>
    <t xml:space="preserve">6019233060002246  BMIDIN01  000166711914 DARI 3060002246 ACHMAD FANANI ,DR. SPB KE 3200028199 MASJID AL-JABAR Paket jumat barokah 42 paket  INTERNAL TRANSFER MOBILE BANKING </t>
  </si>
  <si>
    <t>000CBBF25008B1IS</t>
  </si>
  <si>
    <t xml:space="preserve">3609100203200028199  BRINIDJA  000048482430 TRANSFER DARI BRINIDJA 325001003470503 SHINTA NUR DEWANTI  CDT TRF BENFC BIFAST </t>
  </si>
  <si>
    <t>Account No : 3200028199</t>
  </si>
  <si>
    <t>Account Name : MASJID AL-JABAR</t>
  </si>
  <si>
    <t>Periode : Dari 01-Dec-2024 Sampai 09-Jan-2025</t>
  </si>
  <si>
    <t xml:space="preserve">6019233200009338  BMIDIN01  000198456561 DARI 3200009338 DASA SUKARSIWI, SE / dr. FANANI KE 3200028199 MASJID AL-JABAR Infaq untuk Januari -  Desembe  INTERNAL TRANSFER MOBILE BANKING </t>
  </si>
  <si>
    <t>INFAQ DARI INDRA EDI SANTOSO</t>
  </si>
  <si>
    <t>INFAQ DARI DASA SUKARSIWI, SE / dr. FANANI</t>
  </si>
  <si>
    <t>INFAQ DARI RIZKY HIDAYAT SL</t>
  </si>
  <si>
    <t>INFAQ DARI PUTIE AMBUN SURI / RIVENDRA</t>
  </si>
  <si>
    <t>SALDO DARI AGUNG PRAMONO</t>
  </si>
  <si>
    <t>SALDO DARI IMRON ROSADI</t>
  </si>
  <si>
    <t>INFAQ DARI LAELASARI</t>
  </si>
  <si>
    <t>JUMAT BERKAH DARI NITA ROSITA</t>
  </si>
  <si>
    <t>JUMAT BERKAH DARI AMRAN ANWAR</t>
  </si>
  <si>
    <t xml:space="preserve">OP - A IMRON ROSADI OPERASI-REIMBURSE VOUCHER LISTRIK &amp; PAJAK MOTOR MASJID  </t>
  </si>
  <si>
    <t xml:space="preserve">OP - BIAYA TRANSFER A IMRON ROSADI OPERASI-REIMBURSE VOUCHER LISTRIK &amp; PAJAK MOTOR MASJID  </t>
  </si>
  <si>
    <t>JUMAT BERKAH DARI DARWIN ALI</t>
  </si>
  <si>
    <t>JUMAT BERKAH DARI AGUNG SANTOSO</t>
  </si>
  <si>
    <t>JUMAT BERKAH DARI DRS. SARWONO</t>
  </si>
  <si>
    <t>JUMAT BERKAH DARI SAFONI MAWARDI</t>
  </si>
  <si>
    <t>JUMAT BERKAH DARI ENICA AGUSTINA</t>
  </si>
  <si>
    <t>JUMAT BERKAH WATTIA NETI PEMBAYARAN DP REKENING JUMAT BAROKAH ALJABAR</t>
  </si>
  <si>
    <t>JUMAT BERKAH WATTIA NETI BIAYA TRANSFER DP REKENING JUMAT BAROKAH ALJABAR</t>
  </si>
  <si>
    <t>JUMAT BERKAH DARI ACHMAD FANANI ,DR.</t>
  </si>
  <si>
    <t>JUMAT BERKAH DARI SHINTA NUR DEWANTI</t>
  </si>
  <si>
    <t xml:space="preserve">OP - ADM FEE HARD TOKEN CMS </t>
  </si>
  <si>
    <t xml:space="preserve">OP - A IMRON ROSADI REIMBURSE VOUCHER LISTRIK &amp; PAJAK MOTOR MASJID  </t>
  </si>
  <si>
    <t>OP - SUGENG PRIYONO Servis AC Reimburse Pak Sugeng Priyono</t>
  </si>
  <si>
    <t>MASJID ALJABAR</t>
  </si>
  <si>
    <t>SETOR DARI AGUNG PRAMONO</t>
  </si>
  <si>
    <t>SETOR DARI IMRON ROSADI</t>
  </si>
  <si>
    <t>OP - JUMAT BERKAH WATTIA NETI BIAYA TRANSFER DP REKENING JUMAT BAROKAH ALJABAR</t>
  </si>
  <si>
    <t>OP - JUMAT BERKAH WATTIA NETI PEMBAYARAN DP REKENING JUMAT BAROKAH ALJABAR</t>
  </si>
  <si>
    <t>SETOR SALDO AWAL DARI AGUNG PRAMONO</t>
  </si>
  <si>
    <t>Saldo Akhir 9 Jan Jam 10.00</t>
  </si>
  <si>
    <t>JUMAT BERKAH DARI LAELASARI / AMINUDIN</t>
  </si>
  <si>
    <t>INFAQ DARI DASA SUKARSIWI, SE / DR. FANANI</t>
  </si>
  <si>
    <t>OP - SUGENG PRIYONO OP-SERVIS AC REIMBURSE PAK SUGENG PRIYONO</t>
  </si>
  <si>
    <t>OP-INFAQ TPQ</t>
  </si>
  <si>
    <t>JUMAT BERKAH DARI AGUNG PRAMONO</t>
  </si>
  <si>
    <t>JUMAT BERKAH DARI RIZKI HIDAYAT</t>
  </si>
  <si>
    <t>JUMAT BERKAH DARI YUANITA</t>
  </si>
  <si>
    <t>JUMAT BERKAH DARI HAMZAH PATANGARIH</t>
  </si>
  <si>
    <t>PELUNASAN CATERING JUMAT BERKAH</t>
  </si>
  <si>
    <t>BIAYA ADMPELUNASAN CATERING JUMAT BERKAH</t>
  </si>
  <si>
    <t>HONOR USTADZ ABDUL HAMID</t>
  </si>
  <si>
    <t>BIAYA ADM HONOR USTADZ ABDUL HAMID</t>
  </si>
  <si>
    <t>OP-INFAQ DJOKO SULISTIYONO</t>
  </si>
  <si>
    <t>OP-INFAQ HASNANTO</t>
  </si>
  <si>
    <t>OP-INFAQ ISTANTO / IDAWATI</t>
  </si>
  <si>
    <t>SETOR IMRON ROSADI</t>
  </si>
  <si>
    <t>OP-INFAQ MAHMUD</t>
  </si>
  <si>
    <t>OP-INFAQ MUHAMMAD UBAIDILLAH</t>
  </si>
  <si>
    <t>OP-INFAQ ARWINDO</t>
  </si>
  <si>
    <t xml:space="preserve">ADM FEE HARD TOKEN CMS </t>
  </si>
  <si>
    <t>PO CATERING JUMAT BAROKAH</t>
  </si>
  <si>
    <t>MUTASI REKENING KORAN MASJID AL JABBAR</t>
  </si>
  <si>
    <t>Baitul Mal</t>
  </si>
  <si>
    <t>Pembangunan</t>
  </si>
  <si>
    <t>Akun Yatim &amp; Sosial</t>
  </si>
  <si>
    <t>Petty Cash</t>
  </si>
  <si>
    <t>Operasional (Infaq &amp; Sodaqoh)</t>
  </si>
  <si>
    <t>Isi Petty Cash</t>
  </si>
  <si>
    <t>Servis Laptop</t>
  </si>
  <si>
    <t>Pembelian minyak wangi</t>
  </si>
  <si>
    <t>Pembelian pembersih keramik</t>
  </si>
  <si>
    <t>Dropping Petty cash</t>
  </si>
  <si>
    <t>Selisih hitung setor bank</t>
  </si>
  <si>
    <t>Pembelian teh,kopi,gula,tisu</t>
  </si>
  <si>
    <t>Biaya untuk Nebang pohon</t>
  </si>
  <si>
    <t>untuk ustadz kajian ahad subuh</t>
  </si>
  <si>
    <t>Pembelian teh,kopi,tisu,gula</t>
  </si>
  <si>
    <t>pembelian alat kebersihan</t>
  </si>
  <si>
    <t>untuk biaya bikin tenda</t>
  </si>
  <si>
    <t>untuk khotib jumat</t>
  </si>
  <si>
    <t>Biaya fotokopi surat edaran</t>
  </si>
  <si>
    <t>Pembelian pewangi ruangan</t>
  </si>
  <si>
    <t xml:space="preserve"> 001112200071   SETOR TUNAI </t>
  </si>
  <si>
    <t>OP-INFAQ MUHAMMAD AKMAL HAKIM</t>
  </si>
  <si>
    <t>OP-INFAQ GOPAY</t>
  </si>
  <si>
    <t>OP-INFAQ YOYOK SUBIANTO</t>
  </si>
  <si>
    <t>OP-INFAQ HASNANTO WAHYUDI</t>
  </si>
  <si>
    <t>Biaya transfer Reimburse Hadiah Kajian Sabtu Ust. Affan</t>
  </si>
  <si>
    <t>Reimburse ke Rivendra Hadiah Kajian Sabtu Ust. Affan</t>
  </si>
  <si>
    <t>Reimburse ke Rivendra Hadiah Kajian Ahad Ust. Hasan</t>
  </si>
  <si>
    <t>Biaya transfer Reimburse Hadiah Kajian Ahad Ust. Hasan</t>
  </si>
  <si>
    <t>Pengumpulan infaq oleh Ustad Imron</t>
  </si>
  <si>
    <t>Honor collector ustadz Imron</t>
  </si>
  <si>
    <t xml:space="preserve">Infaq disetor langsung ke rekening masjid </t>
  </si>
  <si>
    <t>Untuk kopi teh dan tisu kajian ahad subuh</t>
  </si>
  <si>
    <t>Rincian</t>
  </si>
  <si>
    <t>Jumat Berkah</t>
  </si>
  <si>
    <t>Infaq TPQ</t>
  </si>
  <si>
    <t>Akun</t>
  </si>
  <si>
    <t>Saldo Awal Petty Cash</t>
  </si>
  <si>
    <t>Biaya Jumat Berkah</t>
  </si>
  <si>
    <t>Biaya Collector Infaq</t>
  </si>
  <si>
    <t>JUMAT BERKAH DARI H.ROPI</t>
  </si>
  <si>
    <t>OP-INFAQ JAMAAH</t>
  </si>
  <si>
    <t>JUMAT BERKAH DARI EDI NURHADI</t>
  </si>
  <si>
    <t>Sum of Kredit</t>
  </si>
  <si>
    <t>Row Labels</t>
  </si>
  <si>
    <t>Grand Total</t>
  </si>
  <si>
    <t>Sum of Debit</t>
  </si>
  <si>
    <t>Bank</t>
  </si>
  <si>
    <t>Lap2</t>
  </si>
  <si>
    <t>Lap1</t>
  </si>
  <si>
    <t>Lap3</t>
  </si>
  <si>
    <t>OP-INFAQ SURJATI SUTARJA</t>
  </si>
  <si>
    <t>OP-INFAQ WARGA</t>
  </si>
  <si>
    <t>PEMBELIAN JUMAT BERKAH</t>
  </si>
  <si>
    <t>Lap4</t>
  </si>
  <si>
    <t>HONOR USTADZ KHOERUL MAKTUM</t>
  </si>
  <si>
    <t>BIAYA ADM HONOR USTADZ KHOERUL MAKTUM</t>
  </si>
  <si>
    <t>OP-INFAQ WARGA FENTY HERLIANA</t>
  </si>
  <si>
    <t>OP-INFAQ TPQ RIVENDRA</t>
  </si>
  <si>
    <t>OP-INFAQ WARGA BENY PRIYATNA KUSUMA</t>
  </si>
  <si>
    <t>HONOR USTADZ WAHID RAHMAN</t>
  </si>
  <si>
    <t>BIAYA ADM HONOR USTADZ WAHID RAHMAN</t>
  </si>
  <si>
    <t>OP-INFAQ WARGA MOHAMMADIANTORO PURNAWAN</t>
  </si>
  <si>
    <t>JUMAT BERKAH DARI RIVENDRA</t>
  </si>
  <si>
    <t>HONOR NANANG SUBAEDI</t>
  </si>
  <si>
    <t>BIAYA ADM HONOR NANANG SUBAEDI</t>
  </si>
  <si>
    <t>HONOR YANA SIGIT ISMATULLAH</t>
  </si>
  <si>
    <t>BIAYA ADM HONOR YANA SIGIT ISMATULLAH</t>
  </si>
  <si>
    <t>HONOR NANANG AZIS / ISTANTO</t>
  </si>
  <si>
    <t>BIAYA ADM HONOR AZIS / ISTANTO</t>
  </si>
  <si>
    <t>HONOR M BAYU CANDRA</t>
  </si>
  <si>
    <t>BIAYA ADM HONOR M BAYU CANDRA</t>
  </si>
  <si>
    <t>BIAYA ADM HONOR A IMRON ROSADI</t>
  </si>
  <si>
    <t>HONOR MUHAMMAD ILHAM</t>
  </si>
  <si>
    <t>BIAYA ADM HONOR MUHAMMAD ILHAM</t>
  </si>
  <si>
    <t>HONOR A IMRON ROSADI</t>
  </si>
  <si>
    <t>HONOR SURYADI</t>
  </si>
  <si>
    <t>OP-INFAQ HARMEN</t>
  </si>
  <si>
    <t>PENGGANTIAN BIAYA RAWAT SANTRI KE UST. BAMBANG</t>
  </si>
  <si>
    <t>LINA HERLINA BIAYA MAJ BIAYA PENGAJIAN IBU-IBU</t>
  </si>
  <si>
    <t>BIAYA ADM LINA HERLINA BIAYA MAJ BIAYA PENGAJIAN IBU-IBU</t>
  </si>
  <si>
    <t>Pembelian alat kebersihan</t>
  </si>
  <si>
    <t>Untuk kopi teh kajian ahad subuh</t>
  </si>
  <si>
    <t>Bantuan guru ngaji NTB</t>
  </si>
  <si>
    <t>Pembelian 4 sepul TOA Speaker</t>
  </si>
  <si>
    <t>Pembelian Trapo Toa dan ongkos pasang</t>
  </si>
  <si>
    <t>Khatib Jumat</t>
  </si>
  <si>
    <t>Laporan</t>
  </si>
  <si>
    <t>OP-INFAQ WARGA AGUSTANI Biaya Tebang Pohon</t>
  </si>
  <si>
    <t>BIAYA ADM PENGGANTIAN BIAYA RAWAT SANTRI KE UST. BAMBANG</t>
  </si>
  <si>
    <t>PENGGANTIAN SISA BIAYA RAWAT SANTRI KE UST. BAMBANG</t>
  </si>
  <si>
    <t>MAJ BIAYA PERAWATAN SANTRI JANUARI VIA REK UST.BAYU</t>
  </si>
  <si>
    <t>BIAYA ADM MAJ BIAYA PERAWATAN SANTRI JANUARI VIA REK UST.BAYU</t>
  </si>
  <si>
    <t>Biaya Administrasi Masjid</t>
  </si>
  <si>
    <t>Biaya Akomodasi Masjid</t>
  </si>
  <si>
    <t>Biaya TPQ</t>
  </si>
  <si>
    <t>Biaya Baitul Mal</t>
  </si>
  <si>
    <t>Biaya Pembangunan</t>
  </si>
  <si>
    <t>Biaya Akun Yatim &amp; Sosial</t>
  </si>
  <si>
    <t>Saldo Awal Baitul Mal</t>
  </si>
  <si>
    <t>Saldo Awal Pembangunan</t>
  </si>
  <si>
    <t>Saldo Awal Akun Yatim &amp; Sosial</t>
  </si>
  <si>
    <t>Saldo Awal Operasional (Infaq &amp; Sodaqoh)</t>
  </si>
  <si>
    <t xml:space="preserve">Saldo Awal Jumat Berkah </t>
  </si>
  <si>
    <t>Saldo Awal Infaq TPQ</t>
  </si>
  <si>
    <t>Saldo Akhir Baitul Mal</t>
  </si>
  <si>
    <t>Saldo Akhir Pembangunan</t>
  </si>
  <si>
    <t>Saldo Akhir Akun Yatim &amp; Sosial</t>
  </si>
  <si>
    <t xml:space="preserve">Saldo Akhir Jumat Berkah </t>
  </si>
  <si>
    <t>Saldo Akhir Infaq TPQ</t>
  </si>
  <si>
    <t xml:space="preserve">Jumat Berkah </t>
  </si>
  <si>
    <t>BIAYA PERAWATAN MASJID (PANGKAS SAWIT, BAMBU &amp; LAMPU)</t>
  </si>
  <si>
    <t>(blank)</t>
  </si>
  <si>
    <t>Lap5</t>
  </si>
  <si>
    <t>ZAKAT DARI MOH RESAWAN HAKIM</t>
  </si>
  <si>
    <t>Periode : Dari 01-Dec-2024 Sampai 31-Jan-2025</t>
  </si>
  <si>
    <t>Pemasukan
(+)</t>
  </si>
  <si>
    <t>Pengeluaran
(-)</t>
  </si>
  <si>
    <t>Saldo Akhir</t>
  </si>
  <si>
    <t>Sub Total Baitul Mal</t>
  </si>
  <si>
    <t>Sub Total Pembangunan</t>
  </si>
  <si>
    <t>Sub Total Yatim &amp; Sosial</t>
  </si>
  <si>
    <t>Sub Total Jumat Berkah</t>
  </si>
  <si>
    <t>Sub Total Infaq TPQ</t>
  </si>
  <si>
    <t>Sub Total Infaq Operasional</t>
  </si>
  <si>
    <t>HONOR USTADZ AZHAR KHALID</t>
  </si>
  <si>
    <t>BIAYA ADM HONOR USTADZ AZHAR KHALID</t>
  </si>
  <si>
    <t>INFAQ DARI DEDEN TP PERDIANSYAH</t>
  </si>
  <si>
    <t>INFAQ DARI DRS SARWONO</t>
  </si>
  <si>
    <t>INFAQ DARI AGUNG PRAMONO</t>
  </si>
  <si>
    <t>HONOR USTADZ HIKMATIYAR ABU UMAR</t>
  </si>
  <si>
    <t>BIAYA ADM HONOR USTADZ HIKMATIYAR ABU UMAR</t>
  </si>
  <si>
    <t>INFAQ DARI WUSONO PRIHADI SANTO</t>
  </si>
  <si>
    <t>INFAQ DARI PUTIE AMBUN SURI/RIVENDRA</t>
  </si>
  <si>
    <t>INFAQ DARI FENTYHERLIANA A.N YUDHA BS</t>
  </si>
  <si>
    <t>INFAQ DARI MOHAMMADIANTORO PURNAWAN A.N ALM M.HASAN</t>
  </si>
  <si>
    <t>INFAQ DARI AMRAN ANWAR</t>
  </si>
  <si>
    <t>INFAQ DARI SHINTA NUR DEWANTI A.N NURKHOLIS TA 3/3</t>
  </si>
  <si>
    <t>INFAQ DARI BU FAJAR TS 8</t>
  </si>
  <si>
    <t>INFAQ DARI HASNANTO</t>
  </si>
  <si>
    <t>INFAQ DARI ISTANTO / IDAWATI</t>
  </si>
  <si>
    <t>INFAQ DARI MAHMUD</t>
  </si>
  <si>
    <t>INFAQ DARI MUHAMMAD UBAIDILLAH</t>
  </si>
  <si>
    <t>INFAQ DARI ARWINDO</t>
  </si>
  <si>
    <t>INFAQ DARI TPQ</t>
  </si>
  <si>
    <t>INFAQ DARI MUHAMMAD AKMAL HAKIM</t>
  </si>
  <si>
    <t>INFAQ DARI GOPAY</t>
  </si>
  <si>
    <t>INFAQ DARI YOYOK SUBIANTO</t>
  </si>
  <si>
    <t>INFAQ DARI HASNANTO WAHYUDI</t>
  </si>
  <si>
    <t>INFAQ DARI JAMAAH</t>
  </si>
  <si>
    <t>INFAQ DARI SURJATI SUTARJA</t>
  </si>
  <si>
    <t>INFAQ DARI WARGA</t>
  </si>
  <si>
    <t>INFAQ DARI WARGA FENTY HERLIANA</t>
  </si>
  <si>
    <t>INFAQ DARI TPQ RIVENDRA</t>
  </si>
  <si>
    <t>INFAQ DARI WARGA BENY PRIYATNA KUSUMA</t>
  </si>
  <si>
    <t>INFAQ DARI HARMEN</t>
  </si>
  <si>
    <t>INFAQ DARI WARGA AGUSTANI Biaya Tebang Pohon</t>
  </si>
  <si>
    <t>INFAQ DARI UMI HAMIDAH</t>
  </si>
  <si>
    <t xml:space="preserve">INFAQ DARI RIZKIVITA AGNES </t>
  </si>
  <si>
    <t>INFAQ DARI WIDHIYAKSA SAVEEDRA</t>
  </si>
  <si>
    <t>Periode : Dari 01-Dec-2024 Sampai 06-Feb-2025</t>
  </si>
  <si>
    <t>Ongkos pasang bohlam</t>
  </si>
  <si>
    <t>Sewa kapolding</t>
  </si>
  <si>
    <t>Pembelian kopi,cemilan buat tukang</t>
  </si>
  <si>
    <t>BIAYA PENGAJIAN IBU-IBU MAJ FEBRUARI</t>
  </si>
  <si>
    <t>BIAYA ADM PENGAJIAN IBU-IBU MAJ FEBRUARI</t>
  </si>
  <si>
    <t>INFAQ DARI SEPTEMBERIZAL TA 1/8</t>
  </si>
  <si>
    <t>REIMBURSE SERVICE AC MASJID</t>
  </si>
  <si>
    <t>MAHMUD MADJID BELI PARFUM PEWANGI KARPET MAJ</t>
  </si>
  <si>
    <t>Refund Program MAP_Januari 2025</t>
  </si>
  <si>
    <t>INFAQ DARI JIMMY FAJRIANSYAH</t>
  </si>
  <si>
    <t>HONOR USTADZ DARWIS</t>
  </si>
  <si>
    <t>INFAQ DARI PAK RAMADHAN</t>
  </si>
  <si>
    <t>INFAQ DARI SARI ARGO WARDANI</t>
  </si>
  <si>
    <t>INFAQ DARI MAY SOEKMONO</t>
  </si>
  <si>
    <t>Pembelian busa mic imam</t>
  </si>
  <si>
    <t>Pengembalian biaya pak Sugeng</t>
  </si>
  <si>
    <t>QRIS</t>
  </si>
  <si>
    <t>UST AFAN MUBARAK</t>
  </si>
  <si>
    <t>ADM</t>
  </si>
  <si>
    <t>UST HASAN MUBARAK</t>
  </si>
  <si>
    <t>BIAYA CETAK IMSAKIYAH MAJ 500 LBR</t>
  </si>
  <si>
    <t>BIAYA ADM CETAK IMSAKIYAH MAJ 500 LBR</t>
  </si>
  <si>
    <t>INFAQ TPQ DARI AGUNG PRAMONO</t>
  </si>
  <si>
    <t>IMRON ROSADI</t>
  </si>
  <si>
    <t>INFAQ TPQ IMRON ROSADI</t>
  </si>
  <si>
    <t>INFAQ DARI JONET/DWI LISTYOWATI DRA Gunung Salak FA 5</t>
  </si>
  <si>
    <t>INFAQ DARI AMIN/LAELASARI RT 5</t>
  </si>
  <si>
    <t>INFAQ COLLECTIVE WARGA RT 5</t>
  </si>
  <si>
    <t>INFAQ COLLECTIVE IMRON</t>
  </si>
  <si>
    <t>FEE IMRON</t>
  </si>
  <si>
    <t>Token listrik</t>
  </si>
  <si>
    <t>Kran air, Selotip + ongkos pasang</t>
  </si>
  <si>
    <t>Kopi, the,gula,tisu</t>
  </si>
  <si>
    <t>Pembersih keramik</t>
  </si>
  <si>
    <t>Baterai mic</t>
  </si>
  <si>
    <t>Sambungan pipa + lem</t>
  </si>
  <si>
    <t>Khotib Jumat</t>
  </si>
  <si>
    <t>HONOR PELATIHAN JENAZAH</t>
  </si>
  <si>
    <t>BIAYA ADM HONOR PELATIHAN JENAZAH</t>
  </si>
  <si>
    <t>SETOR IMRON</t>
  </si>
  <si>
    <t>INFAQ TPQ RIVENDRA</t>
  </si>
  <si>
    <t>CETAK STICKER QRIS MASJID ALJABBAR</t>
  </si>
  <si>
    <t>BIAYA ADM CETAK STICKER QRIS MASJID ALJABBAR</t>
  </si>
  <si>
    <t>Biaya pemakaman</t>
  </si>
  <si>
    <t>Beli kopi the kajian ahad subuh</t>
  </si>
  <si>
    <t>Fotokopi sertifikat</t>
  </si>
  <si>
    <t>fotokopi surat edaran</t>
  </si>
  <si>
    <t>Selisih petty cash</t>
  </si>
  <si>
    <t>INFAQ DARI ANGGONO IRIAWAN</t>
  </si>
  <si>
    <t>HONOR ABDUL AZIS VIA ISTANTO</t>
  </si>
  <si>
    <t>INFAQ COLLECTIVE WARGA VIA ABDUL AZIS</t>
  </si>
  <si>
    <t>MAJ BIAYA PERAWATAN SANTRI FEBRUARI</t>
  </si>
  <si>
    <t>BIAYA ADM</t>
  </si>
  <si>
    <t>Fee Payroll Januari</t>
  </si>
  <si>
    <t>Biaya Administrasi</t>
  </si>
  <si>
    <t>Biaya Listrik &amp; Air</t>
  </si>
  <si>
    <t>Biaya Kebersihan &amp; Perawatan</t>
  </si>
  <si>
    <t>Biaya Dakwah dan Kajian</t>
  </si>
  <si>
    <t>Operasi</t>
  </si>
  <si>
    <t>Gaji Marbot &amp; Imam Masjid</t>
  </si>
  <si>
    <t>Saldo Akhir Operasional (Infaq &amp; Sodaqoh)</t>
  </si>
  <si>
    <t>Biaya Konsumsi</t>
  </si>
  <si>
    <t>Biaya Operasional Lainnya</t>
  </si>
  <si>
    <t>Maret 1</t>
  </si>
  <si>
    <t>INFAQ QRIS</t>
  </si>
  <si>
    <t>INFAQ DARI UMI HAMIDAH DRA</t>
  </si>
  <si>
    <t>DP Panitia Buka Bersama MAJ 1446H</t>
  </si>
  <si>
    <t>INFAQ DEDEN TP PERDIANSYAH</t>
  </si>
  <si>
    <t>INFAQ DARI ANDI BAGUS JL.PANGRANGO 25</t>
  </si>
  <si>
    <t>INFAQ DARI FADJAR SATYANI</t>
  </si>
  <si>
    <t>REIMBURSE BELI MATERIAL CAT PAK AMRAN</t>
  </si>
  <si>
    <t>BIAYA ADM REIMBURSE BELI MATERIAL CAT PAK AMRAN</t>
  </si>
  <si>
    <t>INFAQ DARI DWI LISTYOWATI DRA/JONET GUNUNG SALAK FA 5</t>
  </si>
  <si>
    <t xml:space="preserve">INFAQ DARI ANIS </t>
  </si>
  <si>
    <t>REIMBURSE VOUCHER LISTRIK &amp; SERVICE AC</t>
  </si>
  <si>
    <t>BIAYA ADM REIMBURSE VOUCHER LISTRIK &amp; SERVICE AC</t>
  </si>
  <si>
    <t>INFAQ DARI MOH RESAWAN HAKIM</t>
  </si>
  <si>
    <t>BAYAR TUKANG CAT LT 2 MAJ</t>
  </si>
  <si>
    <t>BIAYA ADM BAYAR TUKANG CAT LT 2 MAJ</t>
  </si>
  <si>
    <t>INFAQ DARI EDWARDI  CDT TRF BENFC BIFAST</t>
  </si>
  <si>
    <t>Refund Program MAP_Februari 2025</t>
  </si>
  <si>
    <t>ZAKAT MAL BPK HARMEN</t>
  </si>
  <si>
    <t>InfaQ warga TS 5 No 8</t>
  </si>
  <si>
    <t xml:space="preserve">INFAQ DARI DEDEN TP PERDIANSYAH </t>
  </si>
  <si>
    <t>INFAQ DARI RIZKYHIDAYATSL</t>
  </si>
  <si>
    <t>PENGAJIAN IBU-IBU MAJ MARET</t>
  </si>
  <si>
    <t>BIAYA ADM PENGAJIAN IBU-IBU MAJ MARET</t>
  </si>
  <si>
    <t>Beli 2 kran dan pasang</t>
  </si>
  <si>
    <t>Beli gembok kotak amal &amp; laminating</t>
  </si>
  <si>
    <t>Beli Lem gunting dobeltip</t>
  </si>
  <si>
    <t>Beli minyak wangi</t>
  </si>
  <si>
    <t>Januari</t>
  </si>
  <si>
    <t>Februari</t>
  </si>
  <si>
    <t>Sumber</t>
  </si>
  <si>
    <t>Cashflow Jan</t>
  </si>
  <si>
    <t>Cashflow Februari</t>
  </si>
  <si>
    <t>Saldo Akhir
Jan</t>
  </si>
  <si>
    <t>Saldo Akhir
Feb</t>
  </si>
  <si>
    <t>Saldo Akhir Periode Januari 2025</t>
  </si>
  <si>
    <t>Saldo Akhir Periode Februari 2025</t>
  </si>
  <si>
    <t>TAHUN 2025</t>
  </si>
  <si>
    <t>Maret 2</t>
  </si>
  <si>
    <t>Pembelian Hadiah &amp; ATK Pesantren Kilat MAJ</t>
  </si>
  <si>
    <t>Infaq QRIS</t>
  </si>
  <si>
    <t>HONOR UST KHOERUL MAKTUM DKM MAJ HADIAH PESANTREN KILAT RAMADHAN</t>
  </si>
  <si>
    <t>BIAYA ADM HONOR UST KHOERUL MAKTUM DKM MAJ HADIAH PESANTREN KILAT RAMADHAN</t>
  </si>
  <si>
    <t>AGUNG PRAMONO Donasi acara kajian lesantren</t>
  </si>
  <si>
    <t>INFAQ FENTYHERLIANA</t>
  </si>
  <si>
    <t>Kencleng Ramadhan</t>
  </si>
  <si>
    <t>Baca hadist+imam tarwih+sahur security</t>
  </si>
  <si>
    <t>Imam tarawih dan sahur security</t>
  </si>
  <si>
    <t>Infaq Taraweh</t>
  </si>
  <si>
    <t>Penceramah+Imam Taraweh+Sahur Security</t>
  </si>
  <si>
    <t>Setor ke Bank</t>
  </si>
  <si>
    <t>INFAQ MOHAMMADIANTORO PURNAWAN a.n HM HASAN MERBABU NO.3</t>
  </si>
  <si>
    <t>Forecast Cashflow Maret</t>
  </si>
  <si>
    <t>Forecast Akumulasi Cashflow s.d 31 Maret</t>
  </si>
  <si>
    <t>Saldo Akhir
Maret</t>
  </si>
  <si>
    <t>Akumulasi Saldo Akhir Per 31 Maret 2025</t>
  </si>
  <si>
    <t>Saldo Akhir Periode Maret 2025</t>
  </si>
  <si>
    <t xml:space="preserve">FORECAST LAPORAN CASH FLOW MASJID AL JABBAR </t>
  </si>
  <si>
    <t>INFAQ DARI SEPTEMBERIZAL</t>
  </si>
  <si>
    <t>PEMBELIAN LAPTOP SANTRI</t>
  </si>
  <si>
    <t>BIAYA ADM PEMBELIAN LAPTOP SANTRI</t>
  </si>
  <si>
    <t>CUCI KARPET LT.2 PAK MAHMUD</t>
  </si>
  <si>
    <t>BIAYA DM CUCI KARPET LT.2 PAK MAHMUD</t>
  </si>
  <si>
    <t>Bantuan untuk musafir</t>
  </si>
  <si>
    <t>Alat pel+pembersih keramik</t>
  </si>
  <si>
    <t>Beli karung zakat</t>
  </si>
  <si>
    <t>beli minyak wangi</t>
  </si>
  <si>
    <t>beli alat super pel</t>
  </si>
  <si>
    <t>Fotocopy edaran</t>
  </si>
  <si>
    <t>Maret 3</t>
  </si>
  <si>
    <t>INFAQ DARI BENY PRIYATNA KUSUMA</t>
  </si>
  <si>
    <t>Beli baju wisuda santri MAJ</t>
  </si>
  <si>
    <t>PELUNASAN BUKA BERSAMA MAJ 1446H</t>
  </si>
  <si>
    <t>BIAYA ADM PELUNASAN BUKA BERSAMA MAJ 1446H</t>
  </si>
  <si>
    <t>PENYALURAN DANA YATIM DAN WISUDA MAJ</t>
  </si>
  <si>
    <t>BIAYA ADM PENYALURAN DANA YATIM DAN WISUDA MAJ</t>
  </si>
  <si>
    <t>BELI BAJU LEBARAN SANTRI MAJ 1446H</t>
  </si>
  <si>
    <t>BIAYA ADM BELI BAJU LEBARAN SANTRI MAJ 1446H</t>
  </si>
  <si>
    <t>Infaq an wahyu romadhoni</t>
  </si>
  <si>
    <t>INFAQ FADEL MUHAMMAD IKHWAN</t>
  </si>
  <si>
    <t>Infaq Collection Imron</t>
  </si>
  <si>
    <t>Collection FEE Imron</t>
  </si>
  <si>
    <t>Voucher Listrik</t>
  </si>
  <si>
    <t>Beli plastik beras dan kuitansi</t>
  </si>
  <si>
    <t>ongkos tukang listrik</t>
  </si>
  <si>
    <t>tambah petty cash</t>
  </si>
  <si>
    <t>Kajian rabu sore</t>
  </si>
  <si>
    <t>Beli alat kebersihan</t>
  </si>
  <si>
    <t>beli kopi the gula</t>
  </si>
  <si>
    <t>Penceramah+Imam Taraweh</t>
  </si>
  <si>
    <t>Baca hadist+imam tarwih</t>
  </si>
  <si>
    <t>Cashflow Maret</t>
  </si>
  <si>
    <t>Saldo Akhir
Mar</t>
  </si>
  <si>
    <t>Maret 4</t>
  </si>
  <si>
    <t xml:space="preserve">BIAYA PAYROLL </t>
  </si>
  <si>
    <t>INFAQ SURJATI SUTARJA</t>
  </si>
  <si>
    <t>INFAQ RIZKYHIDAYATSL</t>
  </si>
  <si>
    <t>INFAQ DARI DION</t>
  </si>
  <si>
    <t>ZAKAT MAL DARI DION</t>
  </si>
  <si>
    <t>INFAQ Bp. Injon</t>
  </si>
  <si>
    <t>ZAKAT MAL DHIDIK TRI WIBOWO</t>
  </si>
  <si>
    <t>INFAQ DARI WAHYU ROMADHONI</t>
  </si>
  <si>
    <t>Terima Cash Nanang</t>
  </si>
  <si>
    <t>ZAKAT MAL AMRAN</t>
  </si>
  <si>
    <t>INFAQ YATIM AMRAN ANWAR</t>
  </si>
  <si>
    <t>ZAKAT MAL ALI MURNI TANJUNG</t>
  </si>
  <si>
    <t>ZAKAT MAL HASNADI</t>
  </si>
  <si>
    <t>ZAKAT MAL FIRMANSYAH</t>
  </si>
  <si>
    <t>ZAKAT MAL SALIM</t>
  </si>
  <si>
    <t>INFAQ YATIM BENNY EKABANA</t>
  </si>
  <si>
    <t>Terima Cash Imron</t>
  </si>
  <si>
    <t>ZAKAT MAL Budi Tursilo</t>
  </si>
  <si>
    <t>ZAKAT MAL ELLIYAS</t>
  </si>
  <si>
    <t>ZAKAT MAL DARI DR.FANANI</t>
  </si>
  <si>
    <t>ZAKAT MAL DARI ADITIA TIRTA PRATAMA</t>
  </si>
  <si>
    <t>ZAKAT MAL DARI H.ROPI</t>
  </si>
  <si>
    <t>ZAKAT MAL DARI ARWINDO</t>
  </si>
  <si>
    <t>INFAQ DARI BAKTI</t>
  </si>
  <si>
    <t>INFAQ DARI TATOK</t>
  </si>
  <si>
    <t>ZAKAT MAL DARI ANDRIANSYAH</t>
  </si>
  <si>
    <t>ZAKAT MAL DARI YADI ABDULLAH</t>
  </si>
  <si>
    <t>ZAKAT MAL KUNTO WIJAYA</t>
  </si>
  <si>
    <t>ZAKAT MAL EDY SIHOTANG</t>
  </si>
  <si>
    <t>ZAKAT MAL PAK EMAS</t>
  </si>
  <si>
    <t>INFAQ DARI FADEL MUHAMMAD IKHWAN</t>
  </si>
  <si>
    <t>BIAYA PERAWATAN SANTRI MARET 2025</t>
  </si>
  <si>
    <t>HONOR BAYU</t>
  </si>
  <si>
    <t xml:space="preserve">HONOR NANANG </t>
  </si>
  <si>
    <t>HONOR AZIZ</t>
  </si>
  <si>
    <t>HONOR ILHAM</t>
  </si>
  <si>
    <t>HONOR YANA</t>
  </si>
  <si>
    <t>HONOR IMRON</t>
  </si>
  <si>
    <t>ZAKAT MAL DARI Muhammad Irfan GS DA 15</t>
  </si>
  <si>
    <t>untuk musafir</t>
  </si>
  <si>
    <t>gantungan baju+kran air</t>
  </si>
  <si>
    <t>tisu msker dan gembok</t>
  </si>
  <si>
    <t>ZAKAT PAK ANDANI PRATAMA</t>
  </si>
  <si>
    <t>ZAKAT SUTOPO</t>
  </si>
  <si>
    <t>INFAQ BU AYU</t>
  </si>
  <si>
    <t>INFAQ BAMBANG BASUK</t>
  </si>
  <si>
    <t>INFAQ DARI ???</t>
  </si>
  <si>
    <t>ZAKAT PAK PIMANSIAH</t>
  </si>
  <si>
    <t>ZAKAT PAKJ KUN HIDAYAT</t>
  </si>
  <si>
    <t>ZAKAT ARIP ISTANTO</t>
  </si>
  <si>
    <t>ZAKAT ANIL IMRAN</t>
  </si>
  <si>
    <t>Maret 5</t>
  </si>
  <si>
    <t>ZAKAT BUDIARTO SETIAWAN</t>
  </si>
  <si>
    <t>ZAKAT INDRAGA UTAMA</t>
  </si>
  <si>
    <t>INFAQ WISIYAKSA</t>
  </si>
  <si>
    <t>INFAQ WAHYU</t>
  </si>
  <si>
    <t>INFAQ FAJAR SAURI</t>
  </si>
  <si>
    <t>ZAKAT H.HAMZAH</t>
  </si>
  <si>
    <t>ZAKAT SIGIT PRAMONO</t>
  </si>
  <si>
    <t>ZAKAT IBU SANTI</t>
  </si>
  <si>
    <t>INFAQ DARI EDWARDI</t>
  </si>
  <si>
    <t>INFAQ DARI ISAL MUKHTAR</t>
  </si>
  <si>
    <t>INFAQ DARI PAK TEGUH</t>
  </si>
  <si>
    <t>ZAKAT MAL DIKI FIRMANSYAH</t>
  </si>
  <si>
    <t>Zakat mal a.n yustitia wahidin</t>
  </si>
  <si>
    <t xml:space="preserve">PEMBAGIAN ZAKAT FITRAH 1446H </t>
  </si>
  <si>
    <t>Infaq an Ramadhan</t>
  </si>
  <si>
    <t>INFAQ DARI ARIEF TAUFIQURRAHMAN</t>
  </si>
  <si>
    <t>ZAKAT MAL ???</t>
  </si>
  <si>
    <t>(Multiple Items)</t>
  </si>
  <si>
    <t>bohlam dan perbaikan</t>
  </si>
  <si>
    <t>perlengkapan idul fitri</t>
  </si>
  <si>
    <t>Imam dan Khatib Ied Fitri</t>
  </si>
  <si>
    <t>Alat dan Sound Ied Fitri</t>
  </si>
  <si>
    <t>Minyak wangi</t>
  </si>
  <si>
    <t>Panitia Zakat</t>
  </si>
  <si>
    <t>Biaya Alat dan Perlengkapan Masjid</t>
  </si>
  <si>
    <t>Biaya Panitia Zakat</t>
  </si>
  <si>
    <t>Biaya Alat &amp; Perlengkapan</t>
  </si>
  <si>
    <t>April A</t>
  </si>
  <si>
    <t>ZAKAT MAL YAYAN</t>
  </si>
  <si>
    <t>ZAKAT MAL INDRA EDI SANTOSO</t>
  </si>
  <si>
    <t>ZAKAT MAL NURMANSYAH SYARIEF</t>
  </si>
  <si>
    <t>ZAKAT MAL ZULFIKAR MANGGAU</t>
  </si>
  <si>
    <t>SETOR CASH IMRON</t>
  </si>
  <si>
    <t>April B</t>
  </si>
  <si>
    <t>INFAQ DARWIN</t>
  </si>
  <si>
    <t>INFAQ H.FIRLY</t>
  </si>
  <si>
    <t>Perbaikan pompa air pipa dan kran</t>
  </si>
  <si>
    <t>Pasang mesin air, bersih torn dan buang air</t>
  </si>
  <si>
    <t>Beli cat toren kuas dan konsumsi</t>
  </si>
  <si>
    <t>servis ac dan mesin air</t>
  </si>
  <si>
    <t>INFAQ PUTIE AMBUN SURI / RIVENDRA</t>
  </si>
  <si>
    <t>Infaq april25 yud</t>
  </si>
  <si>
    <t>INFAQ DWI LISTYOWATI</t>
  </si>
  <si>
    <t>PENGAJIAN IBU-IBU APRIL VIA LINA HERLINA</t>
  </si>
  <si>
    <t>BIAYA PENGAJIAN IBU-IBU APRIL VIA LINA HERLINA</t>
  </si>
  <si>
    <t>INFAQ SHOLAT IDUL FITRI 1446 H</t>
  </si>
  <si>
    <t>Maret</t>
  </si>
  <si>
    <t>INFAQ RIZKY HIDAYAT</t>
  </si>
  <si>
    <t xml:space="preserve">Biaya Perbaikan 3 Pintu MAJ  SKN OUT TRF CMS </t>
  </si>
  <si>
    <t xml:space="preserve">Adm Biaya Perbaikan 3 Pintu MAJ  SKN OUT TRF CMS </t>
  </si>
  <si>
    <t>April C</t>
  </si>
  <si>
    <t xml:space="preserve">INFAQ ANIS </t>
  </si>
  <si>
    <t>FEE MUAMALAT</t>
  </si>
  <si>
    <t>PERAWATAN MAJ-MAHMUD MADJID</t>
  </si>
  <si>
    <t>BIAYA PERAWATAN MAJ-MAHMUD MADJID</t>
  </si>
  <si>
    <t xml:space="preserve">HONOR UST DARWIS MAJ </t>
  </si>
  <si>
    <t>INFAQ WUSONO PRIHADI SANTO</t>
  </si>
  <si>
    <t>Perbaikan Kipas Angin MAJ</t>
  </si>
  <si>
    <t>Biaya Adm Perbaikan Kipas Angin MAJ</t>
  </si>
  <si>
    <t>INFAQ INDRA EDI SANTOSO</t>
  </si>
  <si>
    <t>PERBAIKAN DAK PIPA-MAHMUD MADJID</t>
  </si>
  <si>
    <t>ADM PERBAIKAN DAK PIPA-MAHMUD MADJID</t>
  </si>
  <si>
    <t>Ongkos antar karpet</t>
  </si>
  <si>
    <t>batre mic</t>
  </si>
  <si>
    <t>Servis kipas angin santri</t>
  </si>
  <si>
    <t>Tisu dan alat bersih</t>
  </si>
  <si>
    <t>Lapor Setor ke Bank (Nanang)</t>
  </si>
  <si>
    <t>Selisih</t>
  </si>
  <si>
    <t>MUTASI INFAQ DAN PENGELUARAN TARAWEH MASJID AL JABAR 1446 H</t>
  </si>
  <si>
    <t>April D</t>
  </si>
  <si>
    <t>Perbaikan Plafon MAJ</t>
  </si>
  <si>
    <t>Biaya Trf Perbaikan Plafon MAJ</t>
  </si>
  <si>
    <t>Honor Ustadz Hasan Mubarok</t>
  </si>
  <si>
    <t>Biaya Trf Honor Ustadz Hasan Mubarok</t>
  </si>
  <si>
    <t>Biaya Adm Payroll Muamalat</t>
  </si>
  <si>
    <t>Honor Guru TPQ</t>
  </si>
  <si>
    <t>Biaya Trf Honor Guru TPQ</t>
  </si>
  <si>
    <t>Setor Imron</t>
  </si>
  <si>
    <t>Kran air dan amplop</t>
  </si>
  <si>
    <t>1 dus oasis the kopi gula</t>
  </si>
  <si>
    <t>Kebersihan</t>
  </si>
  <si>
    <t>Petty cash</t>
  </si>
  <si>
    <t>oke</t>
  </si>
  <si>
    <t>?????</t>
  </si>
  <si>
    <t>April</t>
  </si>
  <si>
    <t>APRIL E</t>
  </si>
  <si>
    <t>INFAQ ANGGONO IRIAWAN</t>
  </si>
  <si>
    <t>HONOR UST-KHOERUL MAKTUM</t>
  </si>
  <si>
    <t>ADM HONOR UST-KHOERUL MAKTUM</t>
  </si>
  <si>
    <t>HONOR-MUHAMMAD ILHAM</t>
  </si>
  <si>
    <t>ADM HONOR-MUHAMMAD ILHAM</t>
  </si>
  <si>
    <t xml:space="preserve">HONOR A IMRON ROSADI </t>
  </si>
  <si>
    <t xml:space="preserve">ADM HONOR A IMRON ROSADI </t>
  </si>
  <si>
    <t>HONOR-YANA SIGIT ISMATULLAH</t>
  </si>
  <si>
    <t>ADM HONOR-YANA SIGIT ISMATULLAH</t>
  </si>
  <si>
    <t>HONOR-NANANG SUBAEDI</t>
  </si>
  <si>
    <t>ADM HONOR-NANANG SUBAEDI</t>
  </si>
  <si>
    <t>HONOR-M BAYU CANDRA</t>
  </si>
  <si>
    <t>ADM HONOR-M BAYU CANDRA</t>
  </si>
  <si>
    <t>HONNOR Ustad Wahid Rahman</t>
  </si>
  <si>
    <t>PERAWATAN SANTRI VIA BAYU CANDRA-M BAYU CANDRA</t>
  </si>
  <si>
    <t>ADM PERAWATAN SANTRI VIA BAYU CANDRA-M BAYU CANDRA</t>
  </si>
  <si>
    <t>INFAQ FADJAR SATYANI</t>
  </si>
  <si>
    <t>INFAQ UMI HAMIDAH</t>
  </si>
  <si>
    <t>INFAQ DRS SARWONO</t>
  </si>
  <si>
    <t>Profit Aljabar Store</t>
  </si>
  <si>
    <t>Laba ALJABAR Store</t>
  </si>
  <si>
    <t>April E</t>
  </si>
  <si>
    <t>Kran dispenser dan pasang</t>
  </si>
  <si>
    <t>Yatim dan Sosial</t>
  </si>
  <si>
    <t>Tromol Jumat</t>
  </si>
  <si>
    <t>Zakat Mal</t>
  </si>
  <si>
    <t>Infaq Ramadhan</t>
  </si>
  <si>
    <t>Mei</t>
  </si>
  <si>
    <t>Periode : Dari 01-Dec-2024 Sampai 30-April-2025</t>
  </si>
  <si>
    <t>Cashflow April</t>
  </si>
  <si>
    <t>Saldo Akhir
Apr</t>
  </si>
  <si>
    <t>INFAQ DEDEN TP</t>
  </si>
  <si>
    <t>HONOR AZIS</t>
  </si>
  <si>
    <t>ADM HONOR AZIS</t>
  </si>
  <si>
    <t>ADM HONOR YANA</t>
  </si>
  <si>
    <t>HONOR-MOHAMMAD SHODIQ</t>
  </si>
  <si>
    <t>ADM HONOR-MOHAMMAD SHODIQ</t>
  </si>
  <si>
    <t>HONOR UST.UMAR</t>
  </si>
  <si>
    <t>ADM HONOR UST.UMAR</t>
  </si>
  <si>
    <t>INFAQ PUTIE AMBUN SURI/RIVENDRA</t>
  </si>
  <si>
    <t>CETAK STIKER MAJ</t>
  </si>
  <si>
    <t>ADM CETAK STIKER MAJ</t>
  </si>
  <si>
    <t>INFAQ DWI LISTYOWATI DRA</t>
  </si>
  <si>
    <t>QURBAN YOYOK SUBIYANTO SAKIDI</t>
  </si>
  <si>
    <t>QURBAN IBU SRI MAULATI A F</t>
  </si>
  <si>
    <t>INFAQ IBU SRI MAULATI A F</t>
  </si>
  <si>
    <t>BIAYA PENGAJIAN IBU-IBU</t>
  </si>
  <si>
    <t>ADM BIAYA PENGAJIAN IBU-IBU</t>
  </si>
  <si>
    <t>INFAQ RAMADHAN NIENDRAPUTRA</t>
  </si>
  <si>
    <t>INFAQ TPQ</t>
  </si>
  <si>
    <t>QURBAN SAFONI MAWARDI</t>
  </si>
  <si>
    <t>QURBAN YADI ABDULLAH</t>
  </si>
  <si>
    <t>Setoran Qurban</t>
  </si>
  <si>
    <t>Biaya Qurban</t>
  </si>
  <si>
    <t>Fotokopi</t>
  </si>
  <si>
    <t>Servis kipas angin</t>
  </si>
  <si>
    <t>Mei2</t>
  </si>
  <si>
    <t>QURBAN</t>
  </si>
  <si>
    <t>Setor Qurban</t>
  </si>
  <si>
    <t>HONOR UST ABDUL HAMID</t>
  </si>
  <si>
    <t>ADM HONOR UST ABDUL HAMID</t>
  </si>
  <si>
    <t>APRESIASI USTADZ MAJ</t>
  </si>
  <si>
    <t>ADM APRESIASI USTADZ MAJ</t>
  </si>
  <si>
    <t>HONOR UST DARWIS</t>
  </si>
  <si>
    <t xml:space="preserve"> 001113827620 INFAQ  SETOR TUNAI </t>
  </si>
  <si>
    <t>Mei3</t>
  </si>
  <si>
    <t>Persekot Biaya Qurban MAJ 1446 H</t>
  </si>
  <si>
    <t>Adm Persekot Biaya Qurban MAJ 1446 H</t>
  </si>
  <si>
    <t>BIAYA PAYROLL MUAMALAT</t>
  </si>
  <si>
    <t>SETOR QURBAN</t>
  </si>
  <si>
    <t>HONOR UST. FAISAL</t>
  </si>
  <si>
    <t>HONOR UST. HASAN</t>
  </si>
  <si>
    <t>ADM HONOR UST. HASAN</t>
  </si>
  <si>
    <t>PENGAJIAN IBU-IBU MAJ</t>
  </si>
  <si>
    <t>ADM PENGAJIAN IBU-IBU MAJ</t>
  </si>
  <si>
    <t xml:space="preserve"> 001113894255 INFAQ  SETOR TUNAI </t>
  </si>
  <si>
    <t>Nasi kajian taman</t>
  </si>
  <si>
    <t>Ustadz Kajian taman</t>
  </si>
  <si>
    <t xml:space="preserve">kopi the oasis </t>
  </si>
  <si>
    <t>perlengkapan qurban</t>
  </si>
  <si>
    <t>khatib jumat</t>
  </si>
  <si>
    <t>Untuk Musafir</t>
  </si>
  <si>
    <t>Pembersih mimbar</t>
  </si>
  <si>
    <t>Konsumsi</t>
  </si>
  <si>
    <t>HONOR USTADZ</t>
  </si>
  <si>
    <t>ADM HONOR USTADZ</t>
  </si>
  <si>
    <t>PULSA LISTRIK MAJ</t>
  </si>
  <si>
    <t>ADM PULSA LISTRIK MAJ</t>
  </si>
  <si>
    <t>HONOR MARBOT</t>
  </si>
  <si>
    <t>HONOR MUSHRIF</t>
  </si>
  <si>
    <t>ADM HONOR MUSHRIF</t>
  </si>
  <si>
    <t>PERAWATAN SANTRI</t>
  </si>
  <si>
    <t>ADM PERAWATAN SANTRI</t>
  </si>
  <si>
    <t>BAYAR QURBAN</t>
  </si>
  <si>
    <t>ADM BAYAR QURBAN</t>
  </si>
  <si>
    <t>PENGEMBALIAN SETOR QURBAN</t>
  </si>
  <si>
    <t>ADM PENGEMBALIAN SETOR QURBAN</t>
  </si>
  <si>
    <t>Kop[ gula dll</t>
  </si>
  <si>
    <t>Baca hadist subuh</t>
  </si>
  <si>
    <t>Batre Wireless</t>
  </si>
  <si>
    <t>ASROFI DP-Sapi Amran Anwar</t>
  </si>
  <si>
    <t>Adm ASROFI-DP Sapi Amran Anwar</t>
  </si>
  <si>
    <t>IBU MARWAH  ZULKIFLI PO Konsumsi Panitia Qurban MAJ 310525</t>
  </si>
  <si>
    <t>Honor-MOH SUKRON Hadiah Kajian MAJ 310525</t>
  </si>
  <si>
    <t>DWIYANTO RACHMAD Pengembalian Dana Qurban</t>
  </si>
  <si>
    <t>Adm DWIYANTO RACHMAD Pengembalian Dana Qurban</t>
  </si>
  <si>
    <t>Cashflow Mei</t>
  </si>
  <si>
    <t>Saldo Awal Infaq Qurban</t>
  </si>
  <si>
    <t>Biaya Biaya</t>
  </si>
  <si>
    <t>Sub Total Qurban</t>
  </si>
  <si>
    <t>Saldo Akhir Qurban</t>
  </si>
  <si>
    <t>HONOR USTADZ UMAR</t>
  </si>
  <si>
    <t>ADM HONOR USTADZ UMAR</t>
  </si>
  <si>
    <t>INFAQ UMI HAMIDAH DRA</t>
  </si>
  <si>
    <t>INFAQ INDRAEDISANTOSO</t>
  </si>
  <si>
    <t>INFAQ RIS</t>
  </si>
  <si>
    <t>Biaya Operasional Qurban MAJ 1446H</t>
  </si>
  <si>
    <t>Adm Biaya Operasional Qurban MAJ 1446H</t>
  </si>
  <si>
    <t>INFAQ FIERMANSYAH CHANIAGO</t>
  </si>
  <si>
    <t>Tenda Qurban MAJ via Imron</t>
  </si>
  <si>
    <t>Adm Tenda Qurban MAJ via Imron</t>
  </si>
  <si>
    <t>Operasional Qurban</t>
  </si>
  <si>
    <t>Adm Operasional Qurban</t>
  </si>
  <si>
    <t>Adm BAYAR QURBAN</t>
  </si>
  <si>
    <t>SETOR QURBAN BENNY EKABANA</t>
  </si>
  <si>
    <t>Kotak Amal Buka Puasa dan Beras</t>
  </si>
  <si>
    <t>Buat sajadah imam</t>
  </si>
  <si>
    <t>musafir</t>
  </si>
  <si>
    <t>kosumsi rapat</t>
  </si>
  <si>
    <t>bantuan warga meninggal</t>
  </si>
  <si>
    <t>konsumsi pasang spanduk</t>
  </si>
  <si>
    <t>Pewangi</t>
  </si>
  <si>
    <t>SETOR QURBAN Bella Sabina</t>
  </si>
  <si>
    <t>AHMAD RENANDA RIZKA PUTRA PO 3 Sapi 10 Kambing Qurban</t>
  </si>
  <si>
    <t>HONOR USTADZ SHODIQ</t>
  </si>
  <si>
    <t>ADM HONOR USTADZ SHODIQ</t>
  </si>
  <si>
    <t xml:space="preserve">PENGEMBALIAN OPERASIONAL QURBAN dari IR.DARMAWAN </t>
  </si>
  <si>
    <t>SETOR QURBAN HAMELDA</t>
  </si>
  <si>
    <t>SETOR QURBAN NAZILA ANJANI</t>
  </si>
  <si>
    <t>Perbaikan pompa dan dinamo</t>
  </si>
  <si>
    <t>Pembersih lantai</t>
  </si>
  <si>
    <t>Konsumsi merapikan perlengkapan Qurban</t>
  </si>
  <si>
    <t>SETOR QURBAN WAWAN SETIAWAN</t>
  </si>
  <si>
    <t>INFAQ WAWAN SETIAWAN</t>
  </si>
  <si>
    <t>SETOR INFAQ IDUL ADHA</t>
  </si>
  <si>
    <t>Pembelian Kulkas Santri via Pak Mahmud</t>
  </si>
  <si>
    <t>Adm Pembelian Kulkas Santri via Pak Mahmud</t>
  </si>
  <si>
    <t>Yatim</t>
  </si>
  <si>
    <t>Op</t>
  </si>
  <si>
    <t>PENGEMBALIAN OPERASIONAL QURBAN VIA SAFONI MAWARDI</t>
  </si>
  <si>
    <t>SETOR QURBAN (Ongkos Potong via Safoni)</t>
  </si>
  <si>
    <t>Perbaikan Pintu Kaca MAJ dan Aksesoris</t>
  </si>
  <si>
    <t>Adm Perbaikan Pintu Kaca MAJ dan Aksesoris</t>
  </si>
  <si>
    <t>HONOR UST HASAN MUBAROK</t>
  </si>
  <si>
    <t>ADM HONOR UST HASAN MUBAROK</t>
  </si>
  <si>
    <t>INFAQ JUMAT</t>
  </si>
  <si>
    <t>Penggantian Operasional Panitia Qurban</t>
  </si>
  <si>
    <t>Adm Penggantian Operasional Panitia Qurban</t>
  </si>
  <si>
    <t>Kopi the gula Tisu 2 Dus Oasis</t>
  </si>
  <si>
    <t>Kran air dan ongkos pasang</t>
  </si>
  <si>
    <t>Honor Ustadz FAISAL</t>
  </si>
  <si>
    <t>Honor Ustadz Wahid</t>
  </si>
  <si>
    <t>Adm Honor Ustadz Wahid</t>
  </si>
  <si>
    <t xml:space="preserve"> 001114385559 UANG INFAQ  SETOR TUNAI </t>
  </si>
  <si>
    <t>Fee Payroll Mei 2025</t>
  </si>
  <si>
    <t>Infaq TPQ Rivendra</t>
  </si>
  <si>
    <t>INFAQ DJOKO SULISTIYONO</t>
  </si>
  <si>
    <t>Bantuan Pengurusan Jenazah</t>
  </si>
  <si>
    <t>Kopi gula the</t>
  </si>
  <si>
    <t>Musafir</t>
  </si>
  <si>
    <t>Perbaikan pompa</t>
  </si>
  <si>
    <t>Juni</t>
  </si>
  <si>
    <t>Juli</t>
  </si>
  <si>
    <t>Pulsa Listrik</t>
  </si>
  <si>
    <t>Biaya Perawatan Santri Juni 2025</t>
  </si>
  <si>
    <t>Honor Imam Marbot</t>
  </si>
  <si>
    <t>Biaya Adm Pengajian Ibu-Ibu MAJ Juli</t>
  </si>
  <si>
    <t>Honor Mushrif Juni 2025</t>
  </si>
  <si>
    <t>Honor Ustadz</t>
  </si>
  <si>
    <t>INFAQ DESYANA SE</t>
  </si>
  <si>
    <t xml:space="preserve"> 001114450332 INFAQ  SETOR TUNAI </t>
  </si>
  <si>
    <t>Cashflow Juni</t>
  </si>
  <si>
    <t>Saldo Akhir
Juni</t>
  </si>
  <si>
    <t>Periode : Dari 01-Dec-2024 Sampai 30-Juni-2025</t>
  </si>
  <si>
    <t xml:space="preserve">INFAQ RIZKYHIDAYATSL  </t>
  </si>
  <si>
    <t>HONOR USTADZ-MOHAMMAD SHODIQ</t>
  </si>
  <si>
    <t>HONOR USTADZ-ZULFA SYAHIDAH</t>
  </si>
  <si>
    <t>Service Pompa Air MAJ</t>
  </si>
  <si>
    <t xml:space="preserve"> 001114575484 INFAQ  SETOR TUNAI </t>
  </si>
  <si>
    <t>Laundy Rompi</t>
  </si>
  <si>
    <t>Perlengkapan kebersihan</t>
  </si>
  <si>
    <t>Mic Condenser</t>
  </si>
  <si>
    <t>MicZM 370 HS</t>
  </si>
  <si>
    <t>Ongkos Pasang dan Servis</t>
  </si>
  <si>
    <t>CETAK LAPORAN CASHFLOW MAJ</t>
  </si>
  <si>
    <t>HONOR PENGAJAR TPQ</t>
  </si>
  <si>
    <t xml:space="preserve"> 001114670508   SETOR TUNAI </t>
  </si>
  <si>
    <t>Kopi gula the gula oasis tisu</t>
  </si>
  <si>
    <t>Cairan kerak keramik</t>
  </si>
  <si>
    <t xml:space="preserve"> 001114766954 INFAQ MASJID  SETOR TUNAI </t>
  </si>
  <si>
    <t xml:space="preserve">  713 3200028199 Fee Payroll Juni 2025 CMS BIAYA PAYROLL </t>
  </si>
  <si>
    <t>Beasiswa Anak Binaan MAJ</t>
  </si>
  <si>
    <t>INFAQ COLLECTIVE A IMRON ROSADI</t>
  </si>
  <si>
    <t>Lem plastik beras</t>
  </si>
  <si>
    <t>Kencleng Taraweh</t>
  </si>
  <si>
    <t>Terima cash imron</t>
  </si>
  <si>
    <t>Penerimaan Infaq Ramadhan 1445 H</t>
  </si>
  <si>
    <t>Kencleng Sholat Ied</t>
  </si>
  <si>
    <t>Rp</t>
  </si>
  <si>
    <t>Total</t>
  </si>
  <si>
    <t>HONOR USTADZ-IMAM MUSLIH</t>
  </si>
  <si>
    <t>HONOR UST-WAHID RAHMAN</t>
  </si>
  <si>
    <t>AHMAD IMAM SAMUDRA MAJ Honor Juli 2025</t>
  </si>
  <si>
    <t xml:space="preserve"> A IMRON ROSADI MAJ Honor Juli 2025</t>
  </si>
  <si>
    <t>MUHAMMAD ILHAM MAJ Honor Juli 2025</t>
  </si>
  <si>
    <t>M BAYU CANDRA MAJ Honor Mushrif Juli 2025</t>
  </si>
  <si>
    <t>LINA HERLINA Biaya Adm Pengajian Ibu-Ibu MAJ Agustus</t>
  </si>
  <si>
    <t>M BAYU CANDRA MAJ Biaya Perawatan Santri Juli 2025</t>
  </si>
  <si>
    <t>M BAYU CANDRA MAJ Honor Juli 2025</t>
  </si>
  <si>
    <t>NANANG SUBAEDI MAJ Honor Juli 2025</t>
  </si>
  <si>
    <t>HONOR USTADZ SURYADI</t>
  </si>
  <si>
    <t>M BAYU CANDRA Keperluan Santri MAJ</t>
  </si>
  <si>
    <t xml:space="preserve"> 001114877976   SETOR TUNAI </t>
  </si>
  <si>
    <t>Paket Ambulance dan Tenda Takziah</t>
  </si>
  <si>
    <t xml:space="preserve">INFAQ DESYANA SE </t>
  </si>
  <si>
    <t>Infaq TPQ RIVENDRA u Fatih</t>
  </si>
  <si>
    <t>Pewanagi ruangan</t>
  </si>
  <si>
    <t>HONOR USTADZ-IMAM MUSLIH Hadiah Kajian MAJ 020825</t>
  </si>
  <si>
    <t xml:space="preserve">HONOR USTADZ UMAR-ZULFA SYAHIDAH </t>
  </si>
  <si>
    <t>INFAQ HADIANTI DELLIANA</t>
  </si>
  <si>
    <t>Beli Voucher Listrik MAJ</t>
  </si>
  <si>
    <t xml:space="preserve"> 001114980380 INFAQ  SETOR TUNAI </t>
  </si>
  <si>
    <t>INFAQ TPQ A IMRON ROSADI</t>
  </si>
  <si>
    <t>Servicce Mic dan soundsystem</t>
  </si>
  <si>
    <t>A IMRON ROSADI Service AC 9 Unit MAJ</t>
  </si>
  <si>
    <t>HONOR UST-ABDUL HAMID</t>
  </si>
  <si>
    <t>HONOR UST. DARWIS</t>
  </si>
  <si>
    <t xml:space="preserve"> 001115104714   SETOR TUNAI </t>
  </si>
  <si>
    <t>Pewangi dan kamper</t>
  </si>
  <si>
    <t xml:space="preserve">HONOR UST. FAISAL </t>
  </si>
  <si>
    <t>HONOR UST. HASAN MUBAROK</t>
  </si>
  <si>
    <t xml:space="preserve"> 001115222657   SETOR TUNAI </t>
  </si>
  <si>
    <t>the gula tisu oasis</t>
  </si>
  <si>
    <t>payung 7 bh</t>
  </si>
  <si>
    <t>pewangi karpet</t>
  </si>
  <si>
    <t>HONOR UST.IMAM MUSLIH</t>
  </si>
  <si>
    <t>HONOR UST.WAHID RAHMAN</t>
  </si>
  <si>
    <t>INFAQ TPQ FATIH RIVENDRA</t>
  </si>
  <si>
    <t>Biaya Pengajian Ibu-Ibu MAJ September</t>
  </si>
  <si>
    <t>GAJI MARBOT &amp; IMAM</t>
  </si>
  <si>
    <t>Biaya Perawatan Santri Agustus 2025</t>
  </si>
  <si>
    <t>Honor Mushrif Agustus 2025</t>
  </si>
  <si>
    <t>Honor ustadz kajian taman</t>
  </si>
  <si>
    <t>Kopi gula the oasis</t>
  </si>
  <si>
    <t>Perbaikan Toilet Pria</t>
  </si>
  <si>
    <t>Perbaikan Atap Utara</t>
  </si>
  <si>
    <t>Fee Payroll Juli 2025</t>
  </si>
  <si>
    <t>HONOR UST-MOHAMMAD SHODIQ</t>
  </si>
  <si>
    <t>HONOR UST-SAIFUL BAHRI</t>
  </si>
  <si>
    <t xml:space="preserve">INFAQ YADI ABDULLAH </t>
  </si>
  <si>
    <t xml:space="preserve"> 001115417690   SETOR TUNAI </t>
  </si>
  <si>
    <t xml:space="preserve">Kopi the gula </t>
  </si>
  <si>
    <t>Pewangi, saklar</t>
  </si>
  <si>
    <t>OK OC Gelas</t>
  </si>
  <si>
    <t xml:space="preserve">INFAQ WIWI WIDIAWATI </t>
  </si>
  <si>
    <t>HONOR UST UMAR-ZULFA SYAHIDAH</t>
  </si>
  <si>
    <t xml:space="preserve"> 001115515442   SETOR TUNAI </t>
  </si>
  <si>
    <t>INFAQ M FIERMANSYAH CHANIAGO</t>
  </si>
  <si>
    <t>Buka puasa senin kamis</t>
  </si>
  <si>
    <t>HONOR USTAD DARWIS</t>
  </si>
  <si>
    <t>Thp2 siswa binaan</t>
  </si>
  <si>
    <t>Cuci karpet, urinoir</t>
  </si>
  <si>
    <t>Honor ustad Cholid</t>
  </si>
  <si>
    <t>Kopi tisu oasis</t>
  </si>
  <si>
    <t>sabun cuci tangan alat kebersihan</t>
  </si>
  <si>
    <t>Pengerjaan closed berdiri</t>
  </si>
  <si>
    <t xml:space="preserve">HONOR UST FAISAL </t>
  </si>
  <si>
    <t xml:space="preserve"> 001115715795 setoran mingguan  SETOR TUNAI </t>
  </si>
  <si>
    <t>INFA TPQ Fatih Rivendra</t>
  </si>
  <si>
    <t>Pewangi karpet</t>
  </si>
  <si>
    <t>honor ust kajian ahad</t>
  </si>
  <si>
    <t>HONOR-IMAM MUSLIH</t>
  </si>
  <si>
    <t>HONOR-AHMAD IMAM SAMUDRA MAJ</t>
  </si>
  <si>
    <t>LINA HERLINA Biaya Adm Pengajian Ibu-Ibu MAJ</t>
  </si>
  <si>
    <t xml:space="preserve">M BAYU CANDRA MAJ Honor </t>
  </si>
  <si>
    <t>M BAYU CANDRA MAJ Honor Mushrif</t>
  </si>
  <si>
    <t>HONOR IMRON ROSADI MAJ Honor</t>
  </si>
  <si>
    <t>Biaya Perawatan Santri September 202</t>
  </si>
  <si>
    <t>HONOR-MUHAMMAD ILHAM MAJ Honor</t>
  </si>
  <si>
    <t>HONOR-NANANG SUBAEDI MAJ Honor</t>
  </si>
  <si>
    <t>HONOR UST SUPRIYADI</t>
  </si>
  <si>
    <t xml:space="preserve">HONOR-WAHID RAHMAN </t>
  </si>
  <si>
    <t xml:space="preserve"> 001115813746   SETOR TUNAI </t>
  </si>
  <si>
    <t xml:space="preserve">INFAQ FADJAR SATYANI </t>
  </si>
  <si>
    <t>ALI BADARUDDIN</t>
  </si>
  <si>
    <t>Lahirnya Putra Ust Bayu</t>
  </si>
  <si>
    <t>Batre mic</t>
  </si>
  <si>
    <t>Bantuan lahiran anak ust bayu</t>
  </si>
  <si>
    <t>Kajian Taman dan konsumsi</t>
  </si>
  <si>
    <t>Agust</t>
  </si>
  <si>
    <t>Sept</t>
  </si>
  <si>
    <t>Cashflow Juli</t>
  </si>
  <si>
    <t>Cashflow Agustus</t>
  </si>
  <si>
    <t>Cashflow September</t>
  </si>
  <si>
    <t>RK</t>
  </si>
  <si>
    <t>INFAQ UMIHAMIDAH</t>
  </si>
  <si>
    <t>Laundry Karpet MAJ dan Ongkir</t>
  </si>
  <si>
    <t>Biaya Adm Laundry Karpet MAJ dan Ongkir</t>
  </si>
  <si>
    <t>HONOR UST-UMAR</t>
  </si>
  <si>
    <t>Bantuan duka Ibunda Ust.Imron</t>
  </si>
  <si>
    <t xml:space="preserve"> 001115931642 SETORAN INFAQ PER PEKAN  SETOR TUNAI </t>
  </si>
  <si>
    <t>Pengembalian Cuci Karpet MAJ</t>
  </si>
  <si>
    <t>Setor Nanang</t>
  </si>
  <si>
    <t>SETORAN NANANG</t>
  </si>
  <si>
    <t>HONOR KHATIB JUMAT</t>
  </si>
  <si>
    <t>HONOR UST IMAM MUSLIH</t>
  </si>
  <si>
    <t>TPQ FATIH RIVENDRA</t>
  </si>
  <si>
    <t>HONOR UST WAHID RAHMAN</t>
  </si>
  <si>
    <t>Biaya Adm Pengajian Ibu-Ibu MAJ November</t>
  </si>
  <si>
    <t>M BAYU CANDRA MAJ Honor Oktober 2025</t>
  </si>
  <si>
    <t>HONOR MUHAMMAD ILHAM MAJ Honor Oktober 2025</t>
  </si>
  <si>
    <t>M BAYU CANDRA MAJ Honor Mushrif Oktober 2025</t>
  </si>
  <si>
    <t>HONOR AHMAD IMAM SAMUDRA MAJ Honor Oktober 2025</t>
  </si>
  <si>
    <t>Biaya Perawatan Santri Oktober 2025</t>
  </si>
  <si>
    <t>HONOR NANANG SUBAEDI MAJ Honor Oktober</t>
  </si>
  <si>
    <t>HONOR A IMRON ROSADI MAJ Honor Oktober 2025</t>
  </si>
  <si>
    <t>HONOR UST SURYADI</t>
  </si>
  <si>
    <t>ZAKAT MAL PUTIE AMBUN SURI</t>
  </si>
  <si>
    <t xml:space="preserve"> 001116186846 SETORAN KOTAK AMAL PERPEKAN  SETOR TUNAI </t>
  </si>
  <si>
    <t>PENGECATAN KAMAN MANDI MAJ VIA MAHMUD</t>
  </si>
  <si>
    <t xml:space="preserve">INFAQ SURJATI SUTARJA </t>
  </si>
  <si>
    <t>Fee Payroll September 2025</t>
  </si>
  <si>
    <t>Okt</t>
  </si>
  <si>
    <t>Kopi the dll</t>
  </si>
  <si>
    <t>tong sampah</t>
  </si>
  <si>
    <t>superpel dll</t>
  </si>
  <si>
    <t>Kopi gula oasis</t>
  </si>
  <si>
    <t>Bantuan Ust Imron</t>
  </si>
  <si>
    <t>Konsumsi bukpus Senin Kamis</t>
  </si>
  <si>
    <t>Kopi gula the oasis tissue</t>
  </si>
  <si>
    <t>Pembersih kaca</t>
  </si>
  <si>
    <t>Lampu Taman dan Kabel</t>
  </si>
  <si>
    <t>Cashflow Oktober</t>
  </si>
  <si>
    <t>Saldo Akhir
Agt</t>
  </si>
  <si>
    <t>Saldo Akhir
Sept</t>
  </si>
  <si>
    <t>Saldo Akhir
Juli</t>
  </si>
  <si>
    <t>Saldo Akhir
Mei</t>
  </si>
  <si>
    <t>Saldo Akhir Okt</t>
  </si>
  <si>
    <t>DONATUR</t>
  </si>
  <si>
    <t>INFAQ  DASA SUKARSIWI, SE / DR. FANANI</t>
  </si>
  <si>
    <t>INFAQ  RIZKY HIDAYAT SL</t>
  </si>
  <si>
    <t>INFAQ  PUTIE AMBUN SURI / RIVENDRA</t>
  </si>
  <si>
    <t>INFAQ  HASNANTO</t>
  </si>
  <si>
    <t>INFAQ  ISTANTO / IDAWATI</t>
  </si>
  <si>
    <t>INFAQ  MAHMUD</t>
  </si>
  <si>
    <t>INFAQ  MUHAMMAD UBAIDILLAH</t>
  </si>
  <si>
    <t>INFAQ  ARWINDO</t>
  </si>
  <si>
    <t>INFAQ  MUHAMMAD AKMAL HAKIM</t>
  </si>
  <si>
    <t>INFAQ  YOYOK SUBIANTO</t>
  </si>
  <si>
    <t>INFAQ  HASNANTO WAHYUDI</t>
  </si>
  <si>
    <t>INFAQ  JAMAAH</t>
  </si>
  <si>
    <t>INFAQ  SURJATI SUTARJA</t>
  </si>
  <si>
    <t>INFAQ  WARGA FENTY HERLIANA</t>
  </si>
  <si>
    <t>INFAQ  WARGA BENY PRIYATNA KUSUMA</t>
  </si>
  <si>
    <t>INFAQ  MOHAMMADIANTORO PURNAWAN A.N ALM M.HASAN</t>
  </si>
  <si>
    <t>INFAQ  HARMEN</t>
  </si>
  <si>
    <t>INFAQ  WARGA AGUSTANI Biaya Tebang Pohon</t>
  </si>
  <si>
    <t>INFAQ  WIDHIYAKSA SAVEEDRA</t>
  </si>
  <si>
    <t>INFAQ  DRS SARWONO</t>
  </si>
  <si>
    <t>INFAQ  DEDEN TP PERDIANSYAH</t>
  </si>
  <si>
    <t xml:space="preserve">INFAQ  RIZKIVITA AGNES </t>
  </si>
  <si>
    <t>INFAQ  BU FAJAR TS 8</t>
  </si>
  <si>
    <t>INFAQ  UMI HAMIDAH</t>
  </si>
  <si>
    <t>INFAQ  AGUNG PRAMONO</t>
  </si>
  <si>
    <t>INFAQ  SHINTA NUR DEWANTI A.N NURKHOLIS TA 3/3</t>
  </si>
  <si>
    <t>INFAQ  WUSONO PRIHADI SANTO</t>
  </si>
  <si>
    <t>INFAQ  PUTIE AMBUN SURI/RIVENDRA</t>
  </si>
  <si>
    <t>INFAQ  INDRA EDI SANTOSO</t>
  </si>
  <si>
    <t>INFAQ  AMRAN ANWAR</t>
  </si>
  <si>
    <t>INFAQ  FENTYHERLIANA A.N YUDHA BS</t>
  </si>
  <si>
    <t>INFAQ  SEPTEMBERIZAL TA 1/8</t>
  </si>
  <si>
    <t>INFAQ  JIMMY FAJRIANSYAH</t>
  </si>
  <si>
    <t>INFAQ  PAK RAMADHAN</t>
  </si>
  <si>
    <t>INFAQ  MAY SOEKMONO</t>
  </si>
  <si>
    <t>INFAQ  SARI ARGO WARDANI</t>
  </si>
  <si>
    <t>INFAQ  JONET/DWI LISTYOWATI DRA Gunung Salak FA 5</t>
  </si>
  <si>
    <t>INFAQ  AMIN/LAELASARI RT 5</t>
  </si>
  <si>
    <t>INFAQ  ANGGONO IRIAWAN</t>
  </si>
  <si>
    <t>INFAQ  UMI HAMIDAH DRA</t>
  </si>
  <si>
    <t>INFAQ  ANDI BAGUS JL.PANGRANGO 25</t>
  </si>
  <si>
    <t>INFAQ  FADJAR SATYANI</t>
  </si>
  <si>
    <t>INFAQ  DWI LISTYOWATI DRA/JONET GUNUNG SALAK FA 5</t>
  </si>
  <si>
    <t xml:space="preserve">INFAQ  ANIS </t>
  </si>
  <si>
    <t>INFAQ  MOH RESAWAN HAKIM</t>
  </si>
  <si>
    <t>INFAQ  EDWARDI  CDT TRF BENFC BIFAST</t>
  </si>
  <si>
    <t xml:space="preserve">INFAQ  DEDEN TP PERDIANSYAH </t>
  </si>
  <si>
    <t>INFAQ  RIZKYHIDAYATSL</t>
  </si>
  <si>
    <t>INFAQ  SEPTEMBERIZAL</t>
  </si>
  <si>
    <t>INFAQ  BENY PRIYATNA KUSUMA</t>
  </si>
  <si>
    <t>INFAQ  DION</t>
  </si>
  <si>
    <t>INFAQ  WAHYU ROMADHONI</t>
  </si>
  <si>
    <t>INFAQ  FADEL MUHAMMAD IKHWAN</t>
  </si>
  <si>
    <t>INFAQ  ARIEF TAUFIQURRAHMAN</t>
  </si>
  <si>
    <t>HONOR UST MOHAMMAD SHODIQ</t>
  </si>
  <si>
    <t>HONOR UST ZULFA SYAHIDAH</t>
  </si>
  <si>
    <t>MAHMUD MADJID Perbaikan Kamar Wudhu MAJ</t>
  </si>
  <si>
    <t>SETOR NANANG</t>
  </si>
  <si>
    <t>HONOR UST FAISAL</t>
  </si>
  <si>
    <t>HONOR UST-HASAN MUBAROK</t>
  </si>
  <si>
    <t>INFAQ DEVI SALANTI</t>
  </si>
  <si>
    <t>SETOR INFAQ COLLECTIVE IMRON ROSADI</t>
  </si>
  <si>
    <t>M BAYU CANDRA MAJ Biaya Perawatan Santri November 2025</t>
  </si>
  <si>
    <t>LINA HERLINA Biaya Adm Pengajian Ibu-Ibu MAJ Desember</t>
  </si>
  <si>
    <t>M BAYU CANDRA MAJ Honor Mushrif November 2025</t>
  </si>
  <si>
    <t>HONOR-AHMAD IMAM SAMUDRA</t>
  </si>
  <si>
    <t>HONOR UST-SIHABUDDIN UMAR SE MM</t>
  </si>
  <si>
    <t>Nov</t>
  </si>
  <si>
    <t>Roundup rumput</t>
  </si>
  <si>
    <t>Alat kebersihan</t>
  </si>
  <si>
    <t>OK OCE Botol dan tisue</t>
  </si>
  <si>
    <t>keset 10 bh</t>
  </si>
  <si>
    <t>bohlam dan tempat sampah</t>
  </si>
  <si>
    <t>Refund Voucher listrik Imron</t>
  </si>
  <si>
    <t>Kopi the gula oasis gelas</t>
  </si>
  <si>
    <t>3 kran air dan pasang</t>
  </si>
  <si>
    <t>Kajian Ahad Subuh</t>
  </si>
  <si>
    <t>Bantuan pembelian kursi roda</t>
  </si>
  <si>
    <t>Honor ustadz dan konsumsi kajian taman</t>
  </si>
  <si>
    <t>Service sound system</t>
  </si>
  <si>
    <t>Periode : Dari 01-Dec-2024 Sampai 30-November-2025</t>
  </si>
  <si>
    <t>Cashflow November</t>
  </si>
  <si>
    <t>Saldo Akhir Nov</t>
  </si>
  <si>
    <t xml:space="preserve"> 001116686544 SETORAN INFAQ PER PEKAN  SETOR TUNAI </t>
  </si>
  <si>
    <t>INFAQ AGUNG PRAMONO</t>
  </si>
  <si>
    <t>INFAQ PUTIE AMBUN SURI</t>
  </si>
  <si>
    <t xml:space="preserve">HONOR UST DARWIS </t>
  </si>
  <si>
    <t>SETORAN ALI BADARUDDIN LEMBAGA PENDIDIKAN</t>
  </si>
  <si>
    <t>INFAQ GINTA DEWI</t>
  </si>
  <si>
    <t>SETORAN INFAQ COLLECTIVE A IMRON ROSADI</t>
  </si>
  <si>
    <t>Fee Payroll November 2025</t>
  </si>
  <si>
    <t>HONOR IMRON ROSADI MAJ</t>
  </si>
  <si>
    <t>Biaya Adm Pengajian Ibu-Ibu MAJ Januari</t>
  </si>
  <si>
    <t>HONOR-M BAYU CANDRA MAJ</t>
  </si>
  <si>
    <t xml:space="preserve">MUHAMMAD ILHAM MAJ Honor Desember </t>
  </si>
  <si>
    <t>M BAYU CANDRA MAJ Biaya Perawatan Santri</t>
  </si>
  <si>
    <t>NANANG SUBAEDI MAJ Honor Desember</t>
  </si>
  <si>
    <t>AHMAD IMAM SAMUDRA MAJ Honor Desember</t>
  </si>
  <si>
    <t>SURYADI MAJ Honor Desember</t>
  </si>
  <si>
    <t xml:space="preserve"> 001117106550   SETOR TUNAI </t>
  </si>
  <si>
    <t>Des</t>
  </si>
  <si>
    <t>Bantuan musafir</t>
  </si>
  <si>
    <t>Kopi gula the air mineral tisu</t>
  </si>
  <si>
    <t>Bensin motor operasional</t>
  </si>
  <si>
    <t>Administrasi dan air OK OC</t>
  </si>
  <si>
    <t>Batrai Mic</t>
  </si>
  <si>
    <t>Kajian Sabtu</t>
  </si>
  <si>
    <t>Kajian Ahad</t>
  </si>
  <si>
    <t>Kopi gula the Oasis</t>
  </si>
  <si>
    <t>Bantuan Pemakaman</t>
  </si>
  <si>
    <t>Komsumsi rapat ba'da subuh</t>
  </si>
  <si>
    <t>Cashflow Desember</t>
  </si>
  <si>
    <t>Saldo Akhir Des</t>
  </si>
  <si>
    <t>BENDAHARA MASJID ALJABAR</t>
  </si>
  <si>
    <t>Dibuat Oleh :</t>
  </si>
  <si>
    <t>RIVENDRA</t>
  </si>
  <si>
    <t>Mengetahui :</t>
  </si>
  <si>
    <t>KETUA DKM MASJID ALJABAR</t>
  </si>
  <si>
    <t>SARWONO</t>
  </si>
  <si>
    <t>CETAK LAPORAN CASHFLOW MAJ 2025</t>
  </si>
  <si>
    <t>HONOR-AGUS SETIYONO MAJ Mukafaah Desember 2025</t>
  </si>
  <si>
    <t xml:space="preserve"> 001117200623 SETORAN INFAQ PER PEKAN  SETOR TUNAI </t>
  </si>
  <si>
    <t>Periode : Dari 01-Jan-2026 Sampai 31-Desember-2026</t>
  </si>
  <si>
    <t>Jan1</t>
  </si>
  <si>
    <t>Roundup racun rumput</t>
  </si>
  <si>
    <t>Biaya administrasi</t>
  </si>
  <si>
    <t>Jan2</t>
  </si>
  <si>
    <t>Pompa air dan servis</t>
  </si>
  <si>
    <t>The air gula oasis tisu</t>
  </si>
  <si>
    <t>pembersih kamar mandi</t>
  </si>
  <si>
    <t>INFAQ SUPRIJADI</t>
  </si>
  <si>
    <t xml:space="preserve"> 001117302494   SETOR TUNAI </t>
  </si>
  <si>
    <t>HONOR UST AJI 110126</t>
  </si>
  <si>
    <t>Jan3</t>
  </si>
  <si>
    <t>Pel lantai pewangi bohlam</t>
  </si>
  <si>
    <t>Bantuan kematian</t>
  </si>
  <si>
    <t>Kopi cemilan tukang</t>
  </si>
  <si>
    <t>WAKAF KARPET</t>
  </si>
  <si>
    <t>Infaq Pak Budiharto</t>
  </si>
  <si>
    <t>INFAQ DR FANANI / DASA SUKARSIWI, SE</t>
  </si>
  <si>
    <t>Biaya Perbaikan Plafon MAJ via Mahmud</t>
  </si>
  <si>
    <t>Biaya Karpet Baru</t>
  </si>
  <si>
    <t>Wakaf Karpet</t>
  </si>
  <si>
    <t xml:space="preserve">SETORAN INFAQ PERPEKAN  SETOR TUNAI </t>
  </si>
  <si>
    <t>Jan4</t>
  </si>
  <si>
    <t>Tenda dan Paket Ambulan Warga JB</t>
  </si>
  <si>
    <t>Tenda dan Paket Ambulan Warga JB2</t>
  </si>
  <si>
    <t>INFAQ DENNY ABBAS</t>
  </si>
  <si>
    <t>TPQ FATIH rivendra</t>
  </si>
  <si>
    <t xml:space="preserve">MAHMUD MADJID Perbaikan Gudang Lampu Dinding MAJ </t>
  </si>
  <si>
    <t>INFAQ JOHN BASUKI RAHMAD</t>
  </si>
  <si>
    <t>AGUS SETIYONO MAJ Mukafaah Januari 2026</t>
  </si>
  <si>
    <t>IMRON ROSADI MAJ Honor Januari 2026</t>
  </si>
  <si>
    <t>M BAYU CANDRA MAJ Honor Januari 2026</t>
  </si>
  <si>
    <t>M BAYU CANDRA MAJ Honor Mushrif Januari 2026</t>
  </si>
  <si>
    <t>M BAYU CANDRA MAJ Biaya Perawatan Santri Januari 2026</t>
  </si>
  <si>
    <t>AHMAD IMAM SAMUDRA MAJ Honor Januari 2026</t>
  </si>
  <si>
    <t>NANANG SUBAEDI MAJ Honor Januari 2026</t>
  </si>
  <si>
    <t>MUHAMMAD ILHAM MAJ Honor Januari 2026</t>
  </si>
  <si>
    <t>LINA HERLINA Biaya Adm Pengajian Ibu-Ibu MAJ Februari</t>
  </si>
  <si>
    <t>SUPRIYADI Honor Januari 2026</t>
  </si>
  <si>
    <t>INFAQ CHRISTANTI WAHYUNI</t>
  </si>
  <si>
    <t>Perbaikan Plafon MAJ via Mahmud</t>
  </si>
  <si>
    <t>Pasang Ganti Lampu MAJ via Matsani</t>
  </si>
  <si>
    <t>Pembelian cctv MAJ</t>
  </si>
  <si>
    <t>Kajian Sabtu Subuh</t>
  </si>
  <si>
    <t>Konsumsi rapat sore</t>
  </si>
  <si>
    <t xml:space="preserve">Bantuan guru ngaji </t>
  </si>
  <si>
    <t>Saldo Akhir Periode Januari 2026</t>
  </si>
  <si>
    <t>Saldo Akhir Periode Februari 2026</t>
  </si>
  <si>
    <t>Saldo Akhir Periode Maret 2026</t>
  </si>
  <si>
    <t>Saldo Akhir Periode April 2026</t>
  </si>
  <si>
    <t>Saldo Akhir Periode Mei 2026</t>
  </si>
  <si>
    <t>Saldo Akhir Per 30 Juni 2026</t>
  </si>
  <si>
    <t>Saldo Akhir Periode Juli 2026</t>
  </si>
  <si>
    <t>Saldo Akhir Periode Agustus 2026</t>
  </si>
  <si>
    <t>Saldo Akhir Periode September 2026</t>
  </si>
  <si>
    <t>Saldo Akhir Periode Oktober 2026</t>
  </si>
  <si>
    <t>Saldo Akhir Periode November 2026</t>
  </si>
  <si>
    <t>Saldo Akhir Periode Desember 2026</t>
  </si>
  <si>
    <t>INFAQ DJAJA KUSUMA AUZAR</t>
  </si>
  <si>
    <t>Fee Payroll Desember 2025</t>
  </si>
  <si>
    <t>SUGENG PRIYONO KEPERLUAN MAJ..EX AZKO</t>
  </si>
  <si>
    <t>Saldo Awal Wakaf Karpet</t>
  </si>
  <si>
    <t>Sub Total Wakaf Karpet</t>
  </si>
  <si>
    <t>Jasa Pasang CCTV via Edi Nurhadi</t>
  </si>
  <si>
    <t>Lampu Injeksi Pintu Gudang via Mahmud</t>
  </si>
  <si>
    <t>DP Karpet MAJ</t>
  </si>
  <si>
    <t>SUSI SUHARTINI Ganti kontak dan Lampu MAJ</t>
  </si>
  <si>
    <t>WAKAF KARPET JOHN BASUKI RAHMAD</t>
  </si>
  <si>
    <t>INFAQ FIRMANSJAH</t>
  </si>
  <si>
    <t>Service AC MAJ via Imron</t>
  </si>
  <si>
    <t>Rak Buku Akhwat MAJ via Sugeng P</t>
  </si>
  <si>
    <t>WAKAF KARPET MAJ DARI FARHAN PRAMODA ADHYASTA</t>
  </si>
  <si>
    <t>PERBAIKAN PLAFON MAJ VIA MAHMUD</t>
  </si>
  <si>
    <t>INFAQ SARI ARGO WARDANI</t>
  </si>
  <si>
    <t>WAKAF KARPET SUGENG SANTOSO</t>
  </si>
  <si>
    <t>WAKAF KARPET ANTHONY</t>
  </si>
  <si>
    <t>TEBANG POHON MAJ VIA MATSANI</t>
  </si>
  <si>
    <t>lampu dan ongkos pasang</t>
  </si>
  <si>
    <t>gula the oasis kopi</t>
  </si>
  <si>
    <t>Pasang cctv</t>
  </si>
  <si>
    <t>Air OK OC</t>
  </si>
  <si>
    <t>WAKAF KARPET ALI BADARUDDIN</t>
  </si>
  <si>
    <t>WAKAF KARPET YOYOK S.SAKIDI</t>
  </si>
  <si>
    <t>WAKAF KARPET IRFAN ZAINUDDIN</t>
  </si>
  <si>
    <t>WAKAF KARPET DARI ANIS</t>
  </si>
  <si>
    <t>WAKAF KARPET MAJ DARI TUBAGUS NASIRUDDIN</t>
  </si>
  <si>
    <t>WAKAF KARPET CAUSA IMAN KARANA</t>
  </si>
  <si>
    <t>WAKAF KARPET BUDI TURSILO</t>
  </si>
  <si>
    <t>WAKAF KARPET MAY SOEKMONO</t>
  </si>
  <si>
    <t xml:space="preserve">WAKAF KARPET ABDULLAH FAQIH </t>
  </si>
  <si>
    <t>WAKAF KARPET SURJATI SUTARJA</t>
  </si>
  <si>
    <t>INFAQ RADITYA GALIH SUNUTOMO</t>
  </si>
  <si>
    <t>MABRURI Perbaikan AC MAJ</t>
  </si>
  <si>
    <t>HONOR UST DARWIS Hadiah Kajian MAJ 080226</t>
  </si>
  <si>
    <t>EDI NURHADI,IR Pasang CCTV MAJ</t>
  </si>
  <si>
    <t>Beli Peralatan Digital MAJ via Hopy</t>
  </si>
  <si>
    <t xml:space="preserve"> 001117663343 SETORAN INFAK PER PEKAN  SETOR TUNAI </t>
  </si>
  <si>
    <t>AMRAN ANWAR IR Lampu di area depan MAJ</t>
  </si>
  <si>
    <t>Pemindahan tempat wudhu MAJ via Mahmud</t>
  </si>
  <si>
    <t>Setup Karpet Lantai 2 MAJ</t>
  </si>
  <si>
    <t>bantuan musafir</t>
  </si>
  <si>
    <t>konsumsi tukang keramik</t>
  </si>
  <si>
    <t>konsumsi kerja bakti santri dan tukang</t>
  </si>
  <si>
    <t>Perlengkapan plafon masjid</t>
  </si>
  <si>
    <t>Perlengkapan masjid</t>
  </si>
  <si>
    <t>So Klin lantai pel dll</t>
  </si>
  <si>
    <t>WAKAF KARPET ACHMAD FANANI ,DR. SPB</t>
  </si>
  <si>
    <t>WAKAF KARPET EDI NURHADI</t>
  </si>
  <si>
    <t>Pelunasan Karpet baru MAJ</t>
  </si>
  <si>
    <t>WAKAF KARPET DYAH HANDAYANI</t>
  </si>
  <si>
    <t>Pengecatan dinding luar MAJ via Mahmud</t>
  </si>
  <si>
    <t>TENDA VIA IMRON</t>
  </si>
  <si>
    <t>IMRON ROSADI HONOR GURU TPQ</t>
  </si>
  <si>
    <t>INFAQ WENNY WIDIYANI</t>
  </si>
  <si>
    <t>HONOR USTAD HASAN-DAARUL IHSAN MUBAROK</t>
  </si>
  <si>
    <t>Pintu dan karet kursi</t>
  </si>
  <si>
    <t>Konsumsi rapat</t>
  </si>
  <si>
    <t>Ustadz Kajian Ahad</t>
  </si>
  <si>
    <t>Tisu dan plastik sampah</t>
  </si>
  <si>
    <t>sound system</t>
  </si>
  <si>
    <t>administrasi</t>
  </si>
  <si>
    <t>Pengecatan</t>
  </si>
  <si>
    <t>GULUNGAN ALAS LANTAI MAJ VIA AMRAN ANWAR</t>
  </si>
  <si>
    <t>Beli keset pasang lampu MAJ via Amran</t>
  </si>
  <si>
    <t>Beli Voucher Listrik MAJ via Imron</t>
  </si>
  <si>
    <t>Infaq Idul Fitri</t>
  </si>
  <si>
    <t>Biaya Taraweh</t>
  </si>
  <si>
    <t xml:space="preserve">Biaya Tabligh Akbar </t>
  </si>
  <si>
    <t>KONSUMSI TABLIGH AKBAR MAJ VIA MARIYAM</t>
  </si>
  <si>
    <t>Biaya Adm</t>
  </si>
  <si>
    <t>TPQ Fatih Rivendra</t>
  </si>
  <si>
    <t>AGUS SETIYONO Hadiah Kajian Taraweh MAJ 260226</t>
  </si>
  <si>
    <t>double tape gunting cutter</t>
  </si>
  <si>
    <t>pembersih keramik</t>
  </si>
  <si>
    <t>alat dan servis pompa</t>
  </si>
  <si>
    <t>alat kebersihan</t>
  </si>
  <si>
    <t>token listrik</t>
  </si>
  <si>
    <t>kotak box nasi</t>
  </si>
  <si>
    <t>Service AC MAJ</t>
  </si>
  <si>
    <t>M BAYU CANDRA MAJ Honor Mushrif Februari 2026</t>
  </si>
  <si>
    <t>AHMAD IMAM SAMUDRA MAJ</t>
  </si>
  <si>
    <t>MUHAMMAD ILHAM MAJ Honor Februari 2026</t>
  </si>
  <si>
    <t>M BAYU CANDRA MAJ Biaya Perawatan Santri Februari 2026</t>
  </si>
  <si>
    <t>A IMRON ROSADI MAJ Honor Februari 2026</t>
  </si>
  <si>
    <t>NANANG SUBAEDI MAJ</t>
  </si>
  <si>
    <t>AGUS SETIYONO MAJ Mukafaah Februari 2026</t>
  </si>
  <si>
    <t>LINA HERLINA Biaya Adm Pengajian Ibu-Ibu MAJ Maret 20</t>
  </si>
  <si>
    <t>M BAYU CANDRA MAJ</t>
  </si>
  <si>
    <t>RETUR TABLIGH AKBAR MARIYAM</t>
  </si>
  <si>
    <t>ZAKAT MAL HARMEN</t>
  </si>
  <si>
    <t>AGUS SETIYONO Hadiah Kajian Taraweh MAJ 010326</t>
  </si>
  <si>
    <t xml:space="preserve"> 001117933312 INFAQ PERPEKAN DAN TARAWIH  SETOR TUNAI  </t>
  </si>
  <si>
    <t>Mar1</t>
  </si>
  <si>
    <t>ZAKAT MAL DEVI NOFITRI</t>
  </si>
  <si>
    <t xml:space="preserve">  627 3200028199 Fee Payroll Januari 2026 CMS BIAYA PAYROLL  </t>
  </si>
  <si>
    <t>Blangko ZIS</t>
  </si>
  <si>
    <t>Tisu Plastik tomat</t>
  </si>
  <si>
    <t>Super pel sunglight dll</t>
  </si>
  <si>
    <t>Mar2</t>
  </si>
  <si>
    <t>MAHMUD MADJID SANTUNAN ANAK YATIM DHUAFA. SISWA BINAAN</t>
  </si>
  <si>
    <t>INFAQ TABLIGH AKBAR MULYADI</t>
  </si>
  <si>
    <t>Pasang Kabel dan Lampu via Amran</t>
  </si>
  <si>
    <t>Zakat Maal Budi Tursilo</t>
  </si>
  <si>
    <t>Honor Cash Ustadz Tabligh Akbar MAJ 1447</t>
  </si>
  <si>
    <t xml:space="preserve"> 001118078729 INFAQ PER PEKAN  SETOR TUNAI  </t>
  </si>
  <si>
    <t>ZAKAT MAL SUGENG PRIYONO</t>
  </si>
  <si>
    <t>INFAQ IR JOSE OKTAVI AZMIRAL</t>
  </si>
  <si>
    <t>Perbaikan pintu Lap tenis via Amran</t>
  </si>
  <si>
    <t>BELI DISPENSER MAJ VIA MAHMUD</t>
  </si>
  <si>
    <t>Batre sabun cuci tangan balpoin amplop</t>
  </si>
  <si>
    <t>kopi gula the</t>
  </si>
  <si>
    <t>Bantuan menstruasi</t>
  </si>
  <si>
    <t>Mar3</t>
  </si>
  <si>
    <t>M BAYU CANDRA MAJ THR 2026</t>
  </si>
  <si>
    <t>AHMAD IMAM SAMUDRA MAJ THR 2026</t>
  </si>
  <si>
    <t>M BAYU CANDRA MAJ THR Mushrif 2026</t>
  </si>
  <si>
    <t>AGUS SETIYONO MAJ THR Mukafaah 2026</t>
  </si>
  <si>
    <t>NANANG SUBAEDI MAJ THR 2026</t>
  </si>
  <si>
    <t>MUHAMMAD ILHAM MAJ THR 2026</t>
  </si>
  <si>
    <t>A IMRON ROSADI MAJ THR 2026</t>
  </si>
  <si>
    <t>THR UST SUPRIYADI</t>
  </si>
  <si>
    <t>MAHMUD MADJID Konsumsi Itikaf Ramadhan 1447H</t>
  </si>
  <si>
    <t>ABDUL HAMID Hadiah Kajian Taraweh MAJ 140326</t>
  </si>
  <si>
    <t>Biaya buat pagar MAJ via Amran</t>
  </si>
  <si>
    <t>HONOR UST UMAR</t>
  </si>
  <si>
    <t>RR DWI WIJAYANTI Beli 2 Unit TV Xiaomi dan Bracket MAJ</t>
  </si>
  <si>
    <t xml:space="preserve"> 001118222422 INFAQ, ZAKAT MAL, DAN PEMBANGUNAN  SETOR TUNAI  </t>
  </si>
  <si>
    <t>NANANG SUBAEDI HONOR BANTUAN OPERASIONAL RAMADHAN MAJ</t>
  </si>
  <si>
    <t>PERBAIKAN KUBAH MAJ VIA AMRAN</t>
  </si>
  <si>
    <t>ZAKAT MAL AMALIA NASHITA</t>
  </si>
  <si>
    <t>ZAKAT MAL ZULFIKARMANGGAU</t>
  </si>
  <si>
    <t xml:space="preserve"> 001118269958 ZAKAT MALL  SETOR TUNAI  </t>
  </si>
  <si>
    <t xml:space="preserve">3200028199 Fee Payroll Februari 2026   CMS BIAYA PAYROLL  </t>
  </si>
  <si>
    <t>INFAQ INUSA PAMUSYAWARA FA</t>
  </si>
  <si>
    <t>PEMBAGIAN ZAKAT FITRAH 1447H VIA MAHMUD</t>
  </si>
  <si>
    <t>ZAKAT MAL HASNANTO WAHYUDI KE</t>
  </si>
  <si>
    <t>CCTV Kabel Stall Box 3 Unit TV via Hopy</t>
  </si>
  <si>
    <t>ZAKAT MAL Muhammad Rifki</t>
  </si>
  <si>
    <t xml:space="preserve">ZAKAT MAL Ari Pratiwi </t>
  </si>
  <si>
    <t>ZAKAT MAL hasnanto w bin alm samsudi</t>
  </si>
  <si>
    <t xml:space="preserve">INFAQ Ari Pratiwi </t>
  </si>
  <si>
    <t>Penggantian Zakat Mal</t>
  </si>
  <si>
    <t>THR Guru ngaji</t>
  </si>
  <si>
    <t>Karung dan Spidol</t>
  </si>
  <si>
    <t>Mar4</t>
  </si>
  <si>
    <t>Persiapan Idul Fitri</t>
  </si>
  <si>
    <t>OK OCE 1 duz dan minuman lain</t>
  </si>
  <si>
    <t>Kabel double tape dll</t>
  </si>
  <si>
    <t>Biaya Idul Fitri</t>
  </si>
  <si>
    <t>Apr1</t>
  </si>
  <si>
    <t>AHMAD IMAM SAMUDRA MAJ Honor Maret 2026</t>
  </si>
  <si>
    <t>NANANG SUBAEDI MAJ Honor Maret 2026</t>
  </si>
  <si>
    <t>LINA HERLINA Biaya Adm Pengajian Ibu-Ibu MAJ April 20</t>
  </si>
  <si>
    <t>M BAYU CANDRA MAJ Honor Mushrif Maret 202</t>
  </si>
  <si>
    <t>IMRON ROSADI MAJ Honor Maret 202</t>
  </si>
  <si>
    <t>AGUS SETIYONO MAJ Mukafaah Maret 2026</t>
  </si>
  <si>
    <t>M BAYU CANDRA MAJ Honor Maret 2026</t>
  </si>
  <si>
    <t>MUHAMMAD ILHAM MAJ Honor Maret 2026</t>
  </si>
  <si>
    <t>M BAYU CANDRA MAJ Biaya Perawatan Santri Maret 2026</t>
  </si>
  <si>
    <t>MAHMUD MADJID Biaya pengecatan MAJ via Mahmud</t>
  </si>
  <si>
    <t xml:space="preserve"> 001118331250 SETORAN PER PEKAN/INFAQ  SETOR TUNAI </t>
  </si>
  <si>
    <t>INFAQUMIHAMIDAH</t>
  </si>
  <si>
    <t>INFA DESYANA SE</t>
  </si>
  <si>
    <t>Minum OK OCE</t>
  </si>
  <si>
    <t>Kran air dan ongkos</t>
  </si>
  <si>
    <t>Mar5</t>
  </si>
  <si>
    <t>Akumulasi Cashflow s.d 31 Maret 2026</t>
  </si>
  <si>
    <t>Akumulasi Saldo Akhir Per
31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</si>
</sst>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i/>
      <sz val="10"/>
      <color rgb="FF0070C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1"/>
      <color rgb="FF2A1C94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0"/>
      <color theme="4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0"/>
      <color theme="4" tint="-0.249977111117893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88">
    <xf numFmtId="0" fontId="0" fillId="0" borderId="0" xfId="0"/>
    <xf numFmtId="15" fontId="0" fillId="0" borderId="0" xfId="0" applyNumberFormat="1"/>
    <xf numFmtId="0" fontId="16" fillId="0" borderId="0" xfId="0" applyFont="1" applyAlignment="1">
      <alignment horizontal="center"/>
    </xf>
    <xf numFmtId="1" fontId="0" fillId="0" borderId="0" xfId="0" applyNumberFormat="1"/>
    <xf numFmtId="0" fontId="16" fillId="0" borderId="0" xfId="0" applyFont="1"/>
    <xf numFmtId="164" fontId="0" fillId="0" borderId="0" xfId="1" applyFont="1"/>
    <xf numFmtId="0" fontId="16" fillId="0" borderId="10" xfId="0" applyFont="1" applyBorder="1" applyAlignment="1">
      <alignment horizontal="center"/>
    </xf>
    <xf numFmtId="0" fontId="0" fillId="0" borderId="10" xfId="0" applyBorder="1"/>
    <xf numFmtId="15" fontId="0" fillId="0" borderId="10" xfId="0" applyNumberFormat="1" applyBorder="1"/>
    <xf numFmtId="164" fontId="0" fillId="0" borderId="10" xfId="1" applyFont="1" applyBorder="1"/>
    <xf numFmtId="0" fontId="0" fillId="0" borderId="10" xfId="0" applyBorder="1" applyAlignment="1">
      <alignment horizontal="left"/>
    </xf>
    <xf numFmtId="164" fontId="16" fillId="0" borderId="10" xfId="1" applyFont="1" applyBorder="1"/>
    <xf numFmtId="164" fontId="16" fillId="33" borderId="10" xfId="1" applyFont="1" applyFill="1" applyBorder="1"/>
    <xf numFmtId="0" fontId="0" fillId="0" borderId="0" xfId="0" applyAlignment="1">
      <alignment horizontal="left"/>
    </xf>
    <xf numFmtId="164" fontId="0" fillId="0" borderId="0" xfId="0" applyNumberFormat="1"/>
    <xf numFmtId="164" fontId="16" fillId="0" borderId="0" xfId="0" applyNumberFormat="1" applyFont="1"/>
    <xf numFmtId="164" fontId="16" fillId="0" borderId="0" xfId="1" applyFont="1" applyFill="1" applyBorder="1"/>
    <xf numFmtId="15" fontId="18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5" fontId="0" fillId="0" borderId="10" xfId="0" applyNumberFormat="1" applyBorder="1" applyAlignment="1">
      <alignment horizontal="center"/>
    </xf>
    <xf numFmtId="164" fontId="0" fillId="0" borderId="10" xfId="1" applyFont="1" applyBorder="1" applyAlignment="1">
      <alignment horizontal="center"/>
    </xf>
    <xf numFmtId="164" fontId="18" fillId="0" borderId="10" xfId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164" fontId="19" fillId="0" borderId="10" xfId="1" applyFont="1" applyBorder="1" applyAlignment="1">
      <alignment horizontal="center"/>
    </xf>
    <xf numFmtId="0" fontId="19" fillId="0" borderId="10" xfId="0" applyFont="1" applyBorder="1" applyAlignment="1">
      <alignment horizontal="left"/>
    </xf>
    <xf numFmtId="164" fontId="0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164" fontId="20" fillId="0" borderId="10" xfId="1" applyFont="1" applyBorder="1" applyAlignment="1">
      <alignment horizontal="center"/>
    </xf>
    <xf numFmtId="0" fontId="20" fillId="0" borderId="10" xfId="0" applyFont="1" applyBorder="1" applyAlignment="1">
      <alignment horizontal="left"/>
    </xf>
    <xf numFmtId="164" fontId="0" fillId="0" borderId="0" xfId="1" applyFont="1" applyBorder="1" applyAlignment="1">
      <alignment horizontal="center"/>
    </xf>
    <xf numFmtId="0" fontId="19" fillId="0" borderId="0" xfId="0" applyFont="1" applyAlignment="1">
      <alignment horizontal="left"/>
    </xf>
    <xf numFmtId="164" fontId="14" fillId="0" borderId="0" xfId="1" applyFont="1" applyBorder="1" applyAlignment="1">
      <alignment horizontal="center"/>
    </xf>
    <xf numFmtId="0" fontId="0" fillId="0" borderId="10" xfId="0" applyBorder="1" applyAlignment="1">
      <alignment horizontal="center"/>
    </xf>
    <xf numFmtId="15" fontId="0" fillId="0" borderId="11" xfId="0" applyNumberFormat="1" applyBorder="1" applyAlignment="1">
      <alignment horizontal="center"/>
    </xf>
    <xf numFmtId="0" fontId="21" fillId="0" borderId="10" xfId="0" applyFont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pivotButton="1"/>
    <xf numFmtId="164" fontId="19" fillId="0" borderId="0" xfId="1" applyFont="1" applyBorder="1" applyAlignment="1">
      <alignment horizontal="center"/>
    </xf>
    <xf numFmtId="164" fontId="0" fillId="0" borderId="10" xfId="1" applyFont="1" applyFill="1" applyBorder="1" applyAlignment="1">
      <alignment horizontal="center"/>
    </xf>
    <xf numFmtId="164" fontId="23" fillId="0" borderId="10" xfId="1" applyFont="1" applyFill="1" applyBorder="1" applyAlignment="1">
      <alignment horizontal="center"/>
    </xf>
    <xf numFmtId="164" fontId="24" fillId="0" borderId="10" xfId="1" applyFont="1" applyBorder="1"/>
    <xf numFmtId="164" fontId="19" fillId="0" borderId="10" xfId="1" applyFont="1" applyFill="1" applyBorder="1" applyAlignment="1">
      <alignment horizontal="center"/>
    </xf>
    <xf numFmtId="164" fontId="24" fillId="0" borderId="10" xfId="1" applyFont="1" applyFill="1" applyBorder="1" applyAlignment="1">
      <alignment horizontal="center"/>
    </xf>
    <xf numFmtId="164" fontId="25" fillId="0" borderId="10" xfId="1" applyFont="1" applyBorder="1" applyAlignment="1">
      <alignment horizontal="center"/>
    </xf>
    <xf numFmtId="164" fontId="26" fillId="0" borderId="10" xfId="1" applyFont="1" applyFill="1" applyBorder="1" applyAlignment="1">
      <alignment horizontal="center"/>
    </xf>
    <xf numFmtId="164" fontId="25" fillId="0" borderId="10" xfId="1" applyFont="1" applyBorder="1" applyAlignment="1">
      <alignment horizontal="left"/>
    </xf>
    <xf numFmtId="164" fontId="27" fillId="0" borderId="10" xfId="1" applyFont="1" applyBorder="1" applyAlignment="1">
      <alignment horizontal="center"/>
    </xf>
    <xf numFmtId="164" fontId="27" fillId="0" borderId="10" xfId="1" applyFont="1" applyBorder="1"/>
    <xf numFmtId="15" fontId="18" fillId="33" borderId="10" xfId="0" applyNumberFormat="1" applyFont="1" applyFill="1" applyBorder="1" applyAlignment="1">
      <alignment horizontal="center"/>
    </xf>
    <xf numFmtId="164" fontId="0" fillId="33" borderId="10" xfId="1" applyFont="1" applyFill="1" applyBorder="1"/>
    <xf numFmtId="0" fontId="0" fillId="33" borderId="10" xfId="0" applyFill="1" applyBorder="1" applyAlignment="1">
      <alignment horizontal="center"/>
    </xf>
    <xf numFmtId="164" fontId="27" fillId="33" borderId="10" xfId="1" applyFont="1" applyFill="1" applyBorder="1"/>
    <xf numFmtId="164" fontId="27" fillId="33" borderId="10" xfId="1" applyFont="1" applyFill="1" applyBorder="1" applyAlignment="1">
      <alignment horizontal="center"/>
    </xf>
    <xf numFmtId="164" fontId="0" fillId="33" borderId="10" xfId="1" applyFont="1" applyFill="1" applyBorder="1" applyAlignment="1">
      <alignment horizontal="center"/>
    </xf>
    <xf numFmtId="0" fontId="0" fillId="33" borderId="10" xfId="0" applyFill="1" applyBorder="1" applyAlignment="1">
      <alignment horizontal="left"/>
    </xf>
    <xf numFmtId="0" fontId="19" fillId="33" borderId="10" xfId="0" applyFont="1" applyFill="1" applyBorder="1" applyAlignment="1">
      <alignment horizontal="left"/>
    </xf>
    <xf numFmtId="164" fontId="28" fillId="0" borderId="10" xfId="1" applyFont="1" applyBorder="1" applyAlignment="1">
      <alignment horizontal="center"/>
    </xf>
    <xf numFmtId="164" fontId="28" fillId="0" borderId="10" xfId="1" applyFont="1" applyBorder="1"/>
    <xf numFmtId="164" fontId="1" fillId="0" borderId="10" xfId="1" applyFont="1" applyBorder="1" applyAlignment="1">
      <alignment horizontal="center"/>
    </xf>
    <xf numFmtId="0" fontId="19" fillId="0" borderId="12" xfId="0" applyFont="1" applyBorder="1" applyAlignment="1">
      <alignment horizontal="left"/>
    </xf>
    <xf numFmtId="164" fontId="1" fillId="0" borderId="0" xfId="1" applyFont="1" applyBorder="1" applyAlignment="1">
      <alignment horizontal="center"/>
    </xf>
    <xf numFmtId="164" fontId="28" fillId="0" borderId="0" xfId="1" applyFont="1" applyBorder="1" applyAlignment="1">
      <alignment horizontal="center"/>
    </xf>
    <xf numFmtId="0" fontId="29" fillId="0" borderId="0" xfId="0" applyFont="1" applyAlignment="1">
      <alignment horizontal="left"/>
    </xf>
    <xf numFmtId="164" fontId="29" fillId="0" borderId="0" xfId="1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164" fontId="29" fillId="0" borderId="0" xfId="0" applyNumberFormat="1" applyFont="1" applyAlignment="1">
      <alignment horizontal="left"/>
    </xf>
    <xf numFmtId="164" fontId="31" fillId="0" borderId="0" xfId="0" applyNumberFormat="1" applyFont="1"/>
    <xf numFmtId="0" fontId="31" fillId="0" borderId="0" xfId="0" applyFont="1"/>
    <xf numFmtId="0" fontId="22" fillId="0" borderId="0" xfId="0" applyFont="1" applyAlignment="1">
      <alignment horizontal="center"/>
    </xf>
    <xf numFmtId="164" fontId="13" fillId="34" borderId="0" xfId="1" applyFont="1" applyFill="1"/>
    <xf numFmtId="164" fontId="32" fillId="0" borderId="0" xfId="0" applyNumberFormat="1" applyFont="1" applyAlignment="1">
      <alignment horizontal="left"/>
    </xf>
    <xf numFmtId="0" fontId="29" fillId="0" borderId="19" xfId="0" applyFont="1" applyBorder="1" applyAlignment="1">
      <alignment horizontal="left"/>
    </xf>
    <xf numFmtId="0" fontId="32" fillId="0" borderId="21" xfId="0" applyFont="1" applyBorder="1" applyAlignment="1">
      <alignment horizontal="right"/>
    </xf>
    <xf numFmtId="0" fontId="32" fillId="36" borderId="20" xfId="0" applyFont="1" applyFill="1" applyBorder="1" applyAlignment="1">
      <alignment horizontal="left"/>
    </xf>
    <xf numFmtId="164" fontId="33" fillId="35" borderId="17" xfId="0" applyNumberFormat="1" applyFont="1" applyFill="1" applyBorder="1" applyAlignment="1">
      <alignment horizontal="left"/>
    </xf>
    <xf numFmtId="164" fontId="29" fillId="0" borderId="22" xfId="1" applyFont="1" applyFill="1" applyBorder="1" applyAlignment="1">
      <alignment horizontal="center"/>
    </xf>
    <xf numFmtId="164" fontId="29" fillId="0" borderId="22" xfId="0" applyNumberFormat="1" applyFont="1" applyBorder="1" applyAlignment="1">
      <alignment horizontal="left"/>
    </xf>
    <xf numFmtId="164" fontId="29" fillId="0" borderId="18" xfId="0" applyNumberFormat="1" applyFont="1" applyBorder="1" applyAlignment="1">
      <alignment horizontal="left"/>
    </xf>
    <xf numFmtId="164" fontId="29" fillId="0" borderId="19" xfId="1" applyFont="1" applyFill="1" applyBorder="1"/>
    <xf numFmtId="164" fontId="29" fillId="0" borderId="19" xfId="1" applyFont="1" applyFill="1" applyBorder="1" applyAlignment="1">
      <alignment horizontal="center"/>
    </xf>
    <xf numFmtId="164" fontId="29" fillId="0" borderId="19" xfId="0" applyNumberFormat="1" applyFont="1" applyBorder="1" applyAlignment="1">
      <alignment horizontal="left"/>
    </xf>
    <xf numFmtId="164" fontId="32" fillId="0" borderId="19" xfId="0" applyNumberFormat="1" applyFont="1" applyBorder="1" applyAlignment="1">
      <alignment horizontal="left"/>
    </xf>
    <xf numFmtId="164" fontId="29" fillId="36" borderId="20" xfId="1" applyFont="1" applyFill="1" applyBorder="1"/>
    <xf numFmtId="164" fontId="29" fillId="36" borderId="20" xfId="1" applyFont="1" applyFill="1" applyBorder="1" applyAlignment="1">
      <alignment horizontal="center"/>
    </xf>
    <xf numFmtId="164" fontId="32" fillId="36" borderId="23" xfId="0" applyNumberFormat="1" applyFont="1" applyFill="1" applyBorder="1" applyAlignment="1">
      <alignment horizontal="left"/>
    </xf>
    <xf numFmtId="164" fontId="32" fillId="0" borderId="18" xfId="0" applyNumberFormat="1" applyFont="1" applyBorder="1" applyAlignment="1">
      <alignment horizontal="left"/>
    </xf>
    <xf numFmtId="0" fontId="32" fillId="0" borderId="18" xfId="0" applyFont="1" applyBorder="1" applyAlignment="1">
      <alignment horizontal="left"/>
    </xf>
    <xf numFmtId="164" fontId="29" fillId="0" borderId="19" xfId="1" applyFont="1" applyFill="1" applyBorder="1" applyAlignment="1">
      <alignment vertical="center"/>
    </xf>
    <xf numFmtId="164" fontId="29" fillId="0" borderId="19" xfId="1" applyFont="1" applyFill="1" applyBorder="1" applyAlignment="1">
      <alignment horizontal="center" vertical="center"/>
    </xf>
    <xf numFmtId="164" fontId="35" fillId="36" borderId="23" xfId="0" applyNumberFormat="1" applyFont="1" applyFill="1" applyBorder="1" applyAlignment="1">
      <alignment horizontal="left"/>
    </xf>
    <xf numFmtId="164" fontId="16" fillId="36" borderId="23" xfId="0" applyNumberFormat="1" applyFont="1" applyFill="1" applyBorder="1"/>
    <xf numFmtId="0" fontId="13" fillId="35" borderId="23" xfId="0" applyFont="1" applyFill="1" applyBorder="1" applyAlignment="1">
      <alignment horizontal="center" wrapText="1"/>
    </xf>
    <xf numFmtId="15" fontId="18" fillId="0" borderId="0" xfId="0" applyNumberFormat="1" applyFont="1" applyAlignment="1">
      <alignment horizontal="center"/>
    </xf>
    <xf numFmtId="164" fontId="0" fillId="0" borderId="0" xfId="1" applyFont="1" applyBorder="1"/>
    <xf numFmtId="164" fontId="28" fillId="0" borderId="0" xfId="1" applyFont="1" applyBorder="1"/>
    <xf numFmtId="164" fontId="36" fillId="0" borderId="10" xfId="1" applyFont="1" applyBorder="1" applyAlignment="1">
      <alignment horizontal="center"/>
    </xf>
    <xf numFmtId="164" fontId="36" fillId="0" borderId="10" xfId="1" applyFont="1" applyBorder="1"/>
    <xf numFmtId="0" fontId="37" fillId="0" borderId="19" xfId="0" applyFont="1" applyBorder="1" applyAlignment="1">
      <alignment horizontal="right"/>
    </xf>
    <xf numFmtId="0" fontId="37" fillId="0" borderId="19" xfId="0" applyFont="1" applyBorder="1" applyAlignment="1">
      <alignment horizontal="right" vertical="center" wrapText="1"/>
    </xf>
    <xf numFmtId="17" fontId="28" fillId="0" borderId="10" xfId="1" applyNumberFormat="1" applyFont="1" applyBorder="1" applyAlignment="1">
      <alignment horizontal="center"/>
    </xf>
    <xf numFmtId="15" fontId="0" fillId="36" borderId="10" xfId="0" applyNumberFormat="1" applyFill="1" applyBorder="1" applyAlignment="1">
      <alignment horizontal="center"/>
    </xf>
    <xf numFmtId="164" fontId="0" fillId="36" borderId="10" xfId="1" applyFon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6" borderId="10" xfId="0" applyFill="1" applyBorder="1" applyAlignment="1">
      <alignment horizontal="left"/>
    </xf>
    <xf numFmtId="0" fontId="19" fillId="36" borderId="10" xfId="0" applyFont="1" applyFill="1" applyBorder="1" applyAlignment="1">
      <alignment horizontal="left"/>
    </xf>
    <xf numFmtId="0" fontId="19" fillId="33" borderId="12" xfId="0" applyFont="1" applyFill="1" applyBorder="1" applyAlignment="1">
      <alignment horizontal="left"/>
    </xf>
    <xf numFmtId="164" fontId="13" fillId="37" borderId="0" xfId="1" applyFont="1" applyFill="1"/>
    <xf numFmtId="0" fontId="13" fillId="35" borderId="23" xfId="0" applyFont="1" applyFill="1" applyBorder="1" applyAlignment="1">
      <alignment horizontal="center" vertical="center" wrapText="1"/>
    </xf>
    <xf numFmtId="164" fontId="33" fillId="35" borderId="26" xfId="0" applyNumberFormat="1" applyFont="1" applyFill="1" applyBorder="1" applyAlignment="1">
      <alignment horizontal="left"/>
    </xf>
    <xf numFmtId="0" fontId="39" fillId="36" borderId="10" xfId="0" applyFont="1" applyFill="1" applyBorder="1" applyAlignment="1">
      <alignment horizontal="center"/>
    </xf>
    <xf numFmtId="0" fontId="16" fillId="33" borderId="23" xfId="0" applyFont="1" applyFill="1" applyBorder="1" applyAlignment="1">
      <alignment horizontal="center" wrapText="1"/>
    </xf>
    <xf numFmtId="0" fontId="16" fillId="33" borderId="23" xfId="0" applyFont="1" applyFill="1" applyBorder="1" applyAlignment="1">
      <alignment horizontal="center" vertical="center" wrapText="1"/>
    </xf>
    <xf numFmtId="0" fontId="16" fillId="33" borderId="23" xfId="0" applyFont="1" applyFill="1" applyBorder="1" applyAlignment="1">
      <alignment horizontal="center" vertical="center"/>
    </xf>
    <xf numFmtId="164" fontId="22" fillId="0" borderId="0" xfId="0" applyNumberFormat="1" applyFont="1" applyAlignment="1">
      <alignment horizontal="center"/>
    </xf>
    <xf numFmtId="0" fontId="13" fillId="38" borderId="23" xfId="0" applyFont="1" applyFill="1" applyBorder="1" applyAlignment="1">
      <alignment horizontal="center" wrapText="1"/>
    </xf>
    <xf numFmtId="0" fontId="13" fillId="38" borderId="23" xfId="0" applyFont="1" applyFill="1" applyBorder="1" applyAlignment="1">
      <alignment horizontal="center" vertical="center" wrapText="1"/>
    </xf>
    <xf numFmtId="164" fontId="33" fillId="38" borderId="17" xfId="0" applyNumberFormat="1" applyFont="1" applyFill="1" applyBorder="1" applyAlignment="1">
      <alignment horizontal="left"/>
    </xf>
    <xf numFmtId="0" fontId="13" fillId="39" borderId="23" xfId="0" applyFont="1" applyFill="1" applyBorder="1" applyAlignment="1">
      <alignment horizontal="center" wrapText="1"/>
    </xf>
    <xf numFmtId="0" fontId="13" fillId="39" borderId="23" xfId="0" applyFont="1" applyFill="1" applyBorder="1" applyAlignment="1">
      <alignment horizontal="center" vertical="center" wrapText="1"/>
    </xf>
    <xf numFmtId="0" fontId="13" fillId="34" borderId="23" xfId="0" applyFont="1" applyFill="1" applyBorder="1" applyAlignment="1">
      <alignment horizontal="center" wrapText="1"/>
    </xf>
    <xf numFmtId="0" fontId="13" fillId="34" borderId="23" xfId="0" applyFont="1" applyFill="1" applyBorder="1" applyAlignment="1">
      <alignment horizontal="center" vertical="center"/>
    </xf>
    <xf numFmtId="164" fontId="33" fillId="34" borderId="26" xfId="0" applyNumberFormat="1" applyFont="1" applyFill="1" applyBorder="1" applyAlignment="1">
      <alignment horizontal="left"/>
    </xf>
    <xf numFmtId="164" fontId="33" fillId="40" borderId="26" xfId="0" applyNumberFormat="1" applyFont="1" applyFill="1" applyBorder="1" applyAlignment="1">
      <alignment horizontal="left"/>
    </xf>
    <xf numFmtId="164" fontId="38" fillId="40" borderId="26" xfId="0" applyNumberFormat="1" applyFont="1" applyFill="1" applyBorder="1" applyAlignment="1">
      <alignment horizontal="left"/>
    </xf>
    <xf numFmtId="17" fontId="36" fillId="0" borderId="10" xfId="1" applyNumberFormat="1" applyFont="1" applyBorder="1" applyAlignment="1">
      <alignment horizontal="center"/>
    </xf>
    <xf numFmtId="0" fontId="36" fillId="0" borderId="10" xfId="0" applyFont="1" applyBorder="1"/>
    <xf numFmtId="0" fontId="13" fillId="41" borderId="23" xfId="0" applyFont="1" applyFill="1" applyBorder="1" applyAlignment="1">
      <alignment horizontal="center" vertical="center" wrapText="1"/>
    </xf>
    <xf numFmtId="164" fontId="33" fillId="41" borderId="16" xfId="0" applyNumberFormat="1" applyFont="1" applyFill="1" applyBorder="1" applyAlignment="1">
      <alignment horizontal="left"/>
    </xf>
    <xf numFmtId="164" fontId="32" fillId="0" borderId="22" xfId="1" applyFont="1" applyFill="1" applyBorder="1" applyAlignment="1">
      <alignment horizontal="center"/>
    </xf>
    <xf numFmtId="15" fontId="0" fillId="42" borderId="11" xfId="0" applyNumberFormat="1" applyFill="1" applyBorder="1" applyAlignment="1">
      <alignment horizontal="center"/>
    </xf>
    <xf numFmtId="0" fontId="16" fillId="42" borderId="10" xfId="0" applyFont="1" applyFill="1" applyBorder="1" applyAlignment="1">
      <alignment horizontal="center"/>
    </xf>
    <xf numFmtId="164" fontId="19" fillId="42" borderId="10" xfId="1" applyFont="1" applyFill="1" applyBorder="1" applyAlignment="1">
      <alignment horizontal="center"/>
    </xf>
    <xf numFmtId="164" fontId="25" fillId="42" borderId="10" xfId="1" applyFont="1" applyFill="1" applyBorder="1" applyAlignment="1">
      <alignment horizontal="center"/>
    </xf>
    <xf numFmtId="0" fontId="19" fillId="42" borderId="10" xfId="0" applyFont="1" applyFill="1" applyBorder="1" applyAlignment="1">
      <alignment horizontal="left"/>
    </xf>
    <xf numFmtId="0" fontId="0" fillId="42" borderId="10" xfId="0" applyFill="1" applyBorder="1" applyAlignment="1">
      <alignment horizontal="center"/>
    </xf>
    <xf numFmtId="164" fontId="0" fillId="42" borderId="10" xfId="1" applyFont="1" applyFill="1" applyBorder="1" applyAlignment="1">
      <alignment horizontal="center"/>
    </xf>
    <xf numFmtId="0" fontId="0" fillId="42" borderId="10" xfId="0" applyFill="1" applyBorder="1" applyAlignment="1">
      <alignment horizontal="left"/>
    </xf>
    <xf numFmtId="0" fontId="0" fillId="42" borderId="0" xfId="0" applyFill="1"/>
    <xf numFmtId="164" fontId="24" fillId="42" borderId="10" xfId="1" applyFont="1" applyFill="1" applyBorder="1" applyAlignment="1">
      <alignment horizontal="center"/>
    </xf>
    <xf numFmtId="164" fontId="18" fillId="42" borderId="10" xfId="1" applyFont="1" applyFill="1" applyBorder="1" applyAlignment="1">
      <alignment horizontal="center"/>
    </xf>
    <xf numFmtId="164" fontId="27" fillId="42" borderId="10" xfId="1" applyFont="1" applyFill="1" applyBorder="1" applyAlignment="1">
      <alignment horizontal="center"/>
    </xf>
    <xf numFmtId="0" fontId="0" fillId="42" borderId="0" xfId="0" applyFill="1" applyAlignment="1">
      <alignment horizontal="center"/>
    </xf>
    <xf numFmtId="164" fontId="1" fillId="42" borderId="10" xfId="1" applyFont="1" applyFill="1" applyBorder="1" applyAlignment="1">
      <alignment horizontal="center"/>
    </xf>
    <xf numFmtId="164" fontId="28" fillId="42" borderId="10" xfId="1" applyFont="1" applyFill="1" applyBorder="1" applyAlignment="1">
      <alignment horizontal="center"/>
    </xf>
    <xf numFmtId="15" fontId="0" fillId="42" borderId="10" xfId="0" applyNumberFormat="1" applyFill="1" applyBorder="1" applyAlignment="1">
      <alignment horizontal="center"/>
    </xf>
    <xf numFmtId="15" fontId="0" fillId="43" borderId="10" xfId="0" applyNumberFormat="1" applyFill="1" applyBorder="1" applyAlignment="1">
      <alignment horizontal="center"/>
    </xf>
    <xf numFmtId="164" fontId="0" fillId="43" borderId="10" xfId="1" applyFont="1" applyFill="1" applyBorder="1" applyAlignment="1">
      <alignment horizontal="center"/>
    </xf>
    <xf numFmtId="0" fontId="0" fillId="43" borderId="10" xfId="0" applyFill="1" applyBorder="1" applyAlignment="1">
      <alignment horizontal="center"/>
    </xf>
    <xf numFmtId="0" fontId="0" fillId="43" borderId="10" xfId="0" applyFill="1" applyBorder="1" applyAlignment="1">
      <alignment horizontal="left"/>
    </xf>
    <xf numFmtId="0" fontId="39" fillId="43" borderId="10" xfId="0" applyFont="1" applyFill="1" applyBorder="1" applyAlignment="1">
      <alignment horizontal="center"/>
    </xf>
    <xf numFmtId="0" fontId="19" fillId="43" borderId="12" xfId="0" applyFont="1" applyFill="1" applyBorder="1" applyAlignment="1">
      <alignment horizontal="left"/>
    </xf>
    <xf numFmtId="0" fontId="0" fillId="44" borderId="10" xfId="0" applyFill="1" applyBorder="1" applyAlignment="1">
      <alignment horizontal="center"/>
    </xf>
    <xf numFmtId="164" fontId="0" fillId="44" borderId="10" xfId="1" applyFont="1" applyFill="1" applyBorder="1" applyAlignment="1">
      <alignment horizontal="center"/>
    </xf>
    <xf numFmtId="0" fontId="0" fillId="44" borderId="10" xfId="0" applyFill="1" applyBorder="1" applyAlignment="1">
      <alignment horizontal="left"/>
    </xf>
    <xf numFmtId="0" fontId="19" fillId="44" borderId="12" xfId="0" applyFont="1" applyFill="1" applyBorder="1" applyAlignment="1">
      <alignment horizontal="left"/>
    </xf>
    <xf numFmtId="164" fontId="0" fillId="0" borderId="10" xfId="1" applyFont="1" applyFill="1" applyBorder="1"/>
    <xf numFmtId="164" fontId="28" fillId="0" borderId="10" xfId="1" applyFont="1" applyFill="1" applyBorder="1"/>
    <xf numFmtId="164" fontId="28" fillId="0" borderId="10" xfId="1" applyFont="1" applyFill="1" applyBorder="1" applyAlignment="1">
      <alignment horizontal="center"/>
    </xf>
    <xf numFmtId="15" fontId="0" fillId="44" borderId="10" xfId="0" applyNumberFormat="1" applyFill="1" applyBorder="1" applyAlignment="1">
      <alignment horizontal="center"/>
    </xf>
    <xf numFmtId="0" fontId="39" fillId="44" borderId="10" xfId="0" applyFont="1" applyFill="1" applyBorder="1" applyAlignment="1">
      <alignment horizontal="center"/>
    </xf>
    <xf numFmtId="165" fontId="0" fillId="0" borderId="0" xfId="0" applyNumberFormat="1"/>
    <xf numFmtId="164" fontId="32" fillId="0" borderId="15" xfId="0" applyNumberFormat="1" applyFont="1" applyBorder="1" applyAlignment="1">
      <alignment horizontal="left"/>
    </xf>
    <xf numFmtId="164" fontId="29" fillId="0" borderId="15" xfId="0" applyNumberFormat="1" applyFont="1" applyBorder="1" applyAlignment="1">
      <alignment horizontal="left"/>
    </xf>
    <xf numFmtId="164" fontId="32" fillId="0" borderId="29" xfId="0" applyNumberFormat="1" applyFont="1" applyBorder="1" applyAlignment="1">
      <alignment horizontal="left"/>
    </xf>
    <xf numFmtId="164" fontId="29" fillId="0" borderId="29" xfId="0" applyNumberFormat="1" applyFont="1" applyBorder="1" applyAlignment="1">
      <alignment horizontal="left"/>
    </xf>
    <xf numFmtId="164" fontId="32" fillId="0" borderId="10" xfId="0" applyNumberFormat="1" applyFont="1" applyBorder="1" applyAlignment="1">
      <alignment horizontal="left"/>
    </xf>
    <xf numFmtId="164" fontId="29" fillId="0" borderId="10" xfId="0" applyNumberFormat="1" applyFont="1" applyBorder="1" applyAlignment="1">
      <alignment horizontal="left"/>
    </xf>
    <xf numFmtId="164" fontId="32" fillId="36" borderId="30" xfId="0" applyNumberFormat="1" applyFont="1" applyFill="1" applyBorder="1" applyAlignment="1">
      <alignment horizontal="left"/>
    </xf>
    <xf numFmtId="164" fontId="32" fillId="36" borderId="31" xfId="0" applyNumberFormat="1" applyFont="1" applyFill="1" applyBorder="1" applyAlignment="1">
      <alignment horizontal="left"/>
    </xf>
    <xf numFmtId="164" fontId="32" fillId="36" borderId="32" xfId="0" applyNumberFormat="1" applyFont="1" applyFill="1" applyBorder="1" applyAlignment="1">
      <alignment horizontal="left"/>
    </xf>
    <xf numFmtId="0" fontId="32" fillId="0" borderId="15" xfId="0" applyFont="1" applyBorder="1" applyAlignment="1">
      <alignment horizontal="left"/>
    </xf>
    <xf numFmtId="0" fontId="32" fillId="0" borderId="29" xfId="0" applyFont="1" applyBorder="1" applyAlignment="1">
      <alignment horizontal="left"/>
    </xf>
    <xf numFmtId="164" fontId="29" fillId="0" borderId="33" xfId="1" applyFont="1" applyFill="1" applyBorder="1" applyAlignment="1">
      <alignment horizontal="center"/>
    </xf>
    <xf numFmtId="0" fontId="16" fillId="43" borderId="10" xfId="0" applyFont="1" applyFill="1" applyBorder="1" applyAlignment="1">
      <alignment horizontal="center"/>
    </xf>
    <xf numFmtId="0" fontId="21" fillId="43" borderId="10" xfId="0" applyFont="1" applyFill="1" applyBorder="1" applyAlignment="1">
      <alignment horizontal="center"/>
    </xf>
    <xf numFmtId="0" fontId="39" fillId="0" borderId="10" xfId="0" applyFont="1" applyBorder="1" applyAlignment="1">
      <alignment horizontal="center"/>
    </xf>
    <xf numFmtId="164" fontId="13" fillId="0" borderId="0" xfId="1" applyFont="1" applyFill="1"/>
    <xf numFmtId="0" fontId="16" fillId="36" borderId="10" xfId="0" applyFont="1" applyFill="1" applyBorder="1" applyAlignment="1">
      <alignment horizontal="center"/>
    </xf>
    <xf numFmtId="0" fontId="21" fillId="36" borderId="10" xfId="0" applyFont="1" applyFill="1" applyBorder="1" applyAlignment="1">
      <alignment horizontal="center"/>
    </xf>
    <xf numFmtId="0" fontId="16" fillId="44" borderId="10" xfId="0" applyFont="1" applyFill="1" applyBorder="1" applyAlignment="1">
      <alignment horizontal="center"/>
    </xf>
    <xf numFmtId="0" fontId="21" fillId="44" borderId="10" xfId="0" applyFont="1" applyFill="1" applyBorder="1" applyAlignment="1">
      <alignment horizontal="center"/>
    </xf>
    <xf numFmtId="165" fontId="0" fillId="0" borderId="0" xfId="43" applyNumberFormat="1" applyFont="1"/>
    <xf numFmtId="164" fontId="30" fillId="0" borderId="0" xfId="1" applyFont="1" applyFill="1"/>
    <xf numFmtId="3" fontId="16" fillId="0" borderId="0" xfId="0" applyNumberFormat="1" applyFont="1" applyAlignment="1">
      <alignment horizontal="center"/>
    </xf>
    <xf numFmtId="164" fontId="40" fillId="0" borderId="0" xfId="0" applyNumberFormat="1" applyFont="1" applyAlignment="1">
      <alignment horizontal="center"/>
    </xf>
    <xf numFmtId="0" fontId="17" fillId="40" borderId="0" xfId="0" applyFont="1" applyFill="1"/>
    <xf numFmtId="164" fontId="14" fillId="42" borderId="10" xfId="1" applyFont="1" applyFill="1" applyBorder="1" applyAlignment="1">
      <alignment horizontal="center"/>
    </xf>
    <xf numFmtId="164" fontId="41" fillId="42" borderId="10" xfId="1" applyFont="1" applyFill="1" applyBorder="1" applyAlignment="1">
      <alignment horizontal="center"/>
    </xf>
    <xf numFmtId="0" fontId="39" fillId="42" borderId="10" xfId="0" applyFont="1" applyFill="1" applyBorder="1" applyAlignment="1">
      <alignment horizontal="center"/>
    </xf>
    <xf numFmtId="0" fontId="14" fillId="42" borderId="10" xfId="0" applyFont="1" applyFill="1" applyBorder="1" applyAlignment="1">
      <alignment horizontal="center"/>
    </xf>
    <xf numFmtId="0" fontId="14" fillId="42" borderId="10" xfId="0" applyFont="1" applyFill="1" applyBorder="1" applyAlignment="1">
      <alignment horizontal="left"/>
    </xf>
    <xf numFmtId="164" fontId="30" fillId="0" borderId="0" xfId="1" applyFont="1" applyFill="1" applyAlignment="1">
      <alignment horizontal="left"/>
    </xf>
    <xf numFmtId="164" fontId="35" fillId="36" borderId="30" xfId="0" applyNumberFormat="1" applyFont="1" applyFill="1" applyBorder="1" applyAlignment="1">
      <alignment horizontal="left"/>
    </xf>
    <xf numFmtId="0" fontId="13" fillId="45" borderId="23" xfId="0" applyFont="1" applyFill="1" applyBorder="1" applyAlignment="1">
      <alignment horizontal="center" vertical="center" wrapText="1"/>
    </xf>
    <xf numFmtId="164" fontId="32" fillId="0" borderId="22" xfId="0" applyNumberFormat="1" applyFont="1" applyBorder="1" applyAlignment="1">
      <alignment horizontal="left"/>
    </xf>
    <xf numFmtId="164" fontId="19" fillId="0" borderId="10" xfId="1" applyFont="1" applyBorder="1" applyAlignment="1">
      <alignment horizontal="left"/>
    </xf>
    <xf numFmtId="164" fontId="42" fillId="0" borderId="10" xfId="1" applyFont="1" applyBorder="1" applyAlignment="1">
      <alignment horizontal="center"/>
    </xf>
    <xf numFmtId="164" fontId="43" fillId="0" borderId="10" xfId="1" applyFont="1" applyBorder="1" applyAlignment="1">
      <alignment horizontal="center"/>
    </xf>
    <xf numFmtId="164" fontId="32" fillId="0" borderId="35" xfId="0" applyNumberFormat="1" applyFont="1" applyBorder="1" applyAlignment="1">
      <alignment horizontal="left"/>
    </xf>
    <xf numFmtId="164" fontId="35" fillId="36" borderId="36" xfId="0" applyNumberFormat="1" applyFont="1" applyFill="1" applyBorder="1" applyAlignment="1">
      <alignment horizontal="left"/>
    </xf>
    <xf numFmtId="164" fontId="35" fillId="36" borderId="37" xfId="0" applyNumberFormat="1" applyFont="1" applyFill="1" applyBorder="1" applyAlignment="1">
      <alignment horizontal="left"/>
    </xf>
    <xf numFmtId="0" fontId="13" fillId="46" borderId="23" xfId="0" applyFont="1" applyFill="1" applyBorder="1" applyAlignment="1">
      <alignment horizontal="center" vertical="center" wrapText="1"/>
    </xf>
    <xf numFmtId="0" fontId="14" fillId="0" borderId="10" xfId="0" applyFont="1" applyBorder="1"/>
    <xf numFmtId="164" fontId="14" fillId="0" borderId="10" xfId="1" applyFont="1" applyBorder="1" applyAlignment="1">
      <alignment horizontal="center"/>
    </xf>
    <xf numFmtId="164" fontId="30" fillId="0" borderId="0" xfId="1" applyFont="1" applyAlignment="1">
      <alignment horizontal="center"/>
    </xf>
    <xf numFmtId="164" fontId="31" fillId="0" borderId="0" xfId="1" applyFont="1"/>
    <xf numFmtId="165" fontId="16" fillId="0" borderId="0" xfId="43" applyNumberFormat="1" applyFont="1" applyAlignment="1">
      <alignment horizontal="center"/>
    </xf>
    <xf numFmtId="164" fontId="29" fillId="47" borderId="22" xfId="1" applyFont="1" applyFill="1" applyBorder="1" applyAlignment="1">
      <alignment horizontal="center"/>
    </xf>
    <xf numFmtId="164" fontId="29" fillId="47" borderId="22" xfId="0" applyNumberFormat="1" applyFont="1" applyFill="1" applyBorder="1" applyAlignment="1">
      <alignment horizontal="left"/>
    </xf>
    <xf numFmtId="164" fontId="29" fillId="47" borderId="19" xfId="1" applyFont="1" applyFill="1" applyBorder="1" applyAlignment="1">
      <alignment horizontal="center"/>
    </xf>
    <xf numFmtId="164" fontId="29" fillId="47" borderId="19" xfId="0" applyNumberFormat="1" applyFont="1" applyFill="1" applyBorder="1" applyAlignment="1">
      <alignment horizontal="left"/>
    </xf>
    <xf numFmtId="164" fontId="29" fillId="47" borderId="19" xfId="1" applyFont="1" applyFill="1" applyBorder="1"/>
    <xf numFmtId="164" fontId="29" fillId="47" borderId="19" xfId="1" applyFont="1" applyFill="1" applyBorder="1" applyAlignment="1">
      <alignment horizontal="center" vertical="center"/>
    </xf>
    <xf numFmtId="164" fontId="29" fillId="47" borderId="19" xfId="1" applyFont="1" applyFill="1" applyBorder="1" applyAlignment="1">
      <alignment vertical="center"/>
    </xf>
    <xf numFmtId="165" fontId="19" fillId="0" borderId="10" xfId="43" applyNumberFormat="1" applyFont="1" applyBorder="1" applyAlignment="1">
      <alignment horizontal="left"/>
    </xf>
    <xf numFmtId="0" fontId="17" fillId="0" borderId="0" xfId="0" applyFont="1"/>
    <xf numFmtId="164" fontId="35" fillId="0" borderId="17" xfId="0" applyNumberFormat="1" applyFont="1" applyBorder="1" applyAlignment="1">
      <alignment horizontal="left"/>
    </xf>
    <xf numFmtId="164" fontId="0" fillId="0" borderId="10" xfId="0" applyNumberFormat="1" applyBorder="1" applyAlignment="1">
      <alignment horizontal="center"/>
    </xf>
    <xf numFmtId="164" fontId="16" fillId="0" borderId="10" xfId="0" applyNumberFormat="1" applyFont="1" applyBorder="1"/>
    <xf numFmtId="14" fontId="0" fillId="0" borderId="0" xfId="0" applyNumberFormat="1" applyAlignment="1">
      <alignment horizontal="left"/>
    </xf>
    <xf numFmtId="17" fontId="0" fillId="42" borderId="10" xfId="0" applyNumberFormat="1" applyFill="1" applyBorder="1" applyAlignment="1">
      <alignment horizontal="center"/>
    </xf>
    <xf numFmtId="164" fontId="33" fillId="45" borderId="16" xfId="0" applyNumberFormat="1" applyFont="1" applyFill="1" applyBorder="1" applyAlignment="1">
      <alignment horizontal="left"/>
    </xf>
    <xf numFmtId="164" fontId="33" fillId="46" borderId="16" xfId="0" applyNumberFormat="1" applyFont="1" applyFill="1" applyBorder="1" applyAlignment="1">
      <alignment horizontal="left"/>
    </xf>
    <xf numFmtId="164" fontId="35" fillId="0" borderId="16" xfId="0" applyNumberFormat="1" applyFont="1" applyBorder="1" applyAlignment="1">
      <alignment horizontal="left"/>
    </xf>
    <xf numFmtId="165" fontId="0" fillId="0" borderId="0" xfId="0" applyNumberFormat="1" applyAlignment="1">
      <alignment horizontal="center"/>
    </xf>
    <xf numFmtId="0" fontId="13" fillId="48" borderId="23" xfId="0" applyFont="1" applyFill="1" applyBorder="1" applyAlignment="1">
      <alignment horizontal="center" wrapText="1"/>
    </xf>
    <xf numFmtId="0" fontId="13" fillId="48" borderId="23" xfId="0" applyFont="1" applyFill="1" applyBorder="1" applyAlignment="1">
      <alignment horizontal="center" vertical="center" wrapText="1"/>
    </xf>
    <xf numFmtId="164" fontId="32" fillId="0" borderId="17" xfId="0" applyNumberFormat="1" applyFont="1" applyBorder="1" applyAlignment="1">
      <alignment horizontal="left"/>
    </xf>
    <xf numFmtId="0" fontId="13" fillId="49" borderId="23" xfId="0" applyFont="1" applyFill="1" applyBorder="1" applyAlignment="1">
      <alignment horizontal="center" wrapText="1"/>
    </xf>
    <xf numFmtId="0" fontId="13" fillId="49" borderId="23" xfId="0" applyFont="1" applyFill="1" applyBorder="1" applyAlignment="1">
      <alignment horizontal="center" vertical="center" wrapText="1"/>
    </xf>
    <xf numFmtId="164" fontId="33" fillId="49" borderId="17" xfId="0" applyNumberFormat="1" applyFont="1" applyFill="1" applyBorder="1" applyAlignment="1">
      <alignment horizontal="left"/>
    </xf>
    <xf numFmtId="164" fontId="33" fillId="48" borderId="16" xfId="0" applyNumberFormat="1" applyFont="1" applyFill="1" applyBorder="1" applyAlignment="1">
      <alignment horizontal="left"/>
    </xf>
    <xf numFmtId="0" fontId="45" fillId="0" borderId="0" xfId="0" applyFont="1"/>
    <xf numFmtId="164" fontId="45" fillId="0" borderId="0" xfId="0" applyNumberFormat="1" applyFont="1"/>
    <xf numFmtId="17" fontId="28" fillId="0" borderId="10" xfId="1" quotePrefix="1" applyNumberFormat="1" applyFont="1" applyBorder="1" applyAlignment="1">
      <alignment horizontal="center"/>
    </xf>
    <xf numFmtId="17" fontId="0" fillId="42" borderId="10" xfId="0" quotePrefix="1" applyNumberFormat="1" applyFill="1" applyBorder="1" applyAlignment="1">
      <alignment horizontal="center"/>
    </xf>
    <xf numFmtId="164" fontId="16" fillId="0" borderId="10" xfId="1" applyFont="1" applyBorder="1" applyAlignment="1">
      <alignment horizontal="center"/>
    </xf>
    <xf numFmtId="164" fontId="33" fillId="38" borderId="16" xfId="0" applyNumberFormat="1" applyFont="1" applyFill="1" applyBorder="1" applyAlignment="1">
      <alignment horizontal="left"/>
    </xf>
    <xf numFmtId="164" fontId="33" fillId="39" borderId="16" xfId="0" applyNumberFormat="1" applyFont="1" applyFill="1" applyBorder="1" applyAlignment="1">
      <alignment horizontal="left"/>
    </xf>
    <xf numFmtId="164" fontId="35" fillId="39" borderId="26" xfId="0" applyNumberFormat="1" applyFont="1" applyFill="1" applyBorder="1" applyAlignment="1">
      <alignment horizontal="left"/>
    </xf>
    <xf numFmtId="17" fontId="28" fillId="36" borderId="10" xfId="1" quotePrefix="1" applyNumberFormat="1" applyFont="1" applyFill="1" applyBorder="1" applyAlignment="1">
      <alignment horizontal="center"/>
    </xf>
    <xf numFmtId="0" fontId="0" fillId="36" borderId="10" xfId="0" applyFill="1" applyBorder="1"/>
    <xf numFmtId="164" fontId="16" fillId="0" borderId="10" xfId="1" applyFont="1" applyBorder="1" applyAlignment="1">
      <alignment horizontal="center" vertical="center"/>
    </xf>
    <xf numFmtId="164" fontId="48" fillId="36" borderId="23" xfId="0" applyNumberFormat="1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164" fontId="16" fillId="0" borderId="0" xfId="1" applyFont="1" applyAlignment="1">
      <alignment horizontal="center"/>
    </xf>
    <xf numFmtId="164" fontId="39" fillId="0" borderId="0" xfId="1" applyFont="1" applyAlignment="1">
      <alignment horizontal="center"/>
    </xf>
    <xf numFmtId="164" fontId="44" fillId="0" borderId="0" xfId="1" applyFont="1" applyAlignment="1">
      <alignment horizontal="center"/>
    </xf>
    <xf numFmtId="0" fontId="13" fillId="35" borderId="14" xfId="0" applyFont="1" applyFill="1" applyBorder="1" applyAlignment="1">
      <alignment horizontal="center" vertical="center" wrapText="1"/>
    </xf>
    <xf numFmtId="0" fontId="13" fillId="35" borderId="15" xfId="0" applyFont="1" applyFill="1" applyBorder="1" applyAlignment="1">
      <alignment horizontal="center" vertical="center" wrapText="1"/>
    </xf>
    <xf numFmtId="0" fontId="13" fillId="39" borderId="24" xfId="0" applyFont="1" applyFill="1" applyBorder="1" applyAlignment="1">
      <alignment horizontal="center"/>
    </xf>
    <xf numFmtId="0" fontId="13" fillId="39" borderId="25" xfId="0" applyFont="1" applyFill="1" applyBorder="1" applyAlignment="1">
      <alignment horizontal="center"/>
    </xf>
    <xf numFmtId="0" fontId="13" fillId="38" borderId="24" xfId="0" applyFont="1" applyFill="1" applyBorder="1" applyAlignment="1">
      <alignment horizontal="center"/>
    </xf>
    <xf numFmtId="0" fontId="13" fillId="38" borderId="25" xfId="0" applyFont="1" applyFill="1" applyBorder="1" applyAlignment="1">
      <alignment horizontal="center"/>
    </xf>
    <xf numFmtId="0" fontId="13" fillId="41" borderId="16" xfId="0" applyFont="1" applyFill="1" applyBorder="1" applyAlignment="1">
      <alignment horizontal="center"/>
    </xf>
    <xf numFmtId="0" fontId="13" fillId="41" borderId="13" xfId="0" applyFont="1" applyFill="1" applyBorder="1" applyAlignment="1">
      <alignment horizontal="center"/>
    </xf>
    <xf numFmtId="0" fontId="13" fillId="41" borderId="28" xfId="0" applyFont="1" applyFill="1" applyBorder="1" applyAlignment="1">
      <alignment horizontal="center"/>
    </xf>
    <xf numFmtId="0" fontId="13" fillId="45" borderId="16" xfId="0" applyFont="1" applyFill="1" applyBorder="1" applyAlignment="1">
      <alignment horizontal="center"/>
    </xf>
    <xf numFmtId="0" fontId="13" fillId="45" borderId="13" xfId="0" applyFont="1" applyFill="1" applyBorder="1" applyAlignment="1">
      <alignment horizontal="center"/>
    </xf>
    <xf numFmtId="0" fontId="13" fillId="45" borderId="28" xfId="0" applyFont="1" applyFill="1" applyBorder="1" applyAlignment="1">
      <alignment horizontal="center"/>
    </xf>
    <xf numFmtId="0" fontId="13" fillId="46" borderId="16" xfId="0" applyFont="1" applyFill="1" applyBorder="1" applyAlignment="1">
      <alignment horizontal="center"/>
    </xf>
    <xf numFmtId="0" fontId="13" fillId="46" borderId="13" xfId="0" applyFont="1" applyFill="1" applyBorder="1" applyAlignment="1">
      <alignment horizontal="center"/>
    </xf>
    <xf numFmtId="0" fontId="13" fillId="46" borderId="28" xfId="0" applyFont="1" applyFill="1" applyBorder="1" applyAlignment="1">
      <alignment horizontal="center"/>
    </xf>
    <xf numFmtId="0" fontId="46" fillId="49" borderId="16" xfId="0" applyFont="1" applyFill="1" applyBorder="1" applyAlignment="1">
      <alignment horizontal="center"/>
    </xf>
    <xf numFmtId="0" fontId="46" fillId="49" borderId="27" xfId="0" applyFont="1" applyFill="1" applyBorder="1" applyAlignment="1">
      <alignment horizontal="center"/>
    </xf>
    <xf numFmtId="0" fontId="13" fillId="34" borderId="16" xfId="0" applyFont="1" applyFill="1" applyBorder="1" applyAlignment="1">
      <alignment horizontal="center"/>
    </xf>
    <xf numFmtId="0" fontId="13" fillId="34" borderId="13" xfId="0" applyFont="1" applyFill="1" applyBorder="1" applyAlignment="1">
      <alignment horizontal="center"/>
    </xf>
    <xf numFmtId="0" fontId="13" fillId="34" borderId="27" xfId="0" applyFont="1" applyFill="1" applyBorder="1" applyAlignment="1">
      <alignment horizontal="center"/>
    </xf>
    <xf numFmtId="0" fontId="47" fillId="34" borderId="16" xfId="0" applyFont="1" applyFill="1" applyBorder="1" applyAlignment="1">
      <alignment horizontal="center" wrapText="1"/>
    </xf>
    <xf numFmtId="0" fontId="47" fillId="34" borderId="27" xfId="0" applyFont="1" applyFill="1" applyBorder="1" applyAlignment="1">
      <alignment horizontal="center"/>
    </xf>
    <xf numFmtId="0" fontId="38" fillId="38" borderId="16" xfId="0" applyFont="1" applyFill="1" applyBorder="1" applyAlignment="1">
      <alignment horizontal="center"/>
    </xf>
    <xf numFmtId="0" fontId="38" fillId="38" borderId="27" xfId="0" applyFont="1" applyFill="1" applyBorder="1" applyAlignment="1">
      <alignment horizontal="center"/>
    </xf>
    <xf numFmtId="0" fontId="13" fillId="48" borderId="24" xfId="0" applyFont="1" applyFill="1" applyBorder="1" applyAlignment="1">
      <alignment horizontal="center"/>
    </xf>
    <xf numFmtId="0" fontId="13" fillId="48" borderId="25" xfId="0" applyFont="1" applyFill="1" applyBorder="1" applyAlignment="1">
      <alignment horizontal="center"/>
    </xf>
    <xf numFmtId="0" fontId="38" fillId="48" borderId="16" xfId="0" applyFont="1" applyFill="1" applyBorder="1" applyAlignment="1">
      <alignment horizontal="center"/>
    </xf>
    <xf numFmtId="0" fontId="38" fillId="48" borderId="27" xfId="0" applyFont="1" applyFill="1" applyBorder="1" applyAlignment="1">
      <alignment horizontal="center"/>
    </xf>
    <xf numFmtId="0" fontId="13" fillId="49" borderId="24" xfId="0" applyFont="1" applyFill="1" applyBorder="1" applyAlignment="1">
      <alignment horizontal="center"/>
    </xf>
    <xf numFmtId="0" fontId="13" fillId="49" borderId="25" xfId="0" applyFont="1" applyFill="1" applyBorder="1" applyAlignment="1">
      <alignment horizontal="center"/>
    </xf>
    <xf numFmtId="0" fontId="38" fillId="35" borderId="16" xfId="0" applyFont="1" applyFill="1" applyBorder="1" applyAlignment="1">
      <alignment horizontal="center"/>
    </xf>
    <xf numFmtId="0" fontId="38" fillId="35" borderId="27" xfId="0" applyFont="1" applyFill="1" applyBorder="1" applyAlignment="1">
      <alignment horizontal="center"/>
    </xf>
    <xf numFmtId="0" fontId="38" fillId="35" borderId="13" xfId="0" applyFont="1" applyFill="1" applyBorder="1" applyAlignment="1">
      <alignment horizontal="center"/>
    </xf>
    <xf numFmtId="0" fontId="16" fillId="33" borderId="24" xfId="0" applyFont="1" applyFill="1" applyBorder="1" applyAlignment="1">
      <alignment horizontal="center"/>
    </xf>
    <xf numFmtId="0" fontId="16" fillId="33" borderId="25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13" fillId="35" borderId="24" xfId="0" applyFont="1" applyFill="1" applyBorder="1" applyAlignment="1">
      <alignment horizontal="center"/>
    </xf>
    <xf numFmtId="0" fontId="13" fillId="35" borderId="25" xfId="0" applyFont="1" applyFill="1" applyBorder="1" applyAlignment="1">
      <alignment horizontal="center"/>
    </xf>
    <xf numFmtId="0" fontId="16" fillId="0" borderId="34" xfId="0" applyFont="1" applyBorder="1" applyAlignment="1">
      <alignment horizontal="right"/>
    </xf>
    <xf numFmtId="0" fontId="16" fillId="0" borderId="10" xfId="0" applyFont="1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Comma [0]" xfId="1" builtinId="6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0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(* #,##0_);_(* \(#,##0\);_(* &quot;-&quot;_);_(@_)"/>
    </dxf>
    <dxf>
      <numFmt numFmtId="164" formatCode="_(* #,##0_);_(* \(#,##0\);_(* &quot;-&quot;_);_(@_)"/>
    </dxf>
    <dxf>
      <numFmt numFmtId="165" formatCode="_-* #,##0_-;\-* #,##0_-;_-* &quot;-&quot;??_-;_-@_-"/>
    </dxf>
  </dxfs>
  <tableStyles count="0" defaultTableStyle="TableStyleMedium2" defaultPivotStyle="PivotStyleLight16"/>
  <colors>
    <mruColors>
      <color rgb="FF2A1C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pivotCacheDefinition" Target="pivotCache/pivotCacheDefinition10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pivotCacheDefinition" Target="pivotCache/pivotCacheDefinition9.xml"/><Relationship Id="rId3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470647</xdr:colOff>
      <xdr:row>0</xdr:row>
      <xdr:rowOff>0</xdr:rowOff>
    </xdr:from>
    <xdr:ext cx="184730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067735" y="0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31550" cmpd="sng">
              <a:gradFill>
                <a:gsLst>
                  <a:gs pos="25000">
                    <a:schemeClr val="accent1">
                      <a:shade val="25000"/>
                      <a:satMod val="190000"/>
                    </a:schemeClr>
                  </a:gs>
                  <a:gs pos="80000">
                    <a:schemeClr val="accent1">
                      <a:tint val="75000"/>
                      <a:satMod val="190000"/>
                    </a:schemeClr>
                  </a:gs>
                </a:gsLst>
                <a:lin ang="5400000"/>
              </a:gradFill>
              <a:prstDash val="solid"/>
            </a:ln>
            <a:solidFill>
              <a:srgbClr val="FFFFFF"/>
            </a:solidFill>
            <a:effectLst>
              <a:outerShdw blurRad="41275" dist="12700" dir="120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7435</xdr:rowOff>
    </xdr:from>
    <xdr:ext cx="184730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1001375" y="197935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31550" cmpd="sng">
              <a:gradFill>
                <a:gsLst>
                  <a:gs pos="25000">
                    <a:schemeClr val="accent1">
                      <a:shade val="25000"/>
                      <a:satMod val="190000"/>
                    </a:schemeClr>
                  </a:gs>
                  <a:gs pos="80000">
                    <a:schemeClr val="accent1">
                      <a:tint val="75000"/>
                      <a:satMod val="190000"/>
                    </a:schemeClr>
                  </a:gs>
                </a:gsLst>
                <a:lin ang="5400000"/>
              </a:gradFill>
              <a:prstDash val="solid"/>
            </a:ln>
            <a:solidFill>
              <a:srgbClr val="FFFFFF"/>
            </a:solidFill>
            <a:effectLst>
              <a:outerShdw blurRad="41275" dist="12700" dir="120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K%20Masjid%20AL%20Jabbar%20Upgrad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ivendra/Downloads/RK%20Masjid%20AL%20Jabbar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ku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kun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vendra" refreshedDate="45691.568344675929" createdVersion="4" refreshedVersion="4" minRefreshableVersion="3" recordCount="28" xr:uid="{00000000-000A-0000-FFFF-FFFF00000000}">
  <cacheSource type="worksheet">
    <worksheetSource ref="G7:L35" sheet="Mutasi Group"/>
  </cacheSource>
  <cacheFields count="6">
    <cacheField name="Tgl Transaksi" numFmtId="15">
      <sharedItems containsSemiMixedTypes="0" containsNonDate="0" containsDate="1" containsString="0" minDate="2025-01-03T00:00:00" maxDate="2025-01-31T00:00:00"/>
    </cacheField>
    <cacheField name="Debit" numFmtId="0">
      <sharedItems containsString="0" containsBlank="1" containsNumber="1" containsInteger="1" minValue="72000" maxValue="2000000"/>
    </cacheField>
    <cacheField name="Laporan" numFmtId="0">
      <sharedItems containsBlank="1"/>
    </cacheField>
    <cacheField name="Kredit" numFmtId="0">
      <sharedItems containsString="0" containsBlank="1" containsNumber="1" containsInteger="1" minValue="33000" maxValue="2967000"/>
    </cacheField>
    <cacheField name="Keterangan" numFmtId="0">
      <sharedItems containsBlank="1"/>
    </cacheField>
    <cacheField name="Akun" numFmtId="0">
      <sharedItems count="7">
        <s v="Saldo Awal Akun Yatim &amp; Sosial"/>
        <s v="Saldo Awal Operasional (Infaq &amp; Sodaqoh)"/>
        <s v="Biaya Akomodasi Masjid"/>
        <s v="Biaya Administrasi Masjid"/>
        <s v="Operasional (Infaq &amp; Sodaqoh)"/>
        <s v="Akun Yatim &amp; Sosial"/>
        <s v="Biaya Jumat Berkah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vendra" refreshedDate="45692.453016203704" createdVersion="4" refreshedVersion="4" minRefreshableVersion="3" recordCount="119" xr:uid="{00000000-000A-0000-FFFF-FFFF01000000}">
  <cacheSource type="worksheet">
    <worksheetSource ref="A7:F126" sheet="Mutasi Group"/>
  </cacheSource>
  <cacheFields count="6">
    <cacheField name="Tgl Transaksi" numFmtId="15">
      <sharedItems containsSemiMixedTypes="0" containsNonDate="0" containsDate="1" containsString="0" minDate="2024-12-24T00:00:00" maxDate="2025-02-01T00:00:00"/>
    </cacheField>
    <cacheField name="Debit" numFmtId="0">
      <sharedItems containsString="0" containsBlank="1" containsNumber="1" containsInteger="1" minValue="2500" maxValue="4950000"/>
    </cacheField>
    <cacheField name="Kredit" numFmtId="164">
      <sharedItems containsString="0" containsBlank="1" containsNumber="1" containsInteger="1" minValue="1000" maxValue="44196050"/>
    </cacheField>
    <cacheField name="Laporan" numFmtId="0">
      <sharedItems containsBlank="1"/>
    </cacheField>
    <cacheField name="Keterangan" numFmtId="0">
      <sharedItems/>
    </cacheField>
    <cacheField name="Akun" numFmtId="0">
      <sharedItems containsBlank="1" count="14">
        <s v="Saldo Awal Baitul Mal"/>
        <s v="Biaya Administrasi Masjid"/>
        <s v="Operasional (Infaq &amp; Sodaqoh)"/>
        <s v="Saldo Awal Pembangunan"/>
        <s v="Saldo Awal Akun Yatim &amp; Sosial"/>
        <s v="Jumat Berkah"/>
        <s v="Biaya Akomodasi Masjid"/>
        <s v="Biaya Jumat Berkah"/>
        <s v="Infaq TPQ"/>
        <s v="Akun Yatim &amp; Sosial"/>
        <m/>
        <s v="Biaya Akun Yatim &amp; Sosial"/>
        <s v="Biaya Baitul Mal"/>
        <s v="Baitul M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LN" refreshedDate="45745.547864004628" createdVersion="8" refreshedVersion="8" minRefreshableVersion="3" recordCount="871" xr:uid="{00000000-000A-0000-FFFF-FFFF02000000}">
  <cacheSource type="worksheet">
    <worksheetSource ref="A7:I878" sheet="Mutasi RK Aljabar"/>
  </cacheSource>
  <cacheFields count="9">
    <cacheField name="Tgl Transaksi" numFmtId="0">
      <sharedItems containsNonDate="0" containsDate="1" containsString="0" containsBlank="1" minDate="2024-12-24T00:00:00" maxDate="2025-03-30T00:00:00"/>
    </cacheField>
    <cacheField name="Debit" numFmtId="0">
      <sharedItems containsString="0" containsBlank="1" containsNumber="1" containsInteger="1" minValue="2500" maxValue="58150000"/>
    </cacheField>
    <cacheField name="Rincian" numFmtId="0">
      <sharedItems containsString="0" containsBlank="1" containsNumber="1" containsInteger="1" minValue="-1000000" maxValue="78179873"/>
    </cacheField>
    <cacheField name="Kredit" numFmtId="0">
      <sharedItems containsString="0" containsBlank="1" containsNumber="1" containsInteger="1" minValue="216" maxValue="44196050"/>
    </cacheField>
    <cacheField name="Laporan" numFmtId="0">
      <sharedItems containsBlank="1" count="8">
        <s v="Januari"/>
        <m/>
        <s v="Februari"/>
        <s v="Maret 1"/>
        <s v="Maret 2"/>
        <s v="Maret 3"/>
        <s v="Maret 4"/>
        <s v="Maret 5"/>
      </sharedItems>
    </cacheField>
    <cacheField name="Saldo" numFmtId="0">
      <sharedItems containsString="0" containsBlank="1" containsNumber="1" containsInteger="1" minValue="340000" maxValue="172150889"/>
    </cacheField>
    <cacheField name="Keterangan" numFmtId="0">
      <sharedItems containsBlank="1"/>
    </cacheField>
    <cacheField name="Akun" numFmtId="0">
      <sharedItems containsBlank="1" count="21">
        <s v="Saldo Awal Baitul Mal"/>
        <s v="Biaya Administrasi"/>
        <s v="Operasional (Infaq &amp; Sodaqoh)"/>
        <s v="Saldo Awal Pembangunan"/>
        <m/>
        <s v="Saldo Awal Akun Yatim &amp; Sosial"/>
        <s v="Jumat Berkah"/>
        <s v="Biaya Listrik &amp; Air"/>
        <s v="Biaya Kebersihan &amp; Perawatan"/>
        <s v="Biaya Jumat Berkah"/>
        <s v="Infaq TPQ"/>
        <s v="Biaya Dakwah dan Kajian"/>
        <s v="Akun Yatim &amp; Sosial"/>
        <s v="Gaji Marbot &amp; Imam Masjid"/>
        <s v="Biaya Akun Yatim &amp; Sosial"/>
        <s v="Biaya Baitul Mal"/>
        <s v="Baitul Mal"/>
        <s v="Biaya Konsumsi"/>
        <s v="Biaya Collector Infaq"/>
        <s v="Saldo Awal Operasional (Infaq &amp; Sodaqoh)"/>
        <s v="Biaya Operasional Lainnya"/>
      </sharedItems>
    </cacheField>
    <cacheField name="Sumb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LN" refreshedDate="45778.691513773148" createdVersion="8" refreshedVersion="8" minRefreshableVersion="3" recordCount="865" xr:uid="{00000000-000A-0000-FFFF-FFFF03000000}">
  <cacheSource type="worksheet">
    <worksheetSource ref="A7:I872" sheet="Mutasi RK Aljabar Maret"/>
  </cacheSource>
  <cacheFields count="9">
    <cacheField name="Tgl Transaksi" numFmtId="15">
      <sharedItems containsNonDate="0" containsDate="1" containsString="0" containsBlank="1" minDate="2024-12-24T00:00:00" maxDate="2025-05-02T00:00:00"/>
    </cacheField>
    <cacheField name="Debit" numFmtId="0">
      <sharedItems containsString="0" containsBlank="1" containsNumber="1" containsInteger="1" minValue="2500" maxValue="58150000"/>
    </cacheField>
    <cacheField name="Rincian" numFmtId="0">
      <sharedItems containsString="0" containsBlank="1" containsNumber="1" containsInteger="1" minValue="-1000000" maxValue="78179873"/>
    </cacheField>
    <cacheField name="Kredit" numFmtId="164">
      <sharedItems containsString="0" containsBlank="1" containsNumber="1" containsInteger="1" minValue="216" maxValue="64192000"/>
    </cacheField>
    <cacheField name="Laporan" numFmtId="0">
      <sharedItems containsBlank="1" count="9">
        <s v="Januari"/>
        <m/>
        <s v="Februari"/>
        <s v="Maret"/>
        <s v="April A"/>
        <s v="April B"/>
        <s v="April C"/>
        <s v="April D"/>
        <s v="APRIL E"/>
      </sharedItems>
    </cacheField>
    <cacheField name="Saldo" numFmtId="164">
      <sharedItems containsSemiMixedTypes="0" containsString="0" containsNumber="1" containsInteger="1" minValue="4800000" maxValue="230084721"/>
    </cacheField>
    <cacheField name="Keterangan" numFmtId="0">
      <sharedItems containsBlank="1"/>
    </cacheField>
    <cacheField name="Akun" numFmtId="0">
      <sharedItems containsBlank="1" count="21">
        <s v="Saldo Awal Baitul Mal"/>
        <s v="Biaya Administrasi"/>
        <s v="Operasional (Infaq &amp; Sodaqoh)"/>
        <s v="Saldo Awal Pembangunan"/>
        <m/>
        <s v="Saldo Awal Akun Yatim &amp; Sosial"/>
        <s v="Jumat Berkah"/>
        <s v="Biaya Listrik &amp; Air"/>
        <s v="Biaya Kebersihan &amp; Perawatan"/>
        <s v="Biaya Jumat Berkah"/>
        <s v="Infaq TPQ"/>
        <s v="Biaya Dakwah dan Kajian"/>
        <s v="Akun Yatim &amp; Sosial"/>
        <s v="Gaji Marbot &amp; Imam Masjid"/>
        <s v="Biaya Baitul Mal"/>
        <s v="Biaya Akun Yatim &amp; Sosial"/>
        <s v="Baitul Mal"/>
        <s v="Biaya Konsumsi"/>
        <s v="Biaya Collector Infaq"/>
        <s v="Biaya TPQ"/>
        <s v="Profit Aljabar Store"/>
      </sharedItems>
    </cacheField>
    <cacheField name="Sumb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vendra" refreshedDate="45785.437175115738" createdVersion="4" refreshedVersion="4" minRefreshableVersion="3" recordCount="912" xr:uid="{00000000-000A-0000-FFFF-FFFF04000000}">
  <cacheSource type="worksheet">
    <worksheetSource ref="B7:H919" sheet="Mutasi RK Aljabar April"/>
  </cacheSource>
  <cacheFields count="7">
    <cacheField name="Debit" numFmtId="0">
      <sharedItems containsString="0" containsBlank="1" containsNumber="1" containsInteger="1" minValue="2500" maxValue="58150000"/>
    </cacheField>
    <cacheField name="Rincian" numFmtId="0">
      <sharedItems containsString="0" containsBlank="1" containsNumber="1" containsInteger="1" minValue="-1000000" maxValue="78179873"/>
    </cacheField>
    <cacheField name="Kredit" numFmtId="164">
      <sharedItems containsString="0" containsBlank="1" containsNumber="1" containsInteger="1" minValue="2" maxValue="44196050"/>
    </cacheField>
    <cacheField name="Laporan" numFmtId="0">
      <sharedItems containsBlank="1" count="6">
        <s v="Januari"/>
        <m/>
        <s v="Februari"/>
        <s v="Maret"/>
        <s v="April"/>
        <s v="Mei"/>
      </sharedItems>
    </cacheField>
    <cacheField name="Saldo" numFmtId="164">
      <sharedItems containsSemiMixedTypes="0" containsString="0" containsNumber="1" containsInteger="1" minValue="4800000" maxValue="233083023"/>
    </cacheField>
    <cacheField name="Keterangan" numFmtId="0">
      <sharedItems containsBlank="1"/>
    </cacheField>
    <cacheField name="Akun" numFmtId="0">
      <sharedItems containsBlank="1" count="22">
        <s v="Saldo Awal Baitul Mal"/>
        <s v="Biaya Administrasi"/>
        <s v="Operasional (Infaq &amp; Sodaqoh)"/>
        <s v="Saldo Awal Pembangunan"/>
        <m/>
        <s v="Saldo Awal Akun Yatim &amp; Sosial"/>
        <s v="Jumat Berkah"/>
        <s v="Biaya Listrik &amp; Air"/>
        <s v="Biaya Kebersihan &amp; Perawatan"/>
        <s v="Biaya Jumat Berkah"/>
        <s v="Infaq TPQ"/>
        <s v="Biaya Dakwah dan Kajian"/>
        <s v="Akun Yatim &amp; Sosial"/>
        <s v="Gaji Marbot &amp; Imam Masjid"/>
        <s v="Biaya Baitul Mal"/>
        <s v="Biaya Akun Yatim &amp; Sosial"/>
        <s v="Baitul Mal"/>
        <s v="Biaya Konsumsi"/>
        <s v="Biaya Collector Infaq"/>
        <s v="Biaya TPQ"/>
        <s v="Profit Aljabar Store"/>
        <s v="Setoran Qurb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vendra" refreshedDate="45932.687472800928" createdVersion="4" refreshedVersion="4" minRefreshableVersion="3" recordCount="1883" xr:uid="{00000000-000A-0000-FFFF-FFFF05000000}">
  <cacheSource type="worksheet">
    <worksheetSource ref="B7:H1886" sheet="Mutasi RK Aljabar Desember"/>
  </cacheSource>
  <cacheFields count="7">
    <cacheField name="Debit" numFmtId="0">
      <sharedItems containsString="0" containsBlank="1" containsNumber="1" containsInteger="1" minValue="2500" maxValue="104750000"/>
    </cacheField>
    <cacheField name="Rincian" numFmtId="0">
      <sharedItems containsString="0" containsBlank="1" containsNumber="1" containsInteger="1" minValue="-1000000" maxValue="78179873"/>
    </cacheField>
    <cacheField name="Kredit" numFmtId="0">
      <sharedItems containsString="0" containsBlank="1" containsNumber="1" containsInteger="1" minValue="-33000" maxValue="44196050"/>
    </cacheField>
    <cacheField name="Laporan" numFmtId="0">
      <sharedItems containsDate="1" containsBlank="1" containsMixedTypes="1" minDate="2001-09-01T00:00:00" maxDate="2005-09-02T00:00:00" count="22">
        <s v="Januari"/>
        <m/>
        <s v="Februari"/>
        <s v="Maret"/>
        <s v="April"/>
        <s v="Mei"/>
        <s v="Juni"/>
        <s v="Juni5"/>
        <s v="Juli"/>
        <s v="Juli2"/>
        <s v="Juli3"/>
        <s v="Juli4"/>
        <s v="Juli5"/>
        <s v="Agust1"/>
        <s v="Agust2"/>
        <s v="Agust3"/>
        <s v="Aguts4"/>
        <d v="2001-09-01T00:00:00"/>
        <d v="2002-09-01T00:00:00"/>
        <d v="2003-09-01T00:00:00"/>
        <d v="2004-09-01T00:00:00"/>
        <d v="2005-09-01T00:00:00"/>
      </sharedItems>
    </cacheField>
    <cacheField name="Saldo" numFmtId="164">
      <sharedItems containsSemiMixedTypes="0" containsString="0" containsNumber="1" containsInteger="1" minValue="4800000" maxValue="617914123"/>
    </cacheField>
    <cacheField name="Keterangan" numFmtId="0">
      <sharedItems containsBlank="1"/>
    </cacheField>
    <cacheField name="Akun" numFmtId="0">
      <sharedItems containsBlank="1" count="25">
        <s v="Saldo Awal Baitul Mal"/>
        <s v="Biaya Administrasi"/>
        <s v="Operasional (Infaq &amp; Sodaqoh)"/>
        <s v="Saldo Awal Pembangunan"/>
        <m/>
        <s v="Saldo Awal Akun Yatim &amp; Sosial"/>
        <s v="Jumat Berkah"/>
        <s v="Biaya Listrik &amp; Air"/>
        <s v="Biaya Kebersihan &amp; Perawatan"/>
        <s v="Biaya Jumat Berkah"/>
        <s v="Infaq TPQ"/>
        <s v="Biaya Dakwah dan Kajian"/>
        <s v="Akun Yatim &amp; Sosial"/>
        <s v="Gaji Marbot &amp; Imam Masjid"/>
        <s v="Biaya Baitul Mal"/>
        <s v="Biaya Akun Yatim &amp; Sosial"/>
        <s v="Baitul Mal"/>
        <s v="Biaya Konsumsi"/>
        <s v="Biaya Collector Infaq"/>
        <s v="Biaya TPQ"/>
        <s v="Profit Aljabar Store"/>
        <s v="Setoran Qurban"/>
        <s v="Setor Qurban"/>
        <s v="Biaya Qurban"/>
        <s v="Biaya Alat dan Perlengkapan Masj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LN" refreshedDate="46023.597922569446" createdVersion="8" refreshedVersion="8" minRefreshableVersion="3" recordCount="2534" xr:uid="{00000000-000A-0000-FFFF-FFFF06000000}">
  <cacheSource type="worksheet">
    <worksheetSource ref="B7:H2541" sheet="Mutasi RK Aljabar Desember"/>
  </cacheSource>
  <cacheFields count="7">
    <cacheField name="Debit" numFmtId="0">
      <sharedItems containsString="0" containsBlank="1" containsNumber="1" containsInteger="1" minValue="2500" maxValue="104750000"/>
    </cacheField>
    <cacheField name="Rincian" numFmtId="0">
      <sharedItems containsString="0" containsBlank="1" containsNumber="1" containsInteger="1" minValue="-1000000" maxValue="78179873"/>
    </cacheField>
    <cacheField name="Kredit" numFmtId="0">
      <sharedItems containsString="0" containsBlank="1" containsNumber="1" containsInteger="1" minValue="-33000" maxValue="44196050"/>
    </cacheField>
    <cacheField name="Laporan" numFmtId="0">
      <sharedItems containsBlank="1" count="13">
        <s v="Januari"/>
        <m/>
        <s v="Februari"/>
        <s v="Maret"/>
        <s v="April"/>
        <s v="Mei"/>
        <s v="Juni"/>
        <s v="Juli"/>
        <s v="Agust"/>
        <s v="Sept"/>
        <s v="Okt"/>
        <s v="Nov"/>
        <s v="Des"/>
      </sharedItems>
    </cacheField>
    <cacheField name="Saldo" numFmtId="164">
      <sharedItems containsSemiMixedTypes="0" containsString="0" containsNumber="1" containsInteger="1" minValue="4800000" maxValue="617914123"/>
    </cacheField>
    <cacheField name="Keterangan" numFmtId="0">
      <sharedItems containsBlank="1"/>
    </cacheField>
    <cacheField name="Akun" numFmtId="0">
      <sharedItems containsBlank="1" count="26">
        <s v="Saldo Awal Baitul Mal"/>
        <s v="Biaya Administrasi"/>
        <s v="Operasional (Infaq &amp; Sodaqoh)"/>
        <s v="Saldo Awal Pembangunan"/>
        <m/>
        <s v="Saldo Awal Akun Yatim &amp; Sosial"/>
        <s v="Jumat Berkah"/>
        <s v="Biaya Listrik &amp; Air"/>
        <s v="Biaya Kebersihan &amp; Perawatan"/>
        <s v="Biaya Jumat Berkah"/>
        <s v="Infaq TPQ"/>
        <s v="Biaya Dakwah dan Kajian"/>
        <s v="Akun Yatim &amp; Sosial"/>
        <s v="Gaji Marbot &amp; Imam Masjid"/>
        <s v="Biaya Baitul Mal"/>
        <s v="Biaya Akun Yatim &amp; Sosial"/>
        <s v="Baitul Mal"/>
        <s v="Biaya Konsumsi"/>
        <s v="Biaya Collector Infaq"/>
        <s v="Biaya TPQ"/>
        <s v="Profit Aljabar Store"/>
        <s v="Setoran Qurban"/>
        <s v="Setor Qurban"/>
        <s v="Biaya Qurban"/>
        <s v="Biaya Alat dan Perlengkapan Masjid"/>
        <s v="Biaya Operasional Lainny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vendra" refreshedDate="46055.442863888886" createdVersion="4" refreshedVersion="4" minRefreshableVersion="3" recordCount="238" xr:uid="{00000000-000A-0000-FFFF-FFFF07000000}">
  <cacheSource type="worksheet">
    <worksheetSource ref="A7:H251" sheet="Mutasi RK Aljabar 2 April"/>
  </cacheSource>
  <cacheFields count="8">
    <cacheField name="Tgl Transaksi" numFmtId="15">
      <sharedItems containsNonDate="0" containsDate="1" containsString="0" containsBlank="1" minDate="2026-01-02T00:00:00" maxDate="2026-01-30T00:00:00"/>
    </cacheField>
    <cacheField name="Debit" numFmtId="164">
      <sharedItems containsString="0" containsBlank="1" containsNumber="1" containsInteger="1" minValue="2500" maxValue="16960000"/>
    </cacheField>
    <cacheField name="Rincian" numFmtId="164">
      <sharedItems containsString="0" containsBlank="1" containsNumber="1" containsInteger="1" minValue="2348000" maxValue="8216000"/>
    </cacheField>
    <cacheField name="Kredit" numFmtId="164">
      <sharedItems containsString="0" containsBlank="1" containsNumber="1" containsInteger="1" minValue="1011" maxValue="12600005"/>
    </cacheField>
    <cacheField name="Laporan" numFmtId="17">
      <sharedItems containsBlank="1" count="6">
        <s v="Januari"/>
        <m/>
        <s v="Jan2" u="1"/>
        <s v="Jan1" u="1"/>
        <s v="Jan4" u="1"/>
        <s v="Jan3" u="1"/>
      </sharedItems>
    </cacheField>
    <cacheField name="Saldo" numFmtId="164">
      <sharedItems containsSemiMixedTypes="0" containsString="0" containsNumber="1" containsInteger="1" minValue="185787323" maxValue="403084705"/>
    </cacheField>
    <cacheField name="Keterangan" numFmtId="0">
      <sharedItems containsBlank="1"/>
    </cacheField>
    <cacheField name="Akun" numFmtId="0">
      <sharedItems containsBlank="1" count="12">
        <s v="Operasional (Infaq &amp; Sodaqoh)"/>
        <s v="Biaya Administrasi"/>
        <s v="Biaya Dakwah dan Kajian"/>
        <s v="Biaya Baitul Mal"/>
        <s v="Akun Yatim &amp; Sosial"/>
        <m/>
        <s v="Wakaf Karpet"/>
        <s v="Biaya Pembangunan"/>
        <s v="Biaya Akun Yatim &amp; Sosial"/>
        <s v="Infaq TPQ"/>
        <s v="Gaji Marbot &amp; Imam Masjid"/>
        <s v="Biaya Kebersihan &amp; Perawat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LN" refreshedDate="46115.288762152777" createdVersion="8" refreshedVersion="8" minRefreshableVersion="3" recordCount="1315" xr:uid="{259ED81B-EB5E-4921-809E-D5C9FE6E79DA}">
  <cacheSource type="worksheet">
    <worksheetSource ref="A7:H1322" sheet="Mutasi RK Aljabar 2 April"/>
  </cacheSource>
  <cacheFields count="8">
    <cacheField name="Tgl Transaksi" numFmtId="15">
      <sharedItems containsNonDate="0" containsDate="1" containsString="0" containsBlank="1" minDate="2026-01-02T00:00:00" maxDate="2026-04-03T00:00:00"/>
    </cacheField>
    <cacheField name="Debit" numFmtId="164">
      <sharedItems containsString="0" containsBlank="1" containsNumber="1" containsInteger="1" minValue="2500" maxValue="180780000"/>
    </cacheField>
    <cacheField name="Rincian" numFmtId="164">
      <sharedItems containsString="0" containsBlank="1" containsNumber="1" containsInteger="1" minValue="1627000" maxValue="32330000"/>
    </cacheField>
    <cacheField name="Kredit" numFmtId="164">
      <sharedItems containsString="0" containsBlank="1" containsNumber="1" containsInteger="1" minValue="1000" maxValue="25000000"/>
    </cacheField>
    <cacheField name="Laporan" numFmtId="17">
      <sharedItems containsBlank="1" count="9">
        <s v="Januari"/>
        <m/>
        <s v="Februari"/>
        <s v="Mar1"/>
        <s v="Mar2"/>
        <s v="Mar3"/>
        <s v="Mar4"/>
        <s v="Mar5"/>
        <s v="Apr1"/>
      </sharedItems>
    </cacheField>
    <cacheField name="Saldo" numFmtId="164">
      <sharedItems containsSemiMixedTypes="0" containsString="0" containsNumber="1" containsInteger="1" minValue="132262897" maxValue="403084705"/>
    </cacheField>
    <cacheField name="Keterangan" numFmtId="0">
      <sharedItems containsBlank="1"/>
    </cacheField>
    <cacheField name="Akun" numFmtId="0">
      <sharedItems containsBlank="1" count="23">
        <s v="Operasional (Infaq &amp; Sodaqoh)"/>
        <s v="Biaya Administrasi"/>
        <s v="Biaya Dakwah dan Kajian"/>
        <s v="Biaya Baitul Mal"/>
        <s v="Akun Yatim &amp; Sosial"/>
        <m/>
        <s v="Wakaf Karpet"/>
        <s v="Biaya Pembangunan"/>
        <s v="Biaya Alat dan Perlengkapan Masjid"/>
        <s v="Biaya Akun Yatim &amp; Sosial"/>
        <s v="Infaq TPQ"/>
        <s v="Biaya Karpet Baru"/>
        <s v="Gaji Marbot &amp; Imam Masjid"/>
        <s v="Biaya Kebersihan &amp; Perawatan"/>
        <s v="Biaya TPQ"/>
        <s v="Biaya Listrik &amp; Air"/>
        <s v="Infaq Taraweh"/>
        <s v="Biaya Tabligh Akbar "/>
        <s v="Biaya Taraweh"/>
        <s v="Baitul Mal"/>
        <s v="Biaya Konsumsi"/>
        <s v="Pembangunan"/>
        <s v="Infaq Idul Fitr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LN" refreshedDate="46115.297235648148" createdVersion="8" refreshedVersion="8" minRefreshableVersion="3" recordCount="96" xr:uid="{2EC4890F-7922-4C05-9D1F-C3F485DF9F1A}">
  <cacheSource type="worksheet">
    <worksheetSource ref="A1324:I1420" sheet="Mutasi RK Aljabar 2 April"/>
  </cacheSource>
  <cacheFields count="9">
    <cacheField name="Tgl Transaksi" numFmtId="15">
      <sharedItems containsSemiMixedTypes="0" containsNonDate="0" containsDate="1" containsString="0" minDate="2026-01-02T00:00:00" maxDate="2026-04-04T00:00:00"/>
    </cacheField>
    <cacheField name="Debit" numFmtId="164">
      <sharedItems containsString="0" containsBlank="1" containsNumber="1" containsInteger="1" minValue="1000" maxValue="1500000"/>
    </cacheField>
    <cacheField name="Rincian" numFmtId="0">
      <sharedItems containsNonDate="0" containsString="0" containsBlank="1"/>
    </cacheField>
    <cacheField name="Kredit" numFmtId="164">
      <sharedItems containsString="0" containsBlank="1" containsNumber="1" containsInteger="1" minValue="2000000" maxValue="3000000"/>
    </cacheField>
    <cacheField name="Laporan" numFmtId="17">
      <sharedItems count="8">
        <s v="Januari"/>
        <s v="Februari"/>
        <s v="Mar1"/>
        <s v="Mar2"/>
        <s v="Mar3"/>
        <s v="Mar4"/>
        <s v="Mar5"/>
        <s v="Apr1"/>
      </sharedItems>
    </cacheField>
    <cacheField name="Saldo" numFmtId="164">
      <sharedItems containsSemiMixedTypes="0" containsString="0" containsNumber="1" containsInteger="1" minValue="1026000" maxValue="5797000"/>
    </cacheField>
    <cacheField name="Keterangan" numFmtId="0">
      <sharedItems/>
    </cacheField>
    <cacheField name="Akun" numFmtId="0">
      <sharedItems count="11">
        <s v="Operasional (Infaq &amp; Sodaqoh)"/>
        <s v="Biaya Dakwah dan Kajian"/>
        <s v="Biaya Konsumsi"/>
        <s v="Biaya Kebersihan &amp; Perawatan"/>
        <s v="Biaya Listrik &amp; Air"/>
        <s v="Biaya Administrasi"/>
        <s v="Biaya Akun Yatim &amp; Sosial"/>
        <s v="Biaya Alat dan Perlengkapan Masjid"/>
        <s v="Biaya Tabligh Akbar "/>
        <s v="Biaya Baitul Mal"/>
        <s v="Biaya Idul Fitri"/>
      </sharedItems>
    </cacheField>
    <cacheField name="Sumb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01-03T00:00:00"/>
    <m/>
    <m/>
    <n v="2836352"/>
    <s v="Akun Yatim &amp; Sosial"/>
    <x v="0"/>
  </r>
  <r>
    <d v="2025-01-03T00:00:00"/>
    <m/>
    <m/>
    <n v="2163648"/>
    <s v="Operasional (Infaq &amp; Sodaqoh)"/>
    <x v="1"/>
  </r>
  <r>
    <d v="2025-01-03T00:00:00"/>
    <n v="675000"/>
    <m/>
    <m/>
    <s v="Servis Laptop"/>
    <x v="2"/>
  </r>
  <r>
    <d v="2025-01-03T00:00:00"/>
    <n v="130000"/>
    <m/>
    <m/>
    <s v="Pembelian minyak wangi"/>
    <x v="2"/>
  </r>
  <r>
    <d v="2025-01-03T00:00:00"/>
    <n v="180000"/>
    <m/>
    <m/>
    <s v="Pembelian teh,kopi,gula,tisu"/>
    <x v="2"/>
  </r>
  <r>
    <d v="2025-01-03T00:00:00"/>
    <n v="170000"/>
    <m/>
    <m/>
    <s v="Pembelian pembersih keramik"/>
    <x v="2"/>
  </r>
  <r>
    <d v="2025-01-07T00:00:00"/>
    <n v="500000"/>
    <m/>
    <m/>
    <s v="Biaya untuk Nebang pohon"/>
    <x v="2"/>
  </r>
  <r>
    <d v="2025-01-12T00:00:00"/>
    <n v="750000"/>
    <s v="Lap2"/>
    <m/>
    <s v="untuk ustadz kajian ahad subuh"/>
    <x v="3"/>
  </r>
  <r>
    <d v="2025-01-12T00:00:00"/>
    <n v="130000"/>
    <s v="Lap2"/>
    <m/>
    <s v="Pembelian minyak wangi"/>
    <x v="2"/>
  </r>
  <r>
    <d v="2025-01-12T00:00:00"/>
    <n v="104000"/>
    <s v="Lap2"/>
    <m/>
    <s v="Pembelian teh,kopi,tisu,gula"/>
    <x v="2"/>
  </r>
  <r>
    <d v="2025-01-12T00:00:00"/>
    <n v="200000"/>
    <s v="Lap2"/>
    <m/>
    <s v="pembelian alat kebersihan"/>
    <x v="2"/>
  </r>
  <r>
    <d v="2025-01-12T00:00:00"/>
    <n v="500000"/>
    <s v="Lap2"/>
    <m/>
    <s v="untuk khotib jumat"/>
    <x v="3"/>
  </r>
  <r>
    <d v="2025-01-12T00:00:00"/>
    <m/>
    <m/>
    <n v="2000000"/>
    <s v="Isi Petty Cash"/>
    <x v="4"/>
  </r>
  <r>
    <d v="2025-01-12T00:00:00"/>
    <n v="2000000"/>
    <s v="Lap3"/>
    <m/>
    <s v="untuk biaya bikin tenda"/>
    <x v="2"/>
  </r>
  <r>
    <d v="2025-01-12T00:00:00"/>
    <n v="500000"/>
    <s v="Lap3"/>
    <m/>
    <s v="untuk khotib jumat"/>
    <x v="3"/>
  </r>
  <r>
    <d v="2025-01-13T00:00:00"/>
    <n v="140000"/>
    <s v="Lap3"/>
    <m/>
    <s v="Biaya fotokopi surat edaran"/>
    <x v="2"/>
  </r>
  <r>
    <d v="2025-01-13T00:00:00"/>
    <n v="197000"/>
    <s v="Lap3"/>
    <m/>
    <s v="Pembelian pewangi ruangan"/>
    <x v="2"/>
  </r>
  <r>
    <d v="2025-01-13T00:00:00"/>
    <n v="72000"/>
    <s v="Lap3"/>
    <m/>
    <s v="Untuk kopi teh dan tisu kajian ahad subuh"/>
    <x v="2"/>
  </r>
  <r>
    <d v="2025-01-17T00:00:00"/>
    <m/>
    <m/>
    <n v="33000"/>
    <m/>
    <x v="5"/>
  </r>
  <r>
    <d v="2025-01-17T00:00:00"/>
    <m/>
    <m/>
    <n v="2967000"/>
    <m/>
    <x v="4"/>
  </r>
  <r>
    <d v="2025-01-25T00:00:00"/>
    <n v="100000"/>
    <s v="Lap4"/>
    <m/>
    <s v="pembelian alat kebersihan"/>
    <x v="2"/>
  </r>
  <r>
    <d v="2025-01-25T00:00:00"/>
    <n v="130000"/>
    <s v="Lap4"/>
    <m/>
    <s v="Pembelian minyak wangi"/>
    <x v="2"/>
  </r>
  <r>
    <d v="2025-01-26T00:00:00"/>
    <n v="90000"/>
    <s v="Lap4"/>
    <m/>
    <s v="Untuk kopi teh kajian ahad subuh"/>
    <x v="2"/>
  </r>
  <r>
    <d v="2025-01-30T00:00:00"/>
    <n v="500000"/>
    <s v="Lap4"/>
    <m/>
    <s v="Khatib Jumat"/>
    <x v="3"/>
  </r>
  <r>
    <d v="2025-01-30T00:00:00"/>
    <n v="400000"/>
    <s v="Lap4"/>
    <m/>
    <s v="Bantuan guru ngaji NTB"/>
    <x v="3"/>
  </r>
  <r>
    <d v="2025-01-30T00:00:00"/>
    <n v="500000"/>
    <s v="Lap4"/>
    <m/>
    <s v="Pembelian 4 sepul TOA Speaker"/>
    <x v="2"/>
  </r>
  <r>
    <d v="2025-01-30T00:00:00"/>
    <n v="500000"/>
    <s v="Lap4"/>
    <m/>
    <s v="Pembelian Trapo Toa dan ongkos pasang"/>
    <x v="2"/>
  </r>
  <r>
    <d v="2025-01-30T00:00:00"/>
    <m/>
    <s v="Lap4"/>
    <n v="2000000"/>
    <s v="Isi Petty Cash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d v="2024-12-24T00:00:00"/>
    <m/>
    <n v="5000000"/>
    <m/>
    <s v="Baitul Mal"/>
    <x v="0"/>
  </r>
  <r>
    <d v="2025-01-02T00:00:00"/>
    <n v="200000"/>
    <m/>
    <m/>
    <s v="ADM FEE HARD TOKEN CMS "/>
    <x v="1"/>
  </r>
  <r>
    <d v="2025-01-03T00:00:00"/>
    <m/>
    <n v="500000"/>
    <s v="Lap1"/>
    <s v="INFAQ DARI INDRA EDI SANTOSO"/>
    <x v="2"/>
  </r>
  <r>
    <d v="2025-01-03T00:00:00"/>
    <m/>
    <n v="1800000"/>
    <s v="Lap1"/>
    <s v="INFAQ DARI DASA SUKARSIWI, SE / DR. FANANI"/>
    <x v="2"/>
  </r>
  <r>
    <d v="2025-01-03T00:00:00"/>
    <m/>
    <n v="2000000"/>
    <s v="Lap1"/>
    <s v="INFAQ DARI RIZKY HIDAYAT SL"/>
    <x v="2"/>
  </r>
  <r>
    <d v="2025-01-06T00:00:00"/>
    <m/>
    <n v="400000"/>
    <s v="Lap1"/>
    <s v="INFAQ DARI PUTIE AMBUN SURI / RIVENDRA"/>
    <x v="2"/>
  </r>
  <r>
    <d v="2025-01-06T00:00:00"/>
    <m/>
    <n v="44196050"/>
    <m/>
    <s v="Baitul Mal"/>
    <x v="0"/>
  </r>
  <r>
    <d v="2025-01-06T00:00:00"/>
    <m/>
    <n v="33983823"/>
    <m/>
    <s v="Pembangunan"/>
    <x v="3"/>
  </r>
  <r>
    <d v="2025-01-06T00:00:00"/>
    <m/>
    <n v="5594227"/>
    <m/>
    <s v="Pembangunan"/>
    <x v="3"/>
  </r>
  <r>
    <d v="2025-01-06T00:00:00"/>
    <m/>
    <n v="39840773"/>
    <m/>
    <s v="Akun Yatim &amp; Sosial"/>
    <x v="4"/>
  </r>
  <r>
    <d v="2025-01-07T00:00:00"/>
    <m/>
    <n v="1000000"/>
    <s v="Lap1"/>
    <s v="JUMAT BERKAH DARI LAELASARI / AMINUDIN"/>
    <x v="5"/>
  </r>
  <r>
    <d v="2025-01-07T00:00:00"/>
    <m/>
    <n v="300000"/>
    <s v="Lap1"/>
    <s v="JUMAT BERKAH DARI NITA ROSITA"/>
    <x v="5"/>
  </r>
  <r>
    <d v="2025-01-07T00:00:00"/>
    <m/>
    <n v="600000"/>
    <s v="Lap1"/>
    <s v="JUMAT BERKAH DARI AMRAN ANWAR"/>
    <x v="5"/>
  </r>
  <r>
    <d v="2025-01-07T00:00:00"/>
    <n v="1250000"/>
    <m/>
    <m/>
    <s v="OP - A IMRON ROSADI OPERASI-REIMBURSE VOUCHER LISTRIK &amp; PAJAK MOTOR MASJID  "/>
    <x v="6"/>
  </r>
  <r>
    <d v="2025-01-07T00:00:00"/>
    <n v="2500"/>
    <m/>
    <m/>
    <s v="OP - BIAYA TRANSFER A IMRON ROSADI OPERASI-REIMBURSE VOUCHER LISTRIK &amp; PAJAK MOTOR MASJID  "/>
    <x v="6"/>
  </r>
  <r>
    <d v="2025-01-07T00:00:00"/>
    <m/>
    <n v="600000"/>
    <s v="Lap1"/>
    <s v="JUMAT BERKAH DARI DARWIN ALI"/>
    <x v="5"/>
  </r>
  <r>
    <d v="2025-01-08T00:00:00"/>
    <m/>
    <n v="300000"/>
    <s v="Lap1"/>
    <s v="JUMAT BERKAH DARI AGUNG SANTOSO"/>
    <x v="5"/>
  </r>
  <r>
    <d v="2025-01-08T00:00:00"/>
    <m/>
    <n v="300000"/>
    <s v="Lap1"/>
    <s v="JUMAT BERKAH DARI DRS. SARWONO"/>
    <x v="5"/>
  </r>
  <r>
    <d v="2025-01-08T00:00:00"/>
    <m/>
    <n v="300000"/>
    <s v="Lap1"/>
    <s v="JUMAT BERKAH DARI SAFONI MAWARDI"/>
    <x v="5"/>
  </r>
  <r>
    <d v="2025-01-08T00:00:00"/>
    <m/>
    <n v="300000"/>
    <s v="Lap1"/>
    <s v="JUMAT BERKAH DARI ENICA AGUSTINA"/>
    <x v="5"/>
  </r>
  <r>
    <d v="2025-01-08T00:00:00"/>
    <n v="500000"/>
    <m/>
    <m/>
    <s v="OP - SUGENG PRIYONO OP-SERVIS AC REIMBURSE PAK SUGENG PRIYONO"/>
    <x v="6"/>
  </r>
  <r>
    <d v="2025-01-08T00:00:00"/>
    <n v="2000000"/>
    <m/>
    <m/>
    <s v="JUMAT BERKAH WATTIA NETI PEMBAYARAN DP REKENING JUMAT BAROKAH ALJABAR"/>
    <x v="7"/>
  </r>
  <r>
    <d v="2025-01-08T00:00:00"/>
    <n v="2500"/>
    <m/>
    <m/>
    <s v="JUMAT BERKAH WATTIA NETI BIAYA TRANSFER DP REKENING JUMAT BAROKAH ALJABAR"/>
    <x v="7"/>
  </r>
  <r>
    <d v="2025-01-08T00:00:00"/>
    <m/>
    <n v="504000"/>
    <s v="Lap1"/>
    <s v="JUMAT BERKAH DARI ACHMAD FANANI ,DR."/>
    <x v="5"/>
  </r>
  <r>
    <d v="2025-01-08T00:00:00"/>
    <m/>
    <n v="100000"/>
    <s v="Lap1"/>
    <s v="JUMAT BERKAH DARI SHINTA NUR DEWANTI"/>
    <x v="5"/>
  </r>
  <r>
    <d v="2025-01-09T00:00:00"/>
    <m/>
    <n v="400000"/>
    <s v="Lap1"/>
    <s v="OP-INFAQ TPQ"/>
    <x v="8"/>
  </r>
  <r>
    <d v="2025-01-09T00:00:00"/>
    <m/>
    <n v="300000"/>
    <s v="Lap1"/>
    <s v="JUMAT BERKAH DARI AGUNG PRAMONO"/>
    <x v="5"/>
  </r>
  <r>
    <d v="2025-01-09T00:00:00"/>
    <m/>
    <n v="300000"/>
    <s v="Lap1"/>
    <s v="JUMAT BERKAH DARI RIZKI HIDAYAT"/>
    <x v="5"/>
  </r>
  <r>
    <d v="2025-01-10T00:00:00"/>
    <m/>
    <n v="600000"/>
    <s v="Lap1"/>
    <s v="JUMAT BERKAH DARI YUANITA"/>
    <x v="5"/>
  </r>
  <r>
    <d v="2025-01-10T00:00:00"/>
    <m/>
    <n v="350000"/>
    <s v="Lap1"/>
    <s v="JUMAT BERKAH DARI HAMZAH PATANGARIH"/>
    <x v="5"/>
  </r>
  <r>
    <d v="2025-01-10T00:00:00"/>
    <n v="1600000"/>
    <m/>
    <m/>
    <s v="PELUNASAN CATERING JUMAT BERKAH"/>
    <x v="7"/>
  </r>
  <r>
    <d v="2025-01-10T00:00:00"/>
    <n v="2500"/>
    <m/>
    <m/>
    <s v="BIAYA ADMPELUNASAN CATERING JUMAT BERKAH"/>
    <x v="7"/>
  </r>
  <r>
    <d v="2025-01-13T00:00:00"/>
    <n v="750000"/>
    <m/>
    <s v="Lap2"/>
    <s v="HONOR USTADZ ABDUL HAMID"/>
    <x v="1"/>
  </r>
  <r>
    <d v="2025-01-13T00:00:00"/>
    <n v="2500"/>
    <m/>
    <s v="Lap2"/>
    <s v="BIAYA ADM HONOR USTADZ ABDUL HAMID"/>
    <x v="1"/>
  </r>
  <r>
    <d v="2025-01-13T00:00:00"/>
    <m/>
    <n v="300000"/>
    <s v="Lap2"/>
    <s v="OP-INFAQ DJOKO SULISTIYONO"/>
    <x v="2"/>
  </r>
  <r>
    <d v="2025-01-13T00:00:00"/>
    <m/>
    <n v="50000"/>
    <s v="Lap2"/>
    <s v="INFAQ DARI PUTIE AMBUN SURI / RIVENDRA"/>
    <x v="2"/>
  </r>
  <r>
    <d v="2025-01-13T00:00:00"/>
    <m/>
    <n v="100000"/>
    <s v="Lap2"/>
    <s v="OP-INFAQ HASNANTO"/>
    <x v="2"/>
  </r>
  <r>
    <d v="2025-01-13T00:00:00"/>
    <m/>
    <n v="3000000"/>
    <s v="Lap2"/>
    <s v="OP-INFAQ ISTANTO / IDAWATI"/>
    <x v="2"/>
  </r>
  <r>
    <d v="2025-01-13T00:00:00"/>
    <m/>
    <n v="2773000"/>
    <s v="Lap2"/>
    <s v="Akun Yatim &amp; Sosial"/>
    <x v="9"/>
  </r>
  <r>
    <d v="2025-01-13T00:00:00"/>
    <m/>
    <n v="3977000"/>
    <s v="Lap2"/>
    <s v="Operasional (Infaq &amp; Sodaqoh)"/>
    <x v="2"/>
  </r>
  <r>
    <d v="2025-01-13T00:00:00"/>
    <n v="2000000"/>
    <m/>
    <s v="Lap2"/>
    <s v="Dropping Petty cash"/>
    <x v="1"/>
  </r>
  <r>
    <d v="2025-01-13T00:00:00"/>
    <n v="200000"/>
    <m/>
    <s v="Lap2"/>
    <s v="Selisih hitung setor bank"/>
    <x v="1"/>
  </r>
  <r>
    <d v="2025-01-14T00:00:00"/>
    <m/>
    <n v="100000"/>
    <s v="Lap2"/>
    <s v="OP-INFAQ MAHMUD"/>
    <x v="2"/>
  </r>
  <r>
    <d v="2025-01-14T00:00:00"/>
    <m/>
    <n v="7000"/>
    <s v="Lap2"/>
    <s v="OP-INFAQ MUHAMMAD UBAIDILLAH"/>
    <x v="2"/>
  </r>
  <r>
    <d v="2025-01-14T00:00:00"/>
    <m/>
    <n v="1000000"/>
    <s v="Lap2"/>
    <s v="OP-INFAQ ARWINDO"/>
    <x v="2"/>
  </r>
  <r>
    <d v="2025-01-15T00:00:00"/>
    <m/>
    <n v="600000"/>
    <s v="Lap2"/>
    <s v="OP-INFAQ TPQ"/>
    <x v="8"/>
  </r>
  <r>
    <d v="2025-01-16T00:00:00"/>
    <m/>
    <n v="250000"/>
    <s v="Lap2"/>
    <s v="JUMAT BERKAH DARI AMRAN ANWAR"/>
    <x v="5"/>
  </r>
  <r>
    <d v="2025-01-17T00:00:00"/>
    <n v="2500000"/>
    <m/>
    <m/>
    <s v="PO CATERING JUMAT BAROKAH"/>
    <x v="7"/>
  </r>
  <r>
    <d v="2025-01-20T00:00:00"/>
    <m/>
    <n v="50000"/>
    <m/>
    <s v="OP-INFAQ MUHAMMAD AKMAL HAKIM"/>
    <x v="2"/>
  </r>
  <r>
    <d v="2025-01-20T00:00:00"/>
    <m/>
    <n v="5000"/>
    <m/>
    <s v="OP-INFAQ GOPAY"/>
    <x v="2"/>
  </r>
  <r>
    <d v="2025-01-20T00:00:00"/>
    <m/>
    <n v="4044000"/>
    <m/>
    <s v="Akun Yatim &amp; Sosial"/>
    <x v="9"/>
  </r>
  <r>
    <d v="2025-01-20T00:00:00"/>
    <m/>
    <n v="2967000"/>
    <s v="Lap3"/>
    <s v="Operasional (Infaq &amp; Sodaqoh)"/>
    <x v="2"/>
  </r>
  <r>
    <d v="2025-01-20T00:00:00"/>
    <n v="3000000"/>
    <m/>
    <m/>
    <s v="Dropping Petty cash"/>
    <x v="1"/>
  </r>
  <r>
    <d v="2025-01-20T00:00:00"/>
    <n v="20000"/>
    <m/>
    <s v="Lap3"/>
    <s v="Selisih hitung setor bank"/>
    <x v="1"/>
  </r>
  <r>
    <d v="2025-01-20T00:00:00"/>
    <m/>
    <m/>
    <m/>
    <s v=" 001112200071   SETOR TUNAI "/>
    <x v="10"/>
  </r>
  <r>
    <d v="2025-01-20T00:00:00"/>
    <m/>
    <n v="5165000"/>
    <s v="Lap3"/>
    <s v="SETOR IMRON ROSADI"/>
    <x v="2"/>
  </r>
  <r>
    <d v="2025-01-21T00:00:00"/>
    <m/>
    <n v="10000"/>
    <s v="Lap3"/>
    <s v="OP-INFAQ GOPAY"/>
    <x v="2"/>
  </r>
  <r>
    <d v="2025-01-21T00:00:00"/>
    <m/>
    <n v="10000"/>
    <s v="Lap3"/>
    <s v="OP-INFAQ YOYOK SUBIANTO"/>
    <x v="2"/>
  </r>
  <r>
    <d v="2025-01-21T00:00:00"/>
    <n v="750000"/>
    <m/>
    <s v="Lap3"/>
    <s v="Reimburse ke Rivendra Hadiah Kajian Sabtu Ust. Affan"/>
    <x v="1"/>
  </r>
  <r>
    <d v="2025-01-21T00:00:00"/>
    <n v="2500"/>
    <m/>
    <s v="Lap3"/>
    <s v="Biaya transfer Reimburse Hadiah Kajian Sabtu Ust. Affan"/>
    <x v="1"/>
  </r>
  <r>
    <d v="2025-01-21T00:00:00"/>
    <n v="756500"/>
    <m/>
    <s v="Lap3"/>
    <s v="Reimburse ke Rivendra Hadiah Kajian Ahad Ust. Hasan"/>
    <x v="1"/>
  </r>
  <r>
    <d v="2025-01-21T00:00:00"/>
    <n v="2500"/>
    <m/>
    <s v="Lap3"/>
    <s v="Biaya transfer Reimburse Hadiah Kajian Ahad Ust. Hasan"/>
    <x v="1"/>
  </r>
  <r>
    <d v="2025-01-22T00:00:00"/>
    <m/>
    <n v="10000"/>
    <s v="Lap3"/>
    <s v="OP-INFAQ YOYOK SUBIANTO"/>
    <x v="2"/>
  </r>
  <r>
    <d v="2025-01-22T00:00:00"/>
    <m/>
    <n v="1200000"/>
    <s v="Lap3"/>
    <s v="OP-INFAQ HASNANTO WAHYUDI"/>
    <x v="2"/>
  </r>
  <r>
    <d v="2025-01-22T00:00:00"/>
    <m/>
    <n v="500000"/>
    <s v="Lap3"/>
    <s v="JUMAT BERKAH DARI H.ROPI"/>
    <x v="5"/>
  </r>
  <r>
    <d v="2025-01-23T00:00:00"/>
    <m/>
    <n v="10000"/>
    <s v="Lap3"/>
    <s v="OP-INFAQ JAMAAH"/>
    <x v="2"/>
  </r>
  <r>
    <d v="2025-01-23T00:00:00"/>
    <m/>
    <n v="300000"/>
    <s v="Lap3"/>
    <s v="JUMAT BERKAH DARI EDI NURHADI"/>
    <x v="5"/>
  </r>
  <r>
    <d v="2025-01-24T00:00:00"/>
    <m/>
    <n v="300000"/>
    <s v="Lap3"/>
    <s v="JUMAT BERKAH DARI AMRAN ANWAR"/>
    <x v="5"/>
  </r>
  <r>
    <d v="2025-01-24T00:00:00"/>
    <m/>
    <n v="150000"/>
    <s v="Lap3"/>
    <s v="OP-INFAQ SURJATI SUTARJA"/>
    <x v="2"/>
  </r>
  <r>
    <d v="2025-01-24T00:00:00"/>
    <m/>
    <n v="10000"/>
    <s v="Lap3"/>
    <s v="OP-INFAQ WARGA"/>
    <x v="2"/>
  </r>
  <r>
    <d v="2025-01-24T00:00:00"/>
    <m/>
    <n v="300000"/>
    <s v="Lap3"/>
    <s v="JUMAT BERKAH DARI AGUNG PRAMONO"/>
    <x v="5"/>
  </r>
  <r>
    <d v="2025-01-24T00:00:00"/>
    <m/>
    <n v="300000"/>
    <s v="Lap3"/>
    <s v="OP-INFAQ WARGA"/>
    <x v="2"/>
  </r>
  <r>
    <d v="2025-01-24T00:00:00"/>
    <n v="1400000"/>
    <m/>
    <s v="Lap3"/>
    <s v="PEMBELIAN JUMAT BERKAH"/>
    <x v="7"/>
  </r>
  <r>
    <d v="2025-01-30T00:00:00"/>
    <m/>
    <n v="100000"/>
    <s v="Lap4"/>
    <s v="OP-INFAQ WARGA"/>
    <x v="2"/>
  </r>
  <r>
    <d v="2025-01-30T00:00:00"/>
    <m/>
    <n v="10000"/>
    <s v="Lap4"/>
    <s v="OP-INFAQ WARGA"/>
    <x v="2"/>
  </r>
  <r>
    <d v="2025-01-30T00:00:00"/>
    <n v="750000"/>
    <m/>
    <s v="Lap4"/>
    <s v="HONOR USTADZ KHOERUL MAKTUM"/>
    <x v="1"/>
  </r>
  <r>
    <d v="2025-01-30T00:00:00"/>
    <n v="2500"/>
    <m/>
    <s v="Lap4"/>
    <s v="BIAYA ADM HONOR USTADZ KHOERUL MAKTUM"/>
    <x v="1"/>
  </r>
  <r>
    <d v="2025-01-30T00:00:00"/>
    <m/>
    <n v="100000"/>
    <s v="Lap4"/>
    <s v="OP-INFAQ WARGA FENTY HERLIANA"/>
    <x v="2"/>
  </r>
  <r>
    <d v="2025-01-30T00:00:00"/>
    <m/>
    <n v="200000"/>
    <s v="Lap4"/>
    <s v="OP-INFAQ TPQ RIVENDRA"/>
    <x v="8"/>
  </r>
  <r>
    <d v="2025-01-30T00:00:00"/>
    <m/>
    <n v="300000"/>
    <s v="Lap4"/>
    <s v="OP-INFAQ WARGA BENY PRIYATNA KUSUMA"/>
    <x v="2"/>
  </r>
  <r>
    <d v="2025-01-30T00:00:00"/>
    <n v="1000000"/>
    <m/>
    <s v="Lap4"/>
    <s v="HONOR USTADZ WAHID RAHMAN"/>
    <x v="1"/>
  </r>
  <r>
    <d v="2025-01-30T00:00:00"/>
    <n v="2500"/>
    <m/>
    <s v="Lap4"/>
    <s v="BIAYA ADM HONOR USTADZ WAHID RAHMAN"/>
    <x v="1"/>
  </r>
  <r>
    <d v="2025-01-30T00:00:00"/>
    <m/>
    <n v="10000"/>
    <s v="Lap4"/>
    <s v="OP-INFAQ WARGA"/>
    <x v="2"/>
  </r>
  <r>
    <d v="2025-01-30T00:00:00"/>
    <m/>
    <n v="5000"/>
    <s v="Lap4"/>
    <s v="OP-INFAQ WARGA"/>
    <x v="2"/>
  </r>
  <r>
    <d v="2025-01-30T00:00:00"/>
    <m/>
    <n v="200000"/>
    <s v="Lap4"/>
    <s v="OP-INFAQ WARGA MOHAMMADIANTORO PURNAWAN"/>
    <x v="2"/>
  </r>
  <r>
    <d v="2025-01-30T00:00:00"/>
    <m/>
    <n v="10000"/>
    <s v="Lap4"/>
    <s v="OP-INFAQ WARGA"/>
    <x v="2"/>
  </r>
  <r>
    <d v="2025-01-30T00:00:00"/>
    <n v="3250000"/>
    <m/>
    <s v="Lap4"/>
    <s v="HONOR NANANG SUBAEDI"/>
    <x v="1"/>
  </r>
  <r>
    <d v="2025-01-30T00:00:00"/>
    <n v="6500"/>
    <m/>
    <s v="Lap4"/>
    <s v="BIAYA ADM HONOR NANANG SUBAEDI"/>
    <x v="1"/>
  </r>
  <r>
    <d v="2025-01-30T00:00:00"/>
    <n v="2000000"/>
    <m/>
    <s v="Lap4"/>
    <s v="HONOR YANA SIGIT ISMATULLAH"/>
    <x v="1"/>
  </r>
  <r>
    <d v="2025-01-30T00:00:00"/>
    <n v="6500"/>
    <m/>
    <s v="Lap4"/>
    <s v="BIAYA ADM HONOR YANA SIGIT ISMATULLAH"/>
    <x v="1"/>
  </r>
  <r>
    <d v="2025-01-30T00:00:00"/>
    <n v="2500000"/>
    <m/>
    <s v="Lap4"/>
    <s v="HONOR NANANG AZIS / ISTANTO"/>
    <x v="1"/>
  </r>
  <r>
    <d v="2025-01-30T00:00:00"/>
    <n v="6500"/>
    <m/>
    <s v="Lap4"/>
    <s v="BIAYA ADM HONOR AZIS / ISTANTO"/>
    <x v="1"/>
  </r>
  <r>
    <d v="2025-01-30T00:00:00"/>
    <n v="2700000"/>
    <m/>
    <s v="Lap4"/>
    <s v="HONOR M BAYU CANDRA"/>
    <x v="1"/>
  </r>
  <r>
    <d v="2025-01-30T00:00:00"/>
    <n v="6500"/>
    <m/>
    <s v="Lap4"/>
    <s v="BIAYA ADM HONOR M BAYU CANDRA"/>
    <x v="1"/>
  </r>
  <r>
    <d v="2025-01-30T00:00:00"/>
    <n v="2000000"/>
    <m/>
    <s v="Lap4"/>
    <s v="HONOR A IMRON ROSADI"/>
    <x v="1"/>
  </r>
  <r>
    <d v="2025-01-30T00:00:00"/>
    <n v="6500"/>
    <m/>
    <s v="Lap4"/>
    <s v="BIAYA ADM HONOR A IMRON ROSADI"/>
    <x v="1"/>
  </r>
  <r>
    <d v="2025-01-30T00:00:00"/>
    <n v="1500000"/>
    <m/>
    <s v="Lap4"/>
    <s v="HONOR MUHAMMAD ILHAM"/>
    <x v="1"/>
  </r>
  <r>
    <d v="2025-01-30T00:00:00"/>
    <n v="6500"/>
    <m/>
    <s v="Lap4"/>
    <s v="BIAYA ADM HONOR MUHAMMAD ILHAM"/>
    <x v="1"/>
  </r>
  <r>
    <d v="2025-01-30T00:00:00"/>
    <n v="2500000"/>
    <m/>
    <s v="Lap4"/>
    <s v="HONOR SURYADI"/>
    <x v="1"/>
  </r>
  <r>
    <d v="2025-01-30T00:00:00"/>
    <m/>
    <n v="6000000"/>
    <s v="Lap4"/>
    <s v="OP-INFAQ HARMEN"/>
    <x v="2"/>
  </r>
  <r>
    <d v="2025-01-30T00:00:00"/>
    <m/>
    <n v="10000"/>
    <s v="Lap4"/>
    <s v="OP-INFAQ WARGA"/>
    <x v="2"/>
  </r>
  <r>
    <d v="2025-01-30T00:00:00"/>
    <n v="3000000"/>
    <m/>
    <s v="Lap4"/>
    <s v="PENGGANTIAN BIAYA RAWAT SANTRI KE UST. BAMBANG"/>
    <x v="11"/>
  </r>
  <r>
    <d v="2025-01-30T00:00:00"/>
    <n v="2000000"/>
    <m/>
    <s v="Lap4"/>
    <s v="LINA HERLINA BIAYA MAJ BIAYA PENGAJIAN IBU-IBU"/>
    <x v="6"/>
  </r>
  <r>
    <d v="2025-01-30T00:00:00"/>
    <n v="2500"/>
    <m/>
    <s v="Lap4"/>
    <s v="BIAYA ADM LINA HERLINA BIAYA MAJ BIAYA PENGAJIAN IBU-IBU"/>
    <x v="6"/>
  </r>
  <r>
    <d v="2025-01-30T00:00:00"/>
    <m/>
    <n v="1000"/>
    <s v="Lap4"/>
    <s v="JUMAT BERKAH DARI RIVENDRA"/>
    <x v="5"/>
  </r>
  <r>
    <d v="2025-01-30T00:00:00"/>
    <m/>
    <n v="750000"/>
    <s v="Lap4"/>
    <s v="OP-INFAQ WARGA AGUSTANI Biaya Tebang Pohon"/>
    <x v="2"/>
  </r>
  <r>
    <d v="2025-01-30T00:00:00"/>
    <m/>
    <n v="10000"/>
    <s v="Lap4"/>
    <s v="OP-INFAQ WARGA"/>
    <x v="2"/>
  </r>
  <r>
    <d v="2025-01-30T00:00:00"/>
    <m/>
    <m/>
    <s v="Lap4"/>
    <s v="OP-INFAQ WARGA"/>
    <x v="2"/>
  </r>
  <r>
    <d v="2025-01-30T00:00:00"/>
    <m/>
    <m/>
    <s v="Lap4"/>
    <s v="OP-INFAQ WARGA"/>
    <x v="2"/>
  </r>
  <r>
    <d v="2025-01-30T00:00:00"/>
    <m/>
    <n v="2643000"/>
    <s v="Lap4"/>
    <s v="Akun Yatim &amp; Sosial"/>
    <x v="9"/>
  </r>
  <r>
    <d v="2025-01-30T00:00:00"/>
    <m/>
    <n v="4823000"/>
    <s v="Lap4"/>
    <s v="Operasional (Infaq &amp; Sodaqoh)"/>
    <x v="2"/>
  </r>
  <r>
    <d v="2025-01-30T00:00:00"/>
    <n v="2000000"/>
    <m/>
    <s v="Lap4"/>
    <s v="Dropping Petty cash"/>
    <x v="1"/>
  </r>
  <r>
    <d v="2025-01-30T00:00:00"/>
    <n v="50000"/>
    <m/>
    <s v="Lap4"/>
    <s v="Selisih hitung setor bank"/>
    <x v="1"/>
  </r>
  <r>
    <d v="2025-01-30T00:00:00"/>
    <n v="4613000"/>
    <m/>
    <s v="Lap4"/>
    <s v="PENGGANTIAN SISA BIAYA RAWAT SANTRI KE UST. BAMBANG"/>
    <x v="11"/>
  </r>
  <r>
    <d v="2025-01-30T00:00:00"/>
    <n v="2500"/>
    <m/>
    <s v="Lap4"/>
    <s v="BIAYA ADM PENGGANTIAN BIAYA RAWAT SANTRI KE UST. BAMBANG"/>
    <x v="11"/>
  </r>
  <r>
    <d v="2025-01-30T00:00:00"/>
    <n v="4000000"/>
    <m/>
    <s v="Lap4"/>
    <s v="MAJ BIAYA PERAWATAN SANTRI JANUARI VIA REK UST.BAYU"/>
    <x v="12"/>
  </r>
  <r>
    <d v="2025-01-30T00:00:00"/>
    <n v="2500"/>
    <m/>
    <s v="Lap4"/>
    <s v="BIAYA ADM MAJ BIAYA PERAWATAN SANTRI JANUARI VIA REK UST.BAYU"/>
    <x v="12"/>
  </r>
  <r>
    <d v="2025-01-30T00:00:00"/>
    <n v="4950000"/>
    <m/>
    <s v="Lap4"/>
    <s v="BIAYA PERAWATAN MASJID (PANGKAS SAWIT, BAMBU &amp; LAMPU)"/>
    <x v="6"/>
  </r>
  <r>
    <d v="2025-01-31T00:00:00"/>
    <m/>
    <n v="100000"/>
    <s v="Lap5"/>
    <s v="ZAKAT DARI MOH RESAWAN HAKIM"/>
    <x v="1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1">
  <r>
    <d v="2024-12-24T00:00:00"/>
    <m/>
    <m/>
    <n v="5000000"/>
    <x v="0"/>
    <n v="5000000"/>
    <s v="SALDO DARI AGUNG PRAMONO"/>
    <x v="0"/>
    <s v="Bank"/>
  </r>
  <r>
    <d v="2025-01-02T00:00:00"/>
    <n v="200000"/>
    <m/>
    <m/>
    <x v="0"/>
    <n v="4800000"/>
    <s v="ADM FEE HARD TOKEN CMS "/>
    <x v="1"/>
    <s v="Bank"/>
  </r>
  <r>
    <d v="2025-01-03T00:00:00"/>
    <m/>
    <m/>
    <n v="500000"/>
    <x v="0"/>
    <n v="5300000"/>
    <s v="INFAQ DARI INDRA EDI SANTOSO"/>
    <x v="2"/>
    <s v="Bank"/>
  </r>
  <r>
    <d v="2025-01-03T00:00:00"/>
    <m/>
    <m/>
    <n v="1800000"/>
    <x v="0"/>
    <n v="7100000"/>
    <s v="INFAQ DARI DASA SUKARSIWI, SE / DR. FANANI"/>
    <x v="2"/>
    <s v="Bank"/>
  </r>
  <r>
    <d v="2025-01-03T00:00:00"/>
    <m/>
    <m/>
    <n v="2000000"/>
    <x v="0"/>
    <n v="9100000"/>
    <s v="INFAQ DARI RIZKY HIDAYAT SL"/>
    <x v="2"/>
    <s v="Bank"/>
  </r>
  <r>
    <d v="2025-01-06T00:00:00"/>
    <m/>
    <m/>
    <n v="400000"/>
    <x v="0"/>
    <n v="9500000"/>
    <s v="INFAQ DARI PUTIE AMBUN SURI / RIVENDRA"/>
    <x v="2"/>
    <s v="Bank"/>
  </r>
  <r>
    <d v="2025-01-06T00:00:00"/>
    <m/>
    <m/>
    <n v="44196050"/>
    <x v="0"/>
    <n v="53696050"/>
    <s v="Baitul Mal"/>
    <x v="0"/>
    <s v="Bank"/>
  </r>
  <r>
    <d v="2025-01-06T00:00:00"/>
    <m/>
    <m/>
    <n v="33983823"/>
    <x v="0"/>
    <n v="87679873"/>
    <s v="Pembangunan"/>
    <x v="3"/>
    <s v="Bank"/>
  </r>
  <r>
    <m/>
    <m/>
    <n v="78179873"/>
    <m/>
    <x v="1"/>
    <n v="87679873"/>
    <s v="SALDO DARI AGUNG PRAMONO"/>
    <x v="4"/>
    <m/>
  </r>
  <r>
    <d v="2025-01-06T00:00:00"/>
    <m/>
    <m/>
    <n v="5594227"/>
    <x v="0"/>
    <n v="93274100"/>
    <s v="Pembangunan"/>
    <x v="3"/>
    <s v="Bank"/>
  </r>
  <r>
    <d v="2025-01-06T00:00:00"/>
    <m/>
    <m/>
    <n v="39840773"/>
    <x v="0"/>
    <n v="133114873"/>
    <s v="Akun Yatim &amp; Sosial"/>
    <x v="5"/>
    <s v="Bank"/>
  </r>
  <r>
    <d v="2025-01-06T00:00:00"/>
    <m/>
    <n v="45435000"/>
    <m/>
    <x v="1"/>
    <n v="133114873"/>
    <s v="SALDO DARI IMRON ROSADI"/>
    <x v="4"/>
    <m/>
  </r>
  <r>
    <d v="2025-01-07T00:00:00"/>
    <m/>
    <m/>
    <n v="1000000"/>
    <x v="0"/>
    <n v="134114873"/>
    <s v="JUMAT BERKAH DARI LAELASARI / AMINUDIN"/>
    <x v="6"/>
    <s v="Bank"/>
  </r>
  <r>
    <d v="2025-01-07T00:00:00"/>
    <m/>
    <m/>
    <n v="300000"/>
    <x v="0"/>
    <n v="134414873"/>
    <s v="JUMAT BERKAH DARI NITA ROSITA"/>
    <x v="6"/>
    <s v="Bank"/>
  </r>
  <r>
    <d v="2025-01-07T00:00:00"/>
    <m/>
    <m/>
    <n v="600000"/>
    <x v="0"/>
    <n v="135014873"/>
    <s v="JUMAT BERKAH DARI AMRAN ANWAR"/>
    <x v="6"/>
    <s v="Bank"/>
  </r>
  <r>
    <d v="2025-01-07T00:00:00"/>
    <n v="1250000"/>
    <m/>
    <m/>
    <x v="0"/>
    <n v="133764873"/>
    <s v="OP - A IMRON ROSADI OPERASI-REIMBURSE VOUCHER LISTRIK &amp; PAJAK MOTOR MASJID  "/>
    <x v="7"/>
    <s v="Bank"/>
  </r>
  <r>
    <d v="2025-01-07T00:00:00"/>
    <n v="2500"/>
    <m/>
    <m/>
    <x v="0"/>
    <n v="133762373"/>
    <s v="OP - BIAYA TRANSFER A IMRON ROSADI OPERASI-REIMBURSE VOUCHER LISTRIK &amp; PAJAK MOTOR MASJID  "/>
    <x v="7"/>
    <s v="Bank"/>
  </r>
  <r>
    <d v="2025-01-07T00:00:00"/>
    <m/>
    <m/>
    <n v="600000"/>
    <x v="0"/>
    <n v="134362373"/>
    <s v="JUMAT BERKAH DARI DARWIN ALI"/>
    <x v="6"/>
    <s v="Bank"/>
  </r>
  <r>
    <d v="2025-01-08T00:00:00"/>
    <m/>
    <m/>
    <n v="300000"/>
    <x v="0"/>
    <n v="134662373"/>
    <s v="JUMAT BERKAH DARI AGUNG SANTOSO"/>
    <x v="6"/>
    <s v="Bank"/>
  </r>
  <r>
    <d v="2025-01-08T00:00:00"/>
    <m/>
    <m/>
    <n v="300000"/>
    <x v="0"/>
    <n v="134962373"/>
    <s v="JUMAT BERKAH DARI DRS. SARWONO"/>
    <x v="6"/>
    <s v="Bank"/>
  </r>
  <r>
    <d v="2025-01-08T00:00:00"/>
    <m/>
    <m/>
    <n v="300000"/>
    <x v="0"/>
    <n v="135262373"/>
    <s v="JUMAT BERKAH DARI SAFONI MAWARDI"/>
    <x v="6"/>
    <s v="Bank"/>
  </r>
  <r>
    <d v="2025-01-08T00:00:00"/>
    <m/>
    <m/>
    <n v="300000"/>
    <x v="0"/>
    <n v="135562373"/>
    <s v="JUMAT BERKAH DARI ENICA AGUSTINA"/>
    <x v="6"/>
    <s v="Bank"/>
  </r>
  <r>
    <d v="2025-01-08T00:00:00"/>
    <n v="500000"/>
    <m/>
    <m/>
    <x v="0"/>
    <n v="135062373"/>
    <s v="OP - SUGENG PRIYONO OP-SERVIS AC REIMBURSE PAK SUGENG PRIYONO"/>
    <x v="8"/>
    <s v="Bank"/>
  </r>
  <r>
    <d v="2025-01-08T00:00:00"/>
    <n v="2000000"/>
    <m/>
    <m/>
    <x v="0"/>
    <n v="133062373"/>
    <s v="JUMAT BERKAH WATTIA NETI PEMBAYARAN DP REKENING JUMAT BAROKAH ALJABAR"/>
    <x v="9"/>
    <s v="Bank"/>
  </r>
  <r>
    <d v="2025-01-08T00:00:00"/>
    <n v="2500"/>
    <m/>
    <m/>
    <x v="0"/>
    <n v="133059873"/>
    <s v="JUMAT BERKAH WATTIA NETI BIAYA TRANSFER DP REKENING JUMAT BAROKAH ALJABAR"/>
    <x v="9"/>
    <s v="Bank"/>
  </r>
  <r>
    <d v="2025-01-08T00:00:00"/>
    <m/>
    <m/>
    <n v="504000"/>
    <x v="0"/>
    <n v="133563873"/>
    <s v="JUMAT BERKAH DARI ACHMAD FANANI ,DR."/>
    <x v="6"/>
    <s v="Bank"/>
  </r>
  <r>
    <d v="2025-01-08T00:00:00"/>
    <m/>
    <m/>
    <n v="100000"/>
    <x v="0"/>
    <n v="133663873"/>
    <s v="JUMAT BERKAH DARI SHINTA NUR DEWANTI"/>
    <x v="6"/>
    <s v="Bank"/>
  </r>
  <r>
    <d v="2025-01-09T00:00:00"/>
    <m/>
    <m/>
    <n v="400000"/>
    <x v="0"/>
    <n v="134063873"/>
    <s v="OP-INFAQ TPQ"/>
    <x v="10"/>
    <s v="Bank"/>
  </r>
  <r>
    <d v="2025-01-09T00:00:00"/>
    <m/>
    <m/>
    <n v="300000"/>
    <x v="0"/>
    <n v="134363873"/>
    <s v="JUMAT BERKAH DARI AGUNG PRAMONO"/>
    <x v="6"/>
    <s v="Bank"/>
  </r>
  <r>
    <d v="2025-01-09T00:00:00"/>
    <m/>
    <m/>
    <n v="300000"/>
    <x v="0"/>
    <n v="134663873"/>
    <s v="JUMAT BERKAH DARI RIZKI HIDAYAT"/>
    <x v="6"/>
    <s v="Bank"/>
  </r>
  <r>
    <d v="2025-01-10T00:00:00"/>
    <m/>
    <m/>
    <n v="600000"/>
    <x v="0"/>
    <n v="135263873"/>
    <s v="JUMAT BERKAH DARI YUANITA"/>
    <x v="6"/>
    <s v="Bank"/>
  </r>
  <r>
    <d v="2025-01-10T00:00:00"/>
    <m/>
    <m/>
    <n v="350000"/>
    <x v="0"/>
    <n v="135613873"/>
    <s v="JUMAT BERKAH DARI HAMZAH PATANGARIH"/>
    <x v="6"/>
    <s v="Bank"/>
  </r>
  <r>
    <d v="2025-01-10T00:00:00"/>
    <n v="1600000"/>
    <m/>
    <m/>
    <x v="0"/>
    <n v="134013873"/>
    <s v="PELUNASAN CATERING JUMAT BERKAH"/>
    <x v="9"/>
    <s v="Bank"/>
  </r>
  <r>
    <d v="2025-01-10T00:00:00"/>
    <n v="2500"/>
    <m/>
    <m/>
    <x v="0"/>
    <n v="134011373"/>
    <s v="BIAYA ADMPELUNASAN CATERING JUMAT BERKAH"/>
    <x v="9"/>
    <s v="Bank"/>
  </r>
  <r>
    <d v="2025-01-13T00:00:00"/>
    <n v="750000"/>
    <m/>
    <m/>
    <x v="0"/>
    <n v="133261373"/>
    <s v="HONOR USTADZ ABDUL HAMID"/>
    <x v="11"/>
    <s v="Bank"/>
  </r>
  <r>
    <d v="2025-01-13T00:00:00"/>
    <n v="2500"/>
    <m/>
    <m/>
    <x v="0"/>
    <n v="133258873"/>
    <s v="BIAYA ADM HONOR USTADZ ABDUL HAMID"/>
    <x v="11"/>
    <s v="Bank"/>
  </r>
  <r>
    <d v="2025-01-13T00:00:00"/>
    <m/>
    <m/>
    <n v="300000"/>
    <x v="0"/>
    <n v="133558873"/>
    <s v="OP-INFAQ DJOKO SULISTIYONO"/>
    <x v="2"/>
    <s v="Bank"/>
  </r>
  <r>
    <d v="2025-01-13T00:00:00"/>
    <m/>
    <m/>
    <n v="50000"/>
    <x v="0"/>
    <n v="133608873"/>
    <s v="INFAQ DARI PUTIE AMBUN SURI / RIVENDRA"/>
    <x v="2"/>
    <s v="Bank"/>
  </r>
  <r>
    <d v="2025-01-13T00:00:00"/>
    <m/>
    <m/>
    <n v="100000"/>
    <x v="0"/>
    <n v="133708873"/>
    <s v="INFAQ DARI HASNANTO"/>
    <x v="2"/>
    <s v="Bank"/>
  </r>
  <r>
    <d v="2025-01-13T00:00:00"/>
    <m/>
    <m/>
    <n v="3000000"/>
    <x v="0"/>
    <n v="136708873"/>
    <s v="INFAQ DARI ISTANTO / IDAWATI"/>
    <x v="2"/>
    <s v="Bank"/>
  </r>
  <r>
    <d v="2025-01-13T00:00:00"/>
    <m/>
    <m/>
    <n v="2773000"/>
    <x v="0"/>
    <n v="139481873"/>
    <s v="Akun Yatim &amp; Sosial"/>
    <x v="12"/>
    <s v="Bank"/>
  </r>
  <r>
    <d v="2025-01-13T00:00:00"/>
    <m/>
    <m/>
    <n v="3977000"/>
    <x v="0"/>
    <n v="143458873"/>
    <s v="Operasional (Infaq &amp; Sodaqoh)"/>
    <x v="2"/>
    <s v="Bank"/>
  </r>
  <r>
    <d v="2025-01-13T00:00:00"/>
    <n v="2000000"/>
    <m/>
    <m/>
    <x v="0"/>
    <n v="141458873"/>
    <s v="Dropping Petty cash"/>
    <x v="1"/>
    <s v="Bank"/>
  </r>
  <r>
    <d v="2025-01-13T00:00:00"/>
    <n v="200000"/>
    <m/>
    <m/>
    <x v="0"/>
    <n v="141258873"/>
    <s v="Selisih hitung setor bank"/>
    <x v="1"/>
    <s v="Bank"/>
  </r>
  <r>
    <m/>
    <m/>
    <n v="4550000"/>
    <m/>
    <x v="1"/>
    <n v="141258873"/>
    <s v="SETOR IMRON ROSADI"/>
    <x v="4"/>
    <m/>
  </r>
  <r>
    <d v="2025-01-14T00:00:00"/>
    <m/>
    <m/>
    <n v="100000"/>
    <x v="0"/>
    <n v="141358873"/>
    <s v="INFAQ DARI MAHMUD"/>
    <x v="2"/>
    <s v="Bank"/>
  </r>
  <r>
    <d v="2025-01-14T00:00:00"/>
    <m/>
    <m/>
    <n v="7000"/>
    <x v="0"/>
    <n v="141365873"/>
    <s v="INFAQ DARI MUHAMMAD UBAIDILLAH"/>
    <x v="2"/>
    <s v="Bank"/>
  </r>
  <r>
    <d v="2025-01-14T00:00:00"/>
    <m/>
    <m/>
    <n v="1000000"/>
    <x v="0"/>
    <n v="142365873"/>
    <s v="INFAQ DARI ARWINDO"/>
    <x v="2"/>
    <s v="Bank"/>
  </r>
  <r>
    <d v="2025-01-15T00:00:00"/>
    <m/>
    <m/>
    <n v="600000"/>
    <x v="0"/>
    <n v="142965873"/>
    <s v="INFAQ DARI TPQ"/>
    <x v="10"/>
    <s v="Bank"/>
  </r>
  <r>
    <d v="2025-01-16T00:00:00"/>
    <m/>
    <m/>
    <n v="250000"/>
    <x v="0"/>
    <n v="143215873"/>
    <s v="JUMAT BERKAH DARI AMRAN ANWAR"/>
    <x v="6"/>
    <s v="Bank"/>
  </r>
  <r>
    <d v="2025-01-17T00:00:00"/>
    <n v="2500000"/>
    <m/>
    <m/>
    <x v="0"/>
    <n v="140715873"/>
    <s v="PO CATERING JUMAT BAROKAH"/>
    <x v="9"/>
    <s v="Bank"/>
  </r>
  <r>
    <d v="2025-01-20T00:00:00"/>
    <m/>
    <m/>
    <n v="50000"/>
    <x v="0"/>
    <n v="140765873"/>
    <s v="INFAQ DARI MUHAMMAD AKMAL HAKIM"/>
    <x v="2"/>
    <s v="Bank"/>
  </r>
  <r>
    <d v="2025-01-20T00:00:00"/>
    <m/>
    <m/>
    <n v="5000"/>
    <x v="0"/>
    <n v="140770873"/>
    <s v="INFAQ DARI GOPAY"/>
    <x v="2"/>
    <s v="Bank"/>
  </r>
  <r>
    <d v="2025-01-20T00:00:00"/>
    <m/>
    <m/>
    <n v="4044000"/>
    <x v="0"/>
    <n v="144814873"/>
    <s v="Akun Yatim &amp; Sosial"/>
    <x v="12"/>
    <s v="Bank"/>
  </r>
  <r>
    <d v="2025-01-20T00:00:00"/>
    <m/>
    <m/>
    <n v="2967000"/>
    <x v="0"/>
    <n v="147781873"/>
    <s v="Operasional (Infaq &amp; Sodaqoh)"/>
    <x v="2"/>
    <s v="Bank"/>
  </r>
  <r>
    <d v="2025-01-20T00:00:00"/>
    <n v="3000000"/>
    <m/>
    <m/>
    <x v="0"/>
    <n v="144781873"/>
    <s v="Dropping Petty cash"/>
    <x v="1"/>
    <s v="Bank"/>
  </r>
  <r>
    <d v="2025-01-20T00:00:00"/>
    <n v="20000"/>
    <m/>
    <m/>
    <x v="0"/>
    <n v="144761873"/>
    <s v="Selisih hitung setor bank"/>
    <x v="1"/>
    <s v="Bank"/>
  </r>
  <r>
    <d v="2025-01-20T00:00:00"/>
    <m/>
    <n v="3991000"/>
    <m/>
    <x v="1"/>
    <n v="144761873"/>
    <s v="SETOR IMRON ROSADI"/>
    <x v="4"/>
    <m/>
  </r>
  <r>
    <m/>
    <m/>
    <n v="6850000"/>
    <m/>
    <x v="1"/>
    <n v="144761873"/>
    <s v="Pengumpulan infaq oleh Ustad Imron"/>
    <x v="4"/>
    <m/>
  </r>
  <r>
    <m/>
    <m/>
    <n v="-1000000"/>
    <m/>
    <x v="1"/>
    <n v="144761873"/>
    <s v="Infaq disetor langsung ke rekening masjid "/>
    <x v="4"/>
    <m/>
  </r>
  <r>
    <m/>
    <m/>
    <n v="-685000"/>
    <m/>
    <x v="1"/>
    <n v="144761873"/>
    <s v="Honor collector ustadz Imron"/>
    <x v="4"/>
    <m/>
  </r>
  <r>
    <d v="2025-01-20T00:00:00"/>
    <m/>
    <m/>
    <n v="5165000"/>
    <x v="0"/>
    <n v="149926873"/>
    <s v="SETOR IMRON ROSADI"/>
    <x v="2"/>
    <s v="Bank"/>
  </r>
  <r>
    <d v="2025-01-21T00:00:00"/>
    <m/>
    <m/>
    <n v="10000"/>
    <x v="0"/>
    <n v="149936873"/>
    <s v="INFAQ DARI GOPAY"/>
    <x v="2"/>
    <s v="Bank"/>
  </r>
  <r>
    <d v="2025-01-21T00:00:00"/>
    <m/>
    <m/>
    <n v="10000"/>
    <x v="0"/>
    <n v="149946873"/>
    <s v="INFAQ DARI YOYOK SUBIANTO"/>
    <x v="2"/>
    <s v="Bank"/>
  </r>
  <r>
    <d v="2025-01-21T00:00:00"/>
    <n v="750000"/>
    <m/>
    <m/>
    <x v="0"/>
    <n v="149196873"/>
    <s v="Reimburse ke Rivendra Hadiah Kajian Sabtu Ust. Affan"/>
    <x v="11"/>
    <s v="Bank"/>
  </r>
  <r>
    <d v="2025-01-21T00:00:00"/>
    <n v="2500"/>
    <m/>
    <m/>
    <x v="0"/>
    <n v="149194373"/>
    <s v="Biaya transfer Reimburse Hadiah Kajian Sabtu Ust. Affan"/>
    <x v="11"/>
    <s v="Bank"/>
  </r>
  <r>
    <d v="2025-01-21T00:00:00"/>
    <n v="756500"/>
    <m/>
    <m/>
    <x v="0"/>
    <n v="148437873"/>
    <s v="Reimburse ke Rivendra Hadiah Kajian Ahad Ust. Hasan"/>
    <x v="11"/>
    <s v="Bank"/>
  </r>
  <r>
    <d v="2025-01-21T00:00:00"/>
    <n v="2500"/>
    <m/>
    <m/>
    <x v="0"/>
    <n v="148435373"/>
    <s v="Biaya transfer Reimburse Hadiah Kajian Ahad Ust. Hasan"/>
    <x v="11"/>
    <s v="Bank"/>
  </r>
  <r>
    <d v="2025-01-22T00:00:00"/>
    <m/>
    <m/>
    <n v="10000"/>
    <x v="0"/>
    <n v="148445373"/>
    <s v="INFAQ DARI YOYOK SUBIANTO"/>
    <x v="2"/>
    <s v="Bank"/>
  </r>
  <r>
    <d v="2025-01-22T00:00:00"/>
    <m/>
    <m/>
    <n v="1200000"/>
    <x v="0"/>
    <n v="149645373"/>
    <s v="INFAQ DARI HASNANTO WAHYUDI"/>
    <x v="2"/>
    <s v="Bank"/>
  </r>
  <r>
    <d v="2025-01-22T00:00:00"/>
    <m/>
    <m/>
    <n v="500000"/>
    <x v="0"/>
    <n v="150145373"/>
    <s v="JUMAT BERKAH DARI H.ROPI"/>
    <x v="6"/>
    <s v="Bank"/>
  </r>
  <r>
    <d v="2025-01-23T00:00:00"/>
    <m/>
    <m/>
    <n v="10000"/>
    <x v="0"/>
    <n v="150155373"/>
    <s v="INFAQ DARI JAMAAH"/>
    <x v="2"/>
    <s v="Bank"/>
  </r>
  <r>
    <d v="2025-01-23T00:00:00"/>
    <m/>
    <m/>
    <n v="300000"/>
    <x v="0"/>
    <n v="150455373"/>
    <s v="JUMAT BERKAH DARI EDI NURHADI"/>
    <x v="6"/>
    <s v="Bank"/>
  </r>
  <r>
    <d v="2025-01-24T00:00:00"/>
    <m/>
    <m/>
    <n v="300000"/>
    <x v="0"/>
    <n v="150755373"/>
    <s v="JUMAT BERKAH DARI AMRAN ANWAR"/>
    <x v="6"/>
    <s v="Bank"/>
  </r>
  <r>
    <d v="2025-01-24T00:00:00"/>
    <m/>
    <m/>
    <n v="150000"/>
    <x v="0"/>
    <n v="150905373"/>
    <s v="INFAQ DARI SURJATI SUTARJA"/>
    <x v="2"/>
    <s v="Bank"/>
  </r>
  <r>
    <d v="2025-01-24T00:00:00"/>
    <m/>
    <m/>
    <n v="10000"/>
    <x v="0"/>
    <n v="150915373"/>
    <s v="INFAQ DARI WARGA"/>
    <x v="2"/>
    <s v="Bank"/>
  </r>
  <r>
    <d v="2025-01-24T00:00:00"/>
    <m/>
    <m/>
    <n v="300000"/>
    <x v="0"/>
    <n v="151215373"/>
    <s v="JUMAT BERKAH DARI AGUNG PRAMONO"/>
    <x v="6"/>
    <s v="Bank"/>
  </r>
  <r>
    <d v="2025-01-24T00:00:00"/>
    <m/>
    <m/>
    <n v="300000"/>
    <x v="0"/>
    <n v="151515373"/>
    <s v="INFAQ DARI WARGA"/>
    <x v="2"/>
    <s v="Bank"/>
  </r>
  <r>
    <d v="2025-01-24T00:00:00"/>
    <n v="1400000"/>
    <m/>
    <m/>
    <x v="0"/>
    <n v="150115373"/>
    <s v="PEMBELIAN JUMAT BERKAH"/>
    <x v="9"/>
    <s v="Bank"/>
  </r>
  <r>
    <d v="2025-01-30T00:00:00"/>
    <m/>
    <m/>
    <n v="100000"/>
    <x v="0"/>
    <n v="150215373"/>
    <s v="INFAQ DARI WARGA"/>
    <x v="2"/>
    <s v="Bank"/>
  </r>
  <r>
    <d v="2025-01-30T00:00:00"/>
    <m/>
    <m/>
    <n v="10000"/>
    <x v="0"/>
    <n v="150225373"/>
    <s v="INFAQ DARI WARGA"/>
    <x v="2"/>
    <s v="Bank"/>
  </r>
  <r>
    <d v="2025-01-30T00:00:00"/>
    <n v="750000"/>
    <m/>
    <m/>
    <x v="0"/>
    <n v="149475373"/>
    <s v="HONOR USTADZ KHOERUL MAKTUM"/>
    <x v="11"/>
    <s v="Bank"/>
  </r>
  <r>
    <d v="2025-01-30T00:00:00"/>
    <n v="2500"/>
    <m/>
    <m/>
    <x v="0"/>
    <n v="149472873"/>
    <s v="BIAYA ADM HONOR USTADZ KHOERUL MAKTUM"/>
    <x v="11"/>
    <s v="Bank"/>
  </r>
  <r>
    <d v="2025-01-30T00:00:00"/>
    <m/>
    <m/>
    <n v="100000"/>
    <x v="0"/>
    <n v="149572873"/>
    <s v="INFAQ DARI WARGA FENTY HERLIANA"/>
    <x v="2"/>
    <s v="Bank"/>
  </r>
  <r>
    <d v="2025-01-30T00:00:00"/>
    <m/>
    <m/>
    <n v="200000"/>
    <x v="0"/>
    <n v="149772873"/>
    <s v="INFAQ DARI TPQ RIVENDRA"/>
    <x v="10"/>
    <s v="Bank"/>
  </r>
  <r>
    <d v="2025-01-30T00:00:00"/>
    <m/>
    <m/>
    <n v="300000"/>
    <x v="0"/>
    <n v="150072873"/>
    <s v="INFAQ DARI WARGA BENY PRIYATNA KUSUMA"/>
    <x v="2"/>
    <s v="Bank"/>
  </r>
  <r>
    <d v="2025-01-30T00:00:00"/>
    <n v="1000000"/>
    <m/>
    <m/>
    <x v="0"/>
    <n v="149072873"/>
    <s v="HONOR USTADZ WAHID RAHMAN"/>
    <x v="11"/>
    <s v="Bank"/>
  </r>
  <r>
    <d v="2025-01-30T00:00:00"/>
    <n v="2500"/>
    <m/>
    <m/>
    <x v="0"/>
    <n v="149070373"/>
    <s v="BIAYA ADM HONOR USTADZ WAHID RAHMAN"/>
    <x v="11"/>
    <s v="Bank"/>
  </r>
  <r>
    <d v="2025-01-30T00:00:00"/>
    <m/>
    <m/>
    <n v="10000"/>
    <x v="0"/>
    <n v="149080373"/>
    <s v="INFAQ DARI WARGA"/>
    <x v="2"/>
    <s v="Bank"/>
  </r>
  <r>
    <d v="2025-01-30T00:00:00"/>
    <m/>
    <m/>
    <n v="5000"/>
    <x v="0"/>
    <n v="149085373"/>
    <s v="INFAQ DARI WARGA"/>
    <x v="2"/>
    <s v="Bank"/>
  </r>
  <r>
    <d v="2025-01-30T00:00:00"/>
    <m/>
    <m/>
    <n v="200000"/>
    <x v="0"/>
    <n v="149285373"/>
    <s v="INFAQ DARI MOHAMMADIANTORO PURNAWAN A.N ALM M.HASAN"/>
    <x v="2"/>
    <s v="Bank"/>
  </r>
  <r>
    <d v="2025-01-30T00:00:00"/>
    <m/>
    <m/>
    <n v="10000"/>
    <x v="0"/>
    <n v="149295373"/>
    <s v="INFAQ DARI WARGA"/>
    <x v="2"/>
    <s v="Bank"/>
  </r>
  <r>
    <d v="2025-01-30T00:00:00"/>
    <n v="3250000"/>
    <m/>
    <m/>
    <x v="0"/>
    <n v="146045373"/>
    <s v="HONOR NANANG SUBAEDI"/>
    <x v="13"/>
    <s v="Bank"/>
  </r>
  <r>
    <d v="2025-01-30T00:00:00"/>
    <n v="6500"/>
    <m/>
    <m/>
    <x v="0"/>
    <n v="146038873"/>
    <s v="BIAYA ADM HONOR NANANG SUBAEDI"/>
    <x v="13"/>
    <s v="Bank"/>
  </r>
  <r>
    <d v="2025-01-30T00:00:00"/>
    <n v="2000000"/>
    <m/>
    <m/>
    <x v="0"/>
    <n v="144038873"/>
    <s v="HONOR YANA SIGIT ISMATULLAH"/>
    <x v="13"/>
    <s v="Bank"/>
  </r>
  <r>
    <d v="2025-01-30T00:00:00"/>
    <n v="6500"/>
    <m/>
    <m/>
    <x v="0"/>
    <n v="144032373"/>
    <s v="BIAYA ADM HONOR YANA SIGIT ISMATULLAH"/>
    <x v="13"/>
    <s v="Bank"/>
  </r>
  <r>
    <d v="2025-01-30T00:00:00"/>
    <n v="2500000"/>
    <m/>
    <m/>
    <x v="0"/>
    <n v="141532373"/>
    <s v="HONOR NANANG AZIS / ISTANTO"/>
    <x v="13"/>
    <s v="Bank"/>
  </r>
  <r>
    <d v="2025-01-30T00:00:00"/>
    <n v="6500"/>
    <m/>
    <m/>
    <x v="0"/>
    <n v="141525873"/>
    <s v="BIAYA ADM HONOR AZIS / ISTANTO"/>
    <x v="13"/>
    <s v="Bank"/>
  </r>
  <r>
    <d v="2025-01-30T00:00:00"/>
    <n v="2700000"/>
    <m/>
    <m/>
    <x v="0"/>
    <n v="138825873"/>
    <s v="HONOR M BAYU CANDRA"/>
    <x v="13"/>
    <s v="Bank"/>
  </r>
  <r>
    <d v="2025-01-30T00:00:00"/>
    <n v="6500"/>
    <m/>
    <m/>
    <x v="0"/>
    <n v="138819373"/>
    <s v="BIAYA ADM HONOR M BAYU CANDRA"/>
    <x v="13"/>
    <s v="Bank"/>
  </r>
  <r>
    <d v="2025-01-30T00:00:00"/>
    <n v="2000000"/>
    <m/>
    <m/>
    <x v="0"/>
    <n v="136819373"/>
    <s v="HONOR A IMRON ROSADI"/>
    <x v="13"/>
    <s v="Bank"/>
  </r>
  <r>
    <d v="2025-01-30T00:00:00"/>
    <n v="6500"/>
    <m/>
    <m/>
    <x v="0"/>
    <n v="136812873"/>
    <s v="BIAYA ADM HONOR A IMRON ROSADI"/>
    <x v="13"/>
    <s v="Bank"/>
  </r>
  <r>
    <d v="2025-01-30T00:00:00"/>
    <n v="1500000"/>
    <m/>
    <m/>
    <x v="0"/>
    <n v="135312873"/>
    <s v="HONOR MUHAMMAD ILHAM"/>
    <x v="13"/>
    <s v="Bank"/>
  </r>
  <r>
    <d v="2025-01-30T00:00:00"/>
    <n v="6500"/>
    <m/>
    <m/>
    <x v="0"/>
    <n v="135306373"/>
    <s v="BIAYA ADM HONOR MUHAMMAD ILHAM"/>
    <x v="13"/>
    <s v="Bank"/>
  </r>
  <r>
    <d v="2025-01-30T00:00:00"/>
    <n v="2500000"/>
    <m/>
    <m/>
    <x v="0"/>
    <n v="132806373"/>
    <s v="HONOR SURYADI"/>
    <x v="13"/>
    <s v="Bank"/>
  </r>
  <r>
    <d v="2025-01-30T00:00:00"/>
    <m/>
    <m/>
    <n v="6000000"/>
    <x v="0"/>
    <n v="138806373"/>
    <s v="INFAQ DARI HARMEN"/>
    <x v="2"/>
    <s v="Bank"/>
  </r>
  <r>
    <d v="2025-01-30T00:00:00"/>
    <m/>
    <m/>
    <n v="10000"/>
    <x v="0"/>
    <n v="138816373"/>
    <s v="INFAQ DARI WARGA"/>
    <x v="2"/>
    <s v="Bank"/>
  </r>
  <r>
    <d v="2025-01-30T00:00:00"/>
    <n v="3000000"/>
    <m/>
    <m/>
    <x v="0"/>
    <n v="135816373"/>
    <s v="PENGGANTIAN BIAYA RAWAT SANTRI KE UST. BAMBANG"/>
    <x v="14"/>
    <s v="Bank"/>
  </r>
  <r>
    <d v="2025-01-30T00:00:00"/>
    <n v="2000000"/>
    <m/>
    <m/>
    <x v="0"/>
    <n v="133816373"/>
    <s v="LINA HERLINA BIAYA MAJ BIAYA PENGAJIAN IBU-IBU"/>
    <x v="11"/>
    <s v="Bank"/>
  </r>
  <r>
    <d v="2025-01-30T00:00:00"/>
    <n v="2500"/>
    <m/>
    <m/>
    <x v="0"/>
    <n v="133813873"/>
    <s v="BIAYA ADM LINA HERLINA BIAYA MAJ BIAYA PENGAJIAN IBU-IBU"/>
    <x v="11"/>
    <s v="Bank"/>
  </r>
  <r>
    <d v="2025-01-30T00:00:00"/>
    <m/>
    <m/>
    <n v="1000"/>
    <x v="0"/>
    <n v="133814873"/>
    <s v="JUMAT BERKAH DARI RIVENDRA"/>
    <x v="6"/>
    <s v="Bank"/>
  </r>
  <r>
    <d v="2025-01-30T00:00:00"/>
    <m/>
    <m/>
    <n v="750000"/>
    <x v="0"/>
    <n v="134564873"/>
    <s v="INFAQ DARI WARGA AGUSTANI Biaya Tebang Pohon"/>
    <x v="2"/>
    <s v="Bank"/>
  </r>
  <r>
    <d v="2025-01-30T00:00:00"/>
    <m/>
    <m/>
    <n v="10000"/>
    <x v="0"/>
    <n v="134574873"/>
    <s v="INFAQ DARI WARGA"/>
    <x v="2"/>
    <s v="Bank"/>
  </r>
  <r>
    <d v="2025-01-30T00:00:00"/>
    <m/>
    <m/>
    <m/>
    <x v="0"/>
    <n v="134574873"/>
    <s v="INFAQ DARI WARGA"/>
    <x v="2"/>
    <s v="Bank"/>
  </r>
  <r>
    <d v="2025-01-30T00:00:00"/>
    <m/>
    <m/>
    <m/>
    <x v="0"/>
    <n v="134574873"/>
    <s v="INFAQ DARI WARGA"/>
    <x v="2"/>
    <s v="Bank"/>
  </r>
  <r>
    <d v="2025-01-30T00:00:00"/>
    <m/>
    <m/>
    <n v="2643000"/>
    <x v="0"/>
    <n v="137217873"/>
    <s v="Akun Yatim &amp; Sosial"/>
    <x v="12"/>
    <s v="Bank"/>
  </r>
  <r>
    <d v="2025-01-30T00:00:00"/>
    <m/>
    <m/>
    <n v="4823000"/>
    <x v="0"/>
    <n v="142040873"/>
    <s v="Operasional (Infaq &amp; Sodaqoh)"/>
    <x v="2"/>
    <s v="Bank"/>
  </r>
  <r>
    <d v="2025-01-30T00:00:00"/>
    <n v="2000000"/>
    <m/>
    <m/>
    <x v="0"/>
    <n v="140040873"/>
    <s v="Dropping Petty cash"/>
    <x v="1"/>
    <s v="Bank"/>
  </r>
  <r>
    <d v="2025-01-30T00:00:00"/>
    <n v="50000"/>
    <m/>
    <m/>
    <x v="0"/>
    <n v="139990873"/>
    <s v="Selisih hitung setor bank"/>
    <x v="1"/>
    <s v="Bank"/>
  </r>
  <r>
    <m/>
    <m/>
    <n v="5416000"/>
    <m/>
    <x v="1"/>
    <n v="139990873"/>
    <s v="SETOR IMRON ROSADI"/>
    <x v="4"/>
    <m/>
  </r>
  <r>
    <d v="2025-01-30T00:00:00"/>
    <n v="4613000"/>
    <m/>
    <m/>
    <x v="0"/>
    <n v="135377873"/>
    <s v="PENGGANTIAN SISA BIAYA RAWAT SANTRI KE UST. BAMBANG"/>
    <x v="14"/>
    <s v="Bank"/>
  </r>
  <r>
    <d v="2025-01-30T00:00:00"/>
    <n v="2500"/>
    <m/>
    <m/>
    <x v="0"/>
    <n v="135375373"/>
    <s v="BIAYA ADM PENGGANTIAN BIAYA RAWAT SANTRI KE UST. BAMBANG"/>
    <x v="14"/>
    <s v="Bank"/>
  </r>
  <r>
    <d v="2025-01-30T00:00:00"/>
    <n v="4000000"/>
    <m/>
    <m/>
    <x v="0"/>
    <n v="131375373"/>
    <s v="MAJ BIAYA PERAWATAN SANTRI JANUARI VIA REK UST.BAYU"/>
    <x v="15"/>
    <s v="Bank"/>
  </r>
  <r>
    <d v="2025-01-30T00:00:00"/>
    <n v="2500"/>
    <m/>
    <m/>
    <x v="0"/>
    <n v="131372873"/>
    <s v="BIAYA ADM MAJ BIAYA PERAWATAN SANTRI JANUARI VIA REK UST.BAYU"/>
    <x v="15"/>
    <s v="Bank"/>
  </r>
  <r>
    <d v="2025-01-30T00:00:00"/>
    <n v="4950000"/>
    <m/>
    <m/>
    <x v="0"/>
    <n v="126422873"/>
    <s v="BIAYA PERAWATAN MASJID (PANGKAS SAWIT, BAMBU &amp; LAMPU)"/>
    <x v="8"/>
    <s v="Bank"/>
  </r>
  <r>
    <d v="2025-01-31T00:00:00"/>
    <m/>
    <m/>
    <n v="100000"/>
    <x v="0"/>
    <n v="126522873"/>
    <s v="ZAKAT DARI MOH RESAWAN HAKIM"/>
    <x v="16"/>
    <s v="Bank"/>
  </r>
  <r>
    <d v="2025-02-03T00:00:00"/>
    <n v="1000000"/>
    <m/>
    <m/>
    <x v="2"/>
    <n v="125522873"/>
    <s v="HONOR USTADZ AZHAR KHALID"/>
    <x v="11"/>
    <s v="Bank"/>
  </r>
  <r>
    <d v="2025-02-03T00:00:00"/>
    <n v="2500"/>
    <m/>
    <m/>
    <x v="2"/>
    <n v="125520373"/>
    <s v="BIAYA ADM HONOR USTADZ AZHAR KHALID"/>
    <x v="11"/>
    <s v="Bank"/>
  </r>
  <r>
    <d v="2025-02-03T00:00:00"/>
    <m/>
    <m/>
    <n v="1000"/>
    <x v="2"/>
    <n v="125521373"/>
    <s v="INFAQ DARI YOYOK SUBIANTO"/>
    <x v="2"/>
    <s v="Bank"/>
  </r>
  <r>
    <d v="2025-02-03T00:00:00"/>
    <m/>
    <m/>
    <n v="75000"/>
    <x v="2"/>
    <n v="125596373"/>
    <s v="INFAQ DARI WIDHIYAKSA SAVEEDRA"/>
    <x v="2"/>
    <s v="Bank"/>
  </r>
  <r>
    <d v="2025-02-03T00:00:00"/>
    <m/>
    <m/>
    <n v="500000"/>
    <x v="2"/>
    <n v="126096373"/>
    <s v="INFAQ DARI DRS SARWONO"/>
    <x v="2"/>
    <s v="Bank"/>
  </r>
  <r>
    <d v="2025-02-03T00:00:00"/>
    <m/>
    <m/>
    <n v="200000"/>
    <x v="2"/>
    <n v="126296373"/>
    <s v="INFAQ DARI DEDEN TP PERDIANSYAH"/>
    <x v="2"/>
    <s v="Bank"/>
  </r>
  <r>
    <d v="2025-02-03T00:00:00"/>
    <m/>
    <m/>
    <n v="15000"/>
    <x v="2"/>
    <n v="126311373"/>
    <s v="INFAQ DARI RIZKIVITA AGNES "/>
    <x v="2"/>
    <s v="Bank"/>
  </r>
  <r>
    <d v="2025-02-03T00:00:00"/>
    <m/>
    <m/>
    <n v="300000"/>
    <x v="2"/>
    <n v="126611373"/>
    <s v="INFAQ DARI BU FAJAR TS 8"/>
    <x v="2"/>
    <s v="Bank"/>
  </r>
  <r>
    <d v="2025-02-03T00:00:00"/>
    <m/>
    <m/>
    <n v="200000"/>
    <x v="2"/>
    <n v="126811373"/>
    <s v="INFAQ DARI UMI HAMIDAH"/>
    <x v="2"/>
    <s v="Bank"/>
  </r>
  <r>
    <d v="2025-02-03T00:00:00"/>
    <m/>
    <m/>
    <n v="300000"/>
    <x v="2"/>
    <n v="127111373"/>
    <s v="INFAQ DARI AGUNG PRAMONO"/>
    <x v="2"/>
    <s v="Bank"/>
  </r>
  <r>
    <d v="2025-02-03T00:00:00"/>
    <n v="750000"/>
    <m/>
    <m/>
    <x v="2"/>
    <n v="126361373"/>
    <s v="HONOR USTADZ HIKMATIYAR ABU UMAR"/>
    <x v="11"/>
    <s v="Bank"/>
  </r>
  <r>
    <d v="2025-02-03T00:00:00"/>
    <n v="2500"/>
    <m/>
    <m/>
    <x v="2"/>
    <n v="126358873"/>
    <s v="BIAYA ADM HONOR USTADZ HIKMATIYAR ABU UMAR"/>
    <x v="11"/>
    <s v="Bank"/>
  </r>
  <r>
    <d v="2025-02-03T00:00:00"/>
    <m/>
    <m/>
    <n v="500000"/>
    <x v="2"/>
    <n v="126858873"/>
    <s v="INFAQ DARI SHINTA NUR DEWANTI A.N NURKHOLIS TA 3/3"/>
    <x v="2"/>
    <s v="Bank"/>
  </r>
  <r>
    <d v="2025-02-03T00:00:00"/>
    <m/>
    <m/>
    <n v="200000"/>
    <x v="2"/>
    <n v="127058873"/>
    <s v="INFAQ DARI WUSONO PRIHADI SANTO"/>
    <x v="2"/>
    <s v="Bank"/>
  </r>
  <r>
    <d v="2025-02-03T00:00:00"/>
    <m/>
    <m/>
    <n v="400000"/>
    <x v="2"/>
    <n v="127458873"/>
    <s v="INFAQ DARI PUTIE AMBUN SURI/RIVENDRA"/>
    <x v="2"/>
    <s v="Bank"/>
  </r>
  <r>
    <d v="2025-02-03T00:00:00"/>
    <m/>
    <m/>
    <n v="200000"/>
    <x v="2"/>
    <n v="127658873"/>
    <s v="INFAQ DARI DEDEN TP PERDIANSYAH"/>
    <x v="2"/>
    <s v="Bank"/>
  </r>
  <r>
    <d v="2025-02-03T00:00:00"/>
    <m/>
    <m/>
    <n v="500000"/>
    <x v="2"/>
    <n v="128158873"/>
    <s v="INFAQ DARI INDRA EDI SANTOSO"/>
    <x v="2"/>
    <s v="Bank"/>
  </r>
  <r>
    <d v="2025-02-03T00:00:00"/>
    <m/>
    <m/>
    <n v="2412000"/>
    <x v="2"/>
    <n v="130570873"/>
    <s v="Akun Yatim &amp; Sosial"/>
    <x v="12"/>
    <s v="Bank"/>
  </r>
  <r>
    <d v="2025-02-03T00:00:00"/>
    <m/>
    <m/>
    <n v="3924000"/>
    <x v="2"/>
    <n v="134494873"/>
    <s v="Operasional (Infaq &amp; Sodaqoh)"/>
    <x v="2"/>
    <s v="Bank"/>
  </r>
  <r>
    <m/>
    <m/>
    <n v="6336000"/>
    <m/>
    <x v="1"/>
    <n v="134494873"/>
    <s v="SETOR IMRON ROSADI"/>
    <x v="4"/>
    <m/>
  </r>
  <r>
    <d v="2025-02-05T00:00:00"/>
    <m/>
    <m/>
    <n v="1000000"/>
    <x v="2"/>
    <n v="135494873"/>
    <s v="INFAQ DARI AMRAN ANWAR"/>
    <x v="2"/>
    <s v="Bank"/>
  </r>
  <r>
    <d v="2025-02-06T00:00:00"/>
    <m/>
    <m/>
    <n v="200000"/>
    <x v="2"/>
    <n v="135694873"/>
    <s v="INFAQ DARI MOHAMMADIANTORO PURNAWAN A.N ALM M.HASAN"/>
    <x v="2"/>
    <s v="Bank"/>
  </r>
  <r>
    <d v="2025-02-06T00:00:00"/>
    <m/>
    <m/>
    <n v="100000"/>
    <x v="2"/>
    <n v="135794873"/>
    <s v="INFAQ DARI FENTYHERLIANA A.N YUDHA BS"/>
    <x v="2"/>
    <s v="Bank"/>
  </r>
  <r>
    <d v="2025-02-06T00:00:00"/>
    <n v="2000000"/>
    <m/>
    <m/>
    <x v="2"/>
    <n v="133794873"/>
    <s v="BIAYA PENGAJIAN IBU-IBU MAJ FEBRUARI"/>
    <x v="11"/>
    <s v="Bank"/>
  </r>
  <r>
    <d v="2025-02-06T00:00:00"/>
    <n v="2500"/>
    <m/>
    <m/>
    <x v="2"/>
    <n v="133792373"/>
    <s v="BIAYA ADM PENGAJIAN IBU-IBU MAJ FEBRUARI"/>
    <x v="11"/>
    <s v="Bank"/>
  </r>
  <r>
    <d v="2025-02-07T00:00:00"/>
    <m/>
    <m/>
    <n v="2000000"/>
    <x v="2"/>
    <n v="135792373"/>
    <s v="INFAQ DARI RIZKY HIDAYAT SL"/>
    <x v="2"/>
    <s v="Bank"/>
  </r>
  <r>
    <d v="2025-02-07T00:00:00"/>
    <m/>
    <m/>
    <n v="250000"/>
    <x v="2"/>
    <n v="136042373"/>
    <s v="INFAQ DARI SEPTEMBERIZAL TA 1/8"/>
    <x v="2"/>
    <s v="Bank"/>
  </r>
  <r>
    <d v="2025-02-07T00:00:00"/>
    <m/>
    <m/>
    <n v="66500"/>
    <x v="2"/>
    <n v="136108873"/>
    <s v="Refund Program MAP_Januari 2025"/>
    <x v="2"/>
    <s v="Bank"/>
  </r>
  <r>
    <d v="2025-02-08T00:00:00"/>
    <n v="750000"/>
    <m/>
    <m/>
    <x v="2"/>
    <n v="135358873"/>
    <s v="HONOR USTADZ ABDUL HAMID"/>
    <x v="11"/>
    <s v="Bank"/>
  </r>
  <r>
    <d v="2025-02-08T00:00:00"/>
    <n v="2500"/>
    <m/>
    <m/>
    <x v="2"/>
    <n v="135356373"/>
    <s v="BIAYA ADM HONOR USTADZ ABDUL HAMID"/>
    <x v="11"/>
    <s v="Bank"/>
  </r>
  <r>
    <d v="2025-02-08T00:00:00"/>
    <m/>
    <m/>
    <n v="20000"/>
    <x v="2"/>
    <n v="135376373"/>
    <s v="INFAQ DARI YOYOK SUBIANTO"/>
    <x v="2"/>
    <s v="Bank"/>
  </r>
  <r>
    <d v="2025-02-08T00:00:00"/>
    <m/>
    <m/>
    <n v="75000"/>
    <x v="2"/>
    <n v="135451373"/>
    <s v="INFAQ DARI WIDHIYAKSA SAVEEDRA"/>
    <x v="2"/>
    <s v="Bank"/>
  </r>
  <r>
    <d v="2025-02-08T00:00:00"/>
    <m/>
    <m/>
    <n v="1500"/>
    <x v="2"/>
    <n v="135452873"/>
    <s v="INFAQ DARI GOPAY"/>
    <x v="2"/>
    <s v="Bank"/>
  </r>
  <r>
    <d v="2025-02-08T00:00:00"/>
    <m/>
    <m/>
    <n v="1250000"/>
    <x v="2"/>
    <n v="136702873"/>
    <s v="INFAQ DARI JIMMY FAJRIANSYAH"/>
    <x v="2"/>
    <s v="Bank"/>
  </r>
  <r>
    <d v="2025-02-09T00:00:00"/>
    <n v="750000"/>
    <m/>
    <m/>
    <x v="2"/>
    <n v="135952873"/>
    <s v="HONOR USTADZ DARWIS"/>
    <x v="11"/>
    <s v="Bank"/>
  </r>
  <r>
    <d v="2025-02-09T00:00:00"/>
    <m/>
    <m/>
    <n v="2000000"/>
    <x v="2"/>
    <n v="137952873"/>
    <s v="INFAQ DARI PAK RAMADHAN"/>
    <x v="2"/>
    <s v="Bank"/>
  </r>
  <r>
    <d v="2025-02-10T00:00:00"/>
    <m/>
    <m/>
    <n v="20000"/>
    <x v="2"/>
    <n v="137972873"/>
    <s v="INFAQ DARI MAY SOEKMONO"/>
    <x v="2"/>
    <s v="Bank"/>
  </r>
  <r>
    <d v="2025-02-10T00:00:00"/>
    <m/>
    <m/>
    <n v="3222000"/>
    <x v="2"/>
    <n v="141194873"/>
    <s v="Akun Yatim &amp; Sosial"/>
    <x v="12"/>
    <s v="Bank"/>
  </r>
  <r>
    <d v="2025-02-10T00:00:00"/>
    <m/>
    <m/>
    <n v="4084000"/>
    <x v="2"/>
    <n v="145278873"/>
    <s v="Operasional (Infaq &amp; Sodaqoh)"/>
    <x v="2"/>
    <s v="Bank"/>
  </r>
  <r>
    <m/>
    <m/>
    <n v="7306000"/>
    <m/>
    <x v="1"/>
    <n v="145278873"/>
    <s v="SETOR IMRON ROSADI"/>
    <x v="4"/>
    <m/>
  </r>
  <r>
    <d v="2025-02-10T00:00:00"/>
    <n v="840000"/>
    <m/>
    <m/>
    <x v="2"/>
    <n v="144438873"/>
    <s v="REIMBURSE SERVICE AC MASJID"/>
    <x v="8"/>
    <s v="Bank"/>
  </r>
  <r>
    <d v="2025-02-10T00:00:00"/>
    <n v="2500"/>
    <m/>
    <m/>
    <x v="2"/>
    <n v="144436373"/>
    <s v="REIMBURSE SERVICE AC MASJID"/>
    <x v="8"/>
    <s v="Bank"/>
  </r>
  <r>
    <d v="2025-02-11T00:00:00"/>
    <n v="1000000"/>
    <m/>
    <m/>
    <x v="2"/>
    <n v="143436373"/>
    <s v="MAHMUD MADJID BELI PARFUM PEWANGI KARPET MAJ"/>
    <x v="8"/>
    <s v="Bank"/>
  </r>
  <r>
    <d v="2025-02-11T00:00:00"/>
    <n v="2500"/>
    <m/>
    <m/>
    <x v="2"/>
    <n v="143433873"/>
    <s v="MAHMUD MADJID BELI PARFUM PEWANGI KARPET MAJ"/>
    <x v="8"/>
    <s v="Bank"/>
  </r>
  <r>
    <d v="2025-02-11T00:00:00"/>
    <m/>
    <m/>
    <n v="1800000"/>
    <x v="2"/>
    <n v="145233873"/>
    <s v="INFAQ DARI SARI ARGO WARDANI"/>
    <x v="2"/>
    <s v="Bank"/>
  </r>
  <r>
    <d v="2025-02-13T00:00:00"/>
    <m/>
    <m/>
    <n v="10000"/>
    <x v="2"/>
    <n v="145243873"/>
    <s v="INFAQ DARI YOYOK SUBIANTO"/>
    <x v="2"/>
    <s v="Bank"/>
  </r>
  <r>
    <d v="2025-02-14T00:00:00"/>
    <m/>
    <m/>
    <n v="20000"/>
    <x v="2"/>
    <n v="145263873"/>
    <s v="QRIS"/>
    <x v="2"/>
    <s v="Bank"/>
  </r>
  <r>
    <d v="2025-02-14T00:00:00"/>
    <m/>
    <m/>
    <n v="10000"/>
    <x v="2"/>
    <n v="145273873"/>
    <s v="QRIS"/>
    <x v="2"/>
    <s v="Bank"/>
  </r>
  <r>
    <d v="2025-02-14T00:00:00"/>
    <m/>
    <m/>
    <n v="25000"/>
    <x v="2"/>
    <n v="145298873"/>
    <s v="QRIS"/>
    <x v="2"/>
    <s v="Bank"/>
  </r>
  <r>
    <d v="2025-02-14T00:00:00"/>
    <m/>
    <m/>
    <n v="400000"/>
    <x v="2"/>
    <n v="145698873"/>
    <s v="INFAQ TPQ IMRON ROSADI"/>
    <x v="10"/>
    <s v="Bank"/>
  </r>
  <r>
    <d v="2025-02-17T00:00:00"/>
    <m/>
    <m/>
    <n v="100000"/>
    <x v="2"/>
    <n v="145798873"/>
    <s v="QRIS"/>
    <x v="2"/>
    <s v="Bank"/>
  </r>
  <r>
    <d v="2025-02-17T00:00:00"/>
    <m/>
    <m/>
    <n v="10000"/>
    <x v="2"/>
    <n v="145808873"/>
    <s v="QRIS"/>
    <x v="2"/>
    <s v="Bank"/>
  </r>
  <r>
    <d v="2025-02-17T00:00:00"/>
    <m/>
    <m/>
    <n v="1700"/>
    <x v="2"/>
    <n v="145810573"/>
    <s v="QRIS"/>
    <x v="2"/>
    <s v="Bank"/>
  </r>
  <r>
    <d v="2025-02-17T00:00:00"/>
    <n v="750000"/>
    <m/>
    <m/>
    <x v="2"/>
    <n v="145060573"/>
    <s v="UST AFAN MUBARAK"/>
    <x v="11"/>
    <s v="Bank"/>
  </r>
  <r>
    <d v="2025-02-17T00:00:00"/>
    <n v="2500"/>
    <m/>
    <m/>
    <x v="2"/>
    <n v="145058073"/>
    <s v="ADM"/>
    <x v="11"/>
    <s v="Bank"/>
  </r>
  <r>
    <d v="2025-02-17T00:00:00"/>
    <n v="750000"/>
    <m/>
    <m/>
    <x v="2"/>
    <n v="144308073"/>
    <s v="UST HASAN MUBARAK"/>
    <x v="11"/>
    <s v="Bank"/>
  </r>
  <r>
    <d v="2025-02-17T00:00:00"/>
    <n v="2500"/>
    <m/>
    <m/>
    <x v="2"/>
    <n v="144305573"/>
    <s v="ADM"/>
    <x v="11"/>
    <s v="Bank"/>
  </r>
  <r>
    <d v="2025-02-17T00:00:00"/>
    <m/>
    <m/>
    <n v="10000"/>
    <x v="2"/>
    <n v="144315573"/>
    <s v="QRIS"/>
    <x v="2"/>
    <s v="Bank"/>
  </r>
  <r>
    <d v="2025-02-17T00:00:00"/>
    <m/>
    <m/>
    <n v="1550000"/>
    <x v="2"/>
    <n v="145865573"/>
    <s v="INFAQ COLLECTIVE WARGA RT 5"/>
    <x v="2"/>
    <s v="Bank"/>
  </r>
  <r>
    <d v="2025-02-17T00:00:00"/>
    <m/>
    <m/>
    <n v="10000"/>
    <x v="2"/>
    <n v="145875573"/>
    <s v="QRIS"/>
    <x v="2"/>
    <s v="Bank"/>
  </r>
  <r>
    <d v="2025-02-18T00:00:00"/>
    <m/>
    <m/>
    <n v="3264000"/>
    <x v="2"/>
    <n v="149139573"/>
    <s v="Akun Yatim &amp; Sosial"/>
    <x v="12"/>
    <s v="Bank"/>
  </r>
  <r>
    <d v="2025-02-18T00:00:00"/>
    <m/>
    <m/>
    <n v="3961000"/>
    <x v="2"/>
    <n v="153100573"/>
    <s v="Operasional (Infaq &amp; Sodaqoh)"/>
    <x v="2"/>
    <s v="Bank"/>
  </r>
  <r>
    <d v="2025-02-18T00:00:00"/>
    <n v="2000000"/>
    <m/>
    <m/>
    <x v="2"/>
    <n v="151100573"/>
    <s v="Isi Petty Cash"/>
    <x v="1"/>
    <s v="Bank"/>
  </r>
  <r>
    <m/>
    <m/>
    <n v="5225000"/>
    <m/>
    <x v="1"/>
    <n v="151100573"/>
    <s v="SETOR IMRON ROSADI"/>
    <x v="4"/>
    <m/>
  </r>
  <r>
    <d v="2025-02-18T00:00:00"/>
    <n v="625000"/>
    <m/>
    <m/>
    <x v="2"/>
    <n v="150475573"/>
    <s v="BIAYA CETAK IMSAKIYAH MAJ 500 LBR"/>
    <x v="1"/>
    <s v="Bank"/>
  </r>
  <r>
    <d v="2025-02-18T00:00:00"/>
    <n v="2500"/>
    <m/>
    <m/>
    <x v="2"/>
    <n v="150473073"/>
    <s v="BIAYA ADM CETAK IMSAKIYAH MAJ 500 LBR"/>
    <x v="1"/>
    <s v="Bank"/>
  </r>
  <r>
    <d v="2025-02-18T00:00:00"/>
    <m/>
    <m/>
    <n v="150000"/>
    <x v="2"/>
    <n v="150623073"/>
    <s v="INFAQ DARI JONET/DWI LISTYOWATI DRA Gunung Salak FA 5"/>
    <x v="2"/>
    <s v="Bank"/>
  </r>
  <r>
    <d v="2025-02-19T00:00:00"/>
    <m/>
    <m/>
    <n v="20000"/>
    <x v="2"/>
    <n v="150643073"/>
    <s v="QRIS"/>
    <x v="2"/>
    <s v="Bank"/>
  </r>
  <r>
    <d v="2025-02-19T00:00:00"/>
    <m/>
    <m/>
    <n v="1000000"/>
    <x v="2"/>
    <n v="151643073"/>
    <s v="INFAQ DARI AMIN/LAELASARI RT 5"/>
    <x v="2"/>
    <s v="Bank"/>
  </r>
  <r>
    <d v="2025-02-19T00:00:00"/>
    <m/>
    <m/>
    <n v="400000"/>
    <x v="2"/>
    <n v="152043073"/>
    <s v="INFAQ TPQ DARI AGUNG PRAMONO"/>
    <x v="10"/>
    <s v="Bank"/>
  </r>
  <r>
    <d v="2025-02-20T00:00:00"/>
    <m/>
    <m/>
    <n v="20000"/>
    <x v="2"/>
    <n v="152063073"/>
    <s v="QRIS"/>
    <x v="2"/>
    <s v="Bank"/>
  </r>
  <r>
    <m/>
    <m/>
    <n v="2650000"/>
    <m/>
    <x v="1"/>
    <n v="152063073"/>
    <s v="INFAQ COLLECTIVE IMRON"/>
    <x v="4"/>
    <m/>
  </r>
  <r>
    <m/>
    <m/>
    <n v="-265000"/>
    <m/>
    <x v="1"/>
    <n v="152063073"/>
    <s v="FEE IMRON"/>
    <x v="4"/>
    <m/>
  </r>
  <r>
    <d v="2025-02-20T00:00:00"/>
    <m/>
    <m/>
    <n v="2385000"/>
    <x v="2"/>
    <n v="154448073"/>
    <s v="IMRON ROSADI"/>
    <x v="2"/>
    <s v="Bank"/>
  </r>
  <r>
    <d v="2025-02-21T00:00:00"/>
    <m/>
    <m/>
    <n v="100000"/>
    <x v="2"/>
    <n v="154548073"/>
    <s v="INFAQ DARI SURJATI SUTARJA"/>
    <x v="2"/>
    <s v="Bank"/>
  </r>
  <r>
    <d v="2025-02-24T00:00:00"/>
    <n v="750000"/>
    <m/>
    <m/>
    <x v="2"/>
    <n v="153798073"/>
    <s v="HONOR USTADZ KHOERUL MAKTUM"/>
    <x v="11"/>
    <s v="Bank"/>
  </r>
  <r>
    <d v="2025-02-24T00:00:00"/>
    <n v="2500"/>
    <m/>
    <m/>
    <x v="2"/>
    <n v="153795573"/>
    <s v="BIAYA ADM HONOR USTADZ KHOERUL MAKTUM"/>
    <x v="11"/>
    <s v="Bank"/>
  </r>
  <r>
    <d v="2025-02-24T00:00:00"/>
    <m/>
    <m/>
    <n v="50000"/>
    <x v="2"/>
    <n v="153845573"/>
    <s v="QRIS"/>
    <x v="2"/>
    <s v="Bank"/>
  </r>
  <r>
    <d v="2025-02-24T00:00:00"/>
    <m/>
    <m/>
    <n v="20000"/>
    <x v="2"/>
    <n v="153865573"/>
    <s v="QRIS"/>
    <x v="2"/>
    <s v="Bank"/>
  </r>
  <r>
    <d v="2025-02-24T00:00:00"/>
    <m/>
    <m/>
    <n v="150000"/>
    <x v="2"/>
    <n v="154015573"/>
    <s v="QRIS"/>
    <x v="2"/>
    <s v="Bank"/>
  </r>
  <r>
    <d v="2025-02-24T00:00:00"/>
    <m/>
    <m/>
    <n v="1904"/>
    <x v="2"/>
    <n v="154017477"/>
    <s v="QRIS"/>
    <x v="2"/>
    <s v="Bank"/>
  </r>
  <r>
    <d v="2025-02-24T00:00:00"/>
    <n v="1000000"/>
    <m/>
    <m/>
    <x v="2"/>
    <n v="153017477"/>
    <s v="HONOR USTADZ WAHID RAHMAN"/>
    <x v="11"/>
    <s v="Bank"/>
  </r>
  <r>
    <d v="2025-02-24T00:00:00"/>
    <n v="2500"/>
    <m/>
    <m/>
    <x v="2"/>
    <n v="153014977"/>
    <s v="BIAYA ADM HONOR USTADZ WAHID RAHMAN"/>
    <x v="11"/>
    <s v="Bank"/>
  </r>
  <r>
    <d v="2025-02-24T00:00:00"/>
    <n v="1500000"/>
    <m/>
    <m/>
    <x v="2"/>
    <n v="151514977"/>
    <s v="HONOR PELATIHAN JENAZAH"/>
    <x v="11"/>
    <s v="Bank"/>
  </r>
  <r>
    <d v="2025-02-24T00:00:00"/>
    <n v="6500"/>
    <m/>
    <m/>
    <x v="2"/>
    <n v="151508477"/>
    <s v="BIAYA ADM HONOR PELATIHAN JENAZAH"/>
    <x v="11"/>
    <s v="Bank"/>
  </r>
  <r>
    <d v="2025-02-24T00:00:00"/>
    <m/>
    <m/>
    <n v="5000"/>
    <x v="2"/>
    <n v="151513477"/>
    <s v="QRIS"/>
    <x v="2"/>
    <s v="Bank"/>
  </r>
  <r>
    <d v="2025-02-24T00:00:00"/>
    <m/>
    <m/>
    <n v="1000"/>
    <x v="2"/>
    <n v="151514477"/>
    <s v="QRIS"/>
    <x v="2"/>
    <s v="Bank"/>
  </r>
  <r>
    <d v="2025-02-24T00:00:00"/>
    <m/>
    <m/>
    <n v="2641000"/>
    <x v="2"/>
    <n v="154155477"/>
    <s v="Akun Yatim &amp; Sosial"/>
    <x v="12"/>
    <s v="Bank"/>
  </r>
  <r>
    <d v="2025-02-24T00:00:00"/>
    <m/>
    <m/>
    <n v="3441000"/>
    <x v="2"/>
    <n v="157596477"/>
    <s v="Operasional (Infaq &amp; Sodaqoh)"/>
    <x v="2"/>
    <s v="Bank"/>
  </r>
  <r>
    <d v="2025-02-24T00:00:00"/>
    <n v="1000000"/>
    <m/>
    <m/>
    <x v="2"/>
    <n v="156596477"/>
    <s v="Isi Petty Cash"/>
    <x v="1"/>
    <s v="Bank"/>
  </r>
  <r>
    <d v="2025-02-24T00:00:00"/>
    <n v="62000"/>
    <m/>
    <m/>
    <x v="2"/>
    <n v="156534477"/>
    <s v="Selisih hitung setor bank"/>
    <x v="1"/>
    <s v="Bank"/>
  </r>
  <r>
    <m/>
    <m/>
    <n v="5020000"/>
    <m/>
    <x v="1"/>
    <n v="156534477"/>
    <s v="SETOR IMRON"/>
    <x v="4"/>
    <m/>
  </r>
  <r>
    <d v="2025-02-25T00:00:00"/>
    <m/>
    <m/>
    <n v="50000"/>
    <x v="2"/>
    <n v="156584477"/>
    <s v="QRIS"/>
    <x v="2"/>
    <s v="Bank"/>
  </r>
  <r>
    <d v="2025-02-25T00:00:00"/>
    <m/>
    <m/>
    <n v="10000"/>
    <x v="2"/>
    <n v="156594477"/>
    <s v="QRIS"/>
    <x v="2"/>
    <s v="Bank"/>
  </r>
  <r>
    <d v="2025-02-25T00:00:00"/>
    <m/>
    <m/>
    <n v="200000"/>
    <x v="2"/>
    <n v="156794477"/>
    <s v="INFAQ TPQ RIVENDRA"/>
    <x v="2"/>
    <s v="Bank"/>
  </r>
  <r>
    <d v="2025-02-25T00:00:00"/>
    <n v="15000"/>
    <m/>
    <m/>
    <x v="2"/>
    <n v="156779477"/>
    <s v="CETAK STICKER QRIS MASJID ALJABBAR"/>
    <x v="1"/>
    <s v="Bank"/>
  </r>
  <r>
    <d v="2025-02-25T00:00:00"/>
    <n v="2500"/>
    <m/>
    <m/>
    <x v="2"/>
    <n v="156776977"/>
    <s v="BIAYA ADM CETAK STICKER QRIS MASJID ALJABBAR"/>
    <x v="1"/>
    <s v="Bank"/>
  </r>
  <r>
    <d v="2025-02-26T00:00:00"/>
    <m/>
    <m/>
    <n v="10000"/>
    <x v="2"/>
    <n v="156786977"/>
    <s v="QRIS"/>
    <x v="2"/>
    <s v="Bank"/>
  </r>
  <r>
    <d v="2025-02-27T00:00:00"/>
    <m/>
    <m/>
    <n v="10000"/>
    <x v="2"/>
    <n v="156796977"/>
    <s v="QRIS"/>
    <x v="2"/>
    <s v="Bank"/>
  </r>
  <r>
    <d v="2025-02-27T00:00:00"/>
    <m/>
    <m/>
    <n v="20000"/>
    <x v="2"/>
    <n v="156816977"/>
    <s v="QRIS"/>
    <x v="2"/>
    <s v="Bank"/>
  </r>
  <r>
    <d v="2025-02-27T00:00:00"/>
    <m/>
    <m/>
    <n v="10000"/>
    <x v="2"/>
    <n v="156826977"/>
    <s v="QRIS"/>
    <x v="2"/>
    <s v="Bank"/>
  </r>
  <r>
    <d v="2025-02-27T00:00:00"/>
    <m/>
    <m/>
    <n v="1000000"/>
    <x v="2"/>
    <n v="157826977"/>
    <s v="INFAQ DARI ANGGONO IRIAWAN"/>
    <x v="2"/>
    <s v="Bank"/>
  </r>
  <r>
    <d v="2025-02-27T00:00:00"/>
    <n v="2000000"/>
    <m/>
    <m/>
    <x v="2"/>
    <n v="155826977"/>
    <s v="HONOR YANA SIGIT ISMATULLAH"/>
    <x v="13"/>
    <s v="Bank"/>
  </r>
  <r>
    <d v="2025-02-27T00:00:00"/>
    <n v="6500"/>
    <m/>
    <m/>
    <x v="2"/>
    <n v="155820477"/>
    <s v="HONOR YANA SIGIT ISMATULLAH"/>
    <x v="13"/>
    <s v="Bank"/>
  </r>
  <r>
    <d v="2025-02-27T00:00:00"/>
    <n v="2000000"/>
    <m/>
    <m/>
    <x v="2"/>
    <n v="153820477"/>
    <s v="HONOR A IMRON ROSADI"/>
    <x v="13"/>
    <s v="Bank"/>
  </r>
  <r>
    <d v="2025-02-27T00:00:00"/>
    <n v="6500"/>
    <m/>
    <m/>
    <x v="2"/>
    <n v="153813977"/>
    <s v="HONOR A IMRON ROSADI"/>
    <x v="13"/>
    <s v="Bank"/>
  </r>
  <r>
    <d v="2025-02-27T00:00:00"/>
    <n v="2500000"/>
    <m/>
    <m/>
    <x v="2"/>
    <n v="151313977"/>
    <s v="HONOR ABDUL AZIS VIA ISTANTO"/>
    <x v="13"/>
    <s v="Bank"/>
  </r>
  <r>
    <d v="2025-02-27T00:00:00"/>
    <n v="6500"/>
    <m/>
    <m/>
    <x v="2"/>
    <n v="151307477"/>
    <s v="HONOR ABDUL AZIS VIA ISTANTO"/>
    <x v="13"/>
    <s v="Bank"/>
  </r>
  <r>
    <d v="2025-02-27T00:00:00"/>
    <n v="3250000"/>
    <m/>
    <m/>
    <x v="2"/>
    <n v="148057477"/>
    <s v="HONOR NANANG SUBAEDI"/>
    <x v="15"/>
    <s v="Bank"/>
  </r>
  <r>
    <d v="2025-02-27T00:00:00"/>
    <n v="6500"/>
    <m/>
    <m/>
    <x v="2"/>
    <n v="148050977"/>
    <s v="HONOR NANANG SUBAEDI"/>
    <x v="15"/>
    <s v="Bank"/>
  </r>
  <r>
    <d v="2025-02-27T00:00:00"/>
    <n v="2700000"/>
    <m/>
    <m/>
    <x v="2"/>
    <n v="145350977"/>
    <s v="HONOR M BAYU CANDRA"/>
    <x v="15"/>
    <s v="Bank"/>
  </r>
  <r>
    <d v="2025-02-27T00:00:00"/>
    <n v="6500"/>
    <m/>
    <m/>
    <x v="2"/>
    <n v="145344477"/>
    <s v="HONOR M BAYU CANDRA"/>
    <x v="15"/>
    <s v="Bank"/>
  </r>
  <r>
    <d v="2025-02-27T00:00:00"/>
    <n v="1500000"/>
    <m/>
    <m/>
    <x v="2"/>
    <n v="143844477"/>
    <s v="HONOR MUHAMMAD ILHAM"/>
    <x v="15"/>
    <s v="Bank"/>
  </r>
  <r>
    <d v="2025-02-27T00:00:00"/>
    <n v="6500"/>
    <m/>
    <m/>
    <x v="2"/>
    <n v="143837977"/>
    <s v="HONOR MUHAMMAD ILHAM"/>
    <x v="15"/>
    <s v="Bank"/>
  </r>
  <r>
    <d v="2025-02-27T00:00:00"/>
    <n v="2500000"/>
    <m/>
    <m/>
    <x v="2"/>
    <n v="141337977"/>
    <s v="HONOR SURYADI"/>
    <x v="13"/>
    <s v="Bank"/>
  </r>
  <r>
    <d v="2025-02-27T00:00:00"/>
    <m/>
    <m/>
    <n v="1250000"/>
    <x v="2"/>
    <n v="142587977"/>
    <s v="INFAQ COLLECTIVE WARGA VIA ABDUL AZIS"/>
    <x v="2"/>
    <s v="Bank"/>
  </r>
  <r>
    <d v="2025-02-28T00:00:00"/>
    <m/>
    <m/>
    <n v="10000"/>
    <x v="2"/>
    <n v="142597977"/>
    <s v="QRIS"/>
    <x v="2"/>
    <s v="Bank"/>
  </r>
  <r>
    <d v="2025-02-28T00:00:00"/>
    <m/>
    <m/>
    <n v="50000"/>
    <x v="2"/>
    <n v="142647977"/>
    <s v="QRIS"/>
    <x v="2"/>
    <s v="Bank"/>
  </r>
  <r>
    <d v="2025-02-28T00:00:00"/>
    <n v="4000000"/>
    <m/>
    <m/>
    <x v="2"/>
    <n v="138647977"/>
    <s v="MAJ BIAYA PERAWATAN SANTRI FEBRUARI"/>
    <x v="15"/>
    <s v="Bank"/>
  </r>
  <r>
    <d v="2025-02-28T00:00:00"/>
    <n v="2500"/>
    <m/>
    <m/>
    <x v="2"/>
    <n v="138645477"/>
    <s v="BIAYA ADM"/>
    <x v="15"/>
    <s v="Bank"/>
  </r>
  <r>
    <d v="2025-02-28T00:00:00"/>
    <n v="7000"/>
    <m/>
    <m/>
    <x v="2"/>
    <n v="138638477"/>
    <s v="Fee Payroll Januari"/>
    <x v="1"/>
    <s v="Bank"/>
  </r>
  <r>
    <d v="2025-03-03T00:00:00"/>
    <m/>
    <m/>
    <n v="50000"/>
    <x v="3"/>
    <n v="138688477"/>
    <s v="INFAQ QRIS"/>
    <x v="2"/>
    <s v="Bank"/>
  </r>
  <r>
    <d v="2025-03-03T00:00:00"/>
    <m/>
    <m/>
    <n v="20000"/>
    <x v="3"/>
    <n v="138708477"/>
    <s v="INFAQ QRIS"/>
    <x v="2"/>
    <s v="Bank"/>
  </r>
  <r>
    <d v="2025-03-03T00:00:00"/>
    <m/>
    <m/>
    <n v="10000"/>
    <x v="3"/>
    <n v="138718477"/>
    <s v="INFAQ QRIS"/>
    <x v="2"/>
    <s v="Bank"/>
  </r>
  <r>
    <d v="2025-03-03T00:00:00"/>
    <m/>
    <m/>
    <n v="75000"/>
    <x v="3"/>
    <n v="138793477"/>
    <s v="INFAQ QRIS"/>
    <x v="2"/>
    <s v="Bank"/>
  </r>
  <r>
    <d v="2025-03-03T00:00:00"/>
    <m/>
    <m/>
    <n v="10000"/>
    <x v="3"/>
    <n v="138803477"/>
    <s v="INFAQ QRIS"/>
    <x v="2"/>
    <s v="Bank"/>
  </r>
  <r>
    <d v="2025-03-03T00:00:00"/>
    <m/>
    <m/>
    <n v="800"/>
    <x v="3"/>
    <n v="138804277"/>
    <s v="INFAQ QRIS"/>
    <x v="2"/>
    <s v="Bank"/>
  </r>
  <r>
    <d v="2025-03-03T00:00:00"/>
    <m/>
    <m/>
    <n v="200000"/>
    <x v="3"/>
    <n v="139004277"/>
    <s v="INFAQ DARI UMI HAMIDAH DRA"/>
    <x v="2"/>
    <s v="Bank"/>
  </r>
  <r>
    <d v="2025-03-03T00:00:00"/>
    <n v="4002500"/>
    <m/>
    <m/>
    <x v="3"/>
    <n v="135001777"/>
    <s v="DP Panitia Buka Bersama MAJ 1446H"/>
    <x v="17"/>
    <s v="Bank"/>
  </r>
  <r>
    <d v="2025-03-03T00:00:00"/>
    <m/>
    <m/>
    <n v="10000"/>
    <x v="3"/>
    <n v="135011777"/>
    <s v="INFAQ QRIS"/>
    <x v="2"/>
    <s v="Bank"/>
  </r>
  <r>
    <d v="2025-03-03T00:00:00"/>
    <m/>
    <m/>
    <n v="50000"/>
    <x v="3"/>
    <n v="135061777"/>
    <s v="INFAQ QRIS"/>
    <x v="2"/>
    <s v="Bank"/>
  </r>
  <r>
    <d v="2025-03-03T00:00:00"/>
    <m/>
    <m/>
    <n v="5000"/>
    <x v="3"/>
    <n v="135066777"/>
    <s v="INFAQ QRIS"/>
    <x v="2"/>
    <s v="Bank"/>
  </r>
  <r>
    <d v="2025-03-03T00:00:00"/>
    <m/>
    <m/>
    <n v="50000"/>
    <x v="3"/>
    <n v="135116777"/>
    <s v="INFAQ QRIS"/>
    <x v="2"/>
    <s v="Bank"/>
  </r>
  <r>
    <d v="2025-03-03T00:00:00"/>
    <m/>
    <m/>
    <n v="10000"/>
    <x v="3"/>
    <n v="135126777"/>
    <s v="INFAQ QRIS"/>
    <x v="2"/>
    <s v="Bank"/>
  </r>
  <r>
    <d v="2025-03-03T00:00:00"/>
    <m/>
    <m/>
    <n v="20000"/>
    <x v="3"/>
    <n v="135146777"/>
    <s v="INFAQ QRIS"/>
    <x v="2"/>
    <s v="Bank"/>
  </r>
  <r>
    <d v="2025-03-03T00:00:00"/>
    <m/>
    <m/>
    <n v="10000"/>
    <x v="3"/>
    <n v="135156777"/>
    <s v="INFAQ QRIS"/>
    <x v="2"/>
    <s v="Bank"/>
  </r>
  <r>
    <d v="2025-03-03T00:00:00"/>
    <m/>
    <m/>
    <n v="5000"/>
    <x v="3"/>
    <n v="135161777"/>
    <s v="INFAQ QRIS"/>
    <x v="2"/>
    <s v="Bank"/>
  </r>
  <r>
    <d v="2025-03-03T00:00:00"/>
    <m/>
    <m/>
    <n v="100000"/>
    <x v="3"/>
    <n v="135261777"/>
    <s v="INFAQ QRIS"/>
    <x v="2"/>
    <s v="Bank"/>
  </r>
  <r>
    <d v="2025-03-03T00:00:00"/>
    <m/>
    <m/>
    <n v="20000"/>
    <x v="3"/>
    <n v="135281777"/>
    <s v="INFAQ QRIS"/>
    <x v="2"/>
    <s v="Bank"/>
  </r>
  <r>
    <d v="2025-03-03T00:00:00"/>
    <m/>
    <m/>
    <n v="10000"/>
    <x v="3"/>
    <n v="135291777"/>
    <s v="INFAQ QRIS"/>
    <x v="2"/>
    <s v="Bank"/>
  </r>
  <r>
    <d v="2025-03-03T00:00:00"/>
    <m/>
    <m/>
    <n v="5000"/>
    <x v="3"/>
    <n v="135296777"/>
    <s v="INFAQ QRIS"/>
    <x v="2"/>
    <s v="Bank"/>
  </r>
  <r>
    <d v="2025-03-03T00:00:00"/>
    <m/>
    <m/>
    <n v="5000"/>
    <x v="3"/>
    <n v="135301777"/>
    <s v="INFAQ QRIS"/>
    <x v="2"/>
    <s v="Bank"/>
  </r>
  <r>
    <d v="2025-03-03T00:00:00"/>
    <m/>
    <m/>
    <n v="200000"/>
    <x v="3"/>
    <n v="135501777"/>
    <s v="INFAQ DEDEN TP PERDIANSYAH"/>
    <x v="2"/>
    <s v="Bank"/>
  </r>
  <r>
    <d v="2025-03-03T00:00:00"/>
    <m/>
    <m/>
    <n v="550000"/>
    <x v="3"/>
    <n v="136051777"/>
    <s v="INFAQ QRIS"/>
    <x v="2"/>
    <s v="Bank"/>
  </r>
  <r>
    <d v="2025-03-03T00:00:00"/>
    <m/>
    <m/>
    <n v="50000"/>
    <x v="3"/>
    <n v="136101777"/>
    <s v="INFAQ QRIS"/>
    <x v="2"/>
    <s v="Bank"/>
  </r>
  <r>
    <d v="2025-03-03T00:00:00"/>
    <m/>
    <m/>
    <n v="21439"/>
    <x v="3"/>
    <n v="136123216"/>
    <s v="INFAQ QRIS"/>
    <x v="2"/>
    <s v="Bank"/>
  </r>
  <r>
    <d v="2025-03-03T00:00:00"/>
    <m/>
    <m/>
    <n v="50000"/>
    <x v="3"/>
    <n v="136173216"/>
    <s v="INFAQ QRIS"/>
    <x v="2"/>
    <s v="Bank"/>
  </r>
  <r>
    <d v="2025-03-03T00:00:00"/>
    <m/>
    <m/>
    <n v="10000"/>
    <x v="3"/>
    <n v="136183216"/>
    <s v="INFAQ QRIS"/>
    <x v="2"/>
    <s v="Bank"/>
  </r>
  <r>
    <d v="2025-03-03T00:00:00"/>
    <m/>
    <m/>
    <n v="10000"/>
    <x v="3"/>
    <n v="136193216"/>
    <s v="INFAQ QRIS"/>
    <x v="2"/>
    <s v="Bank"/>
  </r>
  <r>
    <d v="2025-03-03T00:00:00"/>
    <m/>
    <m/>
    <n v="5000"/>
    <x v="3"/>
    <n v="136198216"/>
    <s v="INFAQ QRIS"/>
    <x v="2"/>
    <s v="Bank"/>
  </r>
  <r>
    <d v="2025-03-03T00:00:00"/>
    <m/>
    <m/>
    <n v="20000"/>
    <x v="3"/>
    <n v="136218216"/>
    <s v="INFAQ QRIS"/>
    <x v="2"/>
    <s v="Bank"/>
  </r>
  <r>
    <d v="2025-03-03T00:00:00"/>
    <m/>
    <m/>
    <n v="100000"/>
    <x v="3"/>
    <n v="136318216"/>
    <s v="INFAQ QRIS"/>
    <x v="2"/>
    <s v="Bank"/>
  </r>
  <r>
    <d v="2025-03-03T00:00:00"/>
    <m/>
    <m/>
    <n v="100000"/>
    <x v="3"/>
    <n v="136418216"/>
    <s v="INFAQ QRIS"/>
    <x v="2"/>
    <s v="Bank"/>
  </r>
  <r>
    <d v="2025-03-03T00:00:00"/>
    <m/>
    <m/>
    <n v="50000"/>
    <x v="3"/>
    <n v="136468216"/>
    <s v="INFAQ QRIS"/>
    <x v="2"/>
    <s v="Bank"/>
  </r>
  <r>
    <d v="2025-03-03T00:00:00"/>
    <m/>
    <m/>
    <n v="25000"/>
    <x v="3"/>
    <n v="136493216"/>
    <s v="INFAQ QRIS"/>
    <x v="2"/>
    <s v="Bank"/>
  </r>
  <r>
    <d v="2025-03-03T00:00:00"/>
    <m/>
    <m/>
    <n v="20000"/>
    <x v="3"/>
    <n v="136513216"/>
    <s v="INFAQ QRIS"/>
    <x v="2"/>
    <s v="Bank"/>
  </r>
  <r>
    <d v="2025-03-03T00:00:00"/>
    <m/>
    <m/>
    <n v="10000"/>
    <x v="3"/>
    <n v="136523216"/>
    <s v="INFAQ QRIS"/>
    <x v="2"/>
    <s v="Bank"/>
  </r>
  <r>
    <d v="2025-03-03T00:00:00"/>
    <m/>
    <m/>
    <n v="4000"/>
    <x v="3"/>
    <n v="136527216"/>
    <s v="INFAQ QRIS"/>
    <x v="2"/>
    <s v="Bank"/>
  </r>
  <r>
    <d v="2025-03-03T00:00:00"/>
    <m/>
    <m/>
    <n v="500000"/>
    <x v="3"/>
    <n v="137027216"/>
    <s v="INFAQ DARI DRS SARWONO"/>
    <x v="2"/>
    <s v="Bank"/>
  </r>
  <r>
    <d v="2025-03-03T00:00:00"/>
    <m/>
    <m/>
    <n v="2885000"/>
    <x v="3"/>
    <n v="139912216"/>
    <s v="Akun Yatim &amp; Sosial"/>
    <x v="12"/>
    <s v="Bank"/>
  </r>
  <r>
    <d v="2025-03-03T00:00:00"/>
    <m/>
    <m/>
    <n v="1322000"/>
    <x v="3"/>
    <n v="141234216"/>
    <s v="Operasional (Infaq &amp; Sodaqoh)"/>
    <x v="2"/>
    <s v="Bank"/>
  </r>
  <r>
    <m/>
    <m/>
    <n v="4207000"/>
    <m/>
    <x v="1"/>
    <n v="141234216"/>
    <s v="SETOR IMRON"/>
    <x v="4"/>
    <m/>
  </r>
  <r>
    <d v="2025-03-03T00:00:00"/>
    <m/>
    <m/>
    <n v="200000"/>
    <x v="3"/>
    <n v="141434216"/>
    <s v="INFAQ DARI WUSONO PRIHADI SANTO"/>
    <x v="2"/>
    <s v="Bank"/>
  </r>
  <r>
    <d v="2025-03-04T00:00:00"/>
    <m/>
    <m/>
    <n v="900000"/>
    <x v="3"/>
    <n v="142334216"/>
    <s v="INFAQ DARI ANDI BAGUS JL.PANGRANGO 25"/>
    <x v="2"/>
    <s v="Bank"/>
  </r>
  <r>
    <d v="2025-03-04T00:00:00"/>
    <m/>
    <m/>
    <n v="300000"/>
    <x v="3"/>
    <n v="142634216"/>
    <s v="INFAQ DARI FADJAR SATYANI"/>
    <x v="2"/>
    <s v="Bank"/>
  </r>
  <r>
    <d v="2025-03-04T00:00:00"/>
    <m/>
    <m/>
    <n v="10000"/>
    <x v="3"/>
    <n v="142644216"/>
    <s v="INFAQ QRIS"/>
    <x v="2"/>
    <s v="Bank"/>
  </r>
  <r>
    <d v="2025-03-04T00:00:00"/>
    <m/>
    <m/>
    <n v="5000"/>
    <x v="3"/>
    <n v="142649216"/>
    <s v="INFAQ QRIS"/>
    <x v="2"/>
    <s v="Bank"/>
  </r>
  <r>
    <d v="2025-03-04T00:00:00"/>
    <m/>
    <m/>
    <n v="20000"/>
    <x v="3"/>
    <n v="142669216"/>
    <s v="INFAQ QRIS"/>
    <x v="2"/>
    <s v="Bank"/>
  </r>
  <r>
    <d v="2025-03-04T00:00:00"/>
    <m/>
    <m/>
    <n v="50000"/>
    <x v="3"/>
    <n v="142719216"/>
    <s v="INFAQ QRIS"/>
    <x v="2"/>
    <s v="Bank"/>
  </r>
  <r>
    <d v="2025-03-04T00:00:00"/>
    <m/>
    <m/>
    <n v="10000"/>
    <x v="3"/>
    <n v="142729216"/>
    <s v="INFAQ QRIS"/>
    <x v="2"/>
    <s v="Bank"/>
  </r>
  <r>
    <d v="2025-03-04T00:00:00"/>
    <m/>
    <m/>
    <n v="10000"/>
    <x v="3"/>
    <n v="142739216"/>
    <s v="INFAQ QRIS"/>
    <x v="2"/>
    <s v="Bank"/>
  </r>
  <r>
    <d v="2025-03-04T00:00:00"/>
    <n v="855000"/>
    <m/>
    <m/>
    <x v="3"/>
    <n v="141884216"/>
    <s v="REIMBURSE BELI MATERIAL CAT PAK AMRAN"/>
    <x v="8"/>
    <s v="Bank"/>
  </r>
  <r>
    <d v="2025-03-04T00:00:00"/>
    <n v="2500"/>
    <m/>
    <m/>
    <x v="3"/>
    <n v="141881716"/>
    <s v="BIAYA ADM REIMBURSE BELI MATERIAL CAT PAK AMRAN"/>
    <x v="8"/>
    <s v="Bank"/>
  </r>
  <r>
    <d v="2025-03-04T00:00:00"/>
    <m/>
    <m/>
    <n v="150000"/>
    <x v="3"/>
    <n v="142031716"/>
    <s v="INFAQ DARI DWI LISTYOWATI DRA/JONET GUNUNG SALAK FA 5"/>
    <x v="2"/>
    <s v="Bank"/>
  </r>
  <r>
    <d v="2025-03-05T00:00:00"/>
    <m/>
    <m/>
    <n v="1000000"/>
    <x v="3"/>
    <n v="143031716"/>
    <s v="INFAQ DARI ANIS "/>
    <x v="2"/>
    <s v="Bank"/>
  </r>
  <r>
    <d v="2025-03-05T00:00:00"/>
    <n v="1350000"/>
    <m/>
    <m/>
    <x v="3"/>
    <n v="141681716"/>
    <s v="REIMBURSE VOUCHER LISTRIK &amp; SERVICE AC"/>
    <x v="7"/>
    <s v="Bank"/>
  </r>
  <r>
    <d v="2025-03-05T00:00:00"/>
    <n v="2500"/>
    <m/>
    <m/>
    <x v="3"/>
    <n v="141679216"/>
    <s v="BIAYA ADM REIMBURSE VOUCHER LISTRIK &amp; SERVICE AC"/>
    <x v="7"/>
    <s v="Bank"/>
  </r>
  <r>
    <d v="2025-03-05T00:00:00"/>
    <m/>
    <m/>
    <n v="1000000"/>
    <x v="3"/>
    <n v="142679216"/>
    <s v="INFAQ DARI MOH RESAWAN HAKIM"/>
    <x v="2"/>
    <s v="Bank"/>
  </r>
  <r>
    <d v="2025-03-05T00:00:00"/>
    <m/>
    <m/>
    <n v="10000"/>
    <x v="3"/>
    <n v="142689216"/>
    <s v="INFAQ QRIS"/>
    <x v="2"/>
    <s v="Bank"/>
  </r>
  <r>
    <d v="2025-03-05T00:00:00"/>
    <m/>
    <m/>
    <n v="100000"/>
    <x v="3"/>
    <n v="142789216"/>
    <s v="INFAQ QRIS"/>
    <x v="2"/>
    <s v="Bank"/>
  </r>
  <r>
    <d v="2025-03-05T00:00:00"/>
    <m/>
    <m/>
    <n v="20000"/>
    <x v="3"/>
    <n v="142809216"/>
    <s v="INFAQ QRIS"/>
    <x v="2"/>
    <s v="Bank"/>
  </r>
  <r>
    <d v="2025-03-05T00:00:00"/>
    <m/>
    <m/>
    <n v="25000"/>
    <x v="3"/>
    <n v="142834216"/>
    <s v="INFAQ QRIS"/>
    <x v="2"/>
    <s v="Bank"/>
  </r>
  <r>
    <d v="2025-03-05T00:00:00"/>
    <m/>
    <m/>
    <n v="10000"/>
    <x v="3"/>
    <n v="142844216"/>
    <s v="INFAQ QRIS"/>
    <x v="2"/>
    <s v="Bank"/>
  </r>
  <r>
    <d v="2025-03-05T00:00:00"/>
    <m/>
    <m/>
    <n v="50000"/>
    <x v="3"/>
    <n v="142894216"/>
    <s v="INFAQ QRIS"/>
    <x v="2"/>
    <s v="Bank"/>
  </r>
  <r>
    <d v="2025-03-05T00:00:00"/>
    <m/>
    <m/>
    <n v="4341"/>
    <x v="3"/>
    <n v="142898557"/>
    <s v="INFAQ QRIS"/>
    <x v="2"/>
    <s v="Bank"/>
  </r>
  <r>
    <d v="2025-03-05T00:00:00"/>
    <m/>
    <m/>
    <n v="16000"/>
    <x v="3"/>
    <n v="142914557"/>
    <s v="INFAQ QRIS"/>
    <x v="2"/>
    <s v="Bank"/>
  </r>
  <r>
    <d v="2025-03-05T00:00:00"/>
    <m/>
    <m/>
    <n v="216"/>
    <x v="3"/>
    <n v="142914773"/>
    <s v="INFAQ QRIS"/>
    <x v="2"/>
    <s v="Bank"/>
  </r>
  <r>
    <d v="2025-03-05T00:00:00"/>
    <n v="500000"/>
    <m/>
    <m/>
    <x v="3"/>
    <n v="142414773"/>
    <s v="BAYAR TUKANG CAT LT 2 MAJ"/>
    <x v="8"/>
    <s v="Bank"/>
  </r>
  <r>
    <d v="2025-03-05T00:00:00"/>
    <n v="2500"/>
    <m/>
    <m/>
    <x v="3"/>
    <n v="142412273"/>
    <s v="BIAYA ADM BAYAR TUKANG CAT LT 2 MAJ"/>
    <x v="8"/>
    <s v="Bank"/>
  </r>
  <r>
    <d v="2025-03-05T00:00:00"/>
    <m/>
    <m/>
    <n v="600000"/>
    <x v="3"/>
    <n v="143012273"/>
    <s v="INFAQ DARI EDWARDI  CDT TRF BENFC BIFAST"/>
    <x v="2"/>
    <s v="Bank"/>
  </r>
  <r>
    <d v="2025-03-05T00:00:00"/>
    <m/>
    <m/>
    <n v="78000"/>
    <x v="3"/>
    <n v="143090273"/>
    <s v="Refund Program MAP_Februari 2025"/>
    <x v="2"/>
    <s v="Bank"/>
  </r>
  <r>
    <d v="2025-03-06T00:00:00"/>
    <m/>
    <m/>
    <n v="10000000"/>
    <x v="3"/>
    <n v="153090273"/>
    <s v="ZAKAT MAL BPK HARMEN"/>
    <x v="16"/>
    <s v="Bank"/>
  </r>
  <r>
    <d v="2025-03-06T00:00:00"/>
    <m/>
    <m/>
    <n v="540000"/>
    <x v="3"/>
    <n v="153630273"/>
    <s v="INFAQ QRIS"/>
    <x v="2"/>
    <s v="Bank"/>
  </r>
  <r>
    <d v="2025-03-06T00:00:00"/>
    <m/>
    <m/>
    <n v="100000"/>
    <x v="3"/>
    <n v="153730273"/>
    <s v="INFAQ QRIS"/>
    <x v="2"/>
    <s v="Bank"/>
  </r>
  <r>
    <d v="2025-03-06T00:00:00"/>
    <m/>
    <m/>
    <n v="50000"/>
    <x v="3"/>
    <n v="153780273"/>
    <s v="INFAQ QRIS"/>
    <x v="2"/>
    <s v="Bank"/>
  </r>
  <r>
    <d v="2025-03-06T00:00:00"/>
    <m/>
    <m/>
    <n v="10000"/>
    <x v="3"/>
    <n v="153790273"/>
    <s v="INFAQ QRIS"/>
    <x v="2"/>
    <s v="Bank"/>
  </r>
  <r>
    <d v="2025-03-06T00:00:00"/>
    <m/>
    <m/>
    <n v="10000"/>
    <x v="3"/>
    <n v="153800273"/>
    <s v="INFAQ QRIS"/>
    <x v="2"/>
    <s v="Bank"/>
  </r>
  <r>
    <d v="2025-03-06T00:00:00"/>
    <m/>
    <m/>
    <n v="100000"/>
    <x v="3"/>
    <n v="153900273"/>
    <s v="INFAQ QRIS"/>
    <x v="2"/>
    <s v="Bank"/>
  </r>
  <r>
    <d v="2025-03-06T00:00:00"/>
    <m/>
    <m/>
    <n v="5000"/>
    <x v="3"/>
    <n v="153905273"/>
    <s v="INFAQ QRIS"/>
    <x v="2"/>
    <s v="Bank"/>
  </r>
  <r>
    <d v="2025-03-06T00:00:00"/>
    <m/>
    <m/>
    <n v="50000"/>
    <x v="3"/>
    <n v="153955273"/>
    <s v="INFAQ QRIS"/>
    <x v="2"/>
    <s v="Bank"/>
  </r>
  <r>
    <d v="2025-03-06T00:00:00"/>
    <m/>
    <m/>
    <n v="100000"/>
    <x v="3"/>
    <n v="154055273"/>
    <s v="InfaQ warga TS 5 No 8"/>
    <x v="2"/>
    <s v="Bank"/>
  </r>
  <r>
    <d v="2025-03-06T00:00:00"/>
    <m/>
    <m/>
    <n v="400000"/>
    <x v="3"/>
    <n v="154455273"/>
    <s v="INFAQ DARI PUTIE AMBUN SURI/RIVENDRA"/>
    <x v="2"/>
    <s v="Bank"/>
  </r>
  <r>
    <d v="2025-03-06T00:00:00"/>
    <m/>
    <m/>
    <n v="50000"/>
    <x v="3"/>
    <n v="154505273"/>
    <s v="INFAQ DARI DEDEN TP PERDIANSYAH "/>
    <x v="2"/>
    <s v="Bank"/>
  </r>
  <r>
    <d v="2025-03-07T00:00:00"/>
    <m/>
    <m/>
    <n v="2000000"/>
    <x v="3"/>
    <n v="156505273"/>
    <s v="INFAQ DARI RIZKYHIDAYATSL"/>
    <x v="2"/>
    <s v="Bank"/>
  </r>
  <r>
    <d v="2025-03-07T00:00:00"/>
    <m/>
    <m/>
    <n v="50000"/>
    <x v="3"/>
    <n v="156555273"/>
    <s v="INFAQ QRIS"/>
    <x v="2"/>
    <s v="Bank"/>
  </r>
  <r>
    <d v="2025-03-07T00:00:00"/>
    <m/>
    <m/>
    <n v="50000"/>
    <x v="3"/>
    <n v="156605273"/>
    <s v="INFAQ QRIS"/>
    <x v="2"/>
    <s v="Bank"/>
  </r>
  <r>
    <d v="2025-03-07T00:00:00"/>
    <m/>
    <m/>
    <n v="50000"/>
    <x v="3"/>
    <n v="156655273"/>
    <s v="INFAQ QRIS"/>
    <x v="2"/>
    <s v="Bank"/>
  </r>
  <r>
    <d v="2025-03-07T00:00:00"/>
    <m/>
    <m/>
    <n v="100000"/>
    <x v="3"/>
    <n v="156755273"/>
    <s v="INFAQ QRIS"/>
    <x v="2"/>
    <s v="Bank"/>
  </r>
  <r>
    <d v="2025-03-07T00:00:00"/>
    <m/>
    <m/>
    <n v="100000"/>
    <x v="3"/>
    <n v="156855273"/>
    <s v="INFAQ QRIS"/>
    <x v="2"/>
    <s v="Bank"/>
  </r>
  <r>
    <d v="2025-03-07T00:00:00"/>
    <m/>
    <m/>
    <n v="100000"/>
    <x v="3"/>
    <n v="156955273"/>
    <s v="INFAQ QRIS"/>
    <x v="2"/>
    <s v="Bank"/>
  </r>
  <r>
    <d v="2025-03-07T00:00:00"/>
    <m/>
    <m/>
    <n v="10000"/>
    <x v="3"/>
    <n v="156965273"/>
    <s v="INFAQ QRIS"/>
    <x v="2"/>
    <s v="Bank"/>
  </r>
  <r>
    <d v="2025-03-07T00:00:00"/>
    <m/>
    <m/>
    <n v="50000"/>
    <x v="3"/>
    <n v="157015273"/>
    <s v="INFAQ QRIS"/>
    <x v="2"/>
    <s v="Bank"/>
  </r>
  <r>
    <d v="2025-03-07T00:00:00"/>
    <m/>
    <m/>
    <n v="10000"/>
    <x v="3"/>
    <n v="157025273"/>
    <s v="INFAQ QRIS"/>
    <x v="2"/>
    <s v="Bank"/>
  </r>
  <r>
    <d v="2025-03-07T00:00:00"/>
    <m/>
    <m/>
    <n v="100000"/>
    <x v="3"/>
    <n v="157125273"/>
    <s v="INFAQ QRIS"/>
    <x v="2"/>
    <s v="Bank"/>
  </r>
  <r>
    <d v="2025-03-07T00:00:00"/>
    <m/>
    <m/>
    <n v="99359"/>
    <x v="3"/>
    <n v="157224632"/>
    <s v="INFAQ QRIS"/>
    <x v="2"/>
    <s v="Bank"/>
  </r>
  <r>
    <d v="2025-03-07T00:00:00"/>
    <m/>
    <m/>
    <n v="25000"/>
    <x v="3"/>
    <n v="157249632"/>
    <s v="INFAQ QRIS"/>
    <x v="2"/>
    <s v="Bank"/>
  </r>
  <r>
    <d v="2025-03-07T00:00:00"/>
    <m/>
    <m/>
    <n v="20000"/>
    <x v="3"/>
    <n v="157269632"/>
    <s v="INFAQ QRIS"/>
    <x v="2"/>
    <s v="Bank"/>
  </r>
  <r>
    <d v="2025-03-07T00:00:00"/>
    <m/>
    <m/>
    <n v="4331"/>
    <x v="3"/>
    <n v="157273963"/>
    <s v="INFAQ QRIS"/>
    <x v="2"/>
    <s v="Bank"/>
  </r>
  <r>
    <d v="2025-03-07T00:00:00"/>
    <n v="2000000"/>
    <m/>
    <m/>
    <x v="3"/>
    <n v="155273963"/>
    <s v="PENGAJIAN IBU-IBU MAJ MARET"/>
    <x v="11"/>
    <s v="Bank"/>
  </r>
  <r>
    <d v="2025-03-07T00:00:00"/>
    <n v="2500"/>
    <m/>
    <m/>
    <x v="3"/>
    <n v="155271463"/>
    <s v="BIAYA ADM PENGAJIAN IBU-IBU MAJ MARET"/>
    <x v="11"/>
    <s v="Bank"/>
  </r>
  <r>
    <d v="2025-03-10T00:00:00"/>
    <n v="1350000"/>
    <m/>
    <m/>
    <x v="4"/>
    <n v="153921463"/>
    <s v="Pembelian Hadiah &amp; ATK Pesantren Kilat MAJ"/>
    <x v="1"/>
    <s v="Bank"/>
  </r>
  <r>
    <d v="2025-03-10T00:00:00"/>
    <m/>
    <m/>
    <n v="250000"/>
    <x v="4"/>
    <n v="154171463"/>
    <s v="Infaq QRIS"/>
    <x v="2"/>
    <s v="Bank"/>
  </r>
  <r>
    <d v="2025-03-10T00:00:00"/>
    <m/>
    <m/>
    <n v="50000"/>
    <x v="4"/>
    <n v="154221463"/>
    <s v="Infaq QRIS"/>
    <x v="2"/>
    <s v="Bank"/>
  </r>
  <r>
    <d v="2025-03-10T00:00:00"/>
    <m/>
    <m/>
    <n v="50000"/>
    <x v="4"/>
    <n v="154271463"/>
    <s v="Infaq QRIS"/>
    <x v="2"/>
    <s v="Bank"/>
  </r>
  <r>
    <d v="2025-03-10T00:00:00"/>
    <m/>
    <m/>
    <n v="50000"/>
    <x v="4"/>
    <n v="154321463"/>
    <s v="Infaq QRIS"/>
    <x v="2"/>
    <s v="Bank"/>
  </r>
  <r>
    <d v="2025-03-10T00:00:00"/>
    <m/>
    <m/>
    <n v="100000"/>
    <x v="4"/>
    <n v="154421463"/>
    <s v="Infaq QRIS"/>
    <x v="2"/>
    <s v="Bank"/>
  </r>
  <r>
    <d v="2025-03-10T00:00:00"/>
    <m/>
    <m/>
    <n v="25000"/>
    <x v="4"/>
    <n v="154446463"/>
    <s v="Infaq QRIS"/>
    <x v="2"/>
    <s v="Bank"/>
  </r>
  <r>
    <d v="2025-03-10T00:00:00"/>
    <m/>
    <m/>
    <n v="10000"/>
    <x v="4"/>
    <n v="154456463"/>
    <s v="Infaq QRIS"/>
    <x v="2"/>
    <s v="Bank"/>
  </r>
  <r>
    <d v="2025-03-10T00:00:00"/>
    <m/>
    <m/>
    <n v="50000"/>
    <x v="4"/>
    <n v="154506463"/>
    <s v="Infaq QRIS"/>
    <x v="2"/>
    <s v="Bank"/>
  </r>
  <r>
    <d v="2025-03-10T00:00:00"/>
    <m/>
    <m/>
    <n v="10000"/>
    <x v="4"/>
    <n v="154516463"/>
    <s v="Infaq QRIS"/>
    <x v="2"/>
    <s v="Bank"/>
  </r>
  <r>
    <d v="2025-03-10T00:00:00"/>
    <m/>
    <m/>
    <n v="20000"/>
    <x v="4"/>
    <n v="154536463"/>
    <s v="Infaq QRIS"/>
    <x v="2"/>
    <s v="Bank"/>
  </r>
  <r>
    <d v="2025-03-10T00:00:00"/>
    <m/>
    <m/>
    <n v="3000"/>
    <x v="4"/>
    <n v="154539463"/>
    <s v="Infaq QRIS"/>
    <x v="2"/>
    <s v="Bank"/>
  </r>
  <r>
    <d v="2025-03-10T00:00:00"/>
    <m/>
    <m/>
    <n v="916"/>
    <x v="4"/>
    <n v="154540379"/>
    <s v="Infaq QRIS"/>
    <x v="2"/>
    <s v="Bank"/>
  </r>
  <r>
    <d v="2025-03-10T00:00:00"/>
    <n v="750000"/>
    <m/>
    <m/>
    <x v="4"/>
    <n v="153790379"/>
    <s v="HONOR UST KHOERUL MAKTUM DKM MAJ HADIAH PESANTREN KILAT RAMADHAN"/>
    <x v="11"/>
    <s v="Bank"/>
  </r>
  <r>
    <d v="2025-03-10T00:00:00"/>
    <n v="2500"/>
    <m/>
    <m/>
    <x v="4"/>
    <n v="153787879"/>
    <s v="BIAYA ADM HONOR UST KHOERUL MAKTUM DKM MAJ HADIAH PESANTREN KILAT RAMADHAN"/>
    <x v="11"/>
    <s v="Bank"/>
  </r>
  <r>
    <d v="2025-03-10T00:00:00"/>
    <m/>
    <m/>
    <n v="400000"/>
    <x v="4"/>
    <n v="154187879"/>
    <s v="AGUNG PRAMONO Donasi acara kajian lesantren"/>
    <x v="2"/>
    <s v="Bank"/>
  </r>
  <r>
    <d v="2025-03-10T00:00:00"/>
    <m/>
    <m/>
    <n v="20000"/>
    <x v="4"/>
    <n v="154207879"/>
    <s v="Infaq QRIS"/>
    <x v="2"/>
    <s v="Bank"/>
  </r>
  <r>
    <d v="2025-03-10T00:00:00"/>
    <m/>
    <m/>
    <n v="25000"/>
    <x v="4"/>
    <n v="154232879"/>
    <s v="Infaq QRIS"/>
    <x v="2"/>
    <s v="Bank"/>
  </r>
  <r>
    <d v="2025-03-10T00:00:00"/>
    <m/>
    <m/>
    <n v="100000"/>
    <x v="4"/>
    <n v="154332879"/>
    <s v="Infaq QRIS"/>
    <x v="2"/>
    <s v="Bank"/>
  </r>
  <r>
    <d v="2025-03-10T00:00:00"/>
    <m/>
    <m/>
    <n v="50000"/>
    <x v="4"/>
    <n v="154382879"/>
    <s v="Infaq QRIS"/>
    <x v="2"/>
    <s v="Bank"/>
  </r>
  <r>
    <d v="2025-03-10T00:00:00"/>
    <m/>
    <m/>
    <n v="100000"/>
    <x v="4"/>
    <n v="154482879"/>
    <s v="Infaq QRIS"/>
    <x v="2"/>
    <s v="Bank"/>
  </r>
  <r>
    <d v="2025-03-10T00:00:00"/>
    <m/>
    <m/>
    <n v="25000"/>
    <x v="4"/>
    <n v="154507879"/>
    <s v="Infaq QRIS"/>
    <x v="2"/>
    <s v="Bank"/>
  </r>
  <r>
    <d v="2025-03-10T00:00:00"/>
    <m/>
    <m/>
    <n v="25000"/>
    <x v="4"/>
    <n v="154532879"/>
    <s v="Infaq QRIS"/>
    <x v="2"/>
    <s v="Bank"/>
  </r>
  <r>
    <d v="2025-03-10T00:00:00"/>
    <m/>
    <m/>
    <n v="50000"/>
    <x v="4"/>
    <n v="154582879"/>
    <s v="Infaq QRIS"/>
    <x v="2"/>
    <s v="Bank"/>
  </r>
  <r>
    <d v="2025-03-10T00:00:00"/>
    <m/>
    <m/>
    <n v="10000"/>
    <x v="4"/>
    <n v="154592879"/>
    <s v="Infaq QRIS"/>
    <x v="2"/>
    <s v="Bank"/>
  </r>
  <r>
    <d v="2025-03-10T00:00:00"/>
    <m/>
    <m/>
    <n v="100000"/>
    <x v="4"/>
    <n v="154692879"/>
    <s v="Infaq QRIS"/>
    <x v="2"/>
    <s v="Bank"/>
  </r>
  <r>
    <d v="2025-03-10T00:00:00"/>
    <m/>
    <m/>
    <n v="50000"/>
    <x v="4"/>
    <n v="154742879"/>
    <s v="Infaq QRIS"/>
    <x v="2"/>
    <s v="Bank"/>
  </r>
  <r>
    <d v="2025-03-10T00:00:00"/>
    <m/>
    <m/>
    <n v="100000"/>
    <x v="4"/>
    <n v="154842879"/>
    <s v="Infaq QRIS"/>
    <x v="2"/>
    <s v="Bank"/>
  </r>
  <r>
    <d v="2025-03-10T00:00:00"/>
    <m/>
    <m/>
    <n v="25000"/>
    <x v="4"/>
    <n v="154867879"/>
    <s v="Infaq QRIS"/>
    <x v="2"/>
    <s v="Bank"/>
  </r>
  <r>
    <d v="2025-03-10T00:00:00"/>
    <m/>
    <m/>
    <n v="200000"/>
    <x v="4"/>
    <n v="155067879"/>
    <s v="INFAQ MOHAMMADIANTORO PURNAWAN a.n HM HASAN MERBABU NO.3"/>
    <x v="2"/>
    <s v="Bank"/>
  </r>
  <r>
    <d v="2025-03-10T00:00:00"/>
    <m/>
    <m/>
    <n v="20000"/>
    <x v="4"/>
    <n v="155087879"/>
    <s v="Infaq QRIS"/>
    <x v="2"/>
    <s v="Bank"/>
  </r>
  <r>
    <d v="2025-03-10T00:00:00"/>
    <m/>
    <m/>
    <n v="100000"/>
    <x v="4"/>
    <n v="155187879"/>
    <s v="Infaq QRIS"/>
    <x v="2"/>
    <s v="Bank"/>
  </r>
  <r>
    <d v="2025-03-10T00:00:00"/>
    <m/>
    <m/>
    <n v="25000"/>
    <x v="4"/>
    <n v="155212879"/>
    <s v="Infaq QRIS"/>
    <x v="2"/>
    <s v="Bank"/>
  </r>
  <r>
    <d v="2025-03-10T00:00:00"/>
    <m/>
    <m/>
    <n v="25000"/>
    <x v="4"/>
    <n v="155237879"/>
    <s v="Infaq QRIS"/>
    <x v="2"/>
    <s v="Bank"/>
  </r>
  <r>
    <d v="2025-03-10T00:00:00"/>
    <m/>
    <m/>
    <n v="100000"/>
    <x v="4"/>
    <n v="155337879"/>
    <s v="Infaq QRIS"/>
    <x v="2"/>
    <s v="Bank"/>
  </r>
  <r>
    <d v="2025-03-10T00:00:00"/>
    <m/>
    <m/>
    <n v="10000"/>
    <x v="4"/>
    <n v="155347879"/>
    <s v="Infaq QRIS"/>
    <x v="2"/>
    <s v="Bank"/>
  </r>
  <r>
    <d v="2025-03-10T00:00:00"/>
    <m/>
    <m/>
    <n v="10000"/>
    <x v="4"/>
    <n v="155357879"/>
    <s v="Infaq QRIS"/>
    <x v="2"/>
    <s v="Bank"/>
  </r>
  <r>
    <d v="2025-03-10T00:00:00"/>
    <m/>
    <m/>
    <n v="7000"/>
    <x v="4"/>
    <n v="155364879"/>
    <s v="Infaq QRIS"/>
    <x v="2"/>
    <s v="Bank"/>
  </r>
  <r>
    <d v="2025-03-10T00:00:00"/>
    <m/>
    <m/>
    <n v="25000"/>
    <x v="4"/>
    <n v="155389879"/>
    <s v="Infaq QRIS"/>
    <x v="2"/>
    <s v="Bank"/>
  </r>
  <r>
    <d v="2025-03-10T00:00:00"/>
    <m/>
    <m/>
    <n v="20000"/>
    <x v="4"/>
    <n v="155409879"/>
    <s v="Infaq QRIS"/>
    <x v="2"/>
    <s v="Bank"/>
  </r>
  <r>
    <d v="2025-03-10T00:00:00"/>
    <m/>
    <m/>
    <n v="5597000"/>
    <x v="4"/>
    <n v="161006879"/>
    <s v="Akun Yatim &amp; Sosial"/>
    <x v="12"/>
    <s v="Bank"/>
  </r>
  <r>
    <d v="2025-03-10T00:00:00"/>
    <m/>
    <m/>
    <n v="5680000"/>
    <x v="4"/>
    <n v="166686879"/>
    <s v="Operasional (Infaq &amp; Sodaqoh)"/>
    <x v="2"/>
    <s v="Bank"/>
  </r>
  <r>
    <d v="2025-03-10T00:00:00"/>
    <m/>
    <m/>
    <n v="4558000"/>
    <x v="4"/>
    <n v="171244879"/>
    <s v="Infaq Taraweh"/>
    <x v="2"/>
    <s v="Bank"/>
  </r>
  <r>
    <d v="2025-03-10T00:00:00"/>
    <n v="5000"/>
    <m/>
    <m/>
    <x v="4"/>
    <n v="171239879"/>
    <s v="Selisih hitung setor bank"/>
    <x v="1"/>
    <s v="Bank"/>
  </r>
  <r>
    <m/>
    <m/>
    <n v="15830000"/>
    <m/>
    <x v="1"/>
    <n v="171239879"/>
    <s v="SETOR IMRON"/>
    <x v="4"/>
    <m/>
  </r>
  <r>
    <d v="2025-03-11T00:00:00"/>
    <m/>
    <m/>
    <n v="50000"/>
    <x v="4"/>
    <n v="171289879"/>
    <s v="Infaq QRIS"/>
    <x v="2"/>
    <s v="Bank"/>
  </r>
  <r>
    <d v="2025-03-11T00:00:00"/>
    <m/>
    <m/>
    <n v="100000"/>
    <x v="4"/>
    <n v="171389879"/>
    <s v="Infaq QRIS"/>
    <x v="2"/>
    <s v="Bank"/>
  </r>
  <r>
    <d v="2025-03-11T00:00:00"/>
    <m/>
    <m/>
    <n v="250000"/>
    <x v="4"/>
    <n v="171639879"/>
    <s v="Infaq QRIS"/>
    <x v="2"/>
    <s v="Bank"/>
  </r>
  <r>
    <d v="2025-03-11T00:00:00"/>
    <m/>
    <m/>
    <n v="50000"/>
    <x v="4"/>
    <n v="171689879"/>
    <s v="Infaq QRIS"/>
    <x v="2"/>
    <s v="Bank"/>
  </r>
  <r>
    <d v="2025-03-11T00:00:00"/>
    <m/>
    <m/>
    <n v="10000"/>
    <x v="4"/>
    <n v="171699879"/>
    <s v="Infaq QRIS"/>
    <x v="2"/>
    <s v="Bank"/>
  </r>
  <r>
    <d v="2025-03-11T00:00:00"/>
    <m/>
    <m/>
    <n v="25000"/>
    <x v="4"/>
    <n v="171724879"/>
    <s v="Infaq QRIS"/>
    <x v="2"/>
    <s v="Bank"/>
  </r>
  <r>
    <d v="2025-03-11T00:00:00"/>
    <m/>
    <m/>
    <n v="50000"/>
    <x v="4"/>
    <n v="171774879"/>
    <s v="Infaq QRIS"/>
    <x v="2"/>
    <s v="Bank"/>
  </r>
  <r>
    <d v="2025-03-11T00:00:00"/>
    <m/>
    <m/>
    <n v="20000"/>
    <x v="4"/>
    <n v="171794879"/>
    <s v="Infaq QRIS"/>
    <x v="2"/>
    <s v="Bank"/>
  </r>
  <r>
    <d v="2025-03-11T00:00:00"/>
    <m/>
    <m/>
    <n v="1010"/>
    <x v="4"/>
    <n v="171795889"/>
    <s v="Infaq QRIS"/>
    <x v="2"/>
    <s v="Bank"/>
  </r>
  <r>
    <d v="2025-03-11T00:00:00"/>
    <m/>
    <m/>
    <n v="5000"/>
    <x v="4"/>
    <n v="171800889"/>
    <s v="Infaq QRIS"/>
    <x v="2"/>
    <s v="Bank"/>
  </r>
  <r>
    <d v="2025-03-11T00:00:00"/>
    <m/>
    <m/>
    <n v="100000"/>
    <x v="4"/>
    <n v="171900889"/>
    <s v="INFAQ FENTYHERLIANA"/>
    <x v="2"/>
    <s v="Bank"/>
  </r>
  <r>
    <d v="2025-03-11T00:00:00"/>
    <m/>
    <m/>
    <n v="250000"/>
    <x v="4"/>
    <n v="172150889"/>
    <s v="INFAQ DARI SEPTEMBERIZAL"/>
    <x v="2"/>
    <s v="Bank"/>
  </r>
  <r>
    <d v="2025-03-12T00:00:00"/>
    <n v="3500000"/>
    <m/>
    <m/>
    <x v="4"/>
    <n v="168650889"/>
    <s v="PEMBELIAN LAPTOP SANTRI"/>
    <x v="1"/>
    <s v="Bank"/>
  </r>
  <r>
    <d v="2025-03-12T00:00:00"/>
    <n v="2500"/>
    <m/>
    <m/>
    <x v="4"/>
    <n v="168648389"/>
    <s v="BIAYA ADM PEMBELIAN LAPTOP SANTRI"/>
    <x v="1"/>
    <s v="Bank"/>
  </r>
  <r>
    <d v="2025-03-12T00:00:00"/>
    <m/>
    <m/>
    <n v="50000"/>
    <x v="4"/>
    <n v="168698389"/>
    <s v="INFAQ QRIS"/>
    <x v="2"/>
    <s v="Bank"/>
  </r>
  <r>
    <d v="2025-03-12T00:00:00"/>
    <m/>
    <m/>
    <n v="50000"/>
    <x v="4"/>
    <n v="168748389"/>
    <s v="INFAQ QRIS"/>
    <x v="2"/>
    <s v="Bank"/>
  </r>
  <r>
    <d v="2025-03-12T00:00:00"/>
    <m/>
    <m/>
    <n v="10000"/>
    <x v="4"/>
    <n v="168758389"/>
    <s v="INFAQ QRIS"/>
    <x v="2"/>
    <s v="Bank"/>
  </r>
  <r>
    <d v="2025-03-12T00:00:00"/>
    <m/>
    <m/>
    <n v="100000"/>
    <x v="4"/>
    <n v="168858389"/>
    <s v="INFAQ QRIS"/>
    <x v="2"/>
    <s v="Bank"/>
  </r>
  <r>
    <d v="2025-03-12T00:00:00"/>
    <m/>
    <m/>
    <n v="5000"/>
    <x v="4"/>
    <n v="168863389"/>
    <s v="INFAQ QRIS"/>
    <x v="2"/>
    <s v="Bank"/>
  </r>
  <r>
    <d v="2025-03-12T00:00:00"/>
    <m/>
    <m/>
    <n v="10000"/>
    <x v="4"/>
    <n v="168873389"/>
    <s v="INFAQ QRIS"/>
    <x v="2"/>
    <s v="Bank"/>
  </r>
  <r>
    <d v="2025-03-12T00:00:00"/>
    <m/>
    <m/>
    <n v="10000"/>
    <x v="4"/>
    <n v="168883389"/>
    <s v="INFAQ QRIS"/>
    <x v="2"/>
    <s v="Bank"/>
  </r>
  <r>
    <d v="2025-03-12T00:00:00"/>
    <m/>
    <m/>
    <n v="170000"/>
    <x v="4"/>
    <n v="169053389"/>
    <s v="INFAQ DARI AMRAN ANWAR"/>
    <x v="2"/>
    <s v="Bank"/>
  </r>
  <r>
    <d v="2025-03-13T00:00:00"/>
    <m/>
    <m/>
    <n v="100000"/>
    <x v="4"/>
    <n v="169153389"/>
    <s v="INFAQ QRIS"/>
    <x v="2"/>
    <s v="Bank"/>
  </r>
  <r>
    <d v="2025-03-13T00:00:00"/>
    <m/>
    <m/>
    <n v="10000"/>
    <x v="4"/>
    <n v="169163389"/>
    <s v="INFAQ QRIS"/>
    <x v="2"/>
    <s v="Bank"/>
  </r>
  <r>
    <d v="2025-03-13T00:00:00"/>
    <m/>
    <m/>
    <n v="50000"/>
    <x v="4"/>
    <n v="169213389"/>
    <s v="INFAQ QRIS"/>
    <x v="2"/>
    <s v="Bank"/>
  </r>
  <r>
    <d v="2025-03-13T00:00:00"/>
    <m/>
    <m/>
    <n v="100000"/>
    <x v="4"/>
    <n v="169313389"/>
    <s v="INFAQ QRIS"/>
    <x v="2"/>
    <s v="Bank"/>
  </r>
  <r>
    <d v="2025-03-13T00:00:00"/>
    <n v="1000000"/>
    <m/>
    <m/>
    <x v="4"/>
    <n v="168313389"/>
    <s v="CUCI KARPET LT.2 PAK MAHMUD"/>
    <x v="8"/>
    <s v="Bank"/>
  </r>
  <r>
    <d v="2025-03-13T00:00:00"/>
    <n v="2500"/>
    <m/>
    <m/>
    <x v="4"/>
    <n v="168310889"/>
    <s v="BIAYA DM CUCI KARPET LT.2 PAK MAHMUD"/>
    <x v="8"/>
    <s v="Bank"/>
  </r>
  <r>
    <d v="2025-03-14T00:00:00"/>
    <m/>
    <m/>
    <n v="100000"/>
    <x v="4"/>
    <n v="168410889"/>
    <s v="INFAQ QRIS"/>
    <x v="2"/>
    <s v="Bank"/>
  </r>
  <r>
    <d v="2025-03-14T00:00:00"/>
    <m/>
    <m/>
    <n v="200000"/>
    <x v="4"/>
    <n v="168610889"/>
    <s v="INFAQ QRIS"/>
    <x v="2"/>
    <s v="Bank"/>
  </r>
  <r>
    <d v="2025-03-14T00:00:00"/>
    <m/>
    <m/>
    <n v="50000"/>
    <x v="4"/>
    <n v="168660889"/>
    <s v="INFAQ QRIS"/>
    <x v="2"/>
    <s v="Bank"/>
  </r>
  <r>
    <d v="2025-03-14T00:00:00"/>
    <m/>
    <m/>
    <n v="50000"/>
    <x v="4"/>
    <n v="168710889"/>
    <s v="INFAQ QRIS"/>
    <x v="2"/>
    <s v="Bank"/>
  </r>
  <r>
    <d v="2025-03-14T00:00:00"/>
    <m/>
    <m/>
    <n v="25000"/>
    <x v="4"/>
    <n v="168735889"/>
    <s v="INFAQ QRIS"/>
    <x v="2"/>
    <s v="Bank"/>
  </r>
  <r>
    <d v="2025-03-14T00:00:00"/>
    <m/>
    <m/>
    <n v="50000"/>
    <x v="4"/>
    <n v="168785889"/>
    <s v="INFAQ QRIS"/>
    <x v="2"/>
    <s v="Bank"/>
  </r>
  <r>
    <d v="2025-03-14T00:00:00"/>
    <m/>
    <m/>
    <n v="100000"/>
    <x v="4"/>
    <n v="168885889"/>
    <s v="INFAQ QRIS"/>
    <x v="2"/>
    <s v="Bank"/>
  </r>
  <r>
    <d v="2025-03-14T00:00:00"/>
    <m/>
    <m/>
    <n v="10000"/>
    <x v="4"/>
    <n v="168895889"/>
    <s v="INFAQ QRIS"/>
    <x v="2"/>
    <s v="Bank"/>
  </r>
  <r>
    <d v="2025-03-14T00:00:00"/>
    <m/>
    <m/>
    <n v="300000"/>
    <x v="5"/>
    <n v="169195889"/>
    <s v="INFAQ DARI BENY PRIYATNA KUSUMA"/>
    <x v="2"/>
    <s v="Bank"/>
  </r>
  <r>
    <d v="2025-03-14T00:00:00"/>
    <n v="400000"/>
    <m/>
    <m/>
    <x v="5"/>
    <n v="168795889"/>
    <s v="Beli baju wisuda santri MAJ"/>
    <x v="15"/>
    <s v="Bank"/>
  </r>
  <r>
    <d v="2025-03-17T00:00:00"/>
    <m/>
    <m/>
    <n v="50000"/>
    <x v="5"/>
    <n v="168845889"/>
    <s v="INFAQ QRIS"/>
    <x v="2"/>
    <s v="Bank"/>
  </r>
  <r>
    <d v="2025-03-17T00:00:00"/>
    <m/>
    <m/>
    <n v="50000"/>
    <x v="5"/>
    <n v="168895889"/>
    <s v="INFAQ QRIS"/>
    <x v="2"/>
    <s v="Bank"/>
  </r>
  <r>
    <d v="2025-03-17T00:00:00"/>
    <m/>
    <m/>
    <n v="50000"/>
    <x v="5"/>
    <n v="168945889"/>
    <s v="INFAQ QRIS"/>
    <x v="2"/>
    <s v="Bank"/>
  </r>
  <r>
    <d v="2025-03-17T00:00:00"/>
    <m/>
    <m/>
    <n v="25000"/>
    <x v="5"/>
    <n v="168970889"/>
    <s v="INFAQ QRIS"/>
    <x v="2"/>
    <s v="Bank"/>
  </r>
  <r>
    <d v="2025-03-17T00:00:00"/>
    <m/>
    <m/>
    <n v="10000"/>
    <x v="5"/>
    <n v="168980889"/>
    <s v="INFAQ QRIS"/>
    <x v="2"/>
    <s v="Bank"/>
  </r>
  <r>
    <d v="2025-03-17T00:00:00"/>
    <m/>
    <m/>
    <n v="50000"/>
    <x v="5"/>
    <n v="169030889"/>
    <s v="INFAQ QRIS"/>
    <x v="2"/>
    <s v="Bank"/>
  </r>
  <r>
    <d v="2025-03-17T00:00:00"/>
    <m/>
    <m/>
    <n v="50000"/>
    <x v="5"/>
    <n v="169080889"/>
    <s v="INFAQ QRIS"/>
    <x v="2"/>
    <s v="Bank"/>
  </r>
  <r>
    <d v="2025-03-17T00:00:00"/>
    <m/>
    <m/>
    <n v="100000"/>
    <x v="5"/>
    <n v="169180889"/>
    <s v="INFAQ QRIS"/>
    <x v="2"/>
    <s v="Bank"/>
  </r>
  <r>
    <d v="2025-03-17T00:00:00"/>
    <m/>
    <m/>
    <n v="50000"/>
    <x v="5"/>
    <n v="169230889"/>
    <s v="INFAQ QRIS"/>
    <x v="2"/>
    <s v="Bank"/>
  </r>
  <r>
    <d v="2025-03-17T00:00:00"/>
    <m/>
    <m/>
    <n v="20000"/>
    <x v="5"/>
    <n v="169250889"/>
    <s v="INFAQ QRIS"/>
    <x v="2"/>
    <s v="Bank"/>
  </r>
  <r>
    <d v="2025-03-17T00:00:00"/>
    <m/>
    <m/>
    <n v="510"/>
    <x v="5"/>
    <n v="169251399"/>
    <s v="INFAQ QRIS"/>
    <x v="2"/>
    <s v="Bank"/>
  </r>
  <r>
    <d v="2025-03-17T00:00:00"/>
    <n v="3000000"/>
    <m/>
    <m/>
    <x v="5"/>
    <n v="166251399"/>
    <s v="PELUNASAN BUKA BERSAMA MAJ 1446H"/>
    <x v="17"/>
    <s v="Bank"/>
  </r>
  <r>
    <d v="2025-03-17T00:00:00"/>
    <n v="2500"/>
    <m/>
    <m/>
    <x v="5"/>
    <n v="166248899"/>
    <s v="BIAYA ADM PELUNASAN BUKA BERSAMA MAJ 1446H"/>
    <x v="17"/>
    <s v="Bank"/>
  </r>
  <r>
    <d v="2025-03-17T00:00:00"/>
    <m/>
    <m/>
    <n v="100000"/>
    <x v="5"/>
    <n v="166348899"/>
    <s v="INFAQ QRIS"/>
    <x v="2"/>
    <s v="Bank"/>
  </r>
  <r>
    <d v="2025-03-17T00:00:00"/>
    <m/>
    <m/>
    <n v="100000"/>
    <x v="5"/>
    <n v="166448899"/>
    <s v="INFAQ QRIS"/>
    <x v="2"/>
    <s v="Bank"/>
  </r>
  <r>
    <d v="2025-03-17T00:00:00"/>
    <m/>
    <m/>
    <n v="25000"/>
    <x v="5"/>
    <n v="166473899"/>
    <s v="INFAQ QRIS"/>
    <x v="2"/>
    <s v="Bank"/>
  </r>
  <r>
    <d v="2025-03-17T00:00:00"/>
    <m/>
    <m/>
    <n v="10000"/>
    <x v="5"/>
    <n v="166483899"/>
    <s v="INFAQ QRIS"/>
    <x v="2"/>
    <s v="Bank"/>
  </r>
  <r>
    <d v="2025-03-17T00:00:00"/>
    <m/>
    <m/>
    <n v="10000"/>
    <x v="5"/>
    <n v="166493899"/>
    <s v="INFAQ QRIS"/>
    <x v="2"/>
    <s v="Bank"/>
  </r>
  <r>
    <d v="2025-03-17T00:00:00"/>
    <m/>
    <m/>
    <n v="50000"/>
    <x v="5"/>
    <n v="166543899"/>
    <s v="INFAQ QRIS"/>
    <x v="2"/>
    <s v="Bank"/>
  </r>
  <r>
    <d v="2025-03-17T00:00:00"/>
    <m/>
    <m/>
    <n v="10000"/>
    <x v="5"/>
    <n v="166553899"/>
    <s v="INFAQ QRIS"/>
    <x v="2"/>
    <s v="Bank"/>
  </r>
  <r>
    <d v="2025-03-17T00:00:00"/>
    <m/>
    <m/>
    <n v="20000"/>
    <x v="5"/>
    <n v="166573899"/>
    <s v="INFAQ QRIS"/>
    <x v="2"/>
    <s v="Bank"/>
  </r>
  <r>
    <d v="2025-03-17T00:00:00"/>
    <m/>
    <m/>
    <n v="50000"/>
    <x v="5"/>
    <n v="166623899"/>
    <s v="INFAQ QRIS"/>
    <x v="2"/>
    <s v="Bank"/>
  </r>
  <r>
    <d v="2025-03-17T00:00:00"/>
    <m/>
    <m/>
    <n v="100000"/>
    <x v="5"/>
    <n v="166723899"/>
    <s v="INFAQ QRIS"/>
    <x v="2"/>
    <s v="Bank"/>
  </r>
  <r>
    <d v="2025-03-17T00:00:00"/>
    <m/>
    <m/>
    <n v="100000"/>
    <x v="5"/>
    <n v="166823899"/>
    <s v="INFAQ QRIS"/>
    <x v="2"/>
    <s v="Bank"/>
  </r>
  <r>
    <d v="2025-03-17T00:00:00"/>
    <m/>
    <m/>
    <n v="30000"/>
    <x v="5"/>
    <n v="166853899"/>
    <s v="INFAQ QRIS"/>
    <x v="2"/>
    <s v="Bank"/>
  </r>
  <r>
    <d v="2025-03-17T00:00:00"/>
    <m/>
    <m/>
    <n v="50000"/>
    <x v="5"/>
    <n v="166903899"/>
    <s v="INFAQ QRIS"/>
    <x v="2"/>
    <s v="Bank"/>
  </r>
  <r>
    <d v="2025-03-17T00:00:00"/>
    <m/>
    <m/>
    <n v="15000"/>
    <x v="5"/>
    <n v="166918899"/>
    <s v="INFAQ QRIS"/>
    <x v="2"/>
    <s v="Bank"/>
  </r>
  <r>
    <d v="2025-03-17T00:00:00"/>
    <m/>
    <m/>
    <n v="10000"/>
    <x v="5"/>
    <n v="166928899"/>
    <s v="INFAQ QRIS"/>
    <x v="2"/>
    <s v="Bank"/>
  </r>
  <r>
    <d v="2025-03-17T00:00:00"/>
    <m/>
    <m/>
    <n v="50000"/>
    <x v="5"/>
    <n v="166978899"/>
    <s v="INFAQ QRIS"/>
    <x v="2"/>
    <s v="Bank"/>
  </r>
  <r>
    <d v="2025-03-17T00:00:00"/>
    <m/>
    <m/>
    <n v="10000"/>
    <x v="5"/>
    <n v="166988899"/>
    <s v="INFAQ QRIS"/>
    <x v="2"/>
    <s v="Bank"/>
  </r>
  <r>
    <d v="2025-03-17T00:00:00"/>
    <m/>
    <m/>
    <n v="100000"/>
    <x v="5"/>
    <n v="167088899"/>
    <s v="INFAQ QRIS"/>
    <x v="2"/>
    <s v="Bank"/>
  </r>
  <r>
    <d v="2025-03-17T00:00:00"/>
    <m/>
    <m/>
    <n v="5000"/>
    <x v="5"/>
    <n v="167093899"/>
    <s v="INFAQ QRIS"/>
    <x v="2"/>
    <s v="Bank"/>
  </r>
  <r>
    <d v="2025-03-17T00:00:00"/>
    <m/>
    <m/>
    <n v="150000"/>
    <x v="5"/>
    <n v="167243899"/>
    <s v="INFAQ QRIS"/>
    <x v="2"/>
    <s v="Bank"/>
  </r>
  <r>
    <d v="2025-03-17T00:00:00"/>
    <m/>
    <m/>
    <n v="20000"/>
    <x v="5"/>
    <n v="167263899"/>
    <s v="INFAQ QRIS"/>
    <x v="2"/>
    <s v="Bank"/>
  </r>
  <r>
    <d v="2025-03-17T00:00:00"/>
    <n v="58150000"/>
    <m/>
    <m/>
    <x v="5"/>
    <n v="109113899"/>
    <s v="PENYALURAN DANA YATIM DAN WISUDA MAJ"/>
    <x v="14"/>
    <s v="Bank"/>
  </r>
  <r>
    <d v="2025-03-17T00:00:00"/>
    <n v="2500"/>
    <m/>
    <m/>
    <x v="5"/>
    <n v="109111399"/>
    <s v="BIAYA ADM PENYALURAN DANA YATIM DAN WISUDA MAJ"/>
    <x v="14"/>
    <s v="Bank"/>
  </r>
  <r>
    <d v="2025-03-17T00:00:00"/>
    <m/>
    <m/>
    <n v="4230000"/>
    <x v="5"/>
    <n v="113341399"/>
    <s v="Akun Yatim &amp; Sosial"/>
    <x v="12"/>
    <s v="Bank"/>
  </r>
  <r>
    <d v="2025-03-17T00:00:00"/>
    <m/>
    <m/>
    <n v="526000"/>
    <x v="5"/>
    <n v="113867399"/>
    <s v="Operasional (Infaq &amp; Sodaqoh)"/>
    <x v="2"/>
    <s v="Bank"/>
  </r>
  <r>
    <d v="2025-03-17T00:00:00"/>
    <m/>
    <m/>
    <n v="5578000"/>
    <x v="5"/>
    <n v="119445399"/>
    <s v="Infaq Taraweh"/>
    <x v="2"/>
    <s v="Bank"/>
  </r>
  <r>
    <d v="2025-03-17T00:00:00"/>
    <m/>
    <m/>
    <n v="1000"/>
    <x v="5"/>
    <n v="119446399"/>
    <s v="Selisih hitung setor bank"/>
    <x v="2"/>
    <s v="Bank"/>
  </r>
  <r>
    <m/>
    <m/>
    <n v="10335000"/>
    <m/>
    <x v="1"/>
    <n v="119446399"/>
    <s v="SETOR IMRON"/>
    <x v="4"/>
    <m/>
  </r>
  <r>
    <d v="2025-03-18T00:00:00"/>
    <n v="2800000"/>
    <m/>
    <m/>
    <x v="5"/>
    <n v="116646399"/>
    <s v="BELI BAJU LEBARAN SANTRI MAJ 1446H"/>
    <x v="15"/>
    <s v="Bank"/>
  </r>
  <r>
    <d v="2025-03-18T00:00:00"/>
    <n v="2500"/>
    <m/>
    <m/>
    <x v="5"/>
    <n v="116643899"/>
    <s v="BIAYA ADM BELI BAJU LEBARAN SANTRI MAJ 1446H"/>
    <x v="15"/>
    <s v="Bank"/>
  </r>
  <r>
    <d v="2025-03-18T00:00:00"/>
    <m/>
    <m/>
    <n v="50000"/>
    <x v="5"/>
    <n v="116693899"/>
    <s v="INFAQ QRIS"/>
    <x v="2"/>
    <s v="Bank"/>
  </r>
  <r>
    <d v="2025-03-18T00:00:00"/>
    <m/>
    <m/>
    <n v="50000"/>
    <x v="5"/>
    <n v="116743899"/>
    <s v="INFAQ QRIS"/>
    <x v="2"/>
    <s v="Bank"/>
  </r>
  <r>
    <d v="2025-03-18T00:00:00"/>
    <m/>
    <m/>
    <n v="100000"/>
    <x v="5"/>
    <n v="116843899"/>
    <s v="INFAQ QRIS"/>
    <x v="2"/>
    <s v="Bank"/>
  </r>
  <r>
    <d v="2025-03-18T00:00:00"/>
    <m/>
    <m/>
    <n v="50000"/>
    <x v="5"/>
    <n v="116893899"/>
    <s v="INFAQ QRIS"/>
    <x v="2"/>
    <s v="Bank"/>
  </r>
  <r>
    <d v="2025-03-18T00:00:00"/>
    <m/>
    <m/>
    <n v="10000"/>
    <x v="5"/>
    <n v="116903899"/>
    <s v="INFAQ QRIS"/>
    <x v="2"/>
    <s v="Bank"/>
  </r>
  <r>
    <d v="2025-03-18T00:00:00"/>
    <m/>
    <m/>
    <n v="50000"/>
    <x v="5"/>
    <n v="116953899"/>
    <s v="INFAQ QRIS"/>
    <x v="2"/>
    <s v="Bank"/>
  </r>
  <r>
    <d v="2025-03-18T00:00:00"/>
    <m/>
    <m/>
    <n v="10000"/>
    <x v="5"/>
    <n v="116963899"/>
    <s v="INFAQ QRIS"/>
    <x v="2"/>
    <s v="Bank"/>
  </r>
  <r>
    <d v="2025-03-18T00:00:00"/>
    <m/>
    <m/>
    <n v="100000"/>
    <x v="5"/>
    <n v="117063899"/>
    <s v="INFAQ QRIS"/>
    <x v="2"/>
    <s v="Bank"/>
  </r>
  <r>
    <d v="2025-03-18T00:00:00"/>
    <m/>
    <m/>
    <n v="20000"/>
    <x v="5"/>
    <n v="117083899"/>
    <s v="INFAQ QRIS"/>
    <x v="2"/>
    <s v="Bank"/>
  </r>
  <r>
    <d v="2025-03-19T00:00:00"/>
    <m/>
    <m/>
    <n v="50000"/>
    <x v="5"/>
    <n v="117133899"/>
    <s v="INFAQ QRIS"/>
    <x v="2"/>
    <s v="Bank"/>
  </r>
  <r>
    <d v="2025-03-19T00:00:00"/>
    <m/>
    <m/>
    <n v="25000"/>
    <x v="5"/>
    <n v="117158899"/>
    <s v="INFAQ QRIS"/>
    <x v="2"/>
    <s v="Bank"/>
  </r>
  <r>
    <d v="2025-03-19T00:00:00"/>
    <m/>
    <m/>
    <n v="25000"/>
    <x v="5"/>
    <n v="117183899"/>
    <s v="INFAQ QRIS"/>
    <x v="2"/>
    <s v="Bank"/>
  </r>
  <r>
    <d v="2025-03-19T00:00:00"/>
    <m/>
    <m/>
    <n v="100000"/>
    <x v="5"/>
    <n v="117283899"/>
    <s v="INFAQ QRIS"/>
    <x v="2"/>
    <s v="Bank"/>
  </r>
  <r>
    <d v="2025-03-19T00:00:00"/>
    <m/>
    <m/>
    <n v="50000"/>
    <x v="5"/>
    <n v="117333899"/>
    <s v="INFAQ QRIS"/>
    <x v="2"/>
    <s v="Bank"/>
  </r>
  <r>
    <d v="2025-03-19T00:00:00"/>
    <m/>
    <m/>
    <n v="25000"/>
    <x v="5"/>
    <n v="117358899"/>
    <s v="INFAQ QRIS"/>
    <x v="2"/>
    <s v="Bank"/>
  </r>
  <r>
    <d v="2025-03-19T00:00:00"/>
    <m/>
    <m/>
    <n v="50000"/>
    <x v="5"/>
    <n v="117408899"/>
    <s v="INFAQ QRIS"/>
    <x v="2"/>
    <s v="Bank"/>
  </r>
  <r>
    <d v="2025-03-19T00:00:00"/>
    <m/>
    <m/>
    <n v="10000"/>
    <x v="5"/>
    <n v="117418899"/>
    <s v="INFAQ QRIS"/>
    <x v="2"/>
    <s v="Bank"/>
  </r>
  <r>
    <d v="2025-03-19T00:00:00"/>
    <m/>
    <m/>
    <n v="10000"/>
    <x v="5"/>
    <n v="117428899"/>
    <s v="INFAQ QRIS"/>
    <x v="2"/>
    <s v="Bank"/>
  </r>
  <r>
    <d v="2025-03-19T00:00:00"/>
    <m/>
    <m/>
    <n v="100000"/>
    <x v="5"/>
    <n v="117528899"/>
    <s v="INFAQ QRIS"/>
    <x v="2"/>
    <s v="Bank"/>
  </r>
  <r>
    <d v="2025-03-19T00:00:00"/>
    <m/>
    <m/>
    <n v="50000"/>
    <x v="5"/>
    <n v="117578899"/>
    <s v="INFAQ QRIS"/>
    <x v="2"/>
    <s v="Bank"/>
  </r>
  <r>
    <d v="2025-03-19T00:00:00"/>
    <m/>
    <m/>
    <n v="10000"/>
    <x v="5"/>
    <n v="117588899"/>
    <s v="INFAQ QRIS"/>
    <x v="2"/>
    <s v="Bank"/>
  </r>
  <r>
    <d v="2025-03-19T00:00:00"/>
    <m/>
    <m/>
    <n v="5000"/>
    <x v="5"/>
    <n v="117593899"/>
    <s v="INFAQ QRIS"/>
    <x v="2"/>
    <s v="Bank"/>
  </r>
  <r>
    <d v="2025-03-19T00:00:00"/>
    <m/>
    <m/>
    <n v="50000"/>
    <x v="5"/>
    <n v="117643899"/>
    <s v="INFAQ QRIS"/>
    <x v="2"/>
    <s v="Bank"/>
  </r>
  <r>
    <d v="2025-03-19T00:00:00"/>
    <m/>
    <m/>
    <n v="900000"/>
    <x v="5"/>
    <n v="118543899"/>
    <s v="Infaq an wahyu romadhoni"/>
    <x v="2"/>
    <s v="Bank"/>
  </r>
  <r>
    <d v="2025-03-20T00:00:00"/>
    <m/>
    <m/>
    <n v="50000"/>
    <x v="5"/>
    <n v="118593899"/>
    <s v="INFAQ QRIS"/>
    <x v="2"/>
    <s v="Bank"/>
  </r>
  <r>
    <d v="2025-03-20T00:00:00"/>
    <m/>
    <m/>
    <n v="100000"/>
    <x v="5"/>
    <n v="118693899"/>
    <s v="INFAQ QRIS"/>
    <x v="2"/>
    <s v="Bank"/>
  </r>
  <r>
    <d v="2025-03-20T00:00:00"/>
    <m/>
    <m/>
    <n v="25000"/>
    <x v="5"/>
    <n v="118718899"/>
    <s v="INFAQ QRIS"/>
    <x v="2"/>
    <s v="Bank"/>
  </r>
  <r>
    <d v="2025-03-20T00:00:00"/>
    <m/>
    <m/>
    <n v="50000"/>
    <x v="5"/>
    <n v="118768899"/>
    <s v="INFAQ QRIS"/>
    <x v="2"/>
    <s v="Bank"/>
  </r>
  <r>
    <d v="2025-03-20T00:00:00"/>
    <m/>
    <m/>
    <n v="50000"/>
    <x v="5"/>
    <n v="118818899"/>
    <s v="INFAQ QRIS"/>
    <x v="2"/>
    <s v="Bank"/>
  </r>
  <r>
    <d v="2025-03-20T00:00:00"/>
    <m/>
    <m/>
    <n v="10000"/>
    <x v="5"/>
    <n v="118828899"/>
    <s v="INFAQ QRIS"/>
    <x v="2"/>
    <s v="Bank"/>
  </r>
  <r>
    <d v="2025-03-20T00:00:00"/>
    <m/>
    <m/>
    <n v="50000"/>
    <x v="5"/>
    <n v="118878899"/>
    <s v="INFAQ QRIS"/>
    <x v="2"/>
    <s v="Bank"/>
  </r>
  <r>
    <d v="2025-03-20T00:00:00"/>
    <m/>
    <m/>
    <n v="10000"/>
    <x v="5"/>
    <n v="118888899"/>
    <s v="INFAQ QRIS"/>
    <x v="2"/>
    <s v="Bank"/>
  </r>
  <r>
    <d v="2025-03-20T00:00:00"/>
    <m/>
    <m/>
    <n v="100000"/>
    <x v="5"/>
    <n v="118988899"/>
    <s v="INFAQ QRIS"/>
    <x v="2"/>
    <s v="Bank"/>
  </r>
  <r>
    <d v="2025-03-20T00:00:00"/>
    <m/>
    <m/>
    <n v="50000"/>
    <x v="5"/>
    <n v="119038899"/>
    <s v="INFAQ QRIS"/>
    <x v="2"/>
    <s v="Bank"/>
  </r>
  <r>
    <d v="2025-03-20T00:00:00"/>
    <m/>
    <m/>
    <n v="4250000"/>
    <x v="5"/>
    <n v="123288899"/>
    <s v="Infaq Collection Imron"/>
    <x v="2"/>
    <s v="Bank"/>
  </r>
  <r>
    <d v="2025-03-20T00:00:00"/>
    <n v="425000"/>
    <m/>
    <m/>
    <x v="5"/>
    <n v="122863899"/>
    <s v="Collection FEE Imron"/>
    <x v="18"/>
    <s v="Bank"/>
  </r>
  <r>
    <d v="2025-03-20T00:00:00"/>
    <n v="2006000"/>
    <m/>
    <m/>
    <x v="5"/>
    <n v="120857899"/>
    <s v="Voucher Listrik"/>
    <x v="7"/>
    <s v="Bank"/>
  </r>
  <r>
    <m/>
    <m/>
    <n v="1819000"/>
    <m/>
    <x v="5"/>
    <n v="120857899"/>
    <s v="SETOR IMRON ROSADI"/>
    <x v="4"/>
    <m/>
  </r>
  <r>
    <d v="2025-03-20T00:00:00"/>
    <m/>
    <m/>
    <n v="25000"/>
    <x v="5"/>
    <n v="120882899"/>
    <s v="INFAQ FADEL MUHAMMAD IKHWAN"/>
    <x v="2"/>
    <s v="Bank"/>
  </r>
  <r>
    <d v="2025-03-21T00:00:00"/>
    <m/>
    <m/>
    <n v="50000"/>
    <x v="5"/>
    <n v="120932899"/>
    <s v="INFAQ QRIS"/>
    <x v="2"/>
    <s v="Bank"/>
  </r>
  <r>
    <d v="2025-03-21T00:00:00"/>
    <m/>
    <m/>
    <n v="200000"/>
    <x v="5"/>
    <n v="121132899"/>
    <s v="INFAQ QRIS"/>
    <x v="2"/>
    <s v="Bank"/>
  </r>
  <r>
    <d v="2025-03-21T00:00:00"/>
    <m/>
    <m/>
    <n v="25000"/>
    <x v="5"/>
    <n v="121157899"/>
    <s v="INFAQ QRIS"/>
    <x v="2"/>
    <s v="Bank"/>
  </r>
  <r>
    <d v="2025-03-21T00:00:00"/>
    <m/>
    <m/>
    <n v="100000"/>
    <x v="5"/>
    <n v="121257899"/>
    <s v="INFAQ QRIS"/>
    <x v="2"/>
    <s v="Bank"/>
  </r>
  <r>
    <d v="2025-03-21T00:00:00"/>
    <m/>
    <m/>
    <n v="100000"/>
    <x v="5"/>
    <n v="121357899"/>
    <s v="INFAQ QRIS"/>
    <x v="2"/>
    <s v="Bank"/>
  </r>
  <r>
    <d v="2025-03-21T00:00:00"/>
    <m/>
    <m/>
    <n v="10000"/>
    <x v="5"/>
    <n v="121367899"/>
    <s v="INFAQ QRIS"/>
    <x v="2"/>
    <s v="Bank"/>
  </r>
  <r>
    <d v="2025-03-21T00:00:00"/>
    <m/>
    <m/>
    <n v="25000"/>
    <x v="5"/>
    <n v="121392899"/>
    <s v="INFAQ QRIS"/>
    <x v="2"/>
    <s v="Bank"/>
  </r>
  <r>
    <d v="2025-03-21T00:00:00"/>
    <m/>
    <m/>
    <n v="50000"/>
    <x v="5"/>
    <n v="121442899"/>
    <s v="INFAQ QRIS"/>
    <x v="2"/>
    <s v="Bank"/>
  </r>
  <r>
    <d v="2025-03-21T00:00:00"/>
    <m/>
    <m/>
    <n v="10000"/>
    <x v="5"/>
    <n v="121452899"/>
    <s v="INFAQ QRIS"/>
    <x v="2"/>
    <s v="Bank"/>
  </r>
  <r>
    <d v="2025-03-21T00:00:00"/>
    <m/>
    <m/>
    <n v="100000"/>
    <x v="5"/>
    <n v="121552899"/>
    <s v="INFAQ QRIS"/>
    <x v="2"/>
    <s v="Bank"/>
  </r>
  <r>
    <d v="2025-03-21T00:00:00"/>
    <m/>
    <m/>
    <n v="10000"/>
    <x v="5"/>
    <n v="121562899"/>
    <s v="INFAQ QRIS"/>
    <x v="2"/>
    <s v="Bank"/>
  </r>
  <r>
    <d v="2025-03-21T00:00:00"/>
    <m/>
    <m/>
    <n v="1000000"/>
    <x v="5"/>
    <n v="122562899"/>
    <s v="INFAQ DARI ANGGONO IRIAWAN"/>
    <x v="2"/>
    <s v="Bank"/>
  </r>
  <r>
    <d v="2025-03-21T00:00:00"/>
    <n v="7000"/>
    <m/>
    <m/>
    <x v="6"/>
    <n v="122555899"/>
    <s v="BIAYA PAYROLL "/>
    <x v="1"/>
    <s v="Bank"/>
  </r>
  <r>
    <d v="2025-03-21T00:00:00"/>
    <m/>
    <m/>
    <n v="100000"/>
    <x v="6"/>
    <n v="122655899"/>
    <s v="INFAQ SURJATI SUTARJA"/>
    <x v="2"/>
    <s v="Bank"/>
  </r>
  <r>
    <d v="2025-03-24T00:00:00"/>
    <m/>
    <m/>
    <n v="50000"/>
    <x v="6"/>
    <n v="122705899"/>
    <s v="INFAQ QRIS"/>
    <x v="2"/>
    <s v="Bank"/>
  </r>
  <r>
    <d v="2025-03-24T00:00:00"/>
    <m/>
    <m/>
    <n v="100000"/>
    <x v="6"/>
    <n v="122805899"/>
    <s v="INFAQ QRIS"/>
    <x v="2"/>
    <s v="Bank"/>
  </r>
  <r>
    <d v="2025-03-24T00:00:00"/>
    <m/>
    <m/>
    <n v="25000"/>
    <x v="6"/>
    <n v="122830899"/>
    <s v="INFAQ QRIS"/>
    <x v="2"/>
    <s v="Bank"/>
  </r>
  <r>
    <d v="2025-03-24T00:00:00"/>
    <m/>
    <m/>
    <n v="100000"/>
    <x v="6"/>
    <n v="122930899"/>
    <s v="INFAQ QRIS"/>
    <x v="2"/>
    <s v="Bank"/>
  </r>
  <r>
    <d v="2025-03-24T00:00:00"/>
    <m/>
    <m/>
    <n v="1000010"/>
    <x v="6"/>
    <n v="123930909"/>
    <s v="ZAKAT MAL ELLIYAS"/>
    <x v="16"/>
    <s v="Bank"/>
  </r>
  <r>
    <d v="2025-03-24T00:00:00"/>
    <m/>
    <m/>
    <n v="25000"/>
    <x v="6"/>
    <n v="123955909"/>
    <s v="INFAQ QRIS"/>
    <x v="2"/>
    <s v="Bank"/>
  </r>
  <r>
    <d v="2025-03-24T00:00:00"/>
    <m/>
    <m/>
    <n v="10000"/>
    <x v="6"/>
    <n v="123965909"/>
    <s v="INFAQ QRIS"/>
    <x v="2"/>
    <s v="Bank"/>
  </r>
  <r>
    <d v="2025-03-24T00:00:00"/>
    <m/>
    <m/>
    <n v="50000"/>
    <x v="6"/>
    <n v="124015909"/>
    <s v="INFAQ QRIS"/>
    <x v="2"/>
    <s v="Bank"/>
  </r>
  <r>
    <d v="2025-03-24T00:00:00"/>
    <m/>
    <m/>
    <n v="10000"/>
    <x v="6"/>
    <n v="124025909"/>
    <s v="INFAQ QRIS"/>
    <x v="2"/>
    <s v="Bank"/>
  </r>
  <r>
    <d v="2025-03-24T00:00:00"/>
    <m/>
    <m/>
    <n v="100000"/>
    <x v="6"/>
    <n v="124125909"/>
    <s v="INFAQ QRIS"/>
    <x v="2"/>
    <s v="Bank"/>
  </r>
  <r>
    <d v="2025-03-24T00:00:00"/>
    <m/>
    <m/>
    <n v="20000"/>
    <x v="6"/>
    <n v="124145909"/>
    <s v="INFAQ QRIS"/>
    <x v="2"/>
    <s v="Bank"/>
  </r>
  <r>
    <d v="2025-03-24T00:00:00"/>
    <m/>
    <m/>
    <n v="48000"/>
    <x v="6"/>
    <n v="124193909"/>
    <s v="INFAQ QRIS"/>
    <x v="2"/>
    <s v="Bank"/>
  </r>
  <r>
    <d v="2025-03-24T00:00:00"/>
    <m/>
    <m/>
    <n v="100000"/>
    <x v="6"/>
    <n v="124293909"/>
    <s v="INFAQ QRIS"/>
    <x v="2"/>
    <s v="Bank"/>
  </r>
  <r>
    <d v="2025-03-24T00:00:00"/>
    <m/>
    <m/>
    <n v="300000"/>
    <x v="6"/>
    <n v="124593909"/>
    <s v="INFAQ QRIS"/>
    <x v="2"/>
    <s v="Bank"/>
  </r>
  <r>
    <d v="2025-03-24T00:00:00"/>
    <m/>
    <m/>
    <n v="20000"/>
    <x v="6"/>
    <n v="124613909"/>
    <s v="INFAQ QRIS"/>
    <x v="2"/>
    <s v="Bank"/>
  </r>
  <r>
    <d v="2025-03-24T00:00:00"/>
    <m/>
    <m/>
    <n v="1474"/>
    <x v="6"/>
    <n v="124615383"/>
    <s v="INFAQ QRIS"/>
    <x v="2"/>
    <s v="Bank"/>
  </r>
  <r>
    <d v="2025-03-24T00:00:00"/>
    <m/>
    <m/>
    <n v="5000"/>
    <x v="6"/>
    <n v="124620383"/>
    <s v="INFAQ QRIS"/>
    <x v="2"/>
    <s v="Bank"/>
  </r>
  <r>
    <d v="2025-03-24T00:00:00"/>
    <m/>
    <m/>
    <n v="20000"/>
    <x v="6"/>
    <n v="124640383"/>
    <s v="INFAQ QRIS"/>
    <x v="2"/>
    <s v="Bank"/>
  </r>
  <r>
    <d v="2025-03-24T00:00:00"/>
    <m/>
    <m/>
    <n v="2000000"/>
    <x v="6"/>
    <n v="126640383"/>
    <s v="INFAQ RIZKYHIDAYATSL"/>
    <x v="2"/>
    <s v="Bank"/>
  </r>
  <r>
    <d v="2025-03-24T00:00:00"/>
    <m/>
    <m/>
    <n v="1500000"/>
    <x v="6"/>
    <n v="128140383"/>
    <s v="ZAKAT MAL Budi Tursilo"/>
    <x v="16"/>
    <s v="Bank"/>
  </r>
  <r>
    <d v="2025-03-24T00:00:00"/>
    <m/>
    <m/>
    <n v="25000"/>
    <x v="6"/>
    <n v="128165383"/>
    <s v="INFAQ FADEL MUHAMMAD IKHWAN"/>
    <x v="2"/>
    <s v="Bank"/>
  </r>
  <r>
    <d v="2025-03-24T00:00:00"/>
    <m/>
    <m/>
    <n v="50000"/>
    <x v="6"/>
    <n v="128215383"/>
    <s v="INFAQ QRIS"/>
    <x v="2"/>
    <s v="Bank"/>
  </r>
  <r>
    <d v="2025-03-24T00:00:00"/>
    <m/>
    <m/>
    <n v="100000"/>
    <x v="6"/>
    <n v="128315383"/>
    <s v="INFAQ QRIS"/>
    <x v="2"/>
    <s v="Bank"/>
  </r>
  <r>
    <d v="2025-03-24T00:00:00"/>
    <m/>
    <m/>
    <n v="100000"/>
    <x v="6"/>
    <n v="128415383"/>
    <s v="INFAQ QRIS"/>
    <x v="2"/>
    <s v="Bank"/>
  </r>
  <r>
    <d v="2025-03-24T00:00:00"/>
    <m/>
    <m/>
    <n v="100000"/>
    <x v="6"/>
    <n v="128515383"/>
    <s v="INFAQ QRIS"/>
    <x v="2"/>
    <s v="Bank"/>
  </r>
  <r>
    <d v="2025-03-24T00:00:00"/>
    <m/>
    <m/>
    <n v="10000"/>
    <x v="6"/>
    <n v="128525383"/>
    <s v="INFAQ QRIS"/>
    <x v="2"/>
    <s v="Bank"/>
  </r>
  <r>
    <d v="2025-03-24T00:00:00"/>
    <m/>
    <m/>
    <n v="10000"/>
    <x v="6"/>
    <n v="128535383"/>
    <s v="INFAQ QRIS"/>
    <x v="2"/>
    <s v="Bank"/>
  </r>
  <r>
    <d v="2025-03-24T00:00:00"/>
    <m/>
    <m/>
    <n v="10000"/>
    <x v="6"/>
    <n v="128545383"/>
    <s v="INFAQ QRIS"/>
    <x v="2"/>
    <s v="Bank"/>
  </r>
  <r>
    <d v="2025-03-24T00:00:00"/>
    <m/>
    <m/>
    <n v="25000"/>
    <x v="6"/>
    <n v="128570383"/>
    <s v="INFAQ QRIS"/>
    <x v="2"/>
    <s v="Bank"/>
  </r>
  <r>
    <d v="2025-03-24T00:00:00"/>
    <m/>
    <m/>
    <n v="100000"/>
    <x v="6"/>
    <n v="128670383"/>
    <s v="INFAQ QRIS"/>
    <x v="2"/>
    <s v="Bank"/>
  </r>
  <r>
    <d v="2025-03-24T00:00:00"/>
    <m/>
    <m/>
    <n v="25000"/>
    <x v="6"/>
    <n v="128695383"/>
    <s v="INFAQ QRIS"/>
    <x v="2"/>
    <s v="Bank"/>
  </r>
  <r>
    <d v="2025-03-24T00:00:00"/>
    <m/>
    <m/>
    <n v="50000"/>
    <x v="6"/>
    <n v="128745383"/>
    <s v="INFAQ QRIS"/>
    <x v="2"/>
    <s v="Bank"/>
  </r>
  <r>
    <d v="2025-03-24T00:00:00"/>
    <m/>
    <m/>
    <n v="20000"/>
    <x v="6"/>
    <n v="128765383"/>
    <s v="INFAQ QRIS"/>
    <x v="2"/>
    <s v="Bank"/>
  </r>
  <r>
    <d v="2025-03-24T00:00:00"/>
    <m/>
    <m/>
    <n v="1000000"/>
    <x v="6"/>
    <n v="129765383"/>
    <s v="INFAQ DARI DION"/>
    <x v="2"/>
    <s v="Bank"/>
  </r>
  <r>
    <d v="2025-03-24T00:00:00"/>
    <m/>
    <m/>
    <n v="4000000"/>
    <x v="6"/>
    <n v="133765383"/>
    <s v="ZAKAT MAL DARI DION"/>
    <x v="16"/>
    <s v="Bank"/>
  </r>
  <r>
    <d v="2025-03-24T00:00:00"/>
    <m/>
    <m/>
    <n v="300000"/>
    <x v="6"/>
    <n v="134065383"/>
    <s v="INFAQ Bp. Injon"/>
    <x v="2"/>
    <s v="Bank"/>
  </r>
  <r>
    <d v="2025-03-24T00:00:00"/>
    <m/>
    <m/>
    <n v="5000000"/>
    <x v="6"/>
    <n v="139065383"/>
    <s v="ZAKAT MAL DHIDIK TRI WIBOWO"/>
    <x v="16"/>
    <s v="Bank"/>
  </r>
  <r>
    <d v="2025-03-24T00:00:00"/>
    <m/>
    <m/>
    <n v="20000"/>
    <x v="6"/>
    <n v="139085383"/>
    <s v="INFAQ QRIS"/>
    <x v="2"/>
    <s v="Bank"/>
  </r>
  <r>
    <d v="2025-03-24T00:00:00"/>
    <m/>
    <m/>
    <n v="50000"/>
    <x v="6"/>
    <n v="139135383"/>
    <s v="INFAQ QRIS"/>
    <x v="2"/>
    <s v="Bank"/>
  </r>
  <r>
    <d v="2025-03-24T00:00:00"/>
    <m/>
    <m/>
    <n v="25000"/>
    <x v="6"/>
    <n v="139160383"/>
    <s v="INFAQ QRIS"/>
    <x v="2"/>
    <s v="Bank"/>
  </r>
  <r>
    <d v="2025-03-24T00:00:00"/>
    <m/>
    <m/>
    <n v="100000"/>
    <x v="6"/>
    <n v="139260383"/>
    <s v="INFAQ QRIS"/>
    <x v="2"/>
    <s v="Bank"/>
  </r>
  <r>
    <d v="2025-03-24T00:00:00"/>
    <m/>
    <m/>
    <n v="5000"/>
    <x v="6"/>
    <n v="139265383"/>
    <s v="INFAQ QRIS"/>
    <x v="2"/>
    <s v="Bank"/>
  </r>
  <r>
    <d v="2025-03-24T00:00:00"/>
    <m/>
    <m/>
    <n v="1000000"/>
    <x v="6"/>
    <n v="140265383"/>
    <s v="INFAQ DARI WAHYU ROMADHONI"/>
    <x v="2"/>
    <s v="Bank"/>
  </r>
  <r>
    <d v="2025-03-24T00:00:00"/>
    <m/>
    <m/>
    <n v="100000"/>
    <x v="6"/>
    <n v="140365383"/>
    <s v="INFAQ QRIS"/>
    <x v="2"/>
    <s v="Bank"/>
  </r>
  <r>
    <d v="2025-03-24T00:00:00"/>
    <m/>
    <m/>
    <n v="9000"/>
    <x v="6"/>
    <n v="140374383"/>
    <s v="INFAQ QRIS"/>
    <x v="2"/>
    <s v="Bank"/>
  </r>
  <r>
    <d v="2025-03-24T00:00:00"/>
    <m/>
    <m/>
    <n v="10000"/>
    <x v="6"/>
    <n v="140384383"/>
    <s v="INFAQ QRIS"/>
    <x v="2"/>
    <s v="Bank"/>
  </r>
  <r>
    <d v="2025-03-24T00:00:00"/>
    <m/>
    <m/>
    <n v="50000"/>
    <x v="6"/>
    <n v="140434383"/>
    <s v="INFAQ QRIS"/>
    <x v="2"/>
    <s v="Bank"/>
  </r>
  <r>
    <d v="2025-03-24T00:00:00"/>
    <m/>
    <m/>
    <n v="10000"/>
    <x v="6"/>
    <n v="140444383"/>
    <s v="INFAQ QRIS"/>
    <x v="2"/>
    <s v="Bank"/>
  </r>
  <r>
    <d v="2025-03-24T00:00:00"/>
    <m/>
    <m/>
    <n v="25000"/>
    <x v="6"/>
    <n v="140469383"/>
    <s v="INFAQ QRIS"/>
    <x v="2"/>
    <s v="Bank"/>
  </r>
  <r>
    <d v="2025-03-24T00:00:00"/>
    <m/>
    <m/>
    <n v="25000"/>
    <x v="6"/>
    <n v="140494383"/>
    <s v="INFAQ QRIS"/>
    <x v="2"/>
    <s v="Bank"/>
  </r>
  <r>
    <d v="2025-03-24T00:00:00"/>
    <m/>
    <m/>
    <n v="5000"/>
    <x v="6"/>
    <n v="140499383"/>
    <s v="INFAQ QRIS"/>
    <x v="2"/>
    <s v="Bank"/>
  </r>
  <r>
    <d v="2025-03-24T00:00:00"/>
    <m/>
    <m/>
    <n v="20000"/>
    <x v="6"/>
    <n v="140519383"/>
    <s v="INFAQ QRIS"/>
    <x v="2"/>
    <s v="Bank"/>
  </r>
  <r>
    <d v="2025-03-24T00:00:00"/>
    <m/>
    <m/>
    <n v="10000"/>
    <x v="6"/>
    <n v="140529383"/>
    <s v="INFAQ QRIS"/>
    <x v="2"/>
    <s v="Bank"/>
  </r>
  <r>
    <d v="2025-03-24T00:00:00"/>
    <m/>
    <m/>
    <n v="5252"/>
    <x v="6"/>
    <n v="140534635"/>
    <s v="INFAQ QRIS"/>
    <x v="2"/>
    <s v="Bank"/>
  </r>
  <r>
    <d v="2025-03-24T00:00:00"/>
    <m/>
    <m/>
    <n v="401"/>
    <x v="6"/>
    <n v="140535036"/>
    <s v="INFAQ QRIS"/>
    <x v="2"/>
    <s v="Bank"/>
  </r>
  <r>
    <d v="2025-03-24T00:00:00"/>
    <m/>
    <m/>
    <n v="50000"/>
    <x v="6"/>
    <n v="140585036"/>
    <s v="INFAQ QRIS"/>
    <x v="2"/>
    <s v="Bank"/>
  </r>
  <r>
    <d v="2025-03-24T00:00:00"/>
    <m/>
    <m/>
    <n v="1000000"/>
    <x v="6"/>
    <n v="141585036"/>
    <s v="ZAKAT MAL DARI YADI ABDULLAH"/>
    <x v="16"/>
    <s v="Bank"/>
  </r>
  <r>
    <d v="2025-03-25T00:00:00"/>
    <m/>
    <m/>
    <n v="50000"/>
    <x v="6"/>
    <n v="141635036"/>
    <s v="INFAQ QRIS"/>
    <x v="2"/>
    <s v="Bank"/>
  </r>
  <r>
    <d v="2025-03-25T00:00:00"/>
    <m/>
    <m/>
    <n v="100000"/>
    <x v="6"/>
    <n v="141735036"/>
    <s v="INFAQ QRIS"/>
    <x v="2"/>
    <s v="Bank"/>
  </r>
  <r>
    <d v="2025-03-25T00:00:00"/>
    <m/>
    <m/>
    <n v="100000"/>
    <x v="6"/>
    <n v="141835036"/>
    <s v="INFAQ QRIS"/>
    <x v="2"/>
    <s v="Bank"/>
  </r>
  <r>
    <d v="2025-03-25T00:00:00"/>
    <m/>
    <m/>
    <n v="25000"/>
    <x v="6"/>
    <n v="141860036"/>
    <s v="INFAQ QRIS"/>
    <x v="2"/>
    <s v="Bank"/>
  </r>
  <r>
    <d v="2025-03-25T00:00:00"/>
    <m/>
    <m/>
    <n v="10000"/>
    <x v="6"/>
    <n v="141870036"/>
    <s v="INFAQ QRIS"/>
    <x v="2"/>
    <s v="Bank"/>
  </r>
  <r>
    <d v="2025-03-25T00:00:00"/>
    <m/>
    <m/>
    <n v="10000"/>
    <x v="6"/>
    <n v="141880036"/>
    <s v="INFAQ QRIS"/>
    <x v="2"/>
    <s v="Bank"/>
  </r>
  <r>
    <d v="2025-03-25T00:00:00"/>
    <m/>
    <m/>
    <n v="100000"/>
    <x v="6"/>
    <n v="141980036"/>
    <s v="INFAQ QRIS"/>
    <x v="2"/>
    <s v="Bank"/>
  </r>
  <r>
    <d v="2025-03-25T00:00:00"/>
    <m/>
    <m/>
    <n v="10000"/>
    <x v="6"/>
    <n v="141990036"/>
    <s v="INFAQ QRIS"/>
    <x v="2"/>
    <s v="Bank"/>
  </r>
  <r>
    <d v="2025-03-25T00:00:00"/>
    <m/>
    <m/>
    <n v="20000"/>
    <x v="6"/>
    <n v="142010036"/>
    <s v="INFAQ QRIS"/>
    <x v="2"/>
    <s v="Bank"/>
  </r>
  <r>
    <d v="2025-03-25T00:00:00"/>
    <m/>
    <m/>
    <n v="25000"/>
    <x v="6"/>
    <n v="142035036"/>
    <s v="INFAQ QRIS"/>
    <x v="2"/>
    <s v="Bank"/>
  </r>
  <r>
    <d v="2025-03-25T00:00:00"/>
    <m/>
    <m/>
    <n v="4415000"/>
    <x v="6"/>
    <n v="146450036"/>
    <s v="Akun Yatim &amp; Sosial"/>
    <x v="12"/>
    <s v="Bank"/>
  </r>
  <r>
    <d v="2025-03-25T00:00:00"/>
    <m/>
    <m/>
    <n v="2046000"/>
    <x v="6"/>
    <n v="148496036"/>
    <s v="Operasional (Infaq &amp; Sodaqoh)"/>
    <x v="2"/>
    <s v="Bank"/>
  </r>
  <r>
    <d v="2025-03-25T00:00:00"/>
    <m/>
    <m/>
    <n v="5026000"/>
    <x v="6"/>
    <n v="153522036"/>
    <s v="Infaq Taraweh"/>
    <x v="2"/>
    <s v="Bank"/>
  </r>
  <r>
    <m/>
    <m/>
    <n v="11487000"/>
    <m/>
    <x v="1"/>
    <n v="153522036"/>
    <s v="SETOR IMRON"/>
    <x v="4"/>
    <m/>
  </r>
  <r>
    <d v="2025-03-25T00:00:00"/>
    <m/>
    <m/>
    <n v="20000"/>
    <x v="6"/>
    <n v="153542036"/>
    <s v="INFAQ DARI FADEL MUHAMMAD IKHWAN"/>
    <x v="2"/>
    <s v="Bank"/>
  </r>
  <r>
    <d v="2025-03-26T00:00:00"/>
    <m/>
    <m/>
    <n v="50000"/>
    <x v="6"/>
    <n v="153592036"/>
    <s v="INFAQ QRIS"/>
    <x v="2"/>
    <s v="Bank"/>
  </r>
  <r>
    <d v="2025-03-26T00:00:00"/>
    <m/>
    <m/>
    <n v="50000"/>
    <x v="6"/>
    <n v="153642036"/>
    <s v="INFAQ QRIS"/>
    <x v="2"/>
    <s v="Bank"/>
  </r>
  <r>
    <d v="2025-03-26T00:00:00"/>
    <m/>
    <m/>
    <n v="50000"/>
    <x v="6"/>
    <n v="153692036"/>
    <s v="INFAQ QRIS"/>
    <x v="2"/>
    <s v="Bank"/>
  </r>
  <r>
    <d v="2025-03-26T00:00:00"/>
    <m/>
    <m/>
    <n v="100000"/>
    <x v="6"/>
    <n v="153792036"/>
    <s v="INFAQ QRIS"/>
    <x v="2"/>
    <s v="Bank"/>
  </r>
  <r>
    <d v="2025-03-26T00:00:00"/>
    <m/>
    <m/>
    <n v="25000"/>
    <x v="6"/>
    <n v="153817036"/>
    <s v="INFAQ QRIS"/>
    <x v="2"/>
    <s v="Bank"/>
  </r>
  <r>
    <d v="2025-03-26T00:00:00"/>
    <m/>
    <m/>
    <n v="10000"/>
    <x v="6"/>
    <n v="153827036"/>
    <s v="INFAQ QRIS"/>
    <x v="2"/>
    <s v="Bank"/>
  </r>
  <r>
    <d v="2025-03-26T00:00:00"/>
    <m/>
    <m/>
    <n v="10000"/>
    <x v="6"/>
    <n v="153837036"/>
    <s v="INFAQ QRIS"/>
    <x v="2"/>
    <s v="Bank"/>
  </r>
  <r>
    <d v="2025-03-26T00:00:00"/>
    <m/>
    <m/>
    <n v="100000"/>
    <x v="6"/>
    <n v="153937036"/>
    <s v="INFAQ QRIS"/>
    <x v="2"/>
    <s v="Bank"/>
  </r>
  <r>
    <d v="2025-03-26T00:00:00"/>
    <m/>
    <m/>
    <n v="50000"/>
    <x v="6"/>
    <n v="153987036"/>
    <s v="INFAQ QRIS"/>
    <x v="2"/>
    <s v="Bank"/>
  </r>
  <r>
    <d v="2025-03-26T00:00:00"/>
    <m/>
    <m/>
    <n v="25000"/>
    <x v="6"/>
    <n v="154012036"/>
    <s v="INFAQ QRIS"/>
    <x v="2"/>
    <s v="Bank"/>
  </r>
  <r>
    <d v="2025-03-26T00:00:00"/>
    <m/>
    <m/>
    <n v="5000"/>
    <x v="6"/>
    <n v="154017036"/>
    <s v="INFAQ QRIS"/>
    <x v="2"/>
    <s v="Bank"/>
  </r>
  <r>
    <d v="2025-03-26T00:00:00"/>
    <m/>
    <m/>
    <n v="100000"/>
    <x v="6"/>
    <n v="154117036"/>
    <s v="INFAQ QRIS"/>
    <x v="2"/>
    <s v="Bank"/>
  </r>
  <r>
    <d v="2025-03-27T00:00:00"/>
    <m/>
    <m/>
    <n v="50000"/>
    <x v="6"/>
    <n v="154167036"/>
    <s v="INFAQ DARI FADEL MUHAMMAD IKHWAN"/>
    <x v="2"/>
    <s v="Bank"/>
  </r>
  <r>
    <d v="2025-03-27T00:00:00"/>
    <m/>
    <m/>
    <n v="40000"/>
    <x v="6"/>
    <n v="154207036"/>
    <s v="INFAQ QRIS"/>
    <x v="2"/>
    <s v="Bank"/>
  </r>
  <r>
    <d v="2025-03-27T00:00:00"/>
    <m/>
    <m/>
    <n v="50000"/>
    <x v="6"/>
    <n v="154257036"/>
    <s v="INFAQ QRIS"/>
    <x v="2"/>
    <s v="Bank"/>
  </r>
  <r>
    <d v="2025-03-27T00:00:00"/>
    <m/>
    <m/>
    <n v="4000000"/>
    <x v="6"/>
    <n v="158257036"/>
    <s v="ZAKAT MAL DARI Muhammad Irfan GS DA 15"/>
    <x v="16"/>
    <s v="Bank"/>
  </r>
  <r>
    <d v="2025-03-27T00:00:00"/>
    <m/>
    <m/>
    <n v="50000"/>
    <x v="6"/>
    <n v="158307036"/>
    <s v="INFAQ QRIS"/>
    <x v="2"/>
    <s v="Bank"/>
  </r>
  <r>
    <d v="2025-03-27T00:00:00"/>
    <m/>
    <m/>
    <n v="10000"/>
    <x v="6"/>
    <n v="158317036"/>
    <s v="INFAQ QRIS"/>
    <x v="2"/>
    <s v="Bank"/>
  </r>
  <r>
    <d v="2025-03-27T00:00:00"/>
    <m/>
    <m/>
    <n v="10000"/>
    <x v="6"/>
    <n v="158327036"/>
    <s v="INFAQ QRIS"/>
    <x v="2"/>
    <s v="Bank"/>
  </r>
  <r>
    <d v="2025-03-27T00:00:00"/>
    <m/>
    <m/>
    <n v="50000"/>
    <x v="6"/>
    <n v="158377036"/>
    <s v="INFAQ QRIS"/>
    <x v="2"/>
    <s v="Bank"/>
  </r>
  <r>
    <d v="2025-03-27T00:00:00"/>
    <m/>
    <m/>
    <n v="100000"/>
    <x v="6"/>
    <n v="158477036"/>
    <s v="INFAQ QRIS"/>
    <x v="2"/>
    <s v="Bank"/>
  </r>
  <r>
    <d v="2025-03-27T00:00:00"/>
    <n v="4000000"/>
    <m/>
    <m/>
    <x v="6"/>
    <n v="154477036"/>
    <s v="BIAYA PERAWATAN SANTRI MARET 2025"/>
    <x v="15"/>
    <s v="Bank"/>
  </r>
  <r>
    <d v="2025-03-27T00:00:00"/>
    <n v="2500"/>
    <m/>
    <m/>
    <x v="6"/>
    <n v="154474536"/>
    <s v="BIAYA PERAWATAN SANTRI MARET 2025"/>
    <x v="15"/>
    <s v="Bank"/>
  </r>
  <r>
    <d v="2025-03-27T00:00:00"/>
    <n v="5400000"/>
    <m/>
    <m/>
    <x v="6"/>
    <n v="149074536"/>
    <s v="HONOR BAYU"/>
    <x v="15"/>
    <s v="Bank"/>
  </r>
  <r>
    <d v="2025-03-27T00:00:00"/>
    <n v="6500"/>
    <m/>
    <m/>
    <x v="6"/>
    <n v="149068036"/>
    <s v="HONOR BAYU"/>
    <x v="15"/>
    <s v="Bank"/>
  </r>
  <r>
    <d v="2025-03-27T00:00:00"/>
    <n v="6500000"/>
    <m/>
    <m/>
    <x v="6"/>
    <n v="142568036"/>
    <s v="HONOR NANANG "/>
    <x v="15"/>
    <s v="Bank"/>
  </r>
  <r>
    <d v="2025-03-27T00:00:00"/>
    <n v="6500"/>
    <m/>
    <m/>
    <x v="6"/>
    <n v="142561536"/>
    <s v="HONOR NANANG "/>
    <x v="15"/>
    <s v="Bank"/>
  </r>
  <r>
    <d v="2025-03-27T00:00:00"/>
    <n v="5000000"/>
    <m/>
    <m/>
    <x v="6"/>
    <n v="137561536"/>
    <s v="HONOR AZIZ"/>
    <x v="13"/>
    <s v="Bank"/>
  </r>
  <r>
    <d v="2025-03-27T00:00:00"/>
    <n v="6500"/>
    <m/>
    <m/>
    <x v="6"/>
    <n v="137555036"/>
    <s v="HONOR AZIZ"/>
    <x v="13"/>
    <s v="Bank"/>
  </r>
  <r>
    <d v="2025-03-27T00:00:00"/>
    <n v="3000000"/>
    <m/>
    <m/>
    <x v="6"/>
    <n v="134555036"/>
    <s v="HONOR ILHAM"/>
    <x v="15"/>
    <s v="Bank"/>
  </r>
  <r>
    <d v="2025-03-27T00:00:00"/>
    <n v="6500"/>
    <m/>
    <m/>
    <x v="6"/>
    <n v="134548536"/>
    <s v="HONOR ILHAM"/>
    <x v="15"/>
    <s v="Bank"/>
  </r>
  <r>
    <d v="2025-03-27T00:00:00"/>
    <n v="4000000"/>
    <m/>
    <m/>
    <x v="6"/>
    <n v="130548536"/>
    <s v="HONOR YANA"/>
    <x v="13"/>
    <s v="Bank"/>
  </r>
  <r>
    <d v="2025-03-27T00:00:00"/>
    <n v="6500"/>
    <m/>
    <m/>
    <x v="6"/>
    <n v="130542036"/>
    <s v="HONOR YANA"/>
    <x v="13"/>
    <s v="Bank"/>
  </r>
  <r>
    <d v="2025-03-27T00:00:00"/>
    <n v="4000000"/>
    <m/>
    <m/>
    <x v="6"/>
    <n v="126542036"/>
    <s v="HONOR IMRON"/>
    <x v="13"/>
    <s v="Bank"/>
  </r>
  <r>
    <d v="2025-03-27T00:00:00"/>
    <n v="6500"/>
    <m/>
    <m/>
    <x v="6"/>
    <n v="126535536"/>
    <s v="HONOR IMRON"/>
    <x v="13"/>
    <s v="Bank"/>
  </r>
  <r>
    <d v="2025-03-27T00:00:00"/>
    <n v="5000000"/>
    <m/>
    <m/>
    <x v="6"/>
    <n v="121535536"/>
    <s v="HONOR SURYADI"/>
    <x v="13"/>
    <s v="Bank"/>
  </r>
  <r>
    <d v="2025-03-27T00:00:00"/>
    <m/>
    <m/>
    <n v="100000"/>
    <x v="6"/>
    <n v="121635536"/>
    <s v="INFAQ QRIS"/>
    <x v="2"/>
    <s v="Bank"/>
  </r>
  <r>
    <d v="2025-03-27T00:00:00"/>
    <m/>
    <m/>
    <n v="50000"/>
    <x v="6"/>
    <n v="121685536"/>
    <s v="INFAQ QRIS"/>
    <x v="2"/>
    <s v="Bank"/>
  </r>
  <r>
    <d v="2025-03-28T00:00:00"/>
    <m/>
    <m/>
    <n v="50000"/>
    <x v="7"/>
    <n v="121735536"/>
    <s v="INFAQ QRIS"/>
    <x v="2"/>
    <s v="Bank"/>
  </r>
  <r>
    <d v="2025-03-28T00:00:00"/>
    <m/>
    <m/>
    <n v="100000"/>
    <x v="7"/>
    <n v="121835536"/>
    <s v="INFAQ QRIS"/>
    <x v="2"/>
    <s v="Bank"/>
  </r>
  <r>
    <d v="2025-03-28T00:00:00"/>
    <m/>
    <m/>
    <n v="24000"/>
    <x v="7"/>
    <n v="121859536"/>
    <s v="INFAQ QRIS"/>
    <x v="2"/>
    <s v="Bank"/>
  </r>
  <r>
    <d v="2025-03-28T00:00:00"/>
    <m/>
    <m/>
    <n v="100000"/>
    <x v="7"/>
    <n v="121959536"/>
    <s v="INFAQ QRIS"/>
    <x v="2"/>
    <s v="Bank"/>
  </r>
  <r>
    <d v="2025-03-28T00:00:00"/>
    <m/>
    <m/>
    <n v="25000"/>
    <x v="7"/>
    <n v="121984536"/>
    <s v="INFAQ QRIS"/>
    <x v="2"/>
    <s v="Bank"/>
  </r>
  <r>
    <d v="2025-03-28T00:00:00"/>
    <m/>
    <m/>
    <n v="50000"/>
    <x v="7"/>
    <n v="122034536"/>
    <s v="INFAQ QRIS"/>
    <x v="2"/>
    <s v="Bank"/>
  </r>
  <r>
    <d v="2025-03-28T00:00:00"/>
    <m/>
    <m/>
    <n v="15000"/>
    <x v="7"/>
    <n v="122049536"/>
    <s v="INFAQ QRIS"/>
    <x v="2"/>
    <s v="Bank"/>
  </r>
  <r>
    <d v="2025-03-28T00:00:00"/>
    <m/>
    <m/>
    <n v="1000000"/>
    <x v="7"/>
    <n v="123049536"/>
    <s v="ZAKAT MAL DIKI FIRMANSYAH"/>
    <x v="16"/>
    <s v="Bank"/>
  </r>
  <r>
    <d v="2025-03-28T00:00:00"/>
    <m/>
    <m/>
    <n v="10000"/>
    <x v="7"/>
    <n v="123059536"/>
    <s v="INFAQ QRIS"/>
    <x v="2"/>
    <s v="Bank"/>
  </r>
  <r>
    <d v="2025-03-28T00:00:00"/>
    <m/>
    <m/>
    <n v="100000"/>
    <x v="7"/>
    <n v="123159536"/>
    <s v="INFAQ QRIS"/>
    <x v="2"/>
    <s v="Bank"/>
  </r>
  <r>
    <d v="2025-03-28T00:00:00"/>
    <m/>
    <m/>
    <n v="100000"/>
    <x v="7"/>
    <n v="123259536"/>
    <s v="INFAQ QRIS"/>
    <x v="2"/>
    <s v="Bank"/>
  </r>
  <r>
    <d v="2025-03-28T00:00:00"/>
    <m/>
    <m/>
    <n v="50000"/>
    <x v="7"/>
    <n v="123309536"/>
    <s v="INFAQ QRIS"/>
    <x v="2"/>
    <s v="Bank"/>
  </r>
  <r>
    <d v="2025-03-28T00:00:00"/>
    <m/>
    <m/>
    <n v="100000"/>
    <x v="7"/>
    <n v="123409536"/>
    <s v="INFAQ QRIS"/>
    <x v="2"/>
    <s v="Bank"/>
  </r>
  <r>
    <d v="2025-03-28T00:00:00"/>
    <m/>
    <m/>
    <n v="25000"/>
    <x v="7"/>
    <n v="123434536"/>
    <s v="INFAQ QRIS"/>
    <x v="2"/>
    <s v="Bank"/>
  </r>
  <r>
    <d v="2025-03-28T00:00:00"/>
    <m/>
    <m/>
    <n v="200000"/>
    <x v="7"/>
    <n v="123634536"/>
    <s v="INFAQ QRIS"/>
    <x v="2"/>
    <s v="Bank"/>
  </r>
  <r>
    <d v="2025-03-28T00:00:00"/>
    <m/>
    <m/>
    <n v="20000"/>
    <x v="7"/>
    <n v="123654536"/>
    <s v="INFAQ QRIS"/>
    <x v="2"/>
    <s v="Bank"/>
  </r>
  <r>
    <d v="2025-03-28T00:00:00"/>
    <m/>
    <m/>
    <n v="30000"/>
    <x v="7"/>
    <n v="123684536"/>
    <s v="INFAQ QRIS"/>
    <x v="2"/>
    <s v="Bank"/>
  </r>
  <r>
    <d v="2025-03-28T00:00:00"/>
    <m/>
    <m/>
    <n v="10000"/>
    <x v="7"/>
    <n v="123694536"/>
    <s v="INFAQ QRIS"/>
    <x v="2"/>
    <s v="Bank"/>
  </r>
  <r>
    <d v="2025-03-28T00:00:00"/>
    <m/>
    <m/>
    <n v="20000"/>
    <x v="7"/>
    <n v="123714536"/>
    <s v="INFAQ QRIS"/>
    <x v="2"/>
    <s v="Bank"/>
  </r>
  <r>
    <d v="2025-03-28T00:00:00"/>
    <m/>
    <m/>
    <n v="20000"/>
    <x v="7"/>
    <n v="123734536"/>
    <s v="INFAQ QRIS"/>
    <x v="2"/>
    <s v="Bank"/>
  </r>
  <r>
    <d v="2025-03-28T00:00:00"/>
    <m/>
    <m/>
    <n v="10000"/>
    <x v="7"/>
    <n v="123744536"/>
    <s v="INFAQ QRIS"/>
    <x v="2"/>
    <s v="Bank"/>
  </r>
  <r>
    <d v="2025-03-28T00:00:00"/>
    <m/>
    <m/>
    <n v="20000"/>
    <x v="7"/>
    <n v="123764536"/>
    <s v="INFAQ QRIS"/>
    <x v="2"/>
    <s v="Bank"/>
  </r>
  <r>
    <d v="2025-03-28T00:00:00"/>
    <m/>
    <m/>
    <n v="1000000"/>
    <x v="7"/>
    <n v="124764536"/>
    <s v="Zakat mal a.n yustitia wahidin"/>
    <x v="16"/>
    <s v="Bank"/>
  </r>
  <r>
    <d v="2025-03-28T00:00:00"/>
    <n v="53150000"/>
    <m/>
    <m/>
    <x v="7"/>
    <n v="71614536"/>
    <s v="PEMBAGIAN ZAKAT FITRAH 1446H "/>
    <x v="15"/>
    <s v="Bank"/>
  </r>
  <r>
    <d v="2025-03-28T00:00:00"/>
    <n v="2500"/>
    <m/>
    <m/>
    <x v="7"/>
    <n v="71612036"/>
    <s v="PEMBAGIAN ZAKAT FITRAH 1446H "/>
    <x v="15"/>
    <s v="Bank"/>
  </r>
  <r>
    <d v="2025-03-28T00:00:00"/>
    <m/>
    <m/>
    <n v="1000000"/>
    <x v="7"/>
    <n v="72612036"/>
    <s v="Infaq an Ramadhan"/>
    <x v="2"/>
    <s v="Bank"/>
  </r>
  <r>
    <d v="2025-03-28T00:00:00"/>
    <m/>
    <m/>
    <n v="50000"/>
    <x v="7"/>
    <n v="72662036"/>
    <s v="INFAQ QRIS"/>
    <x v="2"/>
    <s v="Bank"/>
  </r>
  <r>
    <d v="2025-03-28T00:00:00"/>
    <m/>
    <m/>
    <n v="20000"/>
    <x v="7"/>
    <n v="72682036"/>
    <s v="INFAQ QRIS"/>
    <x v="2"/>
    <s v="Bank"/>
  </r>
  <r>
    <d v="2025-03-28T00:00:00"/>
    <m/>
    <m/>
    <n v="200000"/>
    <x v="7"/>
    <n v="72882036"/>
    <s v="INFAQ QRIS"/>
    <x v="2"/>
    <s v="Bank"/>
  </r>
  <r>
    <d v="2025-03-28T00:00:00"/>
    <m/>
    <m/>
    <n v="50000"/>
    <x v="7"/>
    <n v="72932036"/>
    <s v="INFAQ QRIS"/>
    <x v="2"/>
    <s v="Bank"/>
  </r>
  <r>
    <d v="2025-03-28T00:00:00"/>
    <m/>
    <m/>
    <n v="100000"/>
    <x v="7"/>
    <n v="73032036"/>
    <s v="INFAQ QRIS"/>
    <x v="2"/>
    <s v="Bank"/>
  </r>
  <r>
    <d v="2025-03-28T00:00:00"/>
    <m/>
    <m/>
    <n v="2000000"/>
    <x v="7"/>
    <n v="75032036"/>
    <s v="INFAQ DARI ARIEF TAUFIQURRAHMAN"/>
    <x v="2"/>
    <s v="Bank"/>
  </r>
  <r>
    <d v="2025-03-28T00:00:00"/>
    <m/>
    <m/>
    <n v="100000"/>
    <x v="7"/>
    <n v="75132036"/>
    <s v="INFAQ QRIS"/>
    <x v="2"/>
    <s v="Bank"/>
  </r>
  <r>
    <d v="2025-03-28T00:00:00"/>
    <m/>
    <m/>
    <n v="50000"/>
    <x v="7"/>
    <n v="75182036"/>
    <s v="INFAQ QRIS"/>
    <x v="2"/>
    <s v="Bank"/>
  </r>
  <r>
    <d v="2025-03-28T00:00:00"/>
    <m/>
    <m/>
    <n v="10000"/>
    <x v="7"/>
    <n v="75192036"/>
    <s v="INFAQ QRIS"/>
    <x v="2"/>
    <s v="Bank"/>
  </r>
  <r>
    <d v="2025-03-28T00:00:00"/>
    <m/>
    <m/>
    <n v="30000"/>
    <x v="7"/>
    <n v="75222036"/>
    <s v="INFAQ QRIS"/>
    <x v="2"/>
    <s v="Bank"/>
  </r>
  <r>
    <d v="2025-03-28T00:00:00"/>
    <m/>
    <m/>
    <n v="3475000"/>
    <x v="7"/>
    <n v="78697036"/>
    <s v="ZAKAT MAL ???"/>
    <x v="16"/>
    <s v="Bank"/>
  </r>
  <r>
    <d v="2025-03-28T00:00:00"/>
    <m/>
    <m/>
    <n v="50000"/>
    <x v="7"/>
    <n v="78747036"/>
    <s v="INFAQ QRIS"/>
    <x v="2"/>
    <s v="Bank"/>
  </r>
  <r>
    <d v="2025-03-28T00:00:00"/>
    <m/>
    <m/>
    <n v="3000000"/>
    <x v="7"/>
    <n v="81747036"/>
    <s v="ZAKAT MAL ???"/>
    <x v="16"/>
    <s v="Bank"/>
  </r>
  <r>
    <d v="2025-03-28T00:00:00"/>
    <m/>
    <m/>
    <n v="100000"/>
    <x v="7"/>
    <n v="81847036"/>
    <s v="INFAQ QRIS"/>
    <x v="2"/>
    <s v="Bank"/>
  </r>
  <r>
    <d v="2025-03-28T00:00:00"/>
    <m/>
    <m/>
    <n v="25000"/>
    <x v="7"/>
    <n v="81872036"/>
    <s v="INFAQ QRIS"/>
    <x v="2"/>
    <s v="Bank"/>
  </r>
  <r>
    <d v="2025-03-28T00:00:00"/>
    <m/>
    <m/>
    <n v="50000"/>
    <x v="7"/>
    <n v="81922036"/>
    <s v="INFAQ QRIS"/>
    <x v="2"/>
    <s v="Bank"/>
  </r>
  <r>
    <d v="2025-03-28T00:00:00"/>
    <m/>
    <m/>
    <n v="200000"/>
    <x v="7"/>
    <n v="82122036"/>
    <s v="INFAQ QRIS"/>
    <x v="2"/>
    <s v="Bank"/>
  </r>
  <r>
    <d v="2025-03-28T00:00:00"/>
    <m/>
    <m/>
    <n v="30000"/>
    <x v="7"/>
    <n v="82152036"/>
    <s v="INFAQ QRIS"/>
    <x v="2"/>
    <s v="Bank"/>
  </r>
  <r>
    <d v="2025-03-28T00:00:00"/>
    <m/>
    <m/>
    <n v="20000"/>
    <x v="7"/>
    <n v="82172036"/>
    <s v="INFAQ QRIS"/>
    <x v="2"/>
    <s v="Bank"/>
  </r>
  <r>
    <d v="2025-03-28T00:00:00"/>
    <m/>
    <m/>
    <n v="150000"/>
    <x v="7"/>
    <n v="82322036"/>
    <s v="INFAQ QRIS"/>
    <x v="2"/>
    <s v="Bank"/>
  </r>
  <r>
    <d v="2025-03-28T00:00:00"/>
    <m/>
    <m/>
    <n v="10000"/>
    <x v="7"/>
    <n v="82332036"/>
    <s v="INFAQ QRIS"/>
    <x v="2"/>
    <s v="Bank"/>
  </r>
  <r>
    <d v="2025-03-28T00:00:00"/>
    <m/>
    <m/>
    <n v="1000000"/>
    <x v="7"/>
    <n v="83332036"/>
    <s v="INFAQ QRIS"/>
    <x v="2"/>
    <s v="Bank"/>
  </r>
  <r>
    <d v="2025-03-28T00:00:00"/>
    <m/>
    <m/>
    <n v="50000"/>
    <x v="7"/>
    <n v="83382036"/>
    <s v="INFAQ QRIS"/>
    <x v="2"/>
    <s v="Bank"/>
  </r>
  <r>
    <d v="2025-03-28T00:00:00"/>
    <m/>
    <m/>
    <n v="6000"/>
    <x v="7"/>
    <n v="83388036"/>
    <s v="INFAQ QRIS"/>
    <x v="2"/>
    <s v="Bank"/>
  </r>
  <r>
    <d v="2025-03-28T00:00:00"/>
    <m/>
    <m/>
    <n v="20000"/>
    <x v="7"/>
    <n v="83408036"/>
    <s v="INFAQ QRIS"/>
    <x v="2"/>
    <s v="Bank"/>
  </r>
  <r>
    <d v="2025-03-28T00:00:00"/>
    <m/>
    <m/>
    <n v="150000"/>
    <x v="7"/>
    <n v="83558036"/>
    <s v="INFAQ QRIS"/>
    <x v="2"/>
    <s v="Bank"/>
  </r>
  <r>
    <d v="2025-03-28T00:00:00"/>
    <m/>
    <m/>
    <n v="6570000"/>
    <x v="7"/>
    <n v="90128036"/>
    <s v="ZAKAT MAL ???"/>
    <x v="16"/>
    <s v="Bank"/>
  </r>
  <r>
    <d v="2025-03-28T00:00:00"/>
    <m/>
    <m/>
    <n v="50000"/>
    <x v="7"/>
    <n v="90178036"/>
    <s v="INFAQ QRIS"/>
    <x v="2"/>
    <s v="Bank"/>
  </r>
  <r>
    <d v="2025-03-28T00:00:00"/>
    <m/>
    <m/>
    <n v="5000"/>
    <x v="7"/>
    <n v="90183036"/>
    <s v="INFAQ QRIS"/>
    <x v="2"/>
    <s v="Bank"/>
  </r>
  <r>
    <d v="2025-03-28T00:00:00"/>
    <m/>
    <m/>
    <n v="5000"/>
    <x v="7"/>
    <n v="90188036"/>
    <s v="INFAQ QRIS"/>
    <x v="2"/>
    <s v="Bank"/>
  </r>
  <r>
    <m/>
    <m/>
    <m/>
    <m/>
    <x v="1"/>
    <m/>
    <m/>
    <x v="4"/>
    <m/>
  </r>
  <r>
    <d v="2025-01-03T00:00:00"/>
    <m/>
    <m/>
    <n v="2836352"/>
    <x v="0"/>
    <m/>
    <s v="Akun Yatim &amp; Sosial"/>
    <x v="5"/>
    <s v="Petty Cash"/>
  </r>
  <r>
    <d v="2025-01-03T00:00:00"/>
    <m/>
    <m/>
    <n v="2163648"/>
    <x v="0"/>
    <m/>
    <s v="Operasional (Infaq &amp; Sodaqoh)"/>
    <x v="19"/>
    <s v="Petty Cash"/>
  </r>
  <r>
    <m/>
    <m/>
    <n v="5000000"/>
    <m/>
    <x v="1"/>
    <n v="5000000"/>
    <s v="Saldo Awal Petty Cash"/>
    <x v="4"/>
    <m/>
  </r>
  <r>
    <d v="2025-01-03T00:00:00"/>
    <n v="675000"/>
    <m/>
    <m/>
    <x v="0"/>
    <n v="4325000"/>
    <s v="Servis Laptop"/>
    <x v="20"/>
    <s v="Petty Cash"/>
  </r>
  <r>
    <d v="2025-01-03T00:00:00"/>
    <n v="130000"/>
    <m/>
    <m/>
    <x v="0"/>
    <n v="4195000"/>
    <s v="Pembelian minyak wangi"/>
    <x v="8"/>
    <s v="Petty Cash"/>
  </r>
  <r>
    <d v="2025-01-03T00:00:00"/>
    <n v="180000"/>
    <m/>
    <m/>
    <x v="0"/>
    <n v="4015000"/>
    <s v="Pembelian teh,kopi,gula,tisu"/>
    <x v="17"/>
    <s v="Petty Cash"/>
  </r>
  <r>
    <d v="2025-01-03T00:00:00"/>
    <n v="170000"/>
    <m/>
    <m/>
    <x v="0"/>
    <n v="3845000"/>
    <s v="Pembelian pembersih keramik"/>
    <x v="8"/>
    <s v="Petty Cash"/>
  </r>
  <r>
    <d v="2025-01-07T00:00:00"/>
    <n v="500000"/>
    <m/>
    <m/>
    <x v="0"/>
    <n v="3345000"/>
    <s v="Biaya untuk Nebang pohon"/>
    <x v="8"/>
    <s v="Petty Cash"/>
  </r>
  <r>
    <d v="2025-01-12T00:00:00"/>
    <n v="750000"/>
    <m/>
    <m/>
    <x v="0"/>
    <n v="2595000"/>
    <s v="untuk ustadz kajian ahad subuh"/>
    <x v="11"/>
    <s v="Petty Cash"/>
  </r>
  <r>
    <d v="2025-01-12T00:00:00"/>
    <n v="130000"/>
    <m/>
    <m/>
    <x v="0"/>
    <n v="2465000"/>
    <s v="Pembelian minyak wangi"/>
    <x v="8"/>
    <s v="Petty Cash"/>
  </r>
  <r>
    <d v="2025-01-12T00:00:00"/>
    <n v="104000"/>
    <m/>
    <m/>
    <x v="0"/>
    <n v="2361000"/>
    <s v="Pembelian teh,kopi,tisu,gula"/>
    <x v="17"/>
    <s v="Petty Cash"/>
  </r>
  <r>
    <d v="2025-01-12T00:00:00"/>
    <n v="200000"/>
    <m/>
    <m/>
    <x v="0"/>
    <n v="2161000"/>
    <s v="pembelian alat kebersihan"/>
    <x v="8"/>
    <s v="Petty Cash"/>
  </r>
  <r>
    <d v="2025-01-12T00:00:00"/>
    <n v="500000"/>
    <m/>
    <m/>
    <x v="0"/>
    <n v="1661000"/>
    <s v="untuk khotib jumat"/>
    <x v="11"/>
    <s v="Petty Cash"/>
  </r>
  <r>
    <d v="2025-01-12T00:00:00"/>
    <m/>
    <m/>
    <n v="2000000"/>
    <x v="0"/>
    <n v="3661000"/>
    <s v="Isi Petty Cash"/>
    <x v="2"/>
    <s v="Petty Cash"/>
  </r>
  <r>
    <d v="2025-01-12T00:00:00"/>
    <n v="2000000"/>
    <m/>
    <m/>
    <x v="0"/>
    <n v="1661000"/>
    <s v="untuk biaya bikin tenda"/>
    <x v="20"/>
    <s v="Petty Cash"/>
  </r>
  <r>
    <d v="2025-01-12T00:00:00"/>
    <n v="500000"/>
    <m/>
    <m/>
    <x v="0"/>
    <n v="1161000"/>
    <s v="untuk khotib jumat"/>
    <x v="11"/>
    <s v="Petty Cash"/>
  </r>
  <r>
    <d v="2025-01-13T00:00:00"/>
    <n v="140000"/>
    <m/>
    <m/>
    <x v="0"/>
    <n v="1021000"/>
    <s v="Biaya fotokopi surat edaran"/>
    <x v="1"/>
    <s v="Petty Cash"/>
  </r>
  <r>
    <d v="2025-01-13T00:00:00"/>
    <n v="197000"/>
    <m/>
    <m/>
    <x v="0"/>
    <n v="824000"/>
    <s v="Pembelian pewangi ruangan"/>
    <x v="8"/>
    <s v="Petty Cash"/>
  </r>
  <r>
    <d v="2025-01-13T00:00:00"/>
    <n v="72000"/>
    <m/>
    <m/>
    <x v="0"/>
    <n v="752000"/>
    <s v="Untuk kopi teh dan tisu kajian ahad subuh"/>
    <x v="17"/>
    <s v="Petty Cash"/>
  </r>
  <r>
    <d v="2025-01-17T00:00:00"/>
    <m/>
    <m/>
    <n v="33000"/>
    <x v="0"/>
    <n v="785000"/>
    <m/>
    <x v="12"/>
    <s v="Petty Cash"/>
  </r>
  <r>
    <d v="2025-01-17T00:00:00"/>
    <m/>
    <m/>
    <n v="2967000"/>
    <x v="0"/>
    <n v="3752000"/>
    <m/>
    <x v="2"/>
    <s v="Petty Cash"/>
  </r>
  <r>
    <m/>
    <m/>
    <n v="3000000"/>
    <m/>
    <x v="1"/>
    <n v="3752000"/>
    <s v="Isi Petty Cash"/>
    <x v="4"/>
    <m/>
  </r>
  <r>
    <d v="2025-01-25T00:00:00"/>
    <n v="100000"/>
    <m/>
    <m/>
    <x v="0"/>
    <n v="3652000"/>
    <s v="Pembelian alat kebersihan"/>
    <x v="8"/>
    <s v="Petty Cash"/>
  </r>
  <r>
    <d v="2025-01-25T00:00:00"/>
    <n v="130000"/>
    <m/>
    <m/>
    <x v="0"/>
    <n v="3522000"/>
    <s v="Pembelian minyak wangi"/>
    <x v="8"/>
    <s v="Petty Cash"/>
  </r>
  <r>
    <d v="2025-01-26T00:00:00"/>
    <n v="90000"/>
    <m/>
    <m/>
    <x v="0"/>
    <n v="3432000"/>
    <s v="Untuk kopi teh kajian ahad subuh"/>
    <x v="17"/>
    <s v="Petty Cash"/>
  </r>
  <r>
    <d v="2025-01-30T00:00:00"/>
    <n v="500000"/>
    <m/>
    <m/>
    <x v="0"/>
    <n v="2932000"/>
    <s v="Khatib Jumat"/>
    <x v="11"/>
    <s v="Petty Cash"/>
  </r>
  <r>
    <d v="2025-01-30T00:00:00"/>
    <n v="400000"/>
    <m/>
    <m/>
    <x v="0"/>
    <n v="2532000"/>
    <s v="Bantuan guru ngaji NTB"/>
    <x v="11"/>
    <s v="Petty Cash"/>
  </r>
  <r>
    <d v="2025-01-30T00:00:00"/>
    <n v="500000"/>
    <m/>
    <m/>
    <x v="0"/>
    <n v="2032000"/>
    <s v="Pembelian 4 sepul TOA Speaker"/>
    <x v="8"/>
    <s v="Petty Cash"/>
  </r>
  <r>
    <d v="2025-01-30T00:00:00"/>
    <n v="500000"/>
    <m/>
    <m/>
    <x v="0"/>
    <n v="1532000"/>
    <s v="Pembelian Trapo Toa dan ongkos pasang"/>
    <x v="8"/>
    <s v="Petty Cash"/>
  </r>
  <r>
    <d v="2025-01-30T00:00:00"/>
    <m/>
    <m/>
    <n v="2000000"/>
    <x v="0"/>
    <n v="3532000"/>
    <s v="Isi Petty Cash"/>
    <x v="2"/>
    <s v="Petty Cash"/>
  </r>
  <r>
    <d v="2025-02-02T00:00:00"/>
    <n v="90000"/>
    <m/>
    <m/>
    <x v="2"/>
    <n v="3442000"/>
    <s v="Pembelian teh,kopi,tisu,gula"/>
    <x v="17"/>
    <s v="Petty Cash"/>
  </r>
  <r>
    <d v="2025-02-03T00:00:00"/>
    <n v="130000"/>
    <m/>
    <m/>
    <x v="2"/>
    <n v="3312000"/>
    <s v="Pembelian minyak wangi"/>
    <x v="8"/>
    <s v="Petty Cash"/>
  </r>
  <r>
    <d v="2025-02-04T00:00:00"/>
    <n v="150000"/>
    <m/>
    <m/>
    <x v="2"/>
    <n v="3162000"/>
    <s v="Pembelian alat kebersihan"/>
    <x v="8"/>
    <s v="Petty Cash"/>
  </r>
  <r>
    <d v="2025-02-07T00:00:00"/>
    <n v="500000"/>
    <m/>
    <m/>
    <x v="2"/>
    <n v="2662000"/>
    <s v="untuk khotib jumat"/>
    <x v="11"/>
    <s v="Petty Cash"/>
  </r>
  <r>
    <d v="2025-02-04T00:00:00"/>
    <n v="500000"/>
    <m/>
    <m/>
    <x v="2"/>
    <n v="2162000"/>
    <s v="Ongkos pasang bohlam"/>
    <x v="8"/>
    <s v="Petty Cash"/>
  </r>
  <r>
    <d v="2025-02-04T00:00:00"/>
    <n v="200000"/>
    <m/>
    <m/>
    <x v="2"/>
    <n v="1962000"/>
    <s v="Sewa kapolding"/>
    <x v="8"/>
    <s v="Petty Cash"/>
  </r>
  <r>
    <d v="2025-02-05T00:00:00"/>
    <n v="50000"/>
    <m/>
    <m/>
    <x v="2"/>
    <n v="1912000"/>
    <s v="Pembelian kopi,cemilan buat tukang"/>
    <x v="17"/>
    <s v="Petty Cash"/>
  </r>
  <r>
    <d v="2025-02-09T00:00:00"/>
    <n v="90000"/>
    <m/>
    <m/>
    <x v="2"/>
    <n v="1822000"/>
    <s v="Pembelian teh,kopi,tisu,gula"/>
    <x v="17"/>
    <s v="Petty Cash"/>
  </r>
  <r>
    <d v="2025-02-10T00:00:00"/>
    <n v="50000"/>
    <m/>
    <m/>
    <x v="2"/>
    <n v="1772000"/>
    <s v="Pembelian busa mic imam"/>
    <x v="8"/>
    <s v="Petty Cash"/>
  </r>
  <r>
    <d v="2025-02-14T00:00:00"/>
    <n v="500000"/>
    <m/>
    <m/>
    <x v="2"/>
    <n v="1272000"/>
    <s v="untuk khotib jumat"/>
    <x v="11"/>
    <s v="Petty Cash"/>
  </r>
  <r>
    <d v="2025-02-14T00:00:00"/>
    <m/>
    <m/>
    <n v="750000"/>
    <x v="2"/>
    <n v="2022000"/>
    <s v="Pengembalian biaya pak Sugeng"/>
    <x v="2"/>
    <s v="Petty Cash"/>
  </r>
  <r>
    <d v="2025-02-15T00:00:00"/>
    <n v="1000000"/>
    <m/>
    <m/>
    <x v="2"/>
    <n v="1022000"/>
    <s v="Token listrik"/>
    <x v="7"/>
    <s v="Petty Cash"/>
  </r>
  <r>
    <d v="2025-02-15T00:00:00"/>
    <n v="395000"/>
    <m/>
    <m/>
    <x v="2"/>
    <n v="627000"/>
    <s v="Kran air, Selotip + ongkos pasang"/>
    <x v="7"/>
    <s v="Petty Cash"/>
  </r>
  <r>
    <d v="2025-02-16T00:00:00"/>
    <n v="90000"/>
    <m/>
    <m/>
    <x v="2"/>
    <n v="537000"/>
    <s v="Kopi, the,gula,tisu"/>
    <x v="17"/>
    <s v="Petty Cash"/>
  </r>
  <r>
    <d v="2025-02-16T00:00:00"/>
    <n v="20000"/>
    <m/>
    <m/>
    <x v="2"/>
    <n v="517000"/>
    <s v="Pembersih keramik"/>
    <x v="8"/>
    <s v="Petty Cash"/>
  </r>
  <r>
    <d v="2025-02-17T00:00:00"/>
    <m/>
    <m/>
    <n v="2000000"/>
    <x v="2"/>
    <n v="2517000"/>
    <s v="Isi Petty Cash"/>
    <x v="2"/>
    <s v="Petty Cash"/>
  </r>
  <r>
    <d v="2025-02-17T00:00:00"/>
    <n v="92000"/>
    <m/>
    <m/>
    <x v="2"/>
    <n v="2425000"/>
    <s v="Baterai mic"/>
    <x v="8"/>
    <s v="Petty Cash"/>
  </r>
  <r>
    <d v="2025-02-18T00:00:00"/>
    <n v="45000"/>
    <m/>
    <m/>
    <x v="2"/>
    <n v="2380000"/>
    <s v="Sambungan pipa + lem"/>
    <x v="8"/>
    <s v="Petty Cash"/>
  </r>
  <r>
    <d v="2025-02-21T00:00:00"/>
    <n v="500000"/>
    <m/>
    <m/>
    <x v="2"/>
    <n v="1880000"/>
    <s v="Khotib Jumat"/>
    <x v="11"/>
    <s v="Petty Cash"/>
  </r>
  <r>
    <d v="2025-02-22T00:00:00"/>
    <n v="1000000"/>
    <m/>
    <m/>
    <x v="2"/>
    <n v="880000"/>
    <s v="Biaya pemakaman"/>
    <x v="20"/>
    <s v="Petty Cash"/>
  </r>
  <r>
    <d v="2025-02-23T00:00:00"/>
    <n v="60000"/>
    <m/>
    <m/>
    <x v="2"/>
    <n v="820000"/>
    <s v="Beli kopi the kajian ahad subuh"/>
    <x v="17"/>
    <s v="Petty Cash"/>
  </r>
  <r>
    <d v="2025-02-23T00:00:00"/>
    <n v="100000"/>
    <m/>
    <m/>
    <x v="2"/>
    <n v="720000"/>
    <s v="Fotokopi sertifikat"/>
    <x v="1"/>
    <s v="Petty Cash"/>
  </r>
  <r>
    <d v="2025-02-24T00:00:00"/>
    <n v="250000"/>
    <m/>
    <m/>
    <x v="2"/>
    <n v="470000"/>
    <s v="fotokopi surat edaran"/>
    <x v="1"/>
    <s v="Petty Cash"/>
  </r>
  <r>
    <d v="2025-02-24T00:00:00"/>
    <n v="130000"/>
    <m/>
    <m/>
    <x v="2"/>
    <n v="340000"/>
    <s v="Selisih petty cash"/>
    <x v="1"/>
    <s v="Petty Cash"/>
  </r>
  <r>
    <d v="2025-02-24T00:00:00"/>
    <m/>
    <m/>
    <n v="1000000"/>
    <x v="2"/>
    <n v="1340000"/>
    <s v="Isi Petty Cash"/>
    <x v="2"/>
    <s v="Petty Cash"/>
  </r>
  <r>
    <d v="2025-03-01T00:00:00"/>
    <n v="400000"/>
    <m/>
    <m/>
    <x v="3"/>
    <n v="940000"/>
    <s v="Bantuan guru ngaji NTB"/>
    <x v="11"/>
    <s v="Petty Cash"/>
  </r>
  <r>
    <d v="2025-03-01T00:00:00"/>
    <n v="200000"/>
    <m/>
    <m/>
    <x v="3"/>
    <n v="740000"/>
    <s v="Beli 2 kran dan pasang"/>
    <x v="8"/>
    <s v="Petty Cash"/>
  </r>
  <r>
    <d v="2025-03-02T00:00:00"/>
    <n v="100000"/>
    <m/>
    <m/>
    <x v="3"/>
    <n v="640000"/>
    <s v="Beli gembok kotak amal &amp; laminating"/>
    <x v="1"/>
    <s v="Petty Cash"/>
  </r>
  <r>
    <d v="2025-03-03T00:00:00"/>
    <n v="50000"/>
    <m/>
    <m/>
    <x v="3"/>
    <n v="590000"/>
    <s v="Beli Lem gunting dobeltip"/>
    <x v="1"/>
    <s v="Petty Cash"/>
  </r>
  <r>
    <d v="2025-03-04T00:00:00"/>
    <m/>
    <m/>
    <n v="3000000"/>
    <x v="3"/>
    <n v="3590000"/>
    <s v="Isi Petty Cash"/>
    <x v="2"/>
    <s v="Petty Cash"/>
  </r>
  <r>
    <d v="2025-03-05T00:00:00"/>
    <n v="130000"/>
    <m/>
    <m/>
    <x v="3"/>
    <n v="3460000"/>
    <s v="Beli minyak wangi"/>
    <x v="8"/>
    <s v="Petty Cash"/>
  </r>
  <r>
    <d v="2025-03-06T00:00:00"/>
    <n v="500000"/>
    <m/>
    <m/>
    <x v="3"/>
    <n v="2960000"/>
    <s v="Khatib Jumat"/>
    <x v="11"/>
    <s v="Petty Cash"/>
  </r>
  <r>
    <d v="2025-03-07T00:00:00"/>
    <n v="150000"/>
    <m/>
    <m/>
    <x v="4"/>
    <n v="2810000"/>
    <s v="Bantuan untuk musafir"/>
    <x v="14"/>
    <s v="Petty Cash"/>
  </r>
  <r>
    <d v="2025-03-07T00:00:00"/>
    <n v="245000"/>
    <m/>
    <m/>
    <x v="4"/>
    <n v="2565000"/>
    <s v="Alat pel+pembersih keramik"/>
    <x v="8"/>
    <s v="Petty Cash"/>
  </r>
  <r>
    <d v="2025-03-11T00:00:00"/>
    <n v="150000"/>
    <m/>
    <m/>
    <x v="4"/>
    <n v="2415000"/>
    <s v="Beli karung zakat"/>
    <x v="1"/>
    <s v="Petty Cash"/>
  </r>
  <r>
    <d v="2025-03-12T00:00:00"/>
    <n v="130000"/>
    <m/>
    <m/>
    <x v="4"/>
    <n v="2285000"/>
    <s v="beli minyak wangi"/>
    <x v="8"/>
    <s v="Petty Cash"/>
  </r>
  <r>
    <d v="2025-03-12T00:00:00"/>
    <n v="200000"/>
    <m/>
    <m/>
    <x v="4"/>
    <n v="2085000"/>
    <s v="beli alat super pel"/>
    <x v="8"/>
    <s v="Petty Cash"/>
  </r>
  <r>
    <d v="2025-03-12T00:00:00"/>
    <n v="240000"/>
    <m/>
    <m/>
    <x v="4"/>
    <n v="1845000"/>
    <s v="Fotocopy edaran"/>
    <x v="1"/>
    <s v="Petty Cash"/>
  </r>
  <r>
    <d v="2025-03-14T00:00:00"/>
    <n v="500000"/>
    <m/>
    <m/>
    <x v="4"/>
    <n v="1345000"/>
    <s v="Khatib Jumat"/>
    <x v="11"/>
    <s v="Petty Cash"/>
  </r>
  <r>
    <d v="2025-03-16T00:00:00"/>
    <n v="585000"/>
    <m/>
    <m/>
    <x v="5"/>
    <n v="760000"/>
    <s v="Beli plastik beras dan kuitansi"/>
    <x v="1"/>
    <s v="Petty Cash"/>
  </r>
  <r>
    <d v="2025-03-16T00:00:00"/>
    <n v="100000"/>
    <m/>
    <m/>
    <x v="5"/>
    <n v="660000"/>
    <s v="ongkos tukang listrik"/>
    <x v="8"/>
    <s v="Petty Cash"/>
  </r>
  <r>
    <d v="2025-03-17T00:00:00"/>
    <m/>
    <m/>
    <n v="5000000"/>
    <x v="5"/>
    <n v="5660000"/>
    <s v="tambah petty cash"/>
    <x v="2"/>
    <s v="Petty Cash"/>
  </r>
  <r>
    <d v="2025-03-19T00:00:00"/>
    <n v="1250000"/>
    <m/>
    <m/>
    <x v="5"/>
    <n v="4410000"/>
    <s v="Kajian rabu sore"/>
    <x v="11"/>
    <s v="Petty Cash"/>
  </r>
  <r>
    <d v="2025-03-19T00:00:00"/>
    <n v="100000"/>
    <m/>
    <m/>
    <x v="5"/>
    <n v="4310000"/>
    <s v="Beli alat kebersihan"/>
    <x v="8"/>
    <s v="Petty Cash"/>
  </r>
  <r>
    <d v="2025-03-20T00:00:00"/>
    <n v="200000"/>
    <m/>
    <m/>
    <x v="5"/>
    <n v="4110000"/>
    <s v="beli kopi the gula"/>
    <x v="17"/>
    <s v="Petty Cash"/>
  </r>
  <r>
    <d v="2025-03-21T00:00:00"/>
    <n v="500000"/>
    <m/>
    <m/>
    <x v="5"/>
    <n v="3610000"/>
    <s v="Khotib Jumat"/>
    <x v="11"/>
    <s v="Petty Cash"/>
  </r>
  <r>
    <d v="2025-03-21T00:00:00"/>
    <n v="250000"/>
    <m/>
    <m/>
    <x v="6"/>
    <n v="3360000"/>
    <s v="untuk musafir"/>
    <x v="14"/>
    <s v="Petty Cash"/>
  </r>
  <r>
    <d v="2025-03-22T00:00:00"/>
    <n v="250000"/>
    <m/>
    <m/>
    <x v="6"/>
    <n v="3110000"/>
    <s v="gantungan baju+kran air"/>
    <x v="8"/>
    <s v="Petty Cash"/>
  </r>
  <r>
    <d v="2025-03-23T00:00:00"/>
    <m/>
    <m/>
    <n v="2000000"/>
    <x v="6"/>
    <n v="5110000"/>
    <s v="tambah petty cash"/>
    <x v="2"/>
    <s v="Petty Cash"/>
  </r>
  <r>
    <d v="2025-03-23T00:00:00"/>
    <n v="120000"/>
    <m/>
    <m/>
    <x v="6"/>
    <n v="4990000"/>
    <s v="tisu msker dan gembok"/>
    <x v="8"/>
    <s v="Petty Cash"/>
  </r>
  <r>
    <d v="2025-03-28T00:00:00"/>
    <n v="500000"/>
    <m/>
    <m/>
    <x v="6"/>
    <n v="4490000"/>
    <s v="Khatib Jumat"/>
    <x v="11"/>
    <s v="Petty Cash"/>
  </r>
  <r>
    <m/>
    <m/>
    <m/>
    <m/>
    <x v="1"/>
    <m/>
    <m/>
    <x v="4"/>
    <m/>
  </r>
  <r>
    <d v="2025-02-28T00:00:00"/>
    <m/>
    <m/>
    <n v="250000"/>
    <x v="3"/>
    <n v="4740000"/>
    <s v="Infaq Taraweh"/>
    <x v="2"/>
    <s v="Kencleng Ramadhan"/>
  </r>
  <r>
    <d v="2025-03-01T00:00:00"/>
    <m/>
    <m/>
    <n v="2015000"/>
    <x v="3"/>
    <n v="6755000"/>
    <s v="Infaq Taraweh"/>
    <x v="2"/>
    <s v="Kencleng Ramadhan"/>
  </r>
  <r>
    <d v="2025-03-02T00:00:00"/>
    <m/>
    <m/>
    <n v="1100000"/>
    <x v="3"/>
    <n v="7855000"/>
    <s v="Infaq Taraweh"/>
    <x v="2"/>
    <s v="Kencleng Ramadhan"/>
  </r>
  <r>
    <d v="2025-03-03T00:00:00"/>
    <m/>
    <m/>
    <n v="1920000"/>
    <x v="3"/>
    <n v="9775000"/>
    <s v="Infaq Taraweh"/>
    <x v="2"/>
    <s v="Kencleng Ramadhan"/>
  </r>
  <r>
    <d v="2025-03-04T00:00:00"/>
    <m/>
    <m/>
    <n v="836000"/>
    <x v="3"/>
    <n v="10611000"/>
    <s v="Infaq Taraweh"/>
    <x v="2"/>
    <s v="Kencleng Ramadhan"/>
  </r>
  <r>
    <d v="2025-03-05T00:00:00"/>
    <m/>
    <m/>
    <n v="1450000"/>
    <x v="3"/>
    <n v="12061000"/>
    <s v="Infaq Taraweh"/>
    <x v="2"/>
    <s v="Kencleng Ramadhan"/>
  </r>
  <r>
    <d v="2025-03-06T00:00:00"/>
    <m/>
    <m/>
    <n v="1507000"/>
    <x v="3"/>
    <n v="13568000"/>
    <s v="Infaq Taraweh"/>
    <x v="2"/>
    <s v="Kencleng Ramadhan"/>
  </r>
  <r>
    <d v="2025-02-28T00:00:00"/>
    <n v="410000"/>
    <m/>
    <m/>
    <x v="3"/>
    <n v="13158000"/>
    <s v="Imam tarawih dan sahur security"/>
    <x v="11"/>
    <s v="Kencleng Ramadhan"/>
  </r>
  <r>
    <d v="2025-03-01T00:00:00"/>
    <n v="860000"/>
    <m/>
    <m/>
    <x v="3"/>
    <n v="12298000"/>
    <s v="Penceramah+Imam Taraweh+Sahur Security"/>
    <x v="11"/>
    <s v="Kencleng Ramadhan"/>
  </r>
  <r>
    <d v="2025-03-02T00:00:00"/>
    <n v="860000"/>
    <m/>
    <m/>
    <x v="3"/>
    <n v="11438000"/>
    <s v="Penceramah+Imam Taraweh+Sahur Security"/>
    <x v="11"/>
    <s v="Kencleng Ramadhan"/>
  </r>
  <r>
    <d v="2025-03-03T00:00:00"/>
    <n v="510000"/>
    <m/>
    <m/>
    <x v="3"/>
    <n v="10928000"/>
    <s v="Baca hadist+imam tarwih+sahur security"/>
    <x v="11"/>
    <s v="Kencleng Ramadhan"/>
  </r>
  <r>
    <d v="2025-03-04T00:00:00"/>
    <n v="510000"/>
    <m/>
    <m/>
    <x v="3"/>
    <n v="10418000"/>
    <s v="Baca hadist+imam tarwih+sahur security"/>
    <x v="11"/>
    <s v="Kencleng Ramadhan"/>
  </r>
  <r>
    <d v="2025-03-05T00:00:00"/>
    <n v="510000"/>
    <m/>
    <m/>
    <x v="3"/>
    <n v="9908000"/>
    <s v="Baca hadist+imam tarwih+sahur security"/>
    <x v="11"/>
    <s v="Kencleng Ramadhan"/>
  </r>
  <r>
    <d v="2025-03-06T00:00:00"/>
    <n v="860000"/>
    <m/>
    <m/>
    <x v="3"/>
    <n v="9048000"/>
    <s v="Penceramah+Imam Taraweh+Sahur Security"/>
    <x v="11"/>
    <s v="Kencleng Ramadhan"/>
  </r>
  <r>
    <d v="2025-03-07T00:00:00"/>
    <m/>
    <m/>
    <n v="1601000"/>
    <x v="4"/>
    <n v="10649000"/>
    <s v="Infaq Taraweh"/>
    <x v="2"/>
    <s v="Kencleng Ramadhan"/>
  </r>
  <r>
    <d v="2025-03-08T00:00:00"/>
    <m/>
    <m/>
    <n v="1636000"/>
    <x v="4"/>
    <n v="12285000"/>
    <s v="Infaq Taraweh"/>
    <x v="2"/>
    <s v="Kencleng Ramadhan"/>
  </r>
  <r>
    <d v="2025-03-09T00:00:00"/>
    <m/>
    <m/>
    <n v="1589000"/>
    <x v="4"/>
    <n v="13874000"/>
    <s v="Infaq Taraweh"/>
    <x v="2"/>
    <s v="Kencleng Ramadhan"/>
  </r>
  <r>
    <d v="2025-03-10T00:00:00"/>
    <m/>
    <m/>
    <n v="1210000"/>
    <x v="4"/>
    <n v="15084000"/>
    <s v="Infaq Taraweh"/>
    <x v="2"/>
    <s v="Kencleng Ramadhan"/>
  </r>
  <r>
    <d v="2025-03-10T00:00:00"/>
    <n v="4558000"/>
    <m/>
    <m/>
    <x v="4"/>
    <n v="10526000"/>
    <s v="Setor ke Bank"/>
    <x v="1"/>
    <s v="Kencleng Ramadhan"/>
  </r>
  <r>
    <d v="2025-03-07T00:00:00"/>
    <n v="510000"/>
    <m/>
    <m/>
    <x v="4"/>
    <n v="10016000"/>
    <s v="Baca hadist+imam tarwih+sahur security"/>
    <x v="11"/>
    <s v="Kencleng Ramadhan"/>
  </r>
  <r>
    <d v="2025-03-08T00:00:00"/>
    <n v="860000"/>
    <m/>
    <m/>
    <x v="4"/>
    <n v="9156000"/>
    <s v="Penceramah+Imam Taraweh+Sahur Security"/>
    <x v="11"/>
    <s v="Kencleng Ramadhan"/>
  </r>
  <r>
    <d v="2025-03-09T00:00:00"/>
    <n v="860000"/>
    <m/>
    <m/>
    <x v="4"/>
    <n v="8296000"/>
    <s v="Penceramah+Imam Taraweh+Sahur Security"/>
    <x v="11"/>
    <s v="Kencleng Ramadhan"/>
  </r>
  <r>
    <d v="2025-03-10T00:00:00"/>
    <n v="510000"/>
    <m/>
    <m/>
    <x v="4"/>
    <n v="7786000"/>
    <s v="Baca hadist+imam tarwih+sahur security"/>
    <x v="11"/>
    <s v="Kencleng Ramadhan"/>
  </r>
  <r>
    <d v="2025-03-11T00:00:00"/>
    <m/>
    <m/>
    <n v="1608000"/>
    <x v="4"/>
    <n v="9394000"/>
    <s v="Infaq Taraweh"/>
    <x v="2"/>
    <s v="Kencleng Ramadhan"/>
  </r>
  <r>
    <d v="2025-03-12T00:00:00"/>
    <m/>
    <m/>
    <n v="1404000"/>
    <x v="4"/>
    <n v="10798000"/>
    <s v="Infaq Taraweh"/>
    <x v="2"/>
    <s v="Kencleng Ramadhan"/>
  </r>
  <r>
    <d v="2025-03-13T00:00:00"/>
    <m/>
    <m/>
    <n v="1150000"/>
    <x v="4"/>
    <n v="11948000"/>
    <s v="Infaq Taraweh"/>
    <x v="2"/>
    <s v="Kencleng Ramadhan"/>
  </r>
  <r>
    <d v="2025-03-11T00:00:00"/>
    <n v="510000"/>
    <m/>
    <m/>
    <x v="4"/>
    <n v="11438000"/>
    <s v="Baca hadist+imam tarwih+sahur security"/>
    <x v="11"/>
    <s v="Kencleng Ramadhan"/>
  </r>
  <r>
    <d v="2025-03-12T00:00:00"/>
    <n v="510000"/>
    <m/>
    <m/>
    <x v="4"/>
    <n v="10928000"/>
    <s v="Baca hadist+imam tarwih+sahur security"/>
    <x v="11"/>
    <s v="Kencleng Ramadhan"/>
  </r>
  <r>
    <d v="2025-03-13T00:00:00"/>
    <n v="860000"/>
    <m/>
    <m/>
    <x v="4"/>
    <n v="10068000"/>
    <s v="Penceramah+Imam Taraweh+Sahur Security"/>
    <x v="11"/>
    <s v="Kencleng Ramadhan"/>
  </r>
  <r>
    <d v="2025-03-14T00:00:00"/>
    <m/>
    <m/>
    <n v="1120000"/>
    <x v="5"/>
    <n v="11188000"/>
    <s v="Infaq Taraweh"/>
    <x v="2"/>
    <s v="Kencleng Ramadhan"/>
  </r>
  <r>
    <d v="2025-03-15T00:00:00"/>
    <m/>
    <m/>
    <n v="1147000"/>
    <x v="5"/>
    <n v="12335000"/>
    <s v="Infaq Taraweh"/>
    <x v="2"/>
    <s v="Kencleng Ramadhan"/>
  </r>
  <r>
    <d v="2025-03-16T00:00:00"/>
    <m/>
    <m/>
    <n v="1107000"/>
    <x v="5"/>
    <n v="13442000"/>
    <s v="Infaq Taraweh"/>
    <x v="2"/>
    <s v="Kencleng Ramadhan"/>
  </r>
  <r>
    <d v="2025-03-17T00:00:00"/>
    <m/>
    <m/>
    <n v="1140000"/>
    <x v="5"/>
    <n v="14582000"/>
    <s v="Infaq Taraweh"/>
    <x v="2"/>
    <s v="Kencleng Ramadhan"/>
  </r>
  <r>
    <d v="2025-03-18T00:00:00"/>
    <m/>
    <m/>
    <n v="1086000"/>
    <x v="5"/>
    <n v="15668000"/>
    <s v="Infaq Taraweh"/>
    <x v="2"/>
    <s v="Kencleng Ramadhan"/>
  </r>
  <r>
    <d v="2025-03-19T00:00:00"/>
    <m/>
    <m/>
    <n v="1217000"/>
    <x v="5"/>
    <n v="16885000"/>
    <s v="Infaq Taraweh"/>
    <x v="2"/>
    <s v="Kencleng Ramadhan"/>
  </r>
  <r>
    <d v="2025-03-20T00:00:00"/>
    <m/>
    <m/>
    <n v="1650000"/>
    <x v="5"/>
    <n v="18535000"/>
    <s v="Infaq Taraweh"/>
    <x v="2"/>
    <s v="Kencleng Ramadhan"/>
  </r>
  <r>
    <d v="2025-03-21T00:00:00"/>
    <m/>
    <m/>
    <n v="1104000"/>
    <x v="6"/>
    <n v="19639000"/>
    <s v="Infaq Taraweh"/>
    <x v="2"/>
    <s v="Kencleng Ramadhan"/>
  </r>
  <r>
    <d v="2025-03-22T00:00:00"/>
    <m/>
    <m/>
    <n v="1750000"/>
    <x v="6"/>
    <n v="21389000"/>
    <s v="Infaq Taraweh"/>
    <x v="2"/>
    <s v="Kencleng Ramadhan"/>
  </r>
  <r>
    <d v="2025-03-23T00:00:00"/>
    <m/>
    <m/>
    <n v="1602000"/>
    <x v="6"/>
    <n v="22991000"/>
    <s v="Infaq Taraweh"/>
    <x v="2"/>
    <s v="Kencleng Ramadhan"/>
  </r>
  <r>
    <d v="2025-03-24T00:00:00"/>
    <m/>
    <m/>
    <n v="1564000"/>
    <x v="6"/>
    <n v="24555000"/>
    <s v="Infaq Taraweh"/>
    <x v="2"/>
    <s v="Kencleng Ramadhan"/>
  </r>
  <r>
    <d v="2025-03-25T00:00:00"/>
    <m/>
    <m/>
    <n v="1338000"/>
    <x v="6"/>
    <n v="25893000"/>
    <s v="Infaq Taraweh"/>
    <x v="2"/>
    <s v="Kencleng Ramadhan"/>
  </r>
  <r>
    <d v="2025-03-26T00:00:00"/>
    <m/>
    <m/>
    <n v="2380000"/>
    <x v="6"/>
    <n v="28273000"/>
    <s v="Infaq Taraweh"/>
    <x v="2"/>
    <s v="Kencleng Ramadhan"/>
  </r>
  <r>
    <d v="2025-03-27T00:00:00"/>
    <m/>
    <m/>
    <n v="1784000"/>
    <x v="6"/>
    <n v="30057000"/>
    <s v="Infaq Taraweh"/>
    <x v="2"/>
    <s v="Kencleng Ramadhan"/>
  </r>
  <r>
    <d v="2025-03-14T00:00:00"/>
    <n v="510000"/>
    <m/>
    <m/>
    <x v="5"/>
    <n v="29547000"/>
    <s v="Baca hadist+imam tarwih+sahur security"/>
    <x v="11"/>
    <s v="Kencleng Ramadhan"/>
  </r>
  <r>
    <d v="2025-03-15T00:00:00"/>
    <n v="510000"/>
    <m/>
    <m/>
    <x v="5"/>
    <n v="29037000"/>
    <s v="Baca hadist+imam tarwih+sahur security"/>
    <x v="11"/>
    <s v="Kencleng Ramadhan"/>
  </r>
  <r>
    <d v="2025-03-16T00:00:00"/>
    <n v="700000"/>
    <m/>
    <m/>
    <x v="5"/>
    <n v="28337000"/>
    <s v="Penceramah+Imam Taraweh"/>
    <x v="11"/>
    <s v="Kencleng Ramadhan"/>
  </r>
  <r>
    <d v="2025-03-17T00:00:00"/>
    <n v="350000"/>
    <m/>
    <m/>
    <x v="5"/>
    <n v="27987000"/>
    <s v="Baca hadist+imam tarwih"/>
    <x v="11"/>
    <s v="Kencleng Ramadhan"/>
  </r>
  <r>
    <d v="2025-03-18T00:00:00"/>
    <n v="350000"/>
    <m/>
    <m/>
    <x v="5"/>
    <n v="27637000"/>
    <s v="Baca hadist+imam tarwih"/>
    <x v="11"/>
    <s v="Kencleng Ramadhan"/>
  </r>
  <r>
    <d v="2025-03-19T00:00:00"/>
    <n v="350000"/>
    <m/>
    <m/>
    <x v="5"/>
    <n v="27287000"/>
    <s v="Baca hadist+imam tarwih"/>
    <x v="11"/>
    <s v="Kencleng Ramadhan"/>
  </r>
  <r>
    <d v="2025-03-20T00:00:00"/>
    <n v="700000"/>
    <m/>
    <m/>
    <x v="5"/>
    <n v="26587000"/>
    <s v="Penceramah+Imam Taraweh"/>
    <x v="11"/>
    <s v="Kencleng Ramadhan"/>
  </r>
  <r>
    <d v="2025-03-17T00:00:00"/>
    <n v="5578000"/>
    <m/>
    <m/>
    <x v="5"/>
    <n v="21009000"/>
    <s v="Setor ke Bank"/>
    <x v="1"/>
    <s v="Kencleng Ramadhan"/>
  </r>
  <r>
    <d v="2025-03-21T00:00:00"/>
    <n v="350000"/>
    <m/>
    <m/>
    <x v="6"/>
    <n v="20659000"/>
    <s v="Baca hadist+imam tarwih"/>
    <x v="11"/>
    <s v="Kencleng Ramadhan"/>
  </r>
  <r>
    <d v="2025-03-22T00:00:00"/>
    <n v="700000"/>
    <m/>
    <m/>
    <x v="6"/>
    <n v="19959000"/>
    <s v="Penceramah+Imam Taraweh"/>
    <x v="11"/>
    <s v="Kencleng Ramadhan"/>
  </r>
  <r>
    <d v="2025-03-23T00:00:00"/>
    <n v="700000"/>
    <m/>
    <m/>
    <x v="6"/>
    <n v="19259000"/>
    <s v="Penceramah+Imam Taraweh"/>
    <x v="11"/>
    <s v="Kencleng Ramadhan"/>
  </r>
  <r>
    <d v="2025-03-24T00:00:00"/>
    <n v="350000"/>
    <m/>
    <m/>
    <x v="6"/>
    <n v="18909000"/>
    <s v="Baca hadist+imam tarwih"/>
    <x v="11"/>
    <s v="Kencleng Ramadhan"/>
  </r>
  <r>
    <d v="2025-03-25T00:00:00"/>
    <n v="350000"/>
    <m/>
    <m/>
    <x v="6"/>
    <n v="18559000"/>
    <s v="Baca hadist+imam tarwih"/>
    <x v="11"/>
    <s v="Kencleng Ramadhan"/>
  </r>
  <r>
    <d v="2025-03-26T00:00:00"/>
    <n v="350000"/>
    <m/>
    <m/>
    <x v="6"/>
    <n v="18209000"/>
    <s v="Baca hadist+imam tarwih"/>
    <x v="11"/>
    <s v="Kencleng Ramadhan"/>
  </r>
  <r>
    <d v="2025-03-27T00:00:00"/>
    <n v="700000"/>
    <m/>
    <m/>
    <x v="6"/>
    <n v="17509000"/>
    <s v="Penceramah+Imam Taraweh"/>
    <x v="11"/>
    <s v="Kencleng Ramadhan"/>
  </r>
  <r>
    <d v="2025-03-25T00:00:00"/>
    <n v="5026000"/>
    <m/>
    <m/>
    <x v="6"/>
    <n v="12483000"/>
    <s v="Setor ke Bank"/>
    <x v="1"/>
    <s v="Kencleng Ramadhan"/>
  </r>
  <r>
    <d v="2025-03-17T00:00:00"/>
    <m/>
    <m/>
    <n v="1000000"/>
    <x v="6"/>
    <n v="13483000"/>
    <s v="ZAKAT MAL AMRAN"/>
    <x v="16"/>
    <s v="Terima Cash Nanang"/>
  </r>
  <r>
    <d v="2025-03-20T00:00:00"/>
    <m/>
    <m/>
    <n v="1000000"/>
    <x v="6"/>
    <n v="14483000"/>
    <s v="INFAQ YATIM AMRAN ANWAR"/>
    <x v="12"/>
    <s v="Terima Cash Nanang"/>
  </r>
  <r>
    <d v="2025-03-22T00:00:00"/>
    <m/>
    <m/>
    <n v="1000000"/>
    <x v="6"/>
    <n v="15483000"/>
    <s v="ZAKAT MAL ALI MURNI TANJUNG"/>
    <x v="16"/>
    <s v="Terima Cash Nanang"/>
  </r>
  <r>
    <d v="2025-03-22T00:00:00"/>
    <m/>
    <m/>
    <n v="4000000"/>
    <x v="6"/>
    <n v="19483000"/>
    <s v="ZAKAT MAL HASNADI"/>
    <x v="16"/>
    <s v="Terima Cash Nanang"/>
  </r>
  <r>
    <d v="2025-03-22T00:00:00"/>
    <m/>
    <m/>
    <n v="5000000"/>
    <x v="6"/>
    <n v="24483000"/>
    <s v="ZAKAT MAL FIRMANSYAH"/>
    <x v="16"/>
    <s v="Terima Cash Nanang"/>
  </r>
  <r>
    <d v="2025-03-22T00:00:00"/>
    <m/>
    <m/>
    <n v="500000"/>
    <x v="6"/>
    <n v="24983000"/>
    <s v="ZAKAT MAL SALIM"/>
    <x v="16"/>
    <s v="Terima Cash Nanang"/>
  </r>
  <r>
    <d v="2025-03-22T00:00:00"/>
    <m/>
    <m/>
    <n v="300000"/>
    <x v="6"/>
    <n v="25283000"/>
    <s v="INFAQ YATIM BENNY EKABANA"/>
    <x v="2"/>
    <s v="Terima Cash Nanang"/>
  </r>
  <r>
    <d v="2025-03-24T00:00:00"/>
    <m/>
    <m/>
    <n v="4000000"/>
    <x v="6"/>
    <n v="29283000"/>
    <s v="ZAKAT MAL KUNTO WIJAYA"/>
    <x v="16"/>
    <s v="Terima Cash Nanang"/>
  </r>
  <r>
    <d v="2025-03-24T00:00:00"/>
    <m/>
    <m/>
    <n v="2500000"/>
    <x v="6"/>
    <n v="31783000"/>
    <s v="ZAKAT MAL EDY SIHOTANG"/>
    <x v="16"/>
    <s v="Terima Cash Nanang"/>
  </r>
  <r>
    <d v="2025-03-24T00:00:00"/>
    <m/>
    <m/>
    <n v="2000000"/>
    <x v="6"/>
    <n v="33783000"/>
    <s v="ZAKAT MAL PAK EMAS"/>
    <x v="16"/>
    <s v="Terima Cash Nanang"/>
  </r>
  <r>
    <d v="2025-03-25T00:00:00"/>
    <m/>
    <m/>
    <n v="2400000"/>
    <x v="6"/>
    <n v="36183000"/>
    <s v="ZAKAT PAK ANDANI PRATAMA"/>
    <x v="16"/>
    <s v="Terima Cash Nanang"/>
  </r>
  <r>
    <d v="2025-03-26T00:00:00"/>
    <m/>
    <m/>
    <n v="50000"/>
    <x v="6"/>
    <n v="36233000"/>
    <s v="INFAQ BU AYU"/>
    <x v="2"/>
    <s v="Terima Cash Nanang"/>
  </r>
  <r>
    <d v="2025-03-26T00:00:00"/>
    <m/>
    <m/>
    <n v="150000"/>
    <x v="6"/>
    <n v="36383000"/>
    <s v="INFAQ BAMBANG BASUK"/>
    <x v="2"/>
    <s v="Terima Cash Nanang"/>
  </r>
  <r>
    <d v="2025-03-26T00:00:00"/>
    <m/>
    <m/>
    <n v="150000"/>
    <x v="6"/>
    <n v="36533000"/>
    <s v="INFAQ DARI ???"/>
    <x v="2"/>
    <s v="Terima Cash Nanang"/>
  </r>
  <r>
    <d v="2025-03-26T00:00:00"/>
    <m/>
    <m/>
    <n v="500000"/>
    <x v="6"/>
    <n v="37033000"/>
    <s v="ZAKAT SUTOPO"/>
    <x v="16"/>
    <s v="Terima Cash Nanang"/>
  </r>
  <r>
    <d v="2025-03-26T00:00:00"/>
    <m/>
    <m/>
    <n v="5000000"/>
    <x v="6"/>
    <n v="42033000"/>
    <s v="ZAKAT PAK PIMANSIAH"/>
    <x v="16"/>
    <s v="Terima Cash Nanang"/>
  </r>
  <r>
    <d v="2025-03-27T00:00:00"/>
    <m/>
    <m/>
    <n v="500000"/>
    <x v="6"/>
    <n v="42533000"/>
    <s v="ZAKAT PAKJ KUN HIDAYAT"/>
    <x v="16"/>
    <s v="Terima Cash Nanang"/>
  </r>
  <r>
    <d v="2025-03-27T00:00:00"/>
    <m/>
    <m/>
    <n v="80000"/>
    <x v="6"/>
    <n v="42613000"/>
    <s v="INFAQ DARI ???"/>
    <x v="2"/>
    <s v="Terima Cash Nanang"/>
  </r>
  <r>
    <d v="2025-03-27T00:00:00"/>
    <m/>
    <m/>
    <n v="400000"/>
    <x v="6"/>
    <n v="43013000"/>
    <s v="ZAKAT ARIP ISTANTO"/>
    <x v="16"/>
    <s v="Terima Cash Nanang"/>
  </r>
  <r>
    <d v="2025-03-27T00:00:00"/>
    <m/>
    <m/>
    <n v="2000000"/>
    <x v="6"/>
    <n v="45013000"/>
    <s v="ZAKAT ANIL IMRAN"/>
    <x v="16"/>
    <s v="Terima Cash Nanang"/>
  </r>
  <r>
    <d v="2025-03-28T00:00:00"/>
    <m/>
    <m/>
    <n v="5000000"/>
    <x v="7"/>
    <n v="50013000"/>
    <s v="ZAKAT BUDIARTO SETIAWAN"/>
    <x v="16"/>
    <s v="Terima Cash Nanang"/>
  </r>
  <r>
    <d v="2025-03-28T00:00:00"/>
    <m/>
    <m/>
    <n v="100000"/>
    <x v="7"/>
    <n v="50113000"/>
    <s v="INFAQ WISIYAKSA"/>
    <x v="2"/>
    <s v="Terima Cash Nanang"/>
  </r>
  <r>
    <d v="2025-03-28T00:00:00"/>
    <m/>
    <m/>
    <n v="100000"/>
    <x v="7"/>
    <n v="50213000"/>
    <s v="INFAQ WAHYU"/>
    <x v="2"/>
    <s v="Terima Cash Nanang"/>
  </r>
  <r>
    <d v="2025-03-28T00:00:00"/>
    <m/>
    <m/>
    <n v="2000000"/>
    <x v="7"/>
    <n v="52213000"/>
    <s v="INFAQ FAJAR SAURI"/>
    <x v="2"/>
    <s v="Terima Cash Nanang"/>
  </r>
  <r>
    <d v="2025-03-29T00:00:00"/>
    <m/>
    <m/>
    <n v="5000000"/>
    <x v="7"/>
    <n v="57213000"/>
    <s v="ZAKAT INDRAGA UTAMA"/>
    <x v="16"/>
    <s v="Terima Cash Nanang"/>
  </r>
  <r>
    <d v="2025-03-22T00:00:00"/>
    <m/>
    <m/>
    <n v="1000000"/>
    <x v="6"/>
    <n v="58213000"/>
    <s v="ZAKAT MAL DARI DR.FANANI"/>
    <x v="16"/>
    <s v="Terima Cash Imron"/>
  </r>
  <r>
    <d v="2025-03-22T00:00:00"/>
    <m/>
    <m/>
    <n v="2000000"/>
    <x v="6"/>
    <n v="60213000"/>
    <s v="ZAKAT MAL DARI ADITIA TIRTA PRATAMA"/>
    <x v="16"/>
    <s v="Terima Cash Imron"/>
  </r>
  <r>
    <d v="2025-03-22T00:00:00"/>
    <m/>
    <m/>
    <n v="1000000"/>
    <x v="6"/>
    <n v="61213000"/>
    <s v="ZAKAT MAL DARI H.ROPI"/>
    <x v="16"/>
    <s v="Terima Cash Imron"/>
  </r>
  <r>
    <d v="2025-03-22T00:00:00"/>
    <m/>
    <m/>
    <n v="1000000"/>
    <x v="6"/>
    <n v="62213000"/>
    <s v="ZAKAT MAL DARI ARWINDO"/>
    <x v="16"/>
    <s v="Terima Cash Imron"/>
  </r>
  <r>
    <d v="2025-03-22T00:00:00"/>
    <m/>
    <m/>
    <n v="200000"/>
    <x v="6"/>
    <n v="62413000"/>
    <s v="INFAQ DARI BAKTI"/>
    <x v="2"/>
    <s v="Terima Cash Imron"/>
  </r>
  <r>
    <d v="2025-03-22T00:00:00"/>
    <m/>
    <m/>
    <n v="10000000"/>
    <x v="6"/>
    <n v="72413000"/>
    <s v="ZAKAT MAL DARI ANDRIANSYAH"/>
    <x v="16"/>
    <s v="Terima Cash Imron"/>
  </r>
  <r>
    <d v="2025-03-22T00:00:00"/>
    <m/>
    <m/>
    <n v="1500000"/>
    <x v="6"/>
    <n v="73913000"/>
    <s v="INFAQ DARI TATOK"/>
    <x v="2"/>
    <s v="Terima Cash Imron"/>
  </r>
  <r>
    <d v="2025-03-29T00:00:00"/>
    <m/>
    <m/>
    <n v="3000000"/>
    <x v="7"/>
    <n v="76913000"/>
    <s v="ZAKAT H.HAMZAH"/>
    <x v="16"/>
    <s v="Terima Cash Imron"/>
  </r>
  <r>
    <d v="2025-03-29T00:00:00"/>
    <m/>
    <m/>
    <n v="5000000"/>
    <x v="7"/>
    <n v="81913000"/>
    <s v="ZAKAT SIGIT PRAMONO"/>
    <x v="16"/>
    <s v="Terima Cash Imron"/>
  </r>
  <r>
    <d v="2025-03-29T00:00:00"/>
    <m/>
    <m/>
    <n v="1000000"/>
    <x v="7"/>
    <n v="82913000"/>
    <s v="ZAKAT IBU SANTI"/>
    <x v="16"/>
    <s v="Terima Cash Imron"/>
  </r>
  <r>
    <d v="2025-03-29T00:00:00"/>
    <m/>
    <m/>
    <n v="60000"/>
    <x v="7"/>
    <n v="82973000"/>
    <s v="INFAQ DARI EDWARDI"/>
    <x v="2"/>
    <s v="Terima Cash Imron"/>
  </r>
  <r>
    <d v="2025-03-29T00:00:00"/>
    <m/>
    <m/>
    <n v="80000"/>
    <x v="7"/>
    <n v="83053000"/>
    <s v="INFAQ DARI ISAL MUKHTAR"/>
    <x v="2"/>
    <s v="Terima Cash Imron"/>
  </r>
  <r>
    <d v="2025-03-29T00:00:00"/>
    <m/>
    <m/>
    <n v="200000"/>
    <x v="7"/>
    <n v="83253000"/>
    <s v="INFAQ DARI PAK TEGUH"/>
    <x v="2"/>
    <s v="Terima Cash Imron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5">
  <r>
    <d v="2024-12-24T00:00:00"/>
    <m/>
    <m/>
    <n v="5000000"/>
    <x v="0"/>
    <n v="5000000"/>
    <s v="SALDO DARI AGUNG PRAMONO"/>
    <x v="0"/>
    <s v="Bank"/>
  </r>
  <r>
    <d v="2025-01-02T00:00:00"/>
    <n v="200000"/>
    <m/>
    <m/>
    <x v="0"/>
    <n v="4800000"/>
    <s v="ADM FEE HARD TOKEN CMS "/>
    <x v="1"/>
    <s v="Bank"/>
  </r>
  <r>
    <d v="2025-01-03T00:00:00"/>
    <m/>
    <m/>
    <n v="500000"/>
    <x v="0"/>
    <n v="5300000"/>
    <s v="INFAQ DARI INDRA EDI SANTOSO"/>
    <x v="2"/>
    <s v="Bank"/>
  </r>
  <r>
    <d v="2025-01-03T00:00:00"/>
    <m/>
    <m/>
    <n v="1800000"/>
    <x v="0"/>
    <n v="7100000"/>
    <s v="INFAQ DARI DASA SUKARSIWI, SE / DR. FANANI"/>
    <x v="2"/>
    <s v="Bank"/>
  </r>
  <r>
    <d v="2025-01-03T00:00:00"/>
    <m/>
    <m/>
    <n v="2000000"/>
    <x v="0"/>
    <n v="9100000"/>
    <s v="INFAQ DARI RIZKY HIDAYAT SL"/>
    <x v="2"/>
    <s v="Bank"/>
  </r>
  <r>
    <d v="2025-01-06T00:00:00"/>
    <m/>
    <m/>
    <n v="400000"/>
    <x v="0"/>
    <n v="9500000"/>
    <s v="INFAQ DARI PUTIE AMBUN SURI / RIVENDRA"/>
    <x v="2"/>
    <s v="Bank"/>
  </r>
  <r>
    <d v="2025-01-06T00:00:00"/>
    <m/>
    <m/>
    <n v="44196050"/>
    <x v="0"/>
    <n v="53696050"/>
    <s v="Baitul Mal"/>
    <x v="0"/>
    <s v="Bank"/>
  </r>
  <r>
    <d v="2025-01-06T00:00:00"/>
    <m/>
    <m/>
    <n v="33983823"/>
    <x v="0"/>
    <n v="87679873"/>
    <s v="Pembangunan"/>
    <x v="3"/>
    <s v="Bank"/>
  </r>
  <r>
    <m/>
    <m/>
    <n v="78179873"/>
    <m/>
    <x v="1"/>
    <n v="87679873"/>
    <s v="SALDO DARI AGUNG PRAMONO"/>
    <x v="4"/>
    <m/>
  </r>
  <r>
    <d v="2025-01-06T00:00:00"/>
    <m/>
    <m/>
    <n v="5594227"/>
    <x v="0"/>
    <n v="93274100"/>
    <s v="Pembangunan"/>
    <x v="3"/>
    <s v="Bank"/>
  </r>
  <r>
    <d v="2025-01-06T00:00:00"/>
    <m/>
    <m/>
    <n v="39840773"/>
    <x v="0"/>
    <n v="133114873"/>
    <s v="Akun Yatim &amp; Sosial"/>
    <x v="5"/>
    <s v="Bank"/>
  </r>
  <r>
    <d v="2025-01-06T00:00:00"/>
    <m/>
    <n v="45435000"/>
    <m/>
    <x v="1"/>
    <n v="133114873"/>
    <s v="SALDO DARI IMRON ROSADI"/>
    <x v="4"/>
    <m/>
  </r>
  <r>
    <d v="2025-01-07T00:00:00"/>
    <m/>
    <m/>
    <n v="1000000"/>
    <x v="0"/>
    <n v="134114873"/>
    <s v="JUMAT BERKAH DARI LAELASARI / AMINUDIN"/>
    <x v="6"/>
    <s v="Bank"/>
  </r>
  <r>
    <d v="2025-01-07T00:00:00"/>
    <m/>
    <m/>
    <n v="300000"/>
    <x v="0"/>
    <n v="134414873"/>
    <s v="JUMAT BERKAH DARI NITA ROSITA"/>
    <x v="6"/>
    <s v="Bank"/>
  </r>
  <r>
    <d v="2025-01-07T00:00:00"/>
    <m/>
    <m/>
    <n v="600000"/>
    <x v="0"/>
    <n v="135014873"/>
    <s v="JUMAT BERKAH DARI AMRAN ANWAR"/>
    <x v="6"/>
    <s v="Bank"/>
  </r>
  <r>
    <d v="2025-01-07T00:00:00"/>
    <n v="1250000"/>
    <m/>
    <m/>
    <x v="0"/>
    <n v="133764873"/>
    <s v="OP - A IMRON ROSADI OPERASI-REIMBURSE VOUCHER LISTRIK &amp; PAJAK MOTOR MASJID  "/>
    <x v="7"/>
    <s v="Bank"/>
  </r>
  <r>
    <d v="2025-01-07T00:00:00"/>
    <n v="2500"/>
    <m/>
    <m/>
    <x v="0"/>
    <n v="133762373"/>
    <s v="OP - BIAYA TRANSFER A IMRON ROSADI OPERASI-REIMBURSE VOUCHER LISTRIK &amp; PAJAK MOTOR MASJID  "/>
    <x v="7"/>
    <s v="Bank"/>
  </r>
  <r>
    <d v="2025-01-07T00:00:00"/>
    <m/>
    <m/>
    <n v="600000"/>
    <x v="0"/>
    <n v="134362373"/>
    <s v="JUMAT BERKAH DARI DARWIN ALI"/>
    <x v="6"/>
    <s v="Bank"/>
  </r>
  <r>
    <d v="2025-01-08T00:00:00"/>
    <m/>
    <m/>
    <n v="300000"/>
    <x v="0"/>
    <n v="134662373"/>
    <s v="JUMAT BERKAH DARI AGUNG SANTOSO"/>
    <x v="6"/>
    <s v="Bank"/>
  </r>
  <r>
    <d v="2025-01-08T00:00:00"/>
    <m/>
    <m/>
    <n v="300000"/>
    <x v="0"/>
    <n v="134962373"/>
    <s v="JUMAT BERKAH DARI DRS. SARWONO"/>
    <x v="6"/>
    <s v="Bank"/>
  </r>
  <r>
    <d v="2025-01-08T00:00:00"/>
    <m/>
    <m/>
    <n v="300000"/>
    <x v="0"/>
    <n v="135262373"/>
    <s v="JUMAT BERKAH DARI SAFONI MAWARDI"/>
    <x v="6"/>
    <s v="Bank"/>
  </r>
  <r>
    <d v="2025-01-08T00:00:00"/>
    <m/>
    <m/>
    <n v="300000"/>
    <x v="0"/>
    <n v="135562373"/>
    <s v="JUMAT BERKAH DARI ENICA AGUSTINA"/>
    <x v="6"/>
    <s v="Bank"/>
  </r>
  <r>
    <d v="2025-01-08T00:00:00"/>
    <n v="500000"/>
    <m/>
    <m/>
    <x v="0"/>
    <n v="135062373"/>
    <s v="OP - SUGENG PRIYONO OP-SERVIS AC REIMBURSE PAK SUGENG PRIYONO"/>
    <x v="8"/>
    <s v="Bank"/>
  </r>
  <r>
    <d v="2025-01-08T00:00:00"/>
    <n v="2000000"/>
    <m/>
    <m/>
    <x v="0"/>
    <n v="133062373"/>
    <s v="JUMAT BERKAH WATTIA NETI PEMBAYARAN DP REKENING JUMAT BAROKAH ALJABAR"/>
    <x v="9"/>
    <s v="Bank"/>
  </r>
  <r>
    <d v="2025-01-08T00:00:00"/>
    <n v="2500"/>
    <m/>
    <m/>
    <x v="0"/>
    <n v="133059873"/>
    <s v="JUMAT BERKAH WATTIA NETI BIAYA TRANSFER DP REKENING JUMAT BAROKAH ALJABAR"/>
    <x v="9"/>
    <s v="Bank"/>
  </r>
  <r>
    <d v="2025-01-08T00:00:00"/>
    <m/>
    <m/>
    <n v="504000"/>
    <x v="0"/>
    <n v="133563873"/>
    <s v="JUMAT BERKAH DARI ACHMAD FANANI ,DR."/>
    <x v="6"/>
    <s v="Bank"/>
  </r>
  <r>
    <d v="2025-01-08T00:00:00"/>
    <m/>
    <m/>
    <n v="100000"/>
    <x v="0"/>
    <n v="133663873"/>
    <s v="JUMAT BERKAH DARI SHINTA NUR DEWANTI"/>
    <x v="6"/>
    <s v="Bank"/>
  </r>
  <r>
    <d v="2025-01-09T00:00:00"/>
    <m/>
    <m/>
    <n v="400000"/>
    <x v="0"/>
    <n v="134063873"/>
    <s v="OP-INFAQ TPQ"/>
    <x v="10"/>
    <s v="Bank"/>
  </r>
  <r>
    <d v="2025-01-09T00:00:00"/>
    <m/>
    <m/>
    <n v="300000"/>
    <x v="0"/>
    <n v="134363873"/>
    <s v="JUMAT BERKAH DARI AGUNG PRAMONO"/>
    <x v="6"/>
    <s v="Bank"/>
  </r>
  <r>
    <d v="2025-01-09T00:00:00"/>
    <m/>
    <m/>
    <n v="300000"/>
    <x v="0"/>
    <n v="134663873"/>
    <s v="JUMAT BERKAH DARI RIZKI HIDAYAT"/>
    <x v="6"/>
    <s v="Bank"/>
  </r>
  <r>
    <d v="2025-01-10T00:00:00"/>
    <m/>
    <m/>
    <n v="600000"/>
    <x v="0"/>
    <n v="135263873"/>
    <s v="JUMAT BERKAH DARI YUANITA"/>
    <x v="6"/>
    <s v="Bank"/>
  </r>
  <r>
    <d v="2025-01-10T00:00:00"/>
    <m/>
    <m/>
    <n v="350000"/>
    <x v="0"/>
    <n v="135613873"/>
    <s v="JUMAT BERKAH DARI HAMZAH PATANGARIH"/>
    <x v="6"/>
    <s v="Bank"/>
  </r>
  <r>
    <d v="2025-01-10T00:00:00"/>
    <n v="1600000"/>
    <m/>
    <m/>
    <x v="0"/>
    <n v="134013873"/>
    <s v="PELUNASAN CATERING JUMAT BERKAH"/>
    <x v="9"/>
    <s v="Bank"/>
  </r>
  <r>
    <d v="2025-01-10T00:00:00"/>
    <n v="2500"/>
    <m/>
    <m/>
    <x v="0"/>
    <n v="134011373"/>
    <s v="BIAYA ADMPELUNASAN CATERING JUMAT BERKAH"/>
    <x v="9"/>
    <s v="Bank"/>
  </r>
  <r>
    <d v="2025-01-13T00:00:00"/>
    <n v="750000"/>
    <m/>
    <m/>
    <x v="0"/>
    <n v="133261373"/>
    <s v="HONOR USTADZ ABDUL HAMID"/>
    <x v="11"/>
    <s v="Bank"/>
  </r>
  <r>
    <d v="2025-01-13T00:00:00"/>
    <n v="2500"/>
    <m/>
    <m/>
    <x v="0"/>
    <n v="133258873"/>
    <s v="BIAYA ADM HONOR USTADZ ABDUL HAMID"/>
    <x v="11"/>
    <s v="Bank"/>
  </r>
  <r>
    <d v="2025-01-13T00:00:00"/>
    <m/>
    <m/>
    <n v="300000"/>
    <x v="0"/>
    <n v="133558873"/>
    <s v="OP-INFAQ DJOKO SULISTIYONO"/>
    <x v="2"/>
    <s v="Bank"/>
  </r>
  <r>
    <d v="2025-01-13T00:00:00"/>
    <m/>
    <m/>
    <n v="50000"/>
    <x v="0"/>
    <n v="133608873"/>
    <s v="INFAQ DARI PUTIE AMBUN SURI / RIVENDRA"/>
    <x v="2"/>
    <s v="Bank"/>
  </r>
  <r>
    <d v="2025-01-13T00:00:00"/>
    <m/>
    <m/>
    <n v="100000"/>
    <x v="0"/>
    <n v="133708873"/>
    <s v="INFAQ DARI HASNANTO"/>
    <x v="2"/>
    <s v="Bank"/>
  </r>
  <r>
    <d v="2025-01-13T00:00:00"/>
    <m/>
    <m/>
    <n v="3000000"/>
    <x v="0"/>
    <n v="136708873"/>
    <s v="INFAQ DARI ISTANTO / IDAWATI"/>
    <x v="2"/>
    <s v="Bank"/>
  </r>
  <r>
    <d v="2025-01-13T00:00:00"/>
    <m/>
    <m/>
    <n v="2773000"/>
    <x v="0"/>
    <n v="139481873"/>
    <s v="Akun Yatim &amp; Sosial"/>
    <x v="12"/>
    <s v="Bank"/>
  </r>
  <r>
    <d v="2025-01-13T00:00:00"/>
    <m/>
    <m/>
    <n v="3977000"/>
    <x v="0"/>
    <n v="143458873"/>
    <s v="Operasional (Infaq &amp; Sodaqoh)"/>
    <x v="2"/>
    <s v="Bank"/>
  </r>
  <r>
    <d v="2025-01-13T00:00:00"/>
    <n v="2000000"/>
    <m/>
    <m/>
    <x v="0"/>
    <n v="141458873"/>
    <s v="Dropping Petty cash"/>
    <x v="1"/>
    <s v="Bank"/>
  </r>
  <r>
    <d v="2025-01-13T00:00:00"/>
    <n v="200000"/>
    <m/>
    <m/>
    <x v="0"/>
    <n v="141258873"/>
    <s v="Selisih hitung setor bank"/>
    <x v="1"/>
    <s v="Bank"/>
  </r>
  <r>
    <m/>
    <m/>
    <n v="4550000"/>
    <m/>
    <x v="1"/>
    <n v="141258873"/>
    <s v="SETOR IMRON ROSADI"/>
    <x v="4"/>
    <m/>
  </r>
  <r>
    <d v="2025-01-14T00:00:00"/>
    <m/>
    <m/>
    <n v="100000"/>
    <x v="0"/>
    <n v="141358873"/>
    <s v="INFAQ DARI MAHMUD"/>
    <x v="2"/>
    <s v="Bank"/>
  </r>
  <r>
    <d v="2025-01-14T00:00:00"/>
    <m/>
    <m/>
    <n v="7000"/>
    <x v="0"/>
    <n v="141365873"/>
    <s v="INFAQ DARI MUHAMMAD UBAIDILLAH"/>
    <x v="2"/>
    <s v="Bank"/>
  </r>
  <r>
    <d v="2025-01-14T00:00:00"/>
    <m/>
    <m/>
    <n v="1000000"/>
    <x v="0"/>
    <n v="142365873"/>
    <s v="INFAQ DARI ARWINDO"/>
    <x v="2"/>
    <s v="Bank"/>
  </r>
  <r>
    <d v="2025-01-15T00:00:00"/>
    <m/>
    <m/>
    <n v="600000"/>
    <x v="0"/>
    <n v="142965873"/>
    <s v="INFAQ DARI TPQ"/>
    <x v="10"/>
    <s v="Bank"/>
  </r>
  <r>
    <d v="2025-01-16T00:00:00"/>
    <m/>
    <m/>
    <n v="250000"/>
    <x v="0"/>
    <n v="143215873"/>
    <s v="JUMAT BERKAH DARI AMRAN ANWAR"/>
    <x v="6"/>
    <s v="Bank"/>
  </r>
  <r>
    <d v="2025-01-17T00:00:00"/>
    <n v="2500000"/>
    <m/>
    <m/>
    <x v="0"/>
    <n v="140715873"/>
    <s v="PO CATERING JUMAT BAROKAH"/>
    <x v="9"/>
    <s v="Bank"/>
  </r>
  <r>
    <d v="2025-01-20T00:00:00"/>
    <m/>
    <m/>
    <n v="50000"/>
    <x v="0"/>
    <n v="140765873"/>
    <s v="INFAQ DARI MUHAMMAD AKMAL HAKIM"/>
    <x v="2"/>
    <s v="Bank"/>
  </r>
  <r>
    <d v="2025-01-20T00:00:00"/>
    <m/>
    <m/>
    <n v="5000"/>
    <x v="0"/>
    <n v="140770873"/>
    <s v="INFAQ DARI GOPAY"/>
    <x v="2"/>
    <s v="Bank"/>
  </r>
  <r>
    <d v="2025-01-20T00:00:00"/>
    <m/>
    <m/>
    <n v="4044000"/>
    <x v="0"/>
    <n v="144814873"/>
    <s v="Akun Yatim &amp; Sosial"/>
    <x v="12"/>
    <s v="Bank"/>
  </r>
  <r>
    <d v="2025-01-20T00:00:00"/>
    <m/>
    <m/>
    <n v="2967000"/>
    <x v="0"/>
    <n v="147781873"/>
    <s v="Operasional (Infaq &amp; Sodaqoh)"/>
    <x v="2"/>
    <s v="Bank"/>
  </r>
  <r>
    <d v="2025-01-20T00:00:00"/>
    <n v="3000000"/>
    <m/>
    <m/>
    <x v="0"/>
    <n v="144781873"/>
    <s v="Dropping Petty cash"/>
    <x v="1"/>
    <s v="Bank"/>
  </r>
  <r>
    <d v="2025-01-20T00:00:00"/>
    <n v="20000"/>
    <m/>
    <m/>
    <x v="0"/>
    <n v="144761873"/>
    <s v="Selisih hitung setor bank"/>
    <x v="1"/>
    <s v="Bank"/>
  </r>
  <r>
    <d v="2025-01-20T00:00:00"/>
    <m/>
    <n v="3991000"/>
    <m/>
    <x v="1"/>
    <n v="144761873"/>
    <s v="SETOR IMRON ROSADI"/>
    <x v="4"/>
    <m/>
  </r>
  <r>
    <m/>
    <m/>
    <n v="6850000"/>
    <m/>
    <x v="1"/>
    <n v="144761873"/>
    <s v="Pengumpulan infaq oleh Ustad Imron"/>
    <x v="4"/>
    <m/>
  </r>
  <r>
    <m/>
    <m/>
    <n v="-1000000"/>
    <m/>
    <x v="1"/>
    <n v="144761873"/>
    <s v="Infaq disetor langsung ke rekening masjid "/>
    <x v="4"/>
    <m/>
  </r>
  <r>
    <m/>
    <m/>
    <n v="-685000"/>
    <m/>
    <x v="1"/>
    <n v="144761873"/>
    <s v="Honor collector ustadz Imron"/>
    <x v="4"/>
    <m/>
  </r>
  <r>
    <d v="2025-01-20T00:00:00"/>
    <m/>
    <m/>
    <n v="5165000"/>
    <x v="0"/>
    <n v="149926873"/>
    <s v="SETOR IMRON ROSADI"/>
    <x v="2"/>
    <s v="Bank"/>
  </r>
  <r>
    <d v="2025-01-21T00:00:00"/>
    <m/>
    <m/>
    <n v="10000"/>
    <x v="0"/>
    <n v="149936873"/>
    <s v="INFAQ DARI GOPAY"/>
    <x v="2"/>
    <s v="Bank"/>
  </r>
  <r>
    <d v="2025-01-21T00:00:00"/>
    <m/>
    <m/>
    <n v="10000"/>
    <x v="0"/>
    <n v="149946873"/>
    <s v="INFAQ DARI YOYOK SUBIANTO"/>
    <x v="2"/>
    <s v="Bank"/>
  </r>
  <r>
    <d v="2025-01-21T00:00:00"/>
    <n v="750000"/>
    <m/>
    <m/>
    <x v="0"/>
    <n v="149196873"/>
    <s v="Reimburse ke Rivendra Hadiah Kajian Sabtu Ust. Affan"/>
    <x v="11"/>
    <s v="Bank"/>
  </r>
  <r>
    <d v="2025-01-21T00:00:00"/>
    <n v="2500"/>
    <m/>
    <m/>
    <x v="0"/>
    <n v="149194373"/>
    <s v="Biaya transfer Reimburse Hadiah Kajian Sabtu Ust. Affan"/>
    <x v="11"/>
    <s v="Bank"/>
  </r>
  <r>
    <d v="2025-01-21T00:00:00"/>
    <n v="756500"/>
    <m/>
    <m/>
    <x v="0"/>
    <n v="148437873"/>
    <s v="Reimburse ke Rivendra Hadiah Kajian Ahad Ust. Hasan"/>
    <x v="11"/>
    <s v="Bank"/>
  </r>
  <r>
    <d v="2025-01-21T00:00:00"/>
    <n v="2500"/>
    <m/>
    <m/>
    <x v="0"/>
    <n v="148435373"/>
    <s v="Biaya transfer Reimburse Hadiah Kajian Ahad Ust. Hasan"/>
    <x v="11"/>
    <s v="Bank"/>
  </r>
  <r>
    <d v="2025-01-22T00:00:00"/>
    <m/>
    <m/>
    <n v="10000"/>
    <x v="0"/>
    <n v="148445373"/>
    <s v="INFAQ DARI YOYOK SUBIANTO"/>
    <x v="2"/>
    <s v="Bank"/>
  </r>
  <r>
    <d v="2025-01-22T00:00:00"/>
    <m/>
    <m/>
    <n v="1200000"/>
    <x v="0"/>
    <n v="149645373"/>
    <s v="INFAQ DARI HASNANTO WAHYUDI"/>
    <x v="2"/>
    <s v="Bank"/>
  </r>
  <r>
    <d v="2025-01-22T00:00:00"/>
    <m/>
    <m/>
    <n v="500000"/>
    <x v="0"/>
    <n v="150145373"/>
    <s v="JUMAT BERKAH DARI H.ROPI"/>
    <x v="6"/>
    <s v="Bank"/>
  </r>
  <r>
    <d v="2025-01-23T00:00:00"/>
    <m/>
    <m/>
    <n v="10000"/>
    <x v="0"/>
    <n v="150155373"/>
    <s v="INFAQ DARI JAMAAH"/>
    <x v="2"/>
    <s v="Bank"/>
  </r>
  <r>
    <d v="2025-01-23T00:00:00"/>
    <m/>
    <m/>
    <n v="300000"/>
    <x v="0"/>
    <n v="150455373"/>
    <s v="JUMAT BERKAH DARI EDI NURHADI"/>
    <x v="6"/>
    <s v="Bank"/>
  </r>
  <r>
    <d v="2025-01-24T00:00:00"/>
    <m/>
    <m/>
    <n v="300000"/>
    <x v="0"/>
    <n v="150755373"/>
    <s v="JUMAT BERKAH DARI AMRAN ANWAR"/>
    <x v="6"/>
    <s v="Bank"/>
  </r>
  <r>
    <d v="2025-01-24T00:00:00"/>
    <m/>
    <m/>
    <n v="150000"/>
    <x v="0"/>
    <n v="150905373"/>
    <s v="INFAQ DARI SURJATI SUTARJA"/>
    <x v="2"/>
    <s v="Bank"/>
  </r>
  <r>
    <d v="2025-01-24T00:00:00"/>
    <m/>
    <m/>
    <n v="10000"/>
    <x v="0"/>
    <n v="150915373"/>
    <s v="INFAQ DARI WARGA"/>
    <x v="2"/>
    <s v="Bank"/>
  </r>
  <r>
    <d v="2025-01-24T00:00:00"/>
    <m/>
    <m/>
    <n v="300000"/>
    <x v="0"/>
    <n v="151215373"/>
    <s v="JUMAT BERKAH DARI AGUNG PRAMONO"/>
    <x v="6"/>
    <s v="Bank"/>
  </r>
  <r>
    <d v="2025-01-24T00:00:00"/>
    <m/>
    <m/>
    <n v="300000"/>
    <x v="0"/>
    <n v="151515373"/>
    <s v="INFAQ DARI WARGA"/>
    <x v="2"/>
    <s v="Bank"/>
  </r>
  <r>
    <d v="2025-01-24T00:00:00"/>
    <n v="1400000"/>
    <m/>
    <m/>
    <x v="0"/>
    <n v="150115373"/>
    <s v="PEMBELIAN JUMAT BERKAH"/>
    <x v="9"/>
    <s v="Bank"/>
  </r>
  <r>
    <d v="2025-01-30T00:00:00"/>
    <m/>
    <m/>
    <n v="100000"/>
    <x v="0"/>
    <n v="150215373"/>
    <s v="INFAQ DARI WARGA"/>
    <x v="2"/>
    <s v="Bank"/>
  </r>
  <r>
    <d v="2025-01-30T00:00:00"/>
    <m/>
    <m/>
    <n v="10000"/>
    <x v="0"/>
    <n v="150225373"/>
    <s v="INFAQ DARI WARGA"/>
    <x v="2"/>
    <s v="Bank"/>
  </r>
  <r>
    <d v="2025-01-30T00:00:00"/>
    <n v="750000"/>
    <m/>
    <m/>
    <x v="0"/>
    <n v="149475373"/>
    <s v="HONOR USTADZ KHOERUL MAKTUM"/>
    <x v="11"/>
    <s v="Bank"/>
  </r>
  <r>
    <d v="2025-01-30T00:00:00"/>
    <n v="2500"/>
    <m/>
    <m/>
    <x v="0"/>
    <n v="149472873"/>
    <s v="BIAYA ADM HONOR USTADZ KHOERUL MAKTUM"/>
    <x v="11"/>
    <s v="Bank"/>
  </r>
  <r>
    <d v="2025-01-30T00:00:00"/>
    <m/>
    <m/>
    <n v="100000"/>
    <x v="0"/>
    <n v="149572873"/>
    <s v="INFAQ DARI WARGA FENTY HERLIANA"/>
    <x v="2"/>
    <s v="Bank"/>
  </r>
  <r>
    <d v="2025-01-30T00:00:00"/>
    <m/>
    <m/>
    <n v="200000"/>
    <x v="0"/>
    <n v="149772873"/>
    <s v="INFAQ DARI TPQ RIVENDRA"/>
    <x v="10"/>
    <s v="Bank"/>
  </r>
  <r>
    <d v="2025-01-30T00:00:00"/>
    <m/>
    <m/>
    <n v="300000"/>
    <x v="0"/>
    <n v="150072873"/>
    <s v="INFAQ DARI WARGA BENY PRIYATNA KUSUMA"/>
    <x v="2"/>
    <s v="Bank"/>
  </r>
  <r>
    <d v="2025-01-30T00:00:00"/>
    <n v="1000000"/>
    <m/>
    <m/>
    <x v="0"/>
    <n v="149072873"/>
    <s v="HONOR USTADZ WAHID RAHMAN"/>
    <x v="11"/>
    <s v="Bank"/>
  </r>
  <r>
    <d v="2025-01-30T00:00:00"/>
    <n v="2500"/>
    <m/>
    <m/>
    <x v="0"/>
    <n v="149070373"/>
    <s v="BIAYA ADM HONOR USTADZ WAHID RAHMAN"/>
    <x v="11"/>
    <s v="Bank"/>
  </r>
  <r>
    <d v="2025-01-30T00:00:00"/>
    <m/>
    <m/>
    <n v="10000"/>
    <x v="0"/>
    <n v="149080373"/>
    <s v="INFAQ DARI WARGA"/>
    <x v="2"/>
    <s v="Bank"/>
  </r>
  <r>
    <d v="2025-01-30T00:00:00"/>
    <m/>
    <m/>
    <n v="5000"/>
    <x v="0"/>
    <n v="149085373"/>
    <s v="INFAQ DARI WARGA"/>
    <x v="2"/>
    <s v="Bank"/>
  </r>
  <r>
    <d v="2025-01-30T00:00:00"/>
    <m/>
    <m/>
    <n v="200000"/>
    <x v="0"/>
    <n v="149285373"/>
    <s v="INFAQ DARI MOHAMMADIANTORO PURNAWAN A.N ALM M.HASAN"/>
    <x v="2"/>
    <s v="Bank"/>
  </r>
  <r>
    <d v="2025-01-30T00:00:00"/>
    <m/>
    <m/>
    <n v="10000"/>
    <x v="0"/>
    <n v="149295373"/>
    <s v="INFAQ DARI WARGA"/>
    <x v="2"/>
    <s v="Bank"/>
  </r>
  <r>
    <d v="2025-01-30T00:00:00"/>
    <n v="3250000"/>
    <m/>
    <m/>
    <x v="0"/>
    <n v="146045373"/>
    <s v="HONOR NANANG SUBAEDI"/>
    <x v="13"/>
    <s v="Bank"/>
  </r>
  <r>
    <d v="2025-01-30T00:00:00"/>
    <n v="6500"/>
    <m/>
    <m/>
    <x v="0"/>
    <n v="146038873"/>
    <s v="BIAYA ADM HONOR NANANG SUBAEDI"/>
    <x v="13"/>
    <s v="Bank"/>
  </r>
  <r>
    <d v="2025-01-30T00:00:00"/>
    <n v="2000000"/>
    <m/>
    <m/>
    <x v="0"/>
    <n v="144038873"/>
    <s v="HONOR YANA SIGIT ISMATULLAH"/>
    <x v="13"/>
    <s v="Bank"/>
  </r>
  <r>
    <d v="2025-01-30T00:00:00"/>
    <n v="6500"/>
    <m/>
    <m/>
    <x v="0"/>
    <n v="144032373"/>
    <s v="BIAYA ADM HONOR YANA SIGIT ISMATULLAH"/>
    <x v="13"/>
    <s v="Bank"/>
  </r>
  <r>
    <d v="2025-01-30T00:00:00"/>
    <n v="2500000"/>
    <m/>
    <m/>
    <x v="0"/>
    <n v="141532373"/>
    <s v="HONOR NANANG AZIS / ISTANTO"/>
    <x v="13"/>
    <s v="Bank"/>
  </r>
  <r>
    <d v="2025-01-30T00:00:00"/>
    <n v="6500"/>
    <m/>
    <m/>
    <x v="0"/>
    <n v="141525873"/>
    <s v="BIAYA ADM HONOR AZIS / ISTANTO"/>
    <x v="13"/>
    <s v="Bank"/>
  </r>
  <r>
    <d v="2025-01-30T00:00:00"/>
    <n v="2700000"/>
    <m/>
    <m/>
    <x v="0"/>
    <n v="138825873"/>
    <s v="HONOR M BAYU CANDRA"/>
    <x v="14"/>
    <s v="Bank"/>
  </r>
  <r>
    <d v="2025-01-30T00:00:00"/>
    <n v="6500"/>
    <m/>
    <m/>
    <x v="0"/>
    <n v="138819373"/>
    <s v="BIAYA ADM HONOR M BAYU CANDRA"/>
    <x v="14"/>
    <s v="Bank"/>
  </r>
  <r>
    <d v="2025-01-30T00:00:00"/>
    <n v="2000000"/>
    <m/>
    <m/>
    <x v="0"/>
    <n v="136819373"/>
    <s v="HONOR A IMRON ROSADI"/>
    <x v="13"/>
    <s v="Bank"/>
  </r>
  <r>
    <d v="2025-01-30T00:00:00"/>
    <n v="6500"/>
    <m/>
    <m/>
    <x v="0"/>
    <n v="136812873"/>
    <s v="BIAYA ADM HONOR A IMRON ROSADI"/>
    <x v="13"/>
    <s v="Bank"/>
  </r>
  <r>
    <d v="2025-01-30T00:00:00"/>
    <n v="1500000"/>
    <m/>
    <m/>
    <x v="0"/>
    <n v="135312873"/>
    <s v="HONOR MUHAMMAD ILHAM"/>
    <x v="13"/>
    <s v="Bank"/>
  </r>
  <r>
    <d v="2025-01-30T00:00:00"/>
    <n v="6500"/>
    <m/>
    <m/>
    <x v="0"/>
    <n v="135306373"/>
    <s v="BIAYA ADM HONOR MUHAMMAD ILHAM"/>
    <x v="13"/>
    <s v="Bank"/>
  </r>
  <r>
    <d v="2025-01-30T00:00:00"/>
    <n v="2500000"/>
    <m/>
    <m/>
    <x v="0"/>
    <n v="132806373"/>
    <s v="HONOR SURYADI"/>
    <x v="13"/>
    <s v="Bank"/>
  </r>
  <r>
    <d v="2025-01-30T00:00:00"/>
    <m/>
    <m/>
    <n v="6000000"/>
    <x v="0"/>
    <n v="138806373"/>
    <s v="INFAQ DARI HARMEN"/>
    <x v="2"/>
    <s v="Bank"/>
  </r>
  <r>
    <d v="2025-01-30T00:00:00"/>
    <m/>
    <m/>
    <n v="10000"/>
    <x v="0"/>
    <n v="138816373"/>
    <s v="INFAQ DARI WARGA"/>
    <x v="2"/>
    <s v="Bank"/>
  </r>
  <r>
    <d v="2025-01-30T00:00:00"/>
    <n v="3000000"/>
    <m/>
    <m/>
    <x v="0"/>
    <n v="135816373"/>
    <s v="PENGGANTIAN BIAYA RAWAT SANTRI KE UST. BAMBANG"/>
    <x v="15"/>
    <s v="Bank"/>
  </r>
  <r>
    <d v="2025-01-30T00:00:00"/>
    <n v="2000000"/>
    <m/>
    <m/>
    <x v="0"/>
    <n v="133816373"/>
    <s v="LINA HERLINA BIAYA MAJ BIAYA PENGAJIAN IBU-IBU"/>
    <x v="11"/>
    <s v="Bank"/>
  </r>
  <r>
    <d v="2025-01-30T00:00:00"/>
    <n v="2500"/>
    <m/>
    <m/>
    <x v="0"/>
    <n v="133813873"/>
    <s v="BIAYA ADM LINA HERLINA BIAYA MAJ BIAYA PENGAJIAN IBU-IBU"/>
    <x v="11"/>
    <s v="Bank"/>
  </r>
  <r>
    <d v="2025-01-30T00:00:00"/>
    <m/>
    <m/>
    <n v="1000"/>
    <x v="0"/>
    <n v="133814873"/>
    <s v="JUMAT BERKAH DARI RIVENDRA"/>
    <x v="6"/>
    <s v="Bank"/>
  </r>
  <r>
    <d v="2025-01-30T00:00:00"/>
    <m/>
    <m/>
    <n v="750000"/>
    <x v="0"/>
    <n v="134564873"/>
    <s v="INFAQ DARI WARGA AGUSTANI Biaya Tebang Pohon"/>
    <x v="2"/>
    <s v="Bank"/>
  </r>
  <r>
    <d v="2025-01-30T00:00:00"/>
    <m/>
    <m/>
    <n v="10000"/>
    <x v="0"/>
    <n v="134574873"/>
    <s v="INFAQ DARI WARGA"/>
    <x v="2"/>
    <s v="Bank"/>
  </r>
  <r>
    <d v="2025-01-30T00:00:00"/>
    <m/>
    <m/>
    <m/>
    <x v="0"/>
    <n v="134574873"/>
    <s v="INFAQ DARI WARGA"/>
    <x v="2"/>
    <s v="Bank"/>
  </r>
  <r>
    <d v="2025-01-30T00:00:00"/>
    <m/>
    <m/>
    <m/>
    <x v="0"/>
    <n v="134574873"/>
    <s v="INFAQ DARI WARGA"/>
    <x v="2"/>
    <s v="Bank"/>
  </r>
  <r>
    <d v="2025-01-30T00:00:00"/>
    <m/>
    <m/>
    <n v="2643000"/>
    <x v="0"/>
    <n v="137217873"/>
    <s v="Akun Yatim &amp; Sosial"/>
    <x v="12"/>
    <s v="Bank"/>
  </r>
  <r>
    <d v="2025-01-30T00:00:00"/>
    <m/>
    <m/>
    <n v="4823000"/>
    <x v="0"/>
    <n v="142040873"/>
    <s v="Operasional (Infaq &amp; Sodaqoh)"/>
    <x v="2"/>
    <s v="Bank"/>
  </r>
  <r>
    <d v="2025-01-30T00:00:00"/>
    <n v="2000000"/>
    <m/>
    <m/>
    <x v="0"/>
    <n v="140040873"/>
    <s v="Dropping Petty cash"/>
    <x v="1"/>
    <s v="Bank"/>
  </r>
  <r>
    <d v="2025-01-30T00:00:00"/>
    <n v="50000"/>
    <m/>
    <m/>
    <x v="0"/>
    <n v="139990873"/>
    <s v="Selisih hitung setor bank"/>
    <x v="1"/>
    <s v="Bank"/>
  </r>
  <r>
    <m/>
    <m/>
    <n v="5416000"/>
    <m/>
    <x v="1"/>
    <n v="139990873"/>
    <s v="SETOR IMRON ROSADI"/>
    <x v="4"/>
    <m/>
  </r>
  <r>
    <d v="2025-01-30T00:00:00"/>
    <n v="4613000"/>
    <m/>
    <m/>
    <x v="0"/>
    <n v="135377873"/>
    <s v="PENGGANTIAN SISA BIAYA RAWAT SANTRI KE UST. BAMBANG"/>
    <x v="15"/>
    <s v="Bank"/>
  </r>
  <r>
    <d v="2025-01-30T00:00:00"/>
    <n v="2500"/>
    <m/>
    <m/>
    <x v="0"/>
    <n v="135375373"/>
    <s v="BIAYA ADM PENGGANTIAN BIAYA RAWAT SANTRI KE UST. BAMBANG"/>
    <x v="15"/>
    <s v="Bank"/>
  </r>
  <r>
    <d v="2025-01-30T00:00:00"/>
    <n v="4000000"/>
    <m/>
    <m/>
    <x v="0"/>
    <n v="131375373"/>
    <s v="MAJ BIAYA PERAWATAN SANTRI JANUARI VIA REK UST.BAYU"/>
    <x v="14"/>
    <s v="Bank"/>
  </r>
  <r>
    <d v="2025-01-30T00:00:00"/>
    <n v="2500"/>
    <m/>
    <m/>
    <x v="0"/>
    <n v="131372873"/>
    <s v="BIAYA ADM MAJ BIAYA PERAWATAN SANTRI JANUARI VIA REK UST.BAYU"/>
    <x v="14"/>
    <s v="Bank"/>
  </r>
  <r>
    <d v="2025-01-30T00:00:00"/>
    <n v="4950000"/>
    <m/>
    <m/>
    <x v="0"/>
    <n v="126422873"/>
    <s v="BIAYA PERAWATAN MASJID (PANGKAS SAWIT, BAMBU &amp; LAMPU)"/>
    <x v="8"/>
    <s v="Bank"/>
  </r>
  <r>
    <d v="2025-01-31T00:00:00"/>
    <m/>
    <m/>
    <n v="100000"/>
    <x v="0"/>
    <n v="126522873"/>
    <s v="ZAKAT DARI MOH RESAWAN HAKIM"/>
    <x v="16"/>
    <s v="Bank"/>
  </r>
  <r>
    <d v="2025-02-03T00:00:00"/>
    <n v="1000000"/>
    <m/>
    <m/>
    <x v="2"/>
    <n v="125522873"/>
    <s v="HONOR USTADZ AZHAR KHALID"/>
    <x v="11"/>
    <s v="Bank"/>
  </r>
  <r>
    <d v="2025-02-03T00:00:00"/>
    <n v="2500"/>
    <m/>
    <m/>
    <x v="2"/>
    <n v="125520373"/>
    <s v="BIAYA ADM HONOR USTADZ AZHAR KHALID"/>
    <x v="11"/>
    <s v="Bank"/>
  </r>
  <r>
    <d v="2025-02-03T00:00:00"/>
    <m/>
    <m/>
    <n v="1000"/>
    <x v="2"/>
    <n v="125521373"/>
    <s v="INFAQ DARI YOYOK SUBIANTO"/>
    <x v="2"/>
    <s v="Bank"/>
  </r>
  <r>
    <d v="2025-02-03T00:00:00"/>
    <m/>
    <m/>
    <n v="75000"/>
    <x v="2"/>
    <n v="125596373"/>
    <s v="INFAQ DARI WIDHIYAKSA SAVEEDRA"/>
    <x v="2"/>
    <s v="Bank"/>
  </r>
  <r>
    <d v="2025-02-03T00:00:00"/>
    <m/>
    <m/>
    <n v="500000"/>
    <x v="2"/>
    <n v="126096373"/>
    <s v="INFAQ DARI DRS SARWONO"/>
    <x v="2"/>
    <s v="Bank"/>
  </r>
  <r>
    <d v="2025-02-03T00:00:00"/>
    <m/>
    <m/>
    <n v="200000"/>
    <x v="2"/>
    <n v="126296373"/>
    <s v="INFAQ DARI DEDEN TP PERDIANSYAH"/>
    <x v="2"/>
    <s v="Bank"/>
  </r>
  <r>
    <d v="2025-02-03T00:00:00"/>
    <m/>
    <m/>
    <n v="15000"/>
    <x v="2"/>
    <n v="126311373"/>
    <s v="INFAQ DARI RIZKIVITA AGNES "/>
    <x v="2"/>
    <s v="Bank"/>
  </r>
  <r>
    <d v="2025-02-03T00:00:00"/>
    <m/>
    <m/>
    <n v="300000"/>
    <x v="2"/>
    <n v="126611373"/>
    <s v="INFAQ DARI BU FAJAR TS 8"/>
    <x v="2"/>
    <s v="Bank"/>
  </r>
  <r>
    <d v="2025-02-03T00:00:00"/>
    <m/>
    <m/>
    <n v="200000"/>
    <x v="2"/>
    <n v="126811373"/>
    <s v="INFAQ DARI UMI HAMIDAH"/>
    <x v="2"/>
    <s v="Bank"/>
  </r>
  <r>
    <d v="2025-02-03T00:00:00"/>
    <m/>
    <m/>
    <n v="300000"/>
    <x v="2"/>
    <n v="127111373"/>
    <s v="INFAQ DARI AGUNG PRAMONO"/>
    <x v="2"/>
    <s v="Bank"/>
  </r>
  <r>
    <d v="2025-02-03T00:00:00"/>
    <n v="750000"/>
    <m/>
    <m/>
    <x v="2"/>
    <n v="126361373"/>
    <s v="HONOR USTADZ HIKMATIYAR ABU UMAR"/>
    <x v="11"/>
    <s v="Bank"/>
  </r>
  <r>
    <d v="2025-02-03T00:00:00"/>
    <n v="2500"/>
    <m/>
    <m/>
    <x v="2"/>
    <n v="126358873"/>
    <s v="BIAYA ADM HONOR USTADZ HIKMATIYAR ABU UMAR"/>
    <x v="11"/>
    <s v="Bank"/>
  </r>
  <r>
    <d v="2025-02-03T00:00:00"/>
    <m/>
    <m/>
    <n v="500000"/>
    <x v="2"/>
    <n v="126858873"/>
    <s v="INFAQ DARI SHINTA NUR DEWANTI A.N NURKHOLIS TA 3/3"/>
    <x v="2"/>
    <s v="Bank"/>
  </r>
  <r>
    <d v="2025-02-03T00:00:00"/>
    <m/>
    <m/>
    <n v="200000"/>
    <x v="2"/>
    <n v="127058873"/>
    <s v="INFAQ DARI WUSONO PRIHADI SANTO"/>
    <x v="2"/>
    <s v="Bank"/>
  </r>
  <r>
    <d v="2025-02-03T00:00:00"/>
    <m/>
    <m/>
    <n v="400000"/>
    <x v="2"/>
    <n v="127458873"/>
    <s v="INFAQ DARI PUTIE AMBUN SURI/RIVENDRA"/>
    <x v="2"/>
    <s v="Bank"/>
  </r>
  <r>
    <d v="2025-02-03T00:00:00"/>
    <m/>
    <m/>
    <n v="200000"/>
    <x v="2"/>
    <n v="127658873"/>
    <s v="INFAQ DARI DEDEN TP PERDIANSYAH"/>
    <x v="2"/>
    <s v="Bank"/>
  </r>
  <r>
    <d v="2025-02-03T00:00:00"/>
    <m/>
    <m/>
    <n v="500000"/>
    <x v="2"/>
    <n v="128158873"/>
    <s v="INFAQ DARI INDRA EDI SANTOSO"/>
    <x v="2"/>
    <s v="Bank"/>
  </r>
  <r>
    <d v="2025-02-03T00:00:00"/>
    <m/>
    <m/>
    <n v="2412000"/>
    <x v="2"/>
    <n v="130570873"/>
    <s v="Akun Yatim &amp; Sosial"/>
    <x v="12"/>
    <s v="Bank"/>
  </r>
  <r>
    <d v="2025-02-03T00:00:00"/>
    <m/>
    <m/>
    <n v="3924000"/>
    <x v="2"/>
    <n v="134494873"/>
    <s v="Operasional (Infaq &amp; Sodaqoh)"/>
    <x v="2"/>
    <s v="Bank"/>
  </r>
  <r>
    <m/>
    <m/>
    <n v="6336000"/>
    <m/>
    <x v="1"/>
    <n v="134494873"/>
    <s v="SETOR IMRON ROSADI"/>
    <x v="4"/>
    <m/>
  </r>
  <r>
    <d v="2025-02-05T00:00:00"/>
    <m/>
    <m/>
    <n v="1000000"/>
    <x v="2"/>
    <n v="135494873"/>
    <s v="INFAQ DARI AMRAN ANWAR"/>
    <x v="2"/>
    <s v="Bank"/>
  </r>
  <r>
    <d v="2025-02-06T00:00:00"/>
    <m/>
    <m/>
    <n v="200000"/>
    <x v="2"/>
    <n v="135694873"/>
    <s v="INFAQ DARI MOHAMMADIANTORO PURNAWAN A.N ALM M.HASAN"/>
    <x v="2"/>
    <s v="Bank"/>
  </r>
  <r>
    <d v="2025-02-06T00:00:00"/>
    <m/>
    <m/>
    <n v="100000"/>
    <x v="2"/>
    <n v="135794873"/>
    <s v="INFAQ DARI FENTYHERLIANA A.N YUDHA BS"/>
    <x v="2"/>
    <s v="Bank"/>
  </r>
  <r>
    <d v="2025-02-06T00:00:00"/>
    <n v="2000000"/>
    <m/>
    <m/>
    <x v="2"/>
    <n v="133794873"/>
    <s v="BIAYA PENGAJIAN IBU-IBU MAJ FEBRUARI"/>
    <x v="11"/>
    <s v="Bank"/>
  </r>
  <r>
    <d v="2025-02-06T00:00:00"/>
    <n v="2500"/>
    <m/>
    <m/>
    <x v="2"/>
    <n v="133792373"/>
    <s v="BIAYA ADM PENGAJIAN IBU-IBU MAJ FEBRUARI"/>
    <x v="11"/>
    <s v="Bank"/>
  </r>
  <r>
    <d v="2025-02-07T00:00:00"/>
    <m/>
    <m/>
    <n v="2000000"/>
    <x v="2"/>
    <n v="135792373"/>
    <s v="INFAQ DARI RIZKY HIDAYAT SL"/>
    <x v="2"/>
    <s v="Bank"/>
  </r>
  <r>
    <d v="2025-02-07T00:00:00"/>
    <m/>
    <m/>
    <n v="250000"/>
    <x v="2"/>
    <n v="136042373"/>
    <s v="INFAQ DARI SEPTEMBERIZAL TA 1/8"/>
    <x v="2"/>
    <s v="Bank"/>
  </r>
  <r>
    <d v="2025-02-07T00:00:00"/>
    <m/>
    <m/>
    <n v="66500"/>
    <x v="2"/>
    <n v="136108873"/>
    <s v="Refund Program MAP_Januari 2025"/>
    <x v="2"/>
    <s v="Bank"/>
  </r>
  <r>
    <d v="2025-02-08T00:00:00"/>
    <n v="750000"/>
    <m/>
    <m/>
    <x v="2"/>
    <n v="135358873"/>
    <s v="HONOR USTADZ ABDUL HAMID"/>
    <x v="11"/>
    <s v="Bank"/>
  </r>
  <r>
    <d v="2025-02-08T00:00:00"/>
    <n v="2500"/>
    <m/>
    <m/>
    <x v="2"/>
    <n v="135356373"/>
    <s v="BIAYA ADM HONOR USTADZ ABDUL HAMID"/>
    <x v="11"/>
    <s v="Bank"/>
  </r>
  <r>
    <d v="2025-02-08T00:00:00"/>
    <m/>
    <m/>
    <n v="20000"/>
    <x v="2"/>
    <n v="135376373"/>
    <s v="INFAQ DARI YOYOK SUBIANTO"/>
    <x v="2"/>
    <s v="Bank"/>
  </r>
  <r>
    <d v="2025-02-08T00:00:00"/>
    <m/>
    <m/>
    <n v="75000"/>
    <x v="2"/>
    <n v="135451373"/>
    <s v="INFAQ DARI WIDHIYAKSA SAVEEDRA"/>
    <x v="2"/>
    <s v="Bank"/>
  </r>
  <r>
    <d v="2025-02-08T00:00:00"/>
    <m/>
    <m/>
    <n v="1500"/>
    <x v="2"/>
    <n v="135452873"/>
    <s v="INFAQ DARI GOPAY"/>
    <x v="2"/>
    <s v="Bank"/>
  </r>
  <r>
    <d v="2025-02-08T00:00:00"/>
    <m/>
    <m/>
    <n v="1250000"/>
    <x v="2"/>
    <n v="136702873"/>
    <s v="INFAQ DARI JIMMY FAJRIANSYAH"/>
    <x v="2"/>
    <s v="Bank"/>
  </r>
  <r>
    <d v="2025-02-09T00:00:00"/>
    <n v="750000"/>
    <m/>
    <m/>
    <x v="2"/>
    <n v="135952873"/>
    <s v="HONOR USTADZ DARWIS"/>
    <x v="11"/>
    <s v="Bank"/>
  </r>
  <r>
    <d v="2025-02-09T00:00:00"/>
    <m/>
    <m/>
    <n v="2000000"/>
    <x v="2"/>
    <n v="137952873"/>
    <s v="INFAQ DARI PAK RAMADHAN"/>
    <x v="2"/>
    <s v="Bank"/>
  </r>
  <r>
    <d v="2025-02-10T00:00:00"/>
    <m/>
    <m/>
    <n v="20000"/>
    <x v="2"/>
    <n v="137972873"/>
    <s v="INFAQ DARI MAY SOEKMONO"/>
    <x v="2"/>
    <s v="Bank"/>
  </r>
  <r>
    <d v="2025-02-10T00:00:00"/>
    <m/>
    <m/>
    <n v="3222000"/>
    <x v="2"/>
    <n v="141194873"/>
    <s v="Akun Yatim &amp; Sosial"/>
    <x v="12"/>
    <s v="Bank"/>
  </r>
  <r>
    <d v="2025-02-10T00:00:00"/>
    <m/>
    <m/>
    <n v="4084000"/>
    <x v="2"/>
    <n v="145278873"/>
    <s v="Operasional (Infaq &amp; Sodaqoh)"/>
    <x v="2"/>
    <s v="Bank"/>
  </r>
  <r>
    <m/>
    <m/>
    <n v="7306000"/>
    <m/>
    <x v="1"/>
    <n v="145278873"/>
    <s v="SETOR IMRON ROSADI"/>
    <x v="4"/>
    <m/>
  </r>
  <r>
    <d v="2025-02-10T00:00:00"/>
    <n v="840000"/>
    <m/>
    <m/>
    <x v="2"/>
    <n v="144438873"/>
    <s v="REIMBURSE SERVICE AC MASJID"/>
    <x v="8"/>
    <s v="Bank"/>
  </r>
  <r>
    <d v="2025-02-10T00:00:00"/>
    <n v="2500"/>
    <m/>
    <m/>
    <x v="2"/>
    <n v="144436373"/>
    <s v="REIMBURSE SERVICE AC MASJID"/>
    <x v="8"/>
    <s v="Bank"/>
  </r>
  <r>
    <d v="2025-02-11T00:00:00"/>
    <n v="1000000"/>
    <m/>
    <m/>
    <x v="2"/>
    <n v="143436373"/>
    <s v="MAHMUD MADJID BELI PARFUM PEWANGI KARPET MAJ"/>
    <x v="8"/>
    <s v="Bank"/>
  </r>
  <r>
    <d v="2025-02-11T00:00:00"/>
    <n v="2500"/>
    <m/>
    <m/>
    <x v="2"/>
    <n v="143433873"/>
    <s v="MAHMUD MADJID BELI PARFUM PEWANGI KARPET MAJ"/>
    <x v="8"/>
    <s v="Bank"/>
  </r>
  <r>
    <d v="2025-02-11T00:00:00"/>
    <m/>
    <m/>
    <n v="1800000"/>
    <x v="2"/>
    <n v="145233873"/>
    <s v="INFAQ DARI SARI ARGO WARDANI"/>
    <x v="2"/>
    <s v="Bank"/>
  </r>
  <r>
    <d v="2025-02-13T00:00:00"/>
    <m/>
    <m/>
    <n v="10000"/>
    <x v="2"/>
    <n v="145243873"/>
    <s v="INFAQ DARI YOYOK SUBIANTO"/>
    <x v="2"/>
    <s v="Bank"/>
  </r>
  <r>
    <d v="2025-02-14T00:00:00"/>
    <m/>
    <m/>
    <n v="20000"/>
    <x v="2"/>
    <n v="145263873"/>
    <s v="QRIS"/>
    <x v="2"/>
    <s v="Bank"/>
  </r>
  <r>
    <d v="2025-02-14T00:00:00"/>
    <m/>
    <m/>
    <n v="10000"/>
    <x v="2"/>
    <n v="145273873"/>
    <s v="QRIS"/>
    <x v="2"/>
    <s v="Bank"/>
  </r>
  <r>
    <d v="2025-02-14T00:00:00"/>
    <m/>
    <m/>
    <n v="25000"/>
    <x v="2"/>
    <n v="145298873"/>
    <s v="QRIS"/>
    <x v="2"/>
    <s v="Bank"/>
  </r>
  <r>
    <d v="2025-02-14T00:00:00"/>
    <m/>
    <m/>
    <n v="400000"/>
    <x v="2"/>
    <n v="145698873"/>
    <s v="INFAQ TPQ IMRON ROSADI"/>
    <x v="10"/>
    <s v="Bank"/>
  </r>
  <r>
    <d v="2025-02-17T00:00:00"/>
    <m/>
    <m/>
    <n v="100000"/>
    <x v="2"/>
    <n v="145798873"/>
    <s v="QRIS"/>
    <x v="2"/>
    <s v="Bank"/>
  </r>
  <r>
    <d v="2025-02-17T00:00:00"/>
    <m/>
    <m/>
    <n v="10000"/>
    <x v="2"/>
    <n v="145808873"/>
    <s v="QRIS"/>
    <x v="2"/>
    <s v="Bank"/>
  </r>
  <r>
    <d v="2025-02-17T00:00:00"/>
    <m/>
    <m/>
    <n v="1700"/>
    <x v="2"/>
    <n v="145810573"/>
    <s v="QRIS"/>
    <x v="2"/>
    <s v="Bank"/>
  </r>
  <r>
    <d v="2025-02-17T00:00:00"/>
    <n v="750000"/>
    <m/>
    <m/>
    <x v="2"/>
    <n v="145060573"/>
    <s v="UST AFAN MUBARAK"/>
    <x v="11"/>
    <s v="Bank"/>
  </r>
  <r>
    <d v="2025-02-17T00:00:00"/>
    <n v="2500"/>
    <m/>
    <m/>
    <x v="2"/>
    <n v="145058073"/>
    <s v="ADM"/>
    <x v="11"/>
    <s v="Bank"/>
  </r>
  <r>
    <d v="2025-02-17T00:00:00"/>
    <n v="750000"/>
    <m/>
    <m/>
    <x v="2"/>
    <n v="144308073"/>
    <s v="UST HASAN MUBARAK"/>
    <x v="11"/>
    <s v="Bank"/>
  </r>
  <r>
    <d v="2025-02-17T00:00:00"/>
    <n v="2500"/>
    <m/>
    <m/>
    <x v="2"/>
    <n v="144305573"/>
    <s v="ADM"/>
    <x v="11"/>
    <s v="Bank"/>
  </r>
  <r>
    <d v="2025-02-17T00:00:00"/>
    <m/>
    <m/>
    <n v="10000"/>
    <x v="2"/>
    <n v="144315573"/>
    <s v="QRIS"/>
    <x v="2"/>
    <s v="Bank"/>
  </r>
  <r>
    <d v="2025-02-17T00:00:00"/>
    <m/>
    <m/>
    <n v="1550000"/>
    <x v="2"/>
    <n v="145865573"/>
    <s v="INFAQ COLLECTIVE WARGA RT 5"/>
    <x v="2"/>
    <s v="Bank"/>
  </r>
  <r>
    <d v="2025-02-17T00:00:00"/>
    <m/>
    <m/>
    <n v="10000"/>
    <x v="2"/>
    <n v="145875573"/>
    <s v="QRIS"/>
    <x v="2"/>
    <s v="Bank"/>
  </r>
  <r>
    <d v="2025-02-18T00:00:00"/>
    <m/>
    <m/>
    <n v="3264000"/>
    <x v="2"/>
    <n v="149139573"/>
    <s v="Akun Yatim &amp; Sosial"/>
    <x v="12"/>
    <s v="Bank"/>
  </r>
  <r>
    <d v="2025-02-18T00:00:00"/>
    <m/>
    <m/>
    <n v="3961000"/>
    <x v="2"/>
    <n v="153100573"/>
    <s v="Operasional (Infaq &amp; Sodaqoh)"/>
    <x v="2"/>
    <s v="Bank"/>
  </r>
  <r>
    <d v="2025-02-18T00:00:00"/>
    <n v="2000000"/>
    <m/>
    <m/>
    <x v="2"/>
    <n v="151100573"/>
    <s v="Isi Petty Cash"/>
    <x v="1"/>
    <s v="Bank"/>
  </r>
  <r>
    <m/>
    <m/>
    <n v="5225000"/>
    <m/>
    <x v="1"/>
    <n v="151100573"/>
    <s v="SETOR IMRON ROSADI"/>
    <x v="4"/>
    <m/>
  </r>
  <r>
    <d v="2025-02-18T00:00:00"/>
    <n v="625000"/>
    <m/>
    <m/>
    <x v="2"/>
    <n v="150475573"/>
    <s v="BIAYA CETAK IMSAKIYAH MAJ 500 LBR"/>
    <x v="1"/>
    <s v="Bank"/>
  </r>
  <r>
    <d v="2025-02-18T00:00:00"/>
    <n v="2500"/>
    <m/>
    <m/>
    <x v="2"/>
    <n v="150473073"/>
    <s v="BIAYA ADM CETAK IMSAKIYAH MAJ 500 LBR"/>
    <x v="1"/>
    <s v="Bank"/>
  </r>
  <r>
    <d v="2025-02-18T00:00:00"/>
    <m/>
    <m/>
    <n v="150000"/>
    <x v="2"/>
    <n v="150623073"/>
    <s v="INFAQ DARI JONET/DWI LISTYOWATI DRA Gunung Salak FA 5"/>
    <x v="2"/>
    <s v="Bank"/>
  </r>
  <r>
    <d v="2025-02-19T00:00:00"/>
    <m/>
    <m/>
    <n v="20000"/>
    <x v="2"/>
    <n v="150643073"/>
    <s v="QRIS"/>
    <x v="2"/>
    <s v="Bank"/>
  </r>
  <r>
    <d v="2025-02-19T00:00:00"/>
    <m/>
    <m/>
    <n v="1000000"/>
    <x v="2"/>
    <n v="151643073"/>
    <s v="INFAQ DARI AMIN/LAELASARI RT 5"/>
    <x v="2"/>
    <s v="Bank"/>
  </r>
  <r>
    <d v="2025-02-19T00:00:00"/>
    <m/>
    <m/>
    <n v="400000"/>
    <x v="2"/>
    <n v="152043073"/>
    <s v="INFAQ TPQ DARI AGUNG PRAMONO"/>
    <x v="10"/>
    <s v="Bank"/>
  </r>
  <r>
    <d v="2025-02-20T00:00:00"/>
    <m/>
    <m/>
    <n v="20000"/>
    <x v="2"/>
    <n v="152063073"/>
    <s v="QRIS"/>
    <x v="2"/>
    <s v="Bank"/>
  </r>
  <r>
    <m/>
    <m/>
    <n v="2650000"/>
    <m/>
    <x v="1"/>
    <n v="152063073"/>
    <s v="INFAQ COLLECTIVE IMRON"/>
    <x v="4"/>
    <m/>
  </r>
  <r>
    <m/>
    <m/>
    <n v="-265000"/>
    <m/>
    <x v="1"/>
    <n v="152063073"/>
    <s v="FEE IMRON"/>
    <x v="4"/>
    <m/>
  </r>
  <r>
    <d v="2025-02-20T00:00:00"/>
    <m/>
    <m/>
    <n v="2385000"/>
    <x v="2"/>
    <n v="154448073"/>
    <s v="IMRON ROSADI"/>
    <x v="2"/>
    <s v="Bank"/>
  </r>
  <r>
    <d v="2025-02-21T00:00:00"/>
    <m/>
    <m/>
    <n v="100000"/>
    <x v="2"/>
    <n v="154548073"/>
    <s v="INFAQ DARI SURJATI SUTARJA"/>
    <x v="2"/>
    <s v="Bank"/>
  </r>
  <r>
    <d v="2025-02-24T00:00:00"/>
    <n v="750000"/>
    <m/>
    <m/>
    <x v="2"/>
    <n v="153798073"/>
    <s v="HONOR USTADZ KHOERUL MAKTUM"/>
    <x v="11"/>
    <s v="Bank"/>
  </r>
  <r>
    <d v="2025-02-24T00:00:00"/>
    <n v="2500"/>
    <m/>
    <m/>
    <x v="2"/>
    <n v="153795573"/>
    <s v="BIAYA ADM HONOR USTADZ KHOERUL MAKTUM"/>
    <x v="11"/>
    <s v="Bank"/>
  </r>
  <r>
    <d v="2025-02-24T00:00:00"/>
    <m/>
    <m/>
    <n v="50000"/>
    <x v="2"/>
    <n v="153845573"/>
    <s v="QRIS"/>
    <x v="2"/>
    <s v="Bank"/>
  </r>
  <r>
    <d v="2025-02-24T00:00:00"/>
    <m/>
    <m/>
    <n v="20000"/>
    <x v="2"/>
    <n v="153865573"/>
    <s v="QRIS"/>
    <x v="2"/>
    <s v="Bank"/>
  </r>
  <r>
    <d v="2025-02-24T00:00:00"/>
    <m/>
    <m/>
    <n v="150000"/>
    <x v="2"/>
    <n v="154015573"/>
    <s v="QRIS"/>
    <x v="2"/>
    <s v="Bank"/>
  </r>
  <r>
    <d v="2025-02-24T00:00:00"/>
    <m/>
    <m/>
    <n v="1904"/>
    <x v="2"/>
    <n v="154017477"/>
    <s v="QRIS"/>
    <x v="2"/>
    <s v="Bank"/>
  </r>
  <r>
    <d v="2025-02-24T00:00:00"/>
    <n v="1000000"/>
    <m/>
    <m/>
    <x v="2"/>
    <n v="153017477"/>
    <s v="HONOR USTADZ WAHID RAHMAN"/>
    <x v="11"/>
    <s v="Bank"/>
  </r>
  <r>
    <d v="2025-02-24T00:00:00"/>
    <n v="2500"/>
    <m/>
    <m/>
    <x v="2"/>
    <n v="153014977"/>
    <s v="BIAYA ADM HONOR USTADZ WAHID RAHMAN"/>
    <x v="11"/>
    <s v="Bank"/>
  </r>
  <r>
    <d v="2025-02-24T00:00:00"/>
    <n v="1500000"/>
    <m/>
    <m/>
    <x v="2"/>
    <n v="151514977"/>
    <s v="HONOR PELATIHAN JENAZAH"/>
    <x v="11"/>
    <s v="Bank"/>
  </r>
  <r>
    <d v="2025-02-24T00:00:00"/>
    <n v="6500"/>
    <m/>
    <m/>
    <x v="2"/>
    <n v="151508477"/>
    <s v="BIAYA ADM HONOR PELATIHAN JENAZAH"/>
    <x v="11"/>
    <s v="Bank"/>
  </r>
  <r>
    <d v="2025-02-24T00:00:00"/>
    <m/>
    <m/>
    <n v="5000"/>
    <x v="2"/>
    <n v="151513477"/>
    <s v="QRIS"/>
    <x v="2"/>
    <s v="Bank"/>
  </r>
  <r>
    <d v="2025-02-24T00:00:00"/>
    <m/>
    <m/>
    <n v="1000"/>
    <x v="2"/>
    <n v="151514477"/>
    <s v="QRIS"/>
    <x v="2"/>
    <s v="Bank"/>
  </r>
  <r>
    <d v="2025-02-24T00:00:00"/>
    <m/>
    <m/>
    <n v="2641000"/>
    <x v="2"/>
    <n v="154155477"/>
    <s v="Akun Yatim &amp; Sosial"/>
    <x v="12"/>
    <s v="Bank"/>
  </r>
  <r>
    <d v="2025-02-24T00:00:00"/>
    <m/>
    <m/>
    <n v="3441000"/>
    <x v="2"/>
    <n v="157596477"/>
    <s v="Operasional (Infaq &amp; Sodaqoh)"/>
    <x v="2"/>
    <s v="Bank"/>
  </r>
  <r>
    <d v="2025-02-24T00:00:00"/>
    <n v="1000000"/>
    <m/>
    <m/>
    <x v="2"/>
    <n v="156596477"/>
    <s v="Isi Petty Cash"/>
    <x v="1"/>
    <s v="Bank"/>
  </r>
  <r>
    <d v="2025-02-24T00:00:00"/>
    <n v="62000"/>
    <m/>
    <m/>
    <x v="2"/>
    <n v="156534477"/>
    <s v="Selisih hitung setor bank"/>
    <x v="1"/>
    <s v="Bank"/>
  </r>
  <r>
    <m/>
    <m/>
    <n v="5020000"/>
    <m/>
    <x v="1"/>
    <n v="156534477"/>
    <s v="SETOR IMRON"/>
    <x v="4"/>
    <m/>
  </r>
  <r>
    <d v="2025-02-25T00:00:00"/>
    <m/>
    <m/>
    <n v="50000"/>
    <x v="2"/>
    <n v="156584477"/>
    <s v="QRIS"/>
    <x v="2"/>
    <s v="Bank"/>
  </r>
  <r>
    <d v="2025-02-25T00:00:00"/>
    <m/>
    <m/>
    <n v="10000"/>
    <x v="2"/>
    <n v="156594477"/>
    <s v="QRIS"/>
    <x v="2"/>
    <s v="Bank"/>
  </r>
  <r>
    <d v="2025-02-25T00:00:00"/>
    <m/>
    <m/>
    <n v="200000"/>
    <x v="2"/>
    <n v="156794477"/>
    <s v="INFAQ TPQ RIVENDRA"/>
    <x v="2"/>
    <s v="Bank"/>
  </r>
  <r>
    <d v="2025-02-25T00:00:00"/>
    <n v="15000"/>
    <m/>
    <m/>
    <x v="2"/>
    <n v="156779477"/>
    <s v="CETAK STICKER QRIS MASJID ALJABBAR"/>
    <x v="1"/>
    <s v="Bank"/>
  </r>
  <r>
    <d v="2025-02-25T00:00:00"/>
    <n v="2500"/>
    <m/>
    <m/>
    <x v="2"/>
    <n v="156776977"/>
    <s v="BIAYA ADM CETAK STICKER QRIS MASJID ALJABBAR"/>
    <x v="1"/>
    <s v="Bank"/>
  </r>
  <r>
    <d v="2025-02-26T00:00:00"/>
    <m/>
    <m/>
    <n v="10000"/>
    <x v="2"/>
    <n v="156786977"/>
    <s v="QRIS"/>
    <x v="2"/>
    <s v="Bank"/>
  </r>
  <r>
    <d v="2025-02-27T00:00:00"/>
    <m/>
    <m/>
    <n v="10000"/>
    <x v="2"/>
    <n v="156796977"/>
    <s v="QRIS"/>
    <x v="2"/>
    <s v="Bank"/>
  </r>
  <r>
    <d v="2025-02-27T00:00:00"/>
    <m/>
    <m/>
    <n v="20000"/>
    <x v="2"/>
    <n v="156816977"/>
    <s v="QRIS"/>
    <x v="2"/>
    <s v="Bank"/>
  </r>
  <r>
    <d v="2025-02-27T00:00:00"/>
    <m/>
    <m/>
    <n v="10000"/>
    <x v="2"/>
    <n v="156826977"/>
    <s v="QRIS"/>
    <x v="2"/>
    <s v="Bank"/>
  </r>
  <r>
    <d v="2025-02-27T00:00:00"/>
    <m/>
    <m/>
    <n v="1000000"/>
    <x v="2"/>
    <n v="157826977"/>
    <s v="INFAQ DARI ANGGONO IRIAWAN"/>
    <x v="2"/>
    <s v="Bank"/>
  </r>
  <r>
    <d v="2025-02-27T00:00:00"/>
    <n v="2000000"/>
    <m/>
    <m/>
    <x v="2"/>
    <n v="155826977"/>
    <s v="HONOR YANA SIGIT ISMATULLAH"/>
    <x v="13"/>
    <s v="Bank"/>
  </r>
  <r>
    <d v="2025-02-27T00:00:00"/>
    <n v="6500"/>
    <m/>
    <m/>
    <x v="2"/>
    <n v="155820477"/>
    <s v="HONOR YANA SIGIT ISMATULLAH"/>
    <x v="13"/>
    <s v="Bank"/>
  </r>
  <r>
    <d v="2025-02-27T00:00:00"/>
    <n v="2000000"/>
    <m/>
    <m/>
    <x v="2"/>
    <n v="153820477"/>
    <s v="HONOR A IMRON ROSADI"/>
    <x v="13"/>
    <s v="Bank"/>
  </r>
  <r>
    <d v="2025-02-27T00:00:00"/>
    <n v="6500"/>
    <m/>
    <m/>
    <x v="2"/>
    <n v="153813977"/>
    <s v="HONOR A IMRON ROSADI"/>
    <x v="13"/>
    <s v="Bank"/>
  </r>
  <r>
    <d v="2025-02-27T00:00:00"/>
    <n v="2500000"/>
    <m/>
    <m/>
    <x v="2"/>
    <n v="151313977"/>
    <s v="HONOR ABDUL AZIS VIA ISTANTO"/>
    <x v="13"/>
    <s v="Bank"/>
  </r>
  <r>
    <d v="2025-02-27T00:00:00"/>
    <n v="6500"/>
    <m/>
    <m/>
    <x v="2"/>
    <n v="151307477"/>
    <s v="HONOR ABDUL AZIS VIA ISTANTO"/>
    <x v="13"/>
    <s v="Bank"/>
  </r>
  <r>
    <d v="2025-02-27T00:00:00"/>
    <n v="3250000"/>
    <m/>
    <m/>
    <x v="2"/>
    <n v="148057477"/>
    <s v="HONOR NANANG SUBAEDI"/>
    <x v="13"/>
    <s v="Bank"/>
  </r>
  <r>
    <d v="2025-02-27T00:00:00"/>
    <n v="6500"/>
    <m/>
    <m/>
    <x v="2"/>
    <n v="148050977"/>
    <s v="HONOR NANANG SUBAEDI"/>
    <x v="13"/>
    <s v="Bank"/>
  </r>
  <r>
    <d v="2025-02-27T00:00:00"/>
    <n v="2700000"/>
    <m/>
    <m/>
    <x v="2"/>
    <n v="145350977"/>
    <s v="HONOR M BAYU CANDRA"/>
    <x v="14"/>
    <s v="Bank"/>
  </r>
  <r>
    <d v="2025-02-27T00:00:00"/>
    <n v="6500"/>
    <m/>
    <m/>
    <x v="2"/>
    <n v="145344477"/>
    <s v="HONOR M BAYU CANDRA"/>
    <x v="14"/>
    <s v="Bank"/>
  </r>
  <r>
    <d v="2025-02-27T00:00:00"/>
    <n v="1500000"/>
    <m/>
    <m/>
    <x v="2"/>
    <n v="143844477"/>
    <s v="HONOR MUHAMMAD ILHAM"/>
    <x v="13"/>
    <s v="Bank"/>
  </r>
  <r>
    <d v="2025-02-27T00:00:00"/>
    <n v="6500"/>
    <m/>
    <m/>
    <x v="2"/>
    <n v="143837977"/>
    <s v="HONOR MUHAMMAD ILHAM"/>
    <x v="13"/>
    <s v="Bank"/>
  </r>
  <r>
    <d v="2025-02-27T00:00:00"/>
    <n v="2500000"/>
    <m/>
    <m/>
    <x v="2"/>
    <n v="141337977"/>
    <s v="HONOR SURYADI"/>
    <x v="13"/>
    <s v="Bank"/>
  </r>
  <r>
    <d v="2025-02-27T00:00:00"/>
    <m/>
    <m/>
    <n v="1250000"/>
    <x v="2"/>
    <n v="142587977"/>
    <s v="INFAQ COLLECTIVE WARGA VIA ABDUL AZIS"/>
    <x v="2"/>
    <s v="Bank"/>
  </r>
  <r>
    <d v="2025-02-28T00:00:00"/>
    <m/>
    <m/>
    <n v="10000"/>
    <x v="2"/>
    <n v="142597977"/>
    <s v="QRIS"/>
    <x v="2"/>
    <s v="Bank"/>
  </r>
  <r>
    <d v="2025-02-28T00:00:00"/>
    <m/>
    <m/>
    <n v="50000"/>
    <x v="2"/>
    <n v="142647977"/>
    <s v="QRIS"/>
    <x v="2"/>
    <s v="Bank"/>
  </r>
  <r>
    <d v="2025-02-28T00:00:00"/>
    <n v="4000000"/>
    <m/>
    <m/>
    <x v="2"/>
    <n v="138647977"/>
    <s v="MAJ BIAYA PERAWATAN SANTRI FEBRUARI"/>
    <x v="14"/>
    <s v="Bank"/>
  </r>
  <r>
    <d v="2025-02-28T00:00:00"/>
    <n v="2500"/>
    <m/>
    <m/>
    <x v="2"/>
    <n v="138645477"/>
    <s v="BIAYA ADM"/>
    <x v="14"/>
    <s v="Bank"/>
  </r>
  <r>
    <d v="2025-02-28T00:00:00"/>
    <n v="7000"/>
    <m/>
    <m/>
    <x v="2"/>
    <n v="138638477"/>
    <s v="Fee Payroll Januari"/>
    <x v="1"/>
    <s v="Bank"/>
  </r>
  <r>
    <d v="2025-03-03T00:00:00"/>
    <m/>
    <m/>
    <n v="50000"/>
    <x v="3"/>
    <n v="138688477"/>
    <s v="INFAQ QRIS"/>
    <x v="2"/>
    <s v="Bank"/>
  </r>
  <r>
    <d v="2025-03-03T00:00:00"/>
    <m/>
    <m/>
    <n v="20000"/>
    <x v="3"/>
    <n v="138708477"/>
    <s v="INFAQ QRIS"/>
    <x v="2"/>
    <s v="Bank"/>
  </r>
  <r>
    <d v="2025-03-03T00:00:00"/>
    <m/>
    <m/>
    <n v="10000"/>
    <x v="3"/>
    <n v="138718477"/>
    <s v="INFAQ QRIS"/>
    <x v="2"/>
    <s v="Bank"/>
  </r>
  <r>
    <d v="2025-03-03T00:00:00"/>
    <m/>
    <m/>
    <n v="75000"/>
    <x v="3"/>
    <n v="138793477"/>
    <s v="INFAQ QRIS"/>
    <x v="2"/>
    <s v="Bank"/>
  </r>
  <r>
    <d v="2025-03-03T00:00:00"/>
    <m/>
    <m/>
    <n v="10000"/>
    <x v="3"/>
    <n v="138803477"/>
    <s v="INFAQ QRIS"/>
    <x v="2"/>
    <s v="Bank"/>
  </r>
  <r>
    <d v="2025-03-03T00:00:00"/>
    <m/>
    <m/>
    <n v="800"/>
    <x v="3"/>
    <n v="138804277"/>
    <s v="INFAQ QRIS"/>
    <x v="2"/>
    <s v="Bank"/>
  </r>
  <r>
    <d v="2025-03-03T00:00:00"/>
    <m/>
    <m/>
    <n v="200000"/>
    <x v="3"/>
    <n v="139004277"/>
    <s v="INFAQ DARI UMI HAMIDAH DRA"/>
    <x v="2"/>
    <s v="Bank"/>
  </r>
  <r>
    <d v="2025-03-03T00:00:00"/>
    <n v="4002500"/>
    <m/>
    <m/>
    <x v="3"/>
    <n v="135001777"/>
    <s v="DP Panitia Buka Bersama MAJ 1446H"/>
    <x v="17"/>
    <s v="Bank"/>
  </r>
  <r>
    <d v="2025-03-03T00:00:00"/>
    <m/>
    <m/>
    <n v="10000"/>
    <x v="3"/>
    <n v="135011777"/>
    <s v="INFAQ QRIS"/>
    <x v="2"/>
    <s v="Bank"/>
  </r>
  <r>
    <d v="2025-03-03T00:00:00"/>
    <m/>
    <m/>
    <n v="50000"/>
    <x v="3"/>
    <n v="135061777"/>
    <s v="INFAQ QRIS"/>
    <x v="2"/>
    <s v="Bank"/>
  </r>
  <r>
    <d v="2025-03-03T00:00:00"/>
    <m/>
    <m/>
    <n v="5000"/>
    <x v="3"/>
    <n v="135066777"/>
    <s v="INFAQ QRIS"/>
    <x v="2"/>
    <s v="Bank"/>
  </r>
  <r>
    <d v="2025-03-03T00:00:00"/>
    <m/>
    <m/>
    <n v="50000"/>
    <x v="3"/>
    <n v="135116777"/>
    <s v="INFAQ QRIS"/>
    <x v="2"/>
    <s v="Bank"/>
  </r>
  <r>
    <d v="2025-03-03T00:00:00"/>
    <m/>
    <m/>
    <n v="10000"/>
    <x v="3"/>
    <n v="135126777"/>
    <s v="INFAQ QRIS"/>
    <x v="2"/>
    <s v="Bank"/>
  </r>
  <r>
    <d v="2025-03-03T00:00:00"/>
    <m/>
    <m/>
    <n v="20000"/>
    <x v="3"/>
    <n v="135146777"/>
    <s v="INFAQ QRIS"/>
    <x v="2"/>
    <s v="Bank"/>
  </r>
  <r>
    <d v="2025-03-03T00:00:00"/>
    <m/>
    <m/>
    <n v="10000"/>
    <x v="3"/>
    <n v="135156777"/>
    <s v="INFAQ QRIS"/>
    <x v="2"/>
    <s v="Bank"/>
  </r>
  <r>
    <d v="2025-03-03T00:00:00"/>
    <m/>
    <m/>
    <n v="5000"/>
    <x v="3"/>
    <n v="135161777"/>
    <s v="INFAQ QRIS"/>
    <x v="2"/>
    <s v="Bank"/>
  </r>
  <r>
    <d v="2025-03-03T00:00:00"/>
    <m/>
    <m/>
    <n v="100000"/>
    <x v="3"/>
    <n v="135261777"/>
    <s v="INFAQ QRIS"/>
    <x v="2"/>
    <s v="Bank"/>
  </r>
  <r>
    <d v="2025-03-03T00:00:00"/>
    <m/>
    <m/>
    <n v="20000"/>
    <x v="3"/>
    <n v="135281777"/>
    <s v="INFAQ QRIS"/>
    <x v="2"/>
    <s v="Bank"/>
  </r>
  <r>
    <d v="2025-03-03T00:00:00"/>
    <m/>
    <m/>
    <n v="10000"/>
    <x v="3"/>
    <n v="135291777"/>
    <s v="INFAQ QRIS"/>
    <x v="2"/>
    <s v="Bank"/>
  </r>
  <r>
    <d v="2025-03-03T00:00:00"/>
    <m/>
    <m/>
    <n v="5000"/>
    <x v="3"/>
    <n v="135296777"/>
    <s v="INFAQ QRIS"/>
    <x v="2"/>
    <s v="Bank"/>
  </r>
  <r>
    <d v="2025-03-03T00:00:00"/>
    <m/>
    <m/>
    <n v="5000"/>
    <x v="3"/>
    <n v="135301777"/>
    <s v="INFAQ QRIS"/>
    <x v="2"/>
    <s v="Bank"/>
  </r>
  <r>
    <d v="2025-03-03T00:00:00"/>
    <m/>
    <m/>
    <n v="200000"/>
    <x v="3"/>
    <n v="135501777"/>
    <s v="INFAQ DEDEN TP PERDIANSYAH"/>
    <x v="2"/>
    <s v="Bank"/>
  </r>
  <r>
    <d v="2025-03-03T00:00:00"/>
    <m/>
    <m/>
    <n v="550000"/>
    <x v="3"/>
    <n v="136051777"/>
    <s v="INFAQ QRIS"/>
    <x v="2"/>
    <s v="Bank"/>
  </r>
  <r>
    <d v="2025-03-03T00:00:00"/>
    <m/>
    <m/>
    <n v="50000"/>
    <x v="3"/>
    <n v="136101777"/>
    <s v="INFAQ QRIS"/>
    <x v="2"/>
    <s v="Bank"/>
  </r>
  <r>
    <d v="2025-03-03T00:00:00"/>
    <m/>
    <m/>
    <n v="21439"/>
    <x v="3"/>
    <n v="136123216"/>
    <s v="INFAQ QRIS"/>
    <x v="2"/>
    <s v="Bank"/>
  </r>
  <r>
    <d v="2025-03-03T00:00:00"/>
    <m/>
    <m/>
    <n v="50000"/>
    <x v="3"/>
    <n v="136173216"/>
    <s v="INFAQ QRIS"/>
    <x v="2"/>
    <s v="Bank"/>
  </r>
  <r>
    <d v="2025-03-03T00:00:00"/>
    <m/>
    <m/>
    <n v="10000"/>
    <x v="3"/>
    <n v="136183216"/>
    <s v="INFAQ QRIS"/>
    <x v="2"/>
    <s v="Bank"/>
  </r>
  <r>
    <d v="2025-03-03T00:00:00"/>
    <m/>
    <m/>
    <n v="10000"/>
    <x v="3"/>
    <n v="136193216"/>
    <s v="INFAQ QRIS"/>
    <x v="2"/>
    <s v="Bank"/>
  </r>
  <r>
    <d v="2025-03-03T00:00:00"/>
    <m/>
    <m/>
    <n v="5000"/>
    <x v="3"/>
    <n v="136198216"/>
    <s v="INFAQ QRIS"/>
    <x v="2"/>
    <s v="Bank"/>
  </r>
  <r>
    <d v="2025-03-03T00:00:00"/>
    <m/>
    <m/>
    <n v="20000"/>
    <x v="3"/>
    <n v="136218216"/>
    <s v="INFAQ QRIS"/>
    <x v="2"/>
    <s v="Bank"/>
  </r>
  <r>
    <d v="2025-03-03T00:00:00"/>
    <m/>
    <m/>
    <n v="100000"/>
    <x v="3"/>
    <n v="136318216"/>
    <s v="INFAQ QRIS"/>
    <x v="2"/>
    <s v="Bank"/>
  </r>
  <r>
    <d v="2025-03-03T00:00:00"/>
    <m/>
    <m/>
    <n v="100000"/>
    <x v="3"/>
    <n v="136418216"/>
    <s v="INFAQ QRIS"/>
    <x v="2"/>
    <s v="Bank"/>
  </r>
  <r>
    <d v="2025-03-03T00:00:00"/>
    <m/>
    <m/>
    <n v="50000"/>
    <x v="3"/>
    <n v="136468216"/>
    <s v="INFAQ QRIS"/>
    <x v="2"/>
    <s v="Bank"/>
  </r>
  <r>
    <d v="2025-03-03T00:00:00"/>
    <m/>
    <m/>
    <n v="25000"/>
    <x v="3"/>
    <n v="136493216"/>
    <s v="INFAQ QRIS"/>
    <x v="2"/>
    <s v="Bank"/>
  </r>
  <r>
    <d v="2025-03-03T00:00:00"/>
    <m/>
    <m/>
    <n v="20000"/>
    <x v="3"/>
    <n v="136513216"/>
    <s v="INFAQ QRIS"/>
    <x v="2"/>
    <s v="Bank"/>
  </r>
  <r>
    <d v="2025-03-03T00:00:00"/>
    <m/>
    <m/>
    <n v="10000"/>
    <x v="3"/>
    <n v="136523216"/>
    <s v="INFAQ QRIS"/>
    <x v="2"/>
    <s v="Bank"/>
  </r>
  <r>
    <d v="2025-03-03T00:00:00"/>
    <m/>
    <m/>
    <n v="4000"/>
    <x v="3"/>
    <n v="136527216"/>
    <s v="INFAQ QRIS"/>
    <x v="2"/>
    <s v="Bank"/>
  </r>
  <r>
    <d v="2025-03-03T00:00:00"/>
    <m/>
    <m/>
    <n v="500000"/>
    <x v="3"/>
    <n v="137027216"/>
    <s v="INFAQ DARI DRS SARWONO"/>
    <x v="2"/>
    <s v="Bank"/>
  </r>
  <r>
    <d v="2025-03-03T00:00:00"/>
    <m/>
    <m/>
    <n v="2885000"/>
    <x v="3"/>
    <n v="139912216"/>
    <s v="Akun Yatim &amp; Sosial"/>
    <x v="12"/>
    <s v="Bank"/>
  </r>
  <r>
    <d v="2025-03-03T00:00:00"/>
    <m/>
    <m/>
    <n v="1322000"/>
    <x v="3"/>
    <n v="141234216"/>
    <s v="Operasional (Infaq &amp; Sodaqoh)"/>
    <x v="2"/>
    <s v="Bank"/>
  </r>
  <r>
    <m/>
    <m/>
    <n v="4207000"/>
    <m/>
    <x v="1"/>
    <n v="141234216"/>
    <s v="SETOR IMRON"/>
    <x v="4"/>
    <m/>
  </r>
  <r>
    <d v="2025-03-03T00:00:00"/>
    <m/>
    <m/>
    <n v="200000"/>
    <x v="3"/>
    <n v="141434216"/>
    <s v="INFAQ DARI WUSONO PRIHADI SANTO"/>
    <x v="2"/>
    <s v="Bank"/>
  </r>
  <r>
    <d v="2025-03-04T00:00:00"/>
    <m/>
    <m/>
    <n v="900000"/>
    <x v="3"/>
    <n v="142334216"/>
    <s v="INFAQ DARI ANDI BAGUS JL.PANGRANGO 25"/>
    <x v="2"/>
    <s v="Bank"/>
  </r>
  <r>
    <d v="2025-03-04T00:00:00"/>
    <m/>
    <m/>
    <n v="300000"/>
    <x v="3"/>
    <n v="142634216"/>
    <s v="INFAQ DARI FADJAR SATYANI"/>
    <x v="2"/>
    <s v="Bank"/>
  </r>
  <r>
    <d v="2025-03-04T00:00:00"/>
    <m/>
    <m/>
    <n v="10000"/>
    <x v="3"/>
    <n v="142644216"/>
    <s v="INFAQ QRIS"/>
    <x v="2"/>
    <s v="Bank"/>
  </r>
  <r>
    <d v="2025-03-04T00:00:00"/>
    <m/>
    <m/>
    <n v="5000"/>
    <x v="3"/>
    <n v="142649216"/>
    <s v="INFAQ QRIS"/>
    <x v="2"/>
    <s v="Bank"/>
  </r>
  <r>
    <d v="2025-03-04T00:00:00"/>
    <m/>
    <m/>
    <n v="20000"/>
    <x v="3"/>
    <n v="142669216"/>
    <s v="INFAQ QRIS"/>
    <x v="2"/>
    <s v="Bank"/>
  </r>
  <r>
    <d v="2025-03-04T00:00:00"/>
    <m/>
    <m/>
    <n v="50000"/>
    <x v="3"/>
    <n v="142719216"/>
    <s v="INFAQ QRIS"/>
    <x v="2"/>
    <s v="Bank"/>
  </r>
  <r>
    <d v="2025-03-04T00:00:00"/>
    <m/>
    <m/>
    <n v="10000"/>
    <x v="3"/>
    <n v="142729216"/>
    <s v="INFAQ QRIS"/>
    <x v="2"/>
    <s v="Bank"/>
  </r>
  <r>
    <d v="2025-03-04T00:00:00"/>
    <m/>
    <m/>
    <n v="10000"/>
    <x v="3"/>
    <n v="142739216"/>
    <s v="INFAQ QRIS"/>
    <x v="2"/>
    <s v="Bank"/>
  </r>
  <r>
    <d v="2025-03-04T00:00:00"/>
    <n v="855000"/>
    <m/>
    <m/>
    <x v="3"/>
    <n v="141884216"/>
    <s v="REIMBURSE BELI MATERIAL CAT PAK AMRAN"/>
    <x v="8"/>
    <s v="Bank"/>
  </r>
  <r>
    <d v="2025-03-04T00:00:00"/>
    <n v="2500"/>
    <m/>
    <m/>
    <x v="3"/>
    <n v="141881716"/>
    <s v="BIAYA ADM REIMBURSE BELI MATERIAL CAT PAK AMRAN"/>
    <x v="8"/>
    <s v="Bank"/>
  </r>
  <r>
    <d v="2025-03-04T00:00:00"/>
    <m/>
    <m/>
    <n v="150000"/>
    <x v="3"/>
    <n v="142031716"/>
    <s v="INFAQ DARI DWI LISTYOWATI DRA/JONET GUNUNG SALAK FA 5"/>
    <x v="2"/>
    <s v="Bank"/>
  </r>
  <r>
    <d v="2025-03-05T00:00:00"/>
    <m/>
    <m/>
    <n v="1000000"/>
    <x v="3"/>
    <n v="143031716"/>
    <s v="INFAQ DARI ANIS "/>
    <x v="2"/>
    <s v="Bank"/>
  </r>
  <r>
    <d v="2025-03-05T00:00:00"/>
    <n v="1350000"/>
    <m/>
    <m/>
    <x v="3"/>
    <n v="141681716"/>
    <s v="REIMBURSE VOUCHER LISTRIK &amp; SERVICE AC"/>
    <x v="7"/>
    <s v="Bank"/>
  </r>
  <r>
    <d v="2025-03-05T00:00:00"/>
    <n v="2500"/>
    <m/>
    <m/>
    <x v="3"/>
    <n v="141679216"/>
    <s v="BIAYA ADM REIMBURSE VOUCHER LISTRIK &amp; SERVICE AC"/>
    <x v="7"/>
    <s v="Bank"/>
  </r>
  <r>
    <d v="2025-03-05T00:00:00"/>
    <m/>
    <m/>
    <n v="1000000"/>
    <x v="3"/>
    <n v="142679216"/>
    <s v="INFAQ DARI MOH RESAWAN HAKIM"/>
    <x v="2"/>
    <s v="Bank"/>
  </r>
  <r>
    <d v="2025-03-05T00:00:00"/>
    <m/>
    <m/>
    <n v="10000"/>
    <x v="3"/>
    <n v="142689216"/>
    <s v="INFAQ QRIS"/>
    <x v="2"/>
    <s v="Bank"/>
  </r>
  <r>
    <d v="2025-03-05T00:00:00"/>
    <m/>
    <m/>
    <n v="100000"/>
    <x v="3"/>
    <n v="142789216"/>
    <s v="INFAQ QRIS"/>
    <x v="2"/>
    <s v="Bank"/>
  </r>
  <r>
    <d v="2025-03-05T00:00:00"/>
    <m/>
    <m/>
    <n v="20000"/>
    <x v="3"/>
    <n v="142809216"/>
    <s v="INFAQ QRIS"/>
    <x v="2"/>
    <s v="Bank"/>
  </r>
  <r>
    <d v="2025-03-05T00:00:00"/>
    <m/>
    <m/>
    <n v="25000"/>
    <x v="3"/>
    <n v="142834216"/>
    <s v="INFAQ QRIS"/>
    <x v="2"/>
    <s v="Bank"/>
  </r>
  <r>
    <d v="2025-03-05T00:00:00"/>
    <m/>
    <m/>
    <n v="10000"/>
    <x v="3"/>
    <n v="142844216"/>
    <s v="INFAQ QRIS"/>
    <x v="2"/>
    <s v="Bank"/>
  </r>
  <r>
    <d v="2025-03-05T00:00:00"/>
    <m/>
    <m/>
    <n v="50000"/>
    <x v="3"/>
    <n v="142894216"/>
    <s v="INFAQ QRIS"/>
    <x v="2"/>
    <s v="Bank"/>
  </r>
  <r>
    <d v="2025-03-05T00:00:00"/>
    <m/>
    <m/>
    <n v="4341"/>
    <x v="3"/>
    <n v="142898557"/>
    <s v="INFAQ QRIS"/>
    <x v="2"/>
    <s v="Bank"/>
  </r>
  <r>
    <d v="2025-03-05T00:00:00"/>
    <m/>
    <m/>
    <n v="16000"/>
    <x v="3"/>
    <n v="142914557"/>
    <s v="INFAQ QRIS"/>
    <x v="2"/>
    <s v="Bank"/>
  </r>
  <r>
    <d v="2025-03-05T00:00:00"/>
    <m/>
    <m/>
    <n v="216"/>
    <x v="3"/>
    <n v="142914773"/>
    <s v="INFAQ QRIS"/>
    <x v="2"/>
    <s v="Bank"/>
  </r>
  <r>
    <d v="2025-03-05T00:00:00"/>
    <n v="500000"/>
    <m/>
    <m/>
    <x v="3"/>
    <n v="142414773"/>
    <s v="BAYAR TUKANG CAT LT 2 MAJ"/>
    <x v="8"/>
    <s v="Bank"/>
  </r>
  <r>
    <d v="2025-03-05T00:00:00"/>
    <n v="2500"/>
    <m/>
    <m/>
    <x v="3"/>
    <n v="142412273"/>
    <s v="BIAYA ADM BAYAR TUKANG CAT LT 2 MAJ"/>
    <x v="8"/>
    <s v="Bank"/>
  </r>
  <r>
    <d v="2025-03-05T00:00:00"/>
    <m/>
    <m/>
    <n v="600000"/>
    <x v="3"/>
    <n v="143012273"/>
    <s v="INFAQ DARI EDWARDI  CDT TRF BENFC BIFAST"/>
    <x v="2"/>
    <s v="Bank"/>
  </r>
  <r>
    <d v="2025-03-05T00:00:00"/>
    <m/>
    <m/>
    <n v="78000"/>
    <x v="3"/>
    <n v="143090273"/>
    <s v="Refund Program MAP_Februari 2025"/>
    <x v="2"/>
    <s v="Bank"/>
  </r>
  <r>
    <d v="2025-03-06T00:00:00"/>
    <m/>
    <m/>
    <n v="10000000"/>
    <x v="3"/>
    <n v="153090273"/>
    <s v="ZAKAT MAL BPK HARMEN"/>
    <x v="16"/>
    <s v="Bank"/>
  </r>
  <r>
    <d v="2025-03-06T00:00:00"/>
    <m/>
    <m/>
    <n v="540000"/>
    <x v="3"/>
    <n v="153630273"/>
    <s v="INFAQ QRIS"/>
    <x v="2"/>
    <s v="Bank"/>
  </r>
  <r>
    <d v="2025-03-06T00:00:00"/>
    <m/>
    <m/>
    <n v="100000"/>
    <x v="3"/>
    <n v="153730273"/>
    <s v="INFAQ QRIS"/>
    <x v="2"/>
    <s v="Bank"/>
  </r>
  <r>
    <d v="2025-03-06T00:00:00"/>
    <m/>
    <m/>
    <n v="50000"/>
    <x v="3"/>
    <n v="153780273"/>
    <s v="INFAQ QRIS"/>
    <x v="2"/>
    <s v="Bank"/>
  </r>
  <r>
    <d v="2025-03-06T00:00:00"/>
    <m/>
    <m/>
    <n v="10000"/>
    <x v="3"/>
    <n v="153790273"/>
    <s v="INFAQ QRIS"/>
    <x v="2"/>
    <s v="Bank"/>
  </r>
  <r>
    <d v="2025-03-06T00:00:00"/>
    <m/>
    <m/>
    <n v="10000"/>
    <x v="3"/>
    <n v="153800273"/>
    <s v="INFAQ QRIS"/>
    <x v="2"/>
    <s v="Bank"/>
  </r>
  <r>
    <d v="2025-03-06T00:00:00"/>
    <m/>
    <m/>
    <n v="100000"/>
    <x v="3"/>
    <n v="153900273"/>
    <s v="INFAQ QRIS"/>
    <x v="2"/>
    <s v="Bank"/>
  </r>
  <r>
    <d v="2025-03-06T00:00:00"/>
    <m/>
    <m/>
    <n v="5000"/>
    <x v="3"/>
    <n v="153905273"/>
    <s v="INFAQ QRIS"/>
    <x v="2"/>
    <s v="Bank"/>
  </r>
  <r>
    <d v="2025-03-06T00:00:00"/>
    <m/>
    <m/>
    <n v="50000"/>
    <x v="3"/>
    <n v="153955273"/>
    <s v="INFAQ QRIS"/>
    <x v="2"/>
    <s v="Bank"/>
  </r>
  <r>
    <d v="2025-03-06T00:00:00"/>
    <m/>
    <m/>
    <n v="100000"/>
    <x v="3"/>
    <n v="154055273"/>
    <s v="InfaQ warga TS 5 No 8"/>
    <x v="2"/>
    <s v="Bank"/>
  </r>
  <r>
    <d v="2025-03-06T00:00:00"/>
    <m/>
    <m/>
    <n v="400000"/>
    <x v="3"/>
    <n v="154455273"/>
    <s v="INFAQ DARI PUTIE AMBUN SURI/RIVENDRA"/>
    <x v="2"/>
    <s v="Bank"/>
  </r>
  <r>
    <d v="2025-03-06T00:00:00"/>
    <m/>
    <m/>
    <n v="50000"/>
    <x v="3"/>
    <n v="154505273"/>
    <s v="INFAQ DARI DEDEN TP PERDIANSYAH "/>
    <x v="2"/>
    <s v="Bank"/>
  </r>
  <r>
    <d v="2025-03-07T00:00:00"/>
    <m/>
    <m/>
    <n v="2000000"/>
    <x v="3"/>
    <n v="156505273"/>
    <s v="INFAQ DARI RIZKYHIDAYATSL"/>
    <x v="2"/>
    <s v="Bank"/>
  </r>
  <r>
    <d v="2025-03-07T00:00:00"/>
    <m/>
    <m/>
    <n v="50000"/>
    <x v="3"/>
    <n v="156555273"/>
    <s v="INFAQ QRIS"/>
    <x v="2"/>
    <s v="Bank"/>
  </r>
  <r>
    <d v="2025-03-07T00:00:00"/>
    <m/>
    <m/>
    <n v="50000"/>
    <x v="3"/>
    <n v="156605273"/>
    <s v="INFAQ QRIS"/>
    <x v="2"/>
    <s v="Bank"/>
  </r>
  <r>
    <d v="2025-03-07T00:00:00"/>
    <m/>
    <m/>
    <n v="50000"/>
    <x v="3"/>
    <n v="156655273"/>
    <s v="INFAQ QRIS"/>
    <x v="2"/>
    <s v="Bank"/>
  </r>
  <r>
    <d v="2025-03-07T00:00:00"/>
    <m/>
    <m/>
    <n v="100000"/>
    <x v="3"/>
    <n v="156755273"/>
    <s v="INFAQ QRIS"/>
    <x v="2"/>
    <s v="Bank"/>
  </r>
  <r>
    <d v="2025-03-07T00:00:00"/>
    <m/>
    <m/>
    <n v="100000"/>
    <x v="3"/>
    <n v="156855273"/>
    <s v="INFAQ QRIS"/>
    <x v="2"/>
    <s v="Bank"/>
  </r>
  <r>
    <d v="2025-03-07T00:00:00"/>
    <m/>
    <m/>
    <n v="100000"/>
    <x v="3"/>
    <n v="156955273"/>
    <s v="INFAQ QRIS"/>
    <x v="2"/>
    <s v="Bank"/>
  </r>
  <r>
    <d v="2025-03-07T00:00:00"/>
    <m/>
    <m/>
    <n v="10000"/>
    <x v="3"/>
    <n v="156965273"/>
    <s v="INFAQ QRIS"/>
    <x v="2"/>
    <s v="Bank"/>
  </r>
  <r>
    <d v="2025-03-07T00:00:00"/>
    <m/>
    <m/>
    <n v="50000"/>
    <x v="3"/>
    <n v="157015273"/>
    <s v="INFAQ QRIS"/>
    <x v="2"/>
    <s v="Bank"/>
  </r>
  <r>
    <d v="2025-03-07T00:00:00"/>
    <m/>
    <m/>
    <n v="10000"/>
    <x v="3"/>
    <n v="157025273"/>
    <s v="INFAQ QRIS"/>
    <x v="2"/>
    <s v="Bank"/>
  </r>
  <r>
    <d v="2025-03-07T00:00:00"/>
    <m/>
    <m/>
    <n v="100000"/>
    <x v="3"/>
    <n v="157125273"/>
    <s v="INFAQ QRIS"/>
    <x v="2"/>
    <s v="Bank"/>
  </r>
  <r>
    <d v="2025-03-07T00:00:00"/>
    <m/>
    <m/>
    <n v="99359"/>
    <x v="3"/>
    <n v="157224632"/>
    <s v="INFAQ QRIS"/>
    <x v="2"/>
    <s v="Bank"/>
  </r>
  <r>
    <d v="2025-03-07T00:00:00"/>
    <m/>
    <m/>
    <n v="25000"/>
    <x v="3"/>
    <n v="157249632"/>
    <s v="INFAQ QRIS"/>
    <x v="2"/>
    <s v="Bank"/>
  </r>
  <r>
    <d v="2025-03-07T00:00:00"/>
    <m/>
    <m/>
    <n v="20000"/>
    <x v="3"/>
    <n v="157269632"/>
    <s v="INFAQ QRIS"/>
    <x v="2"/>
    <s v="Bank"/>
  </r>
  <r>
    <d v="2025-03-07T00:00:00"/>
    <m/>
    <m/>
    <n v="4331"/>
    <x v="3"/>
    <n v="157273963"/>
    <s v="INFAQ QRIS"/>
    <x v="2"/>
    <s v="Bank"/>
  </r>
  <r>
    <d v="2025-03-07T00:00:00"/>
    <n v="2000000"/>
    <m/>
    <m/>
    <x v="3"/>
    <n v="155273963"/>
    <s v="PENGAJIAN IBU-IBU MAJ MARET"/>
    <x v="11"/>
    <s v="Bank"/>
  </r>
  <r>
    <d v="2025-03-07T00:00:00"/>
    <n v="2500"/>
    <m/>
    <m/>
    <x v="3"/>
    <n v="155271463"/>
    <s v="BIAYA ADM PENGAJIAN IBU-IBU MAJ MARET"/>
    <x v="11"/>
    <s v="Bank"/>
  </r>
  <r>
    <d v="2025-03-10T00:00:00"/>
    <n v="1350000"/>
    <m/>
    <m/>
    <x v="3"/>
    <n v="153921463"/>
    <s v="Pembelian Hadiah &amp; ATK Pesantren Kilat MAJ"/>
    <x v="1"/>
    <s v="Bank"/>
  </r>
  <r>
    <d v="2025-03-10T00:00:00"/>
    <m/>
    <m/>
    <n v="250000"/>
    <x v="3"/>
    <n v="154171463"/>
    <s v="Infaq QRIS"/>
    <x v="2"/>
    <s v="Bank"/>
  </r>
  <r>
    <d v="2025-03-10T00:00:00"/>
    <m/>
    <m/>
    <n v="50000"/>
    <x v="3"/>
    <n v="154221463"/>
    <s v="Infaq QRIS"/>
    <x v="2"/>
    <s v="Bank"/>
  </r>
  <r>
    <d v="2025-03-10T00:00:00"/>
    <m/>
    <m/>
    <n v="50000"/>
    <x v="3"/>
    <n v="154271463"/>
    <s v="Infaq QRIS"/>
    <x v="2"/>
    <s v="Bank"/>
  </r>
  <r>
    <d v="2025-03-10T00:00:00"/>
    <m/>
    <m/>
    <n v="50000"/>
    <x v="3"/>
    <n v="154321463"/>
    <s v="Infaq QRIS"/>
    <x v="2"/>
    <s v="Bank"/>
  </r>
  <r>
    <d v="2025-03-10T00:00:00"/>
    <m/>
    <m/>
    <n v="100000"/>
    <x v="3"/>
    <n v="154421463"/>
    <s v="Infaq QRIS"/>
    <x v="2"/>
    <s v="Bank"/>
  </r>
  <r>
    <d v="2025-03-10T00:00:00"/>
    <m/>
    <m/>
    <n v="25000"/>
    <x v="3"/>
    <n v="154446463"/>
    <s v="Infaq QRIS"/>
    <x v="2"/>
    <s v="Bank"/>
  </r>
  <r>
    <d v="2025-03-10T00:00:00"/>
    <m/>
    <m/>
    <n v="10000"/>
    <x v="3"/>
    <n v="154456463"/>
    <s v="Infaq QRIS"/>
    <x v="2"/>
    <s v="Bank"/>
  </r>
  <r>
    <d v="2025-03-10T00:00:00"/>
    <m/>
    <m/>
    <n v="50000"/>
    <x v="3"/>
    <n v="154506463"/>
    <s v="Infaq QRIS"/>
    <x v="2"/>
    <s v="Bank"/>
  </r>
  <r>
    <d v="2025-03-10T00:00:00"/>
    <m/>
    <m/>
    <n v="10000"/>
    <x v="3"/>
    <n v="154516463"/>
    <s v="Infaq QRIS"/>
    <x v="2"/>
    <s v="Bank"/>
  </r>
  <r>
    <d v="2025-03-10T00:00:00"/>
    <m/>
    <m/>
    <n v="20000"/>
    <x v="3"/>
    <n v="154536463"/>
    <s v="Infaq QRIS"/>
    <x v="2"/>
    <s v="Bank"/>
  </r>
  <r>
    <d v="2025-03-10T00:00:00"/>
    <m/>
    <m/>
    <n v="3000"/>
    <x v="3"/>
    <n v="154539463"/>
    <s v="Infaq QRIS"/>
    <x v="2"/>
    <s v="Bank"/>
  </r>
  <r>
    <d v="2025-03-10T00:00:00"/>
    <m/>
    <m/>
    <n v="916"/>
    <x v="3"/>
    <n v="154540379"/>
    <s v="Infaq QRIS"/>
    <x v="2"/>
    <s v="Bank"/>
  </r>
  <r>
    <d v="2025-03-10T00:00:00"/>
    <n v="750000"/>
    <m/>
    <m/>
    <x v="3"/>
    <n v="153790379"/>
    <s v="HONOR UST KHOERUL MAKTUM DKM MAJ HADIAH PESANTREN KILAT RAMADHAN"/>
    <x v="11"/>
    <s v="Bank"/>
  </r>
  <r>
    <d v="2025-03-10T00:00:00"/>
    <n v="2500"/>
    <m/>
    <m/>
    <x v="3"/>
    <n v="153787879"/>
    <s v="BIAYA ADM HONOR UST KHOERUL MAKTUM DKM MAJ HADIAH PESANTREN KILAT RAMADHAN"/>
    <x v="11"/>
    <s v="Bank"/>
  </r>
  <r>
    <d v="2025-03-10T00:00:00"/>
    <m/>
    <m/>
    <n v="400000"/>
    <x v="3"/>
    <n v="154187879"/>
    <s v="AGUNG PRAMONO Donasi acara kajian lesantren"/>
    <x v="2"/>
    <s v="Bank"/>
  </r>
  <r>
    <d v="2025-03-10T00:00:00"/>
    <m/>
    <m/>
    <n v="20000"/>
    <x v="3"/>
    <n v="154207879"/>
    <s v="Infaq QRIS"/>
    <x v="2"/>
    <s v="Bank"/>
  </r>
  <r>
    <d v="2025-03-10T00:00:00"/>
    <m/>
    <m/>
    <n v="25000"/>
    <x v="3"/>
    <n v="154232879"/>
    <s v="Infaq QRIS"/>
    <x v="2"/>
    <s v="Bank"/>
  </r>
  <r>
    <d v="2025-03-10T00:00:00"/>
    <m/>
    <m/>
    <n v="100000"/>
    <x v="3"/>
    <n v="154332879"/>
    <s v="Infaq QRIS"/>
    <x v="2"/>
    <s v="Bank"/>
  </r>
  <r>
    <d v="2025-03-10T00:00:00"/>
    <m/>
    <m/>
    <n v="50000"/>
    <x v="3"/>
    <n v="154382879"/>
    <s v="Infaq QRIS"/>
    <x v="2"/>
    <s v="Bank"/>
  </r>
  <r>
    <d v="2025-03-10T00:00:00"/>
    <m/>
    <m/>
    <n v="100000"/>
    <x v="3"/>
    <n v="154482879"/>
    <s v="Infaq QRIS"/>
    <x v="2"/>
    <s v="Bank"/>
  </r>
  <r>
    <d v="2025-03-10T00:00:00"/>
    <m/>
    <m/>
    <n v="25000"/>
    <x v="3"/>
    <n v="154507879"/>
    <s v="Infaq QRIS"/>
    <x v="2"/>
    <s v="Bank"/>
  </r>
  <r>
    <d v="2025-03-10T00:00:00"/>
    <m/>
    <m/>
    <n v="25000"/>
    <x v="3"/>
    <n v="154532879"/>
    <s v="Infaq QRIS"/>
    <x v="2"/>
    <s v="Bank"/>
  </r>
  <r>
    <d v="2025-03-10T00:00:00"/>
    <m/>
    <m/>
    <n v="50000"/>
    <x v="3"/>
    <n v="154582879"/>
    <s v="Infaq QRIS"/>
    <x v="2"/>
    <s v="Bank"/>
  </r>
  <r>
    <d v="2025-03-10T00:00:00"/>
    <m/>
    <m/>
    <n v="10000"/>
    <x v="3"/>
    <n v="154592879"/>
    <s v="Infaq QRIS"/>
    <x v="2"/>
    <s v="Bank"/>
  </r>
  <r>
    <d v="2025-03-10T00:00:00"/>
    <m/>
    <m/>
    <n v="100000"/>
    <x v="3"/>
    <n v="154692879"/>
    <s v="Infaq QRIS"/>
    <x v="2"/>
    <s v="Bank"/>
  </r>
  <r>
    <d v="2025-03-10T00:00:00"/>
    <m/>
    <m/>
    <n v="50000"/>
    <x v="3"/>
    <n v="154742879"/>
    <s v="Infaq QRIS"/>
    <x v="2"/>
    <s v="Bank"/>
  </r>
  <r>
    <d v="2025-03-10T00:00:00"/>
    <m/>
    <m/>
    <n v="100000"/>
    <x v="3"/>
    <n v="154842879"/>
    <s v="Infaq QRIS"/>
    <x v="2"/>
    <s v="Bank"/>
  </r>
  <r>
    <d v="2025-03-10T00:00:00"/>
    <m/>
    <m/>
    <n v="25000"/>
    <x v="3"/>
    <n v="154867879"/>
    <s v="Infaq QRIS"/>
    <x v="2"/>
    <s v="Bank"/>
  </r>
  <r>
    <d v="2025-03-10T00:00:00"/>
    <m/>
    <m/>
    <n v="200000"/>
    <x v="3"/>
    <n v="155067879"/>
    <s v="INFAQ MOHAMMADIANTORO PURNAWAN a.n HM HASAN MERBABU NO.3"/>
    <x v="2"/>
    <s v="Bank"/>
  </r>
  <r>
    <d v="2025-03-10T00:00:00"/>
    <m/>
    <m/>
    <n v="20000"/>
    <x v="3"/>
    <n v="155087879"/>
    <s v="Infaq QRIS"/>
    <x v="2"/>
    <s v="Bank"/>
  </r>
  <r>
    <d v="2025-03-10T00:00:00"/>
    <m/>
    <m/>
    <n v="100000"/>
    <x v="3"/>
    <n v="155187879"/>
    <s v="Infaq QRIS"/>
    <x v="2"/>
    <s v="Bank"/>
  </r>
  <r>
    <d v="2025-03-10T00:00:00"/>
    <m/>
    <m/>
    <n v="25000"/>
    <x v="3"/>
    <n v="155212879"/>
    <s v="Infaq QRIS"/>
    <x v="2"/>
    <s v="Bank"/>
  </r>
  <r>
    <d v="2025-03-10T00:00:00"/>
    <m/>
    <m/>
    <n v="25000"/>
    <x v="3"/>
    <n v="155237879"/>
    <s v="Infaq QRIS"/>
    <x v="2"/>
    <s v="Bank"/>
  </r>
  <r>
    <d v="2025-03-10T00:00:00"/>
    <m/>
    <m/>
    <n v="100000"/>
    <x v="3"/>
    <n v="155337879"/>
    <s v="Infaq QRIS"/>
    <x v="2"/>
    <s v="Bank"/>
  </r>
  <r>
    <d v="2025-03-10T00:00:00"/>
    <m/>
    <m/>
    <n v="10000"/>
    <x v="3"/>
    <n v="155347879"/>
    <s v="Infaq QRIS"/>
    <x v="2"/>
    <s v="Bank"/>
  </r>
  <r>
    <d v="2025-03-10T00:00:00"/>
    <m/>
    <m/>
    <n v="10000"/>
    <x v="3"/>
    <n v="155357879"/>
    <s v="Infaq QRIS"/>
    <x v="2"/>
    <s v="Bank"/>
  </r>
  <r>
    <d v="2025-03-10T00:00:00"/>
    <m/>
    <m/>
    <n v="7000"/>
    <x v="3"/>
    <n v="155364879"/>
    <s v="Infaq QRIS"/>
    <x v="2"/>
    <s v="Bank"/>
  </r>
  <r>
    <d v="2025-03-10T00:00:00"/>
    <m/>
    <m/>
    <n v="25000"/>
    <x v="3"/>
    <n v="155389879"/>
    <s v="Infaq QRIS"/>
    <x v="2"/>
    <s v="Bank"/>
  </r>
  <r>
    <d v="2025-03-10T00:00:00"/>
    <m/>
    <m/>
    <n v="20000"/>
    <x v="3"/>
    <n v="155409879"/>
    <s v="Infaq QRIS"/>
    <x v="2"/>
    <s v="Bank"/>
  </r>
  <r>
    <d v="2025-03-10T00:00:00"/>
    <m/>
    <m/>
    <n v="5597000"/>
    <x v="3"/>
    <n v="161006879"/>
    <s v="Akun Yatim &amp; Sosial"/>
    <x v="12"/>
    <s v="Bank"/>
  </r>
  <r>
    <d v="2025-03-10T00:00:00"/>
    <m/>
    <m/>
    <n v="5680000"/>
    <x v="3"/>
    <n v="166686879"/>
    <s v="Operasional (Infaq &amp; Sodaqoh)"/>
    <x v="2"/>
    <s v="Bank"/>
  </r>
  <r>
    <d v="2025-03-10T00:00:00"/>
    <m/>
    <m/>
    <n v="4558000"/>
    <x v="3"/>
    <n v="171244879"/>
    <s v="Infaq Taraweh"/>
    <x v="2"/>
    <s v="Bank"/>
  </r>
  <r>
    <d v="2025-03-10T00:00:00"/>
    <n v="5000"/>
    <m/>
    <m/>
    <x v="3"/>
    <n v="171239879"/>
    <s v="Selisih hitung setor bank"/>
    <x v="1"/>
    <s v="Bank"/>
  </r>
  <r>
    <m/>
    <m/>
    <n v="15830000"/>
    <m/>
    <x v="1"/>
    <n v="171239879"/>
    <s v="SETOR IMRON"/>
    <x v="4"/>
    <m/>
  </r>
  <r>
    <d v="2025-03-11T00:00:00"/>
    <m/>
    <m/>
    <n v="50000"/>
    <x v="3"/>
    <n v="171289879"/>
    <s v="Infaq QRIS"/>
    <x v="2"/>
    <s v="Bank"/>
  </r>
  <r>
    <d v="2025-03-11T00:00:00"/>
    <m/>
    <m/>
    <n v="100000"/>
    <x v="3"/>
    <n v="171389879"/>
    <s v="Infaq QRIS"/>
    <x v="2"/>
    <s v="Bank"/>
  </r>
  <r>
    <d v="2025-03-11T00:00:00"/>
    <m/>
    <m/>
    <n v="250000"/>
    <x v="3"/>
    <n v="171639879"/>
    <s v="Infaq QRIS"/>
    <x v="2"/>
    <s v="Bank"/>
  </r>
  <r>
    <d v="2025-03-11T00:00:00"/>
    <m/>
    <m/>
    <n v="50000"/>
    <x v="3"/>
    <n v="171689879"/>
    <s v="Infaq QRIS"/>
    <x v="2"/>
    <s v="Bank"/>
  </r>
  <r>
    <d v="2025-03-11T00:00:00"/>
    <m/>
    <m/>
    <n v="10000"/>
    <x v="3"/>
    <n v="171699879"/>
    <s v="Infaq QRIS"/>
    <x v="2"/>
    <s v="Bank"/>
  </r>
  <r>
    <d v="2025-03-11T00:00:00"/>
    <m/>
    <m/>
    <n v="25000"/>
    <x v="3"/>
    <n v="171724879"/>
    <s v="Infaq QRIS"/>
    <x v="2"/>
    <s v="Bank"/>
  </r>
  <r>
    <d v="2025-03-11T00:00:00"/>
    <m/>
    <m/>
    <n v="50000"/>
    <x v="3"/>
    <n v="171774879"/>
    <s v="Infaq QRIS"/>
    <x v="2"/>
    <s v="Bank"/>
  </r>
  <r>
    <d v="2025-03-11T00:00:00"/>
    <m/>
    <m/>
    <n v="20000"/>
    <x v="3"/>
    <n v="171794879"/>
    <s v="Infaq QRIS"/>
    <x v="2"/>
    <s v="Bank"/>
  </r>
  <r>
    <d v="2025-03-11T00:00:00"/>
    <m/>
    <m/>
    <n v="1010"/>
    <x v="3"/>
    <n v="171795889"/>
    <s v="Infaq QRIS"/>
    <x v="2"/>
    <s v="Bank"/>
  </r>
  <r>
    <d v="2025-03-11T00:00:00"/>
    <m/>
    <m/>
    <n v="5000"/>
    <x v="3"/>
    <n v="171800889"/>
    <s v="Infaq QRIS"/>
    <x v="2"/>
    <s v="Bank"/>
  </r>
  <r>
    <d v="2025-03-11T00:00:00"/>
    <m/>
    <m/>
    <n v="100000"/>
    <x v="3"/>
    <n v="171900889"/>
    <s v="INFAQ FENTYHERLIANA"/>
    <x v="2"/>
    <s v="Bank"/>
  </r>
  <r>
    <d v="2025-03-11T00:00:00"/>
    <m/>
    <m/>
    <n v="250000"/>
    <x v="3"/>
    <n v="172150889"/>
    <s v="INFAQ DARI SEPTEMBERIZAL"/>
    <x v="2"/>
    <s v="Bank"/>
  </r>
  <r>
    <d v="2025-03-12T00:00:00"/>
    <n v="3500000"/>
    <m/>
    <m/>
    <x v="3"/>
    <n v="168650889"/>
    <s v="PEMBELIAN LAPTOP SANTRI"/>
    <x v="1"/>
    <s v="Bank"/>
  </r>
  <r>
    <d v="2025-03-12T00:00:00"/>
    <n v="2500"/>
    <m/>
    <m/>
    <x v="3"/>
    <n v="168648389"/>
    <s v="BIAYA ADM PEMBELIAN LAPTOP SANTRI"/>
    <x v="1"/>
    <s v="Bank"/>
  </r>
  <r>
    <d v="2025-03-12T00:00:00"/>
    <m/>
    <m/>
    <n v="50000"/>
    <x v="3"/>
    <n v="168698389"/>
    <s v="INFAQ QRIS"/>
    <x v="2"/>
    <s v="Bank"/>
  </r>
  <r>
    <d v="2025-03-12T00:00:00"/>
    <m/>
    <m/>
    <n v="50000"/>
    <x v="3"/>
    <n v="168748389"/>
    <s v="INFAQ QRIS"/>
    <x v="2"/>
    <s v="Bank"/>
  </r>
  <r>
    <d v="2025-03-12T00:00:00"/>
    <m/>
    <m/>
    <n v="10000"/>
    <x v="3"/>
    <n v="168758389"/>
    <s v="INFAQ QRIS"/>
    <x v="2"/>
    <s v="Bank"/>
  </r>
  <r>
    <d v="2025-03-12T00:00:00"/>
    <m/>
    <m/>
    <n v="100000"/>
    <x v="3"/>
    <n v="168858389"/>
    <s v="INFAQ QRIS"/>
    <x v="2"/>
    <s v="Bank"/>
  </r>
  <r>
    <d v="2025-03-12T00:00:00"/>
    <m/>
    <m/>
    <n v="5000"/>
    <x v="3"/>
    <n v="168863389"/>
    <s v="INFAQ QRIS"/>
    <x v="2"/>
    <s v="Bank"/>
  </r>
  <r>
    <d v="2025-03-12T00:00:00"/>
    <m/>
    <m/>
    <n v="10000"/>
    <x v="3"/>
    <n v="168873389"/>
    <s v="INFAQ QRIS"/>
    <x v="2"/>
    <s v="Bank"/>
  </r>
  <r>
    <d v="2025-03-12T00:00:00"/>
    <m/>
    <m/>
    <n v="10000"/>
    <x v="3"/>
    <n v="168883389"/>
    <s v="INFAQ QRIS"/>
    <x v="2"/>
    <s v="Bank"/>
  </r>
  <r>
    <d v="2025-03-12T00:00:00"/>
    <m/>
    <m/>
    <n v="170000"/>
    <x v="3"/>
    <n v="169053389"/>
    <s v="INFAQ DARI AMRAN ANWAR"/>
    <x v="2"/>
    <s v="Bank"/>
  </r>
  <r>
    <d v="2025-03-13T00:00:00"/>
    <m/>
    <m/>
    <n v="100000"/>
    <x v="3"/>
    <n v="169153389"/>
    <s v="INFAQ QRIS"/>
    <x v="2"/>
    <s v="Bank"/>
  </r>
  <r>
    <d v="2025-03-13T00:00:00"/>
    <m/>
    <m/>
    <n v="10000"/>
    <x v="3"/>
    <n v="169163389"/>
    <s v="INFAQ QRIS"/>
    <x v="2"/>
    <s v="Bank"/>
  </r>
  <r>
    <d v="2025-03-13T00:00:00"/>
    <m/>
    <m/>
    <n v="50000"/>
    <x v="3"/>
    <n v="169213389"/>
    <s v="INFAQ QRIS"/>
    <x v="2"/>
    <s v="Bank"/>
  </r>
  <r>
    <d v="2025-03-13T00:00:00"/>
    <m/>
    <m/>
    <n v="100000"/>
    <x v="3"/>
    <n v="169313389"/>
    <s v="INFAQ QRIS"/>
    <x v="2"/>
    <s v="Bank"/>
  </r>
  <r>
    <d v="2025-03-13T00:00:00"/>
    <n v="1000000"/>
    <m/>
    <m/>
    <x v="3"/>
    <n v="168313389"/>
    <s v="CUCI KARPET LT.2 PAK MAHMUD"/>
    <x v="8"/>
    <s v="Bank"/>
  </r>
  <r>
    <d v="2025-03-13T00:00:00"/>
    <n v="2500"/>
    <m/>
    <m/>
    <x v="3"/>
    <n v="168310889"/>
    <s v="BIAYA DM CUCI KARPET LT.2 PAK MAHMUD"/>
    <x v="8"/>
    <s v="Bank"/>
  </r>
  <r>
    <d v="2025-03-14T00:00:00"/>
    <m/>
    <m/>
    <n v="100000"/>
    <x v="3"/>
    <n v="168410889"/>
    <s v="INFAQ QRIS"/>
    <x v="2"/>
    <s v="Bank"/>
  </r>
  <r>
    <d v="2025-03-14T00:00:00"/>
    <m/>
    <m/>
    <n v="200000"/>
    <x v="3"/>
    <n v="168610889"/>
    <s v="INFAQ QRIS"/>
    <x v="2"/>
    <s v="Bank"/>
  </r>
  <r>
    <d v="2025-03-14T00:00:00"/>
    <m/>
    <m/>
    <n v="50000"/>
    <x v="3"/>
    <n v="168660889"/>
    <s v="INFAQ QRIS"/>
    <x v="2"/>
    <s v="Bank"/>
  </r>
  <r>
    <d v="2025-03-14T00:00:00"/>
    <m/>
    <m/>
    <n v="50000"/>
    <x v="3"/>
    <n v="168710889"/>
    <s v="INFAQ QRIS"/>
    <x v="2"/>
    <s v="Bank"/>
  </r>
  <r>
    <d v="2025-03-14T00:00:00"/>
    <m/>
    <m/>
    <n v="25000"/>
    <x v="3"/>
    <n v="168735889"/>
    <s v="INFAQ QRIS"/>
    <x v="2"/>
    <s v="Bank"/>
  </r>
  <r>
    <d v="2025-03-14T00:00:00"/>
    <m/>
    <m/>
    <n v="50000"/>
    <x v="3"/>
    <n v="168785889"/>
    <s v="INFAQ QRIS"/>
    <x v="2"/>
    <s v="Bank"/>
  </r>
  <r>
    <d v="2025-03-14T00:00:00"/>
    <m/>
    <m/>
    <n v="100000"/>
    <x v="3"/>
    <n v="168885889"/>
    <s v="INFAQ QRIS"/>
    <x v="2"/>
    <s v="Bank"/>
  </r>
  <r>
    <d v="2025-03-14T00:00:00"/>
    <m/>
    <m/>
    <n v="10000"/>
    <x v="3"/>
    <n v="168895889"/>
    <s v="INFAQ QRIS"/>
    <x v="2"/>
    <s v="Bank"/>
  </r>
  <r>
    <d v="2025-03-14T00:00:00"/>
    <m/>
    <m/>
    <n v="300000"/>
    <x v="3"/>
    <n v="169195889"/>
    <s v="INFAQ DARI BENY PRIYATNA KUSUMA"/>
    <x v="2"/>
    <s v="Bank"/>
  </r>
  <r>
    <d v="2025-03-14T00:00:00"/>
    <n v="400000"/>
    <m/>
    <m/>
    <x v="3"/>
    <n v="168795889"/>
    <s v="Beli baju wisuda santri MAJ"/>
    <x v="14"/>
    <s v="Bank"/>
  </r>
  <r>
    <d v="2025-03-17T00:00:00"/>
    <m/>
    <m/>
    <n v="50000"/>
    <x v="3"/>
    <n v="168845889"/>
    <s v="INFAQ QRIS"/>
    <x v="2"/>
    <s v="Bank"/>
  </r>
  <r>
    <d v="2025-03-17T00:00:00"/>
    <m/>
    <m/>
    <n v="50000"/>
    <x v="3"/>
    <n v="168895889"/>
    <s v="INFAQ QRIS"/>
    <x v="2"/>
    <s v="Bank"/>
  </r>
  <r>
    <d v="2025-03-17T00:00:00"/>
    <m/>
    <m/>
    <n v="50000"/>
    <x v="3"/>
    <n v="168945889"/>
    <s v="INFAQ QRIS"/>
    <x v="2"/>
    <s v="Bank"/>
  </r>
  <r>
    <d v="2025-03-17T00:00:00"/>
    <m/>
    <m/>
    <n v="25000"/>
    <x v="3"/>
    <n v="168970889"/>
    <s v="INFAQ QRIS"/>
    <x v="2"/>
    <s v="Bank"/>
  </r>
  <r>
    <d v="2025-03-17T00:00:00"/>
    <m/>
    <m/>
    <n v="10000"/>
    <x v="3"/>
    <n v="168980889"/>
    <s v="INFAQ QRIS"/>
    <x v="2"/>
    <s v="Bank"/>
  </r>
  <r>
    <d v="2025-03-17T00:00:00"/>
    <m/>
    <m/>
    <n v="50000"/>
    <x v="3"/>
    <n v="169030889"/>
    <s v="INFAQ QRIS"/>
    <x v="2"/>
    <s v="Bank"/>
  </r>
  <r>
    <d v="2025-03-17T00:00:00"/>
    <m/>
    <m/>
    <n v="50000"/>
    <x v="3"/>
    <n v="169080889"/>
    <s v="INFAQ QRIS"/>
    <x v="2"/>
    <s v="Bank"/>
  </r>
  <r>
    <d v="2025-03-17T00:00:00"/>
    <m/>
    <m/>
    <n v="100000"/>
    <x v="3"/>
    <n v="169180889"/>
    <s v="INFAQ QRIS"/>
    <x v="2"/>
    <s v="Bank"/>
  </r>
  <r>
    <d v="2025-03-17T00:00:00"/>
    <m/>
    <m/>
    <n v="50000"/>
    <x v="3"/>
    <n v="169230889"/>
    <s v="INFAQ QRIS"/>
    <x v="2"/>
    <s v="Bank"/>
  </r>
  <r>
    <d v="2025-03-17T00:00:00"/>
    <m/>
    <m/>
    <n v="20000"/>
    <x v="3"/>
    <n v="169250889"/>
    <s v="INFAQ QRIS"/>
    <x v="2"/>
    <s v="Bank"/>
  </r>
  <r>
    <d v="2025-03-17T00:00:00"/>
    <m/>
    <m/>
    <n v="510"/>
    <x v="3"/>
    <n v="169251399"/>
    <s v="INFAQ QRIS"/>
    <x v="2"/>
    <s v="Bank"/>
  </r>
  <r>
    <d v="2025-03-17T00:00:00"/>
    <n v="3000000"/>
    <m/>
    <m/>
    <x v="3"/>
    <n v="166251399"/>
    <s v="PELUNASAN BUKA BERSAMA MAJ 1446H"/>
    <x v="17"/>
    <s v="Bank"/>
  </r>
  <r>
    <d v="2025-03-17T00:00:00"/>
    <n v="2500"/>
    <m/>
    <m/>
    <x v="3"/>
    <n v="166248899"/>
    <s v="BIAYA ADM PELUNASAN BUKA BERSAMA MAJ 1446H"/>
    <x v="17"/>
    <s v="Bank"/>
  </r>
  <r>
    <d v="2025-03-17T00:00:00"/>
    <m/>
    <m/>
    <n v="100000"/>
    <x v="3"/>
    <n v="166348899"/>
    <s v="INFAQ QRIS"/>
    <x v="2"/>
    <s v="Bank"/>
  </r>
  <r>
    <d v="2025-03-17T00:00:00"/>
    <m/>
    <m/>
    <n v="100000"/>
    <x v="3"/>
    <n v="166448899"/>
    <s v="INFAQ QRIS"/>
    <x v="2"/>
    <s v="Bank"/>
  </r>
  <r>
    <d v="2025-03-17T00:00:00"/>
    <m/>
    <m/>
    <n v="25000"/>
    <x v="3"/>
    <n v="166473899"/>
    <s v="INFAQ QRIS"/>
    <x v="2"/>
    <s v="Bank"/>
  </r>
  <r>
    <d v="2025-03-17T00:00:00"/>
    <m/>
    <m/>
    <n v="10000"/>
    <x v="3"/>
    <n v="166483899"/>
    <s v="INFAQ QRIS"/>
    <x v="2"/>
    <s v="Bank"/>
  </r>
  <r>
    <d v="2025-03-17T00:00:00"/>
    <m/>
    <m/>
    <n v="10000"/>
    <x v="3"/>
    <n v="166493899"/>
    <s v="INFAQ QRIS"/>
    <x v="2"/>
    <s v="Bank"/>
  </r>
  <r>
    <d v="2025-03-17T00:00:00"/>
    <m/>
    <m/>
    <n v="50000"/>
    <x v="3"/>
    <n v="166543899"/>
    <s v="INFAQ QRIS"/>
    <x v="2"/>
    <s v="Bank"/>
  </r>
  <r>
    <d v="2025-03-17T00:00:00"/>
    <m/>
    <m/>
    <n v="10000"/>
    <x v="3"/>
    <n v="166553899"/>
    <s v="INFAQ QRIS"/>
    <x v="2"/>
    <s v="Bank"/>
  </r>
  <r>
    <d v="2025-03-17T00:00:00"/>
    <m/>
    <m/>
    <n v="20000"/>
    <x v="3"/>
    <n v="166573899"/>
    <s v="INFAQ QRIS"/>
    <x v="2"/>
    <s v="Bank"/>
  </r>
  <r>
    <d v="2025-03-17T00:00:00"/>
    <m/>
    <m/>
    <n v="50000"/>
    <x v="3"/>
    <n v="166623899"/>
    <s v="INFAQ QRIS"/>
    <x v="2"/>
    <s v="Bank"/>
  </r>
  <r>
    <d v="2025-03-17T00:00:00"/>
    <m/>
    <m/>
    <n v="100000"/>
    <x v="3"/>
    <n v="166723899"/>
    <s v="INFAQ QRIS"/>
    <x v="2"/>
    <s v="Bank"/>
  </r>
  <r>
    <d v="2025-03-17T00:00:00"/>
    <m/>
    <m/>
    <n v="100000"/>
    <x v="3"/>
    <n v="166823899"/>
    <s v="INFAQ QRIS"/>
    <x v="2"/>
    <s v="Bank"/>
  </r>
  <r>
    <d v="2025-03-17T00:00:00"/>
    <m/>
    <m/>
    <n v="30000"/>
    <x v="3"/>
    <n v="166853899"/>
    <s v="INFAQ QRIS"/>
    <x v="2"/>
    <s v="Bank"/>
  </r>
  <r>
    <d v="2025-03-17T00:00:00"/>
    <m/>
    <m/>
    <n v="50000"/>
    <x v="3"/>
    <n v="166903899"/>
    <s v="INFAQ QRIS"/>
    <x v="2"/>
    <s v="Bank"/>
  </r>
  <r>
    <d v="2025-03-17T00:00:00"/>
    <m/>
    <m/>
    <n v="15000"/>
    <x v="3"/>
    <n v="166918899"/>
    <s v="INFAQ QRIS"/>
    <x v="2"/>
    <s v="Bank"/>
  </r>
  <r>
    <d v="2025-03-17T00:00:00"/>
    <m/>
    <m/>
    <n v="10000"/>
    <x v="3"/>
    <n v="166928899"/>
    <s v="INFAQ QRIS"/>
    <x v="2"/>
    <s v="Bank"/>
  </r>
  <r>
    <d v="2025-03-17T00:00:00"/>
    <m/>
    <m/>
    <n v="50000"/>
    <x v="3"/>
    <n v="166978899"/>
    <s v="INFAQ QRIS"/>
    <x v="2"/>
    <s v="Bank"/>
  </r>
  <r>
    <d v="2025-03-17T00:00:00"/>
    <m/>
    <m/>
    <n v="10000"/>
    <x v="3"/>
    <n v="166988899"/>
    <s v="INFAQ QRIS"/>
    <x v="2"/>
    <s v="Bank"/>
  </r>
  <r>
    <d v="2025-03-17T00:00:00"/>
    <m/>
    <m/>
    <n v="100000"/>
    <x v="3"/>
    <n v="167088899"/>
    <s v="INFAQ QRIS"/>
    <x v="2"/>
    <s v="Bank"/>
  </r>
  <r>
    <d v="2025-03-17T00:00:00"/>
    <m/>
    <m/>
    <n v="5000"/>
    <x v="3"/>
    <n v="167093899"/>
    <s v="INFAQ QRIS"/>
    <x v="2"/>
    <s v="Bank"/>
  </r>
  <r>
    <d v="2025-03-17T00:00:00"/>
    <m/>
    <m/>
    <n v="150000"/>
    <x v="3"/>
    <n v="167243899"/>
    <s v="INFAQ QRIS"/>
    <x v="2"/>
    <s v="Bank"/>
  </r>
  <r>
    <d v="2025-03-17T00:00:00"/>
    <m/>
    <m/>
    <n v="20000"/>
    <x v="3"/>
    <n v="167263899"/>
    <s v="INFAQ QRIS"/>
    <x v="2"/>
    <s v="Bank"/>
  </r>
  <r>
    <d v="2025-03-17T00:00:00"/>
    <n v="58150000"/>
    <m/>
    <m/>
    <x v="3"/>
    <n v="109113899"/>
    <s v="PENYALURAN DANA YATIM DAN WISUDA MAJ"/>
    <x v="15"/>
    <s v="Bank"/>
  </r>
  <r>
    <d v="2025-03-17T00:00:00"/>
    <n v="2500"/>
    <m/>
    <m/>
    <x v="3"/>
    <n v="109111399"/>
    <s v="BIAYA ADM PENYALURAN DANA YATIM DAN WISUDA MAJ"/>
    <x v="15"/>
    <s v="Bank"/>
  </r>
  <r>
    <d v="2025-03-17T00:00:00"/>
    <m/>
    <m/>
    <n v="4230000"/>
    <x v="3"/>
    <n v="113341399"/>
    <s v="Akun Yatim &amp; Sosial"/>
    <x v="12"/>
    <s v="Bank"/>
  </r>
  <r>
    <d v="2025-03-17T00:00:00"/>
    <m/>
    <m/>
    <n v="526000"/>
    <x v="3"/>
    <n v="113867399"/>
    <s v="Operasional (Infaq &amp; Sodaqoh)"/>
    <x v="2"/>
    <s v="Bank"/>
  </r>
  <r>
    <d v="2025-03-17T00:00:00"/>
    <m/>
    <m/>
    <n v="5578000"/>
    <x v="3"/>
    <n v="119445399"/>
    <s v="Infaq Taraweh"/>
    <x v="2"/>
    <s v="Bank"/>
  </r>
  <r>
    <d v="2025-03-17T00:00:00"/>
    <m/>
    <m/>
    <n v="1000"/>
    <x v="3"/>
    <n v="119446399"/>
    <s v="Selisih hitung setor bank"/>
    <x v="2"/>
    <s v="Bank"/>
  </r>
  <r>
    <m/>
    <m/>
    <n v="10335000"/>
    <m/>
    <x v="1"/>
    <n v="119446399"/>
    <s v="SETOR IMRON"/>
    <x v="4"/>
    <m/>
  </r>
  <r>
    <d v="2025-03-18T00:00:00"/>
    <n v="2800000"/>
    <m/>
    <m/>
    <x v="3"/>
    <n v="116646399"/>
    <s v="BELI BAJU LEBARAN SANTRI MAJ 1446H"/>
    <x v="14"/>
    <s v="Bank"/>
  </r>
  <r>
    <d v="2025-03-18T00:00:00"/>
    <n v="2500"/>
    <m/>
    <m/>
    <x v="3"/>
    <n v="116643899"/>
    <s v="BIAYA ADM BELI BAJU LEBARAN SANTRI MAJ 1446H"/>
    <x v="14"/>
    <s v="Bank"/>
  </r>
  <r>
    <d v="2025-03-18T00:00:00"/>
    <m/>
    <m/>
    <n v="50000"/>
    <x v="3"/>
    <n v="116693899"/>
    <s v="INFAQ QRIS"/>
    <x v="2"/>
    <s v="Bank"/>
  </r>
  <r>
    <d v="2025-03-18T00:00:00"/>
    <m/>
    <m/>
    <n v="50000"/>
    <x v="3"/>
    <n v="116743899"/>
    <s v="INFAQ QRIS"/>
    <x v="2"/>
    <s v="Bank"/>
  </r>
  <r>
    <d v="2025-03-18T00:00:00"/>
    <m/>
    <m/>
    <n v="100000"/>
    <x v="3"/>
    <n v="116843899"/>
    <s v="INFAQ QRIS"/>
    <x v="2"/>
    <s v="Bank"/>
  </r>
  <r>
    <d v="2025-03-18T00:00:00"/>
    <m/>
    <m/>
    <n v="50000"/>
    <x v="3"/>
    <n v="116893899"/>
    <s v="INFAQ QRIS"/>
    <x v="2"/>
    <s v="Bank"/>
  </r>
  <r>
    <d v="2025-03-18T00:00:00"/>
    <m/>
    <m/>
    <n v="10000"/>
    <x v="3"/>
    <n v="116903899"/>
    <s v="INFAQ QRIS"/>
    <x v="2"/>
    <s v="Bank"/>
  </r>
  <r>
    <d v="2025-03-18T00:00:00"/>
    <m/>
    <m/>
    <n v="50000"/>
    <x v="3"/>
    <n v="116953899"/>
    <s v="INFAQ QRIS"/>
    <x v="2"/>
    <s v="Bank"/>
  </r>
  <r>
    <d v="2025-03-18T00:00:00"/>
    <m/>
    <m/>
    <n v="10000"/>
    <x v="3"/>
    <n v="116963899"/>
    <s v="INFAQ QRIS"/>
    <x v="2"/>
    <s v="Bank"/>
  </r>
  <r>
    <d v="2025-03-18T00:00:00"/>
    <m/>
    <m/>
    <n v="100000"/>
    <x v="3"/>
    <n v="117063899"/>
    <s v="INFAQ QRIS"/>
    <x v="2"/>
    <s v="Bank"/>
  </r>
  <r>
    <d v="2025-03-18T00:00:00"/>
    <m/>
    <m/>
    <n v="20000"/>
    <x v="3"/>
    <n v="117083899"/>
    <s v="INFAQ QRIS"/>
    <x v="2"/>
    <s v="Bank"/>
  </r>
  <r>
    <d v="2025-03-19T00:00:00"/>
    <m/>
    <m/>
    <n v="50000"/>
    <x v="3"/>
    <n v="117133899"/>
    <s v="INFAQ QRIS"/>
    <x v="2"/>
    <s v="Bank"/>
  </r>
  <r>
    <d v="2025-03-19T00:00:00"/>
    <m/>
    <m/>
    <n v="25000"/>
    <x v="3"/>
    <n v="117158899"/>
    <s v="INFAQ QRIS"/>
    <x v="2"/>
    <s v="Bank"/>
  </r>
  <r>
    <d v="2025-03-19T00:00:00"/>
    <m/>
    <m/>
    <n v="25000"/>
    <x v="3"/>
    <n v="117183899"/>
    <s v="INFAQ QRIS"/>
    <x v="2"/>
    <s v="Bank"/>
  </r>
  <r>
    <d v="2025-03-19T00:00:00"/>
    <m/>
    <m/>
    <n v="100000"/>
    <x v="3"/>
    <n v="117283899"/>
    <s v="INFAQ QRIS"/>
    <x v="2"/>
    <s v="Bank"/>
  </r>
  <r>
    <d v="2025-03-19T00:00:00"/>
    <m/>
    <m/>
    <n v="50000"/>
    <x v="3"/>
    <n v="117333899"/>
    <s v="INFAQ QRIS"/>
    <x v="2"/>
    <s v="Bank"/>
  </r>
  <r>
    <d v="2025-03-19T00:00:00"/>
    <m/>
    <m/>
    <n v="25000"/>
    <x v="3"/>
    <n v="117358899"/>
    <s v="INFAQ QRIS"/>
    <x v="2"/>
    <s v="Bank"/>
  </r>
  <r>
    <d v="2025-03-19T00:00:00"/>
    <m/>
    <m/>
    <n v="50000"/>
    <x v="3"/>
    <n v="117408899"/>
    <s v="INFAQ QRIS"/>
    <x v="2"/>
    <s v="Bank"/>
  </r>
  <r>
    <d v="2025-03-19T00:00:00"/>
    <m/>
    <m/>
    <n v="10000"/>
    <x v="3"/>
    <n v="117418899"/>
    <s v="INFAQ QRIS"/>
    <x v="2"/>
    <s v="Bank"/>
  </r>
  <r>
    <d v="2025-03-19T00:00:00"/>
    <m/>
    <m/>
    <n v="10000"/>
    <x v="3"/>
    <n v="117428899"/>
    <s v="INFAQ QRIS"/>
    <x v="2"/>
    <s v="Bank"/>
  </r>
  <r>
    <d v="2025-03-19T00:00:00"/>
    <m/>
    <m/>
    <n v="100000"/>
    <x v="3"/>
    <n v="117528899"/>
    <s v="INFAQ QRIS"/>
    <x v="2"/>
    <s v="Bank"/>
  </r>
  <r>
    <d v="2025-03-19T00:00:00"/>
    <m/>
    <m/>
    <n v="50000"/>
    <x v="3"/>
    <n v="117578899"/>
    <s v="INFAQ QRIS"/>
    <x v="2"/>
    <s v="Bank"/>
  </r>
  <r>
    <d v="2025-03-19T00:00:00"/>
    <m/>
    <m/>
    <n v="10000"/>
    <x v="3"/>
    <n v="117588899"/>
    <s v="INFAQ QRIS"/>
    <x v="2"/>
    <s v="Bank"/>
  </r>
  <r>
    <d v="2025-03-19T00:00:00"/>
    <m/>
    <m/>
    <n v="5000"/>
    <x v="3"/>
    <n v="117593899"/>
    <s v="INFAQ QRIS"/>
    <x v="2"/>
    <s v="Bank"/>
  </r>
  <r>
    <d v="2025-03-19T00:00:00"/>
    <m/>
    <m/>
    <n v="50000"/>
    <x v="3"/>
    <n v="117643899"/>
    <s v="INFAQ QRIS"/>
    <x v="2"/>
    <s v="Bank"/>
  </r>
  <r>
    <d v="2025-03-19T00:00:00"/>
    <m/>
    <m/>
    <n v="900000"/>
    <x v="3"/>
    <n v="118543899"/>
    <s v="Infaq an wahyu romadhoni"/>
    <x v="2"/>
    <s v="Bank"/>
  </r>
  <r>
    <d v="2025-03-20T00:00:00"/>
    <m/>
    <m/>
    <n v="50000"/>
    <x v="3"/>
    <n v="118593899"/>
    <s v="INFAQ QRIS"/>
    <x v="2"/>
    <s v="Bank"/>
  </r>
  <r>
    <d v="2025-03-20T00:00:00"/>
    <m/>
    <m/>
    <n v="100000"/>
    <x v="3"/>
    <n v="118693899"/>
    <s v="INFAQ QRIS"/>
    <x v="2"/>
    <s v="Bank"/>
  </r>
  <r>
    <d v="2025-03-20T00:00:00"/>
    <m/>
    <m/>
    <n v="25000"/>
    <x v="3"/>
    <n v="118718899"/>
    <s v="INFAQ QRIS"/>
    <x v="2"/>
    <s v="Bank"/>
  </r>
  <r>
    <d v="2025-03-20T00:00:00"/>
    <m/>
    <m/>
    <n v="50000"/>
    <x v="3"/>
    <n v="118768899"/>
    <s v="INFAQ QRIS"/>
    <x v="2"/>
    <s v="Bank"/>
  </r>
  <r>
    <d v="2025-03-20T00:00:00"/>
    <m/>
    <m/>
    <n v="50000"/>
    <x v="3"/>
    <n v="118818899"/>
    <s v="INFAQ QRIS"/>
    <x v="2"/>
    <s v="Bank"/>
  </r>
  <r>
    <d v="2025-03-20T00:00:00"/>
    <m/>
    <m/>
    <n v="10000"/>
    <x v="3"/>
    <n v="118828899"/>
    <s v="INFAQ QRIS"/>
    <x v="2"/>
    <s v="Bank"/>
  </r>
  <r>
    <d v="2025-03-20T00:00:00"/>
    <m/>
    <m/>
    <n v="50000"/>
    <x v="3"/>
    <n v="118878899"/>
    <s v="INFAQ QRIS"/>
    <x v="2"/>
    <s v="Bank"/>
  </r>
  <r>
    <d v="2025-03-20T00:00:00"/>
    <m/>
    <m/>
    <n v="10000"/>
    <x v="3"/>
    <n v="118888899"/>
    <s v="INFAQ QRIS"/>
    <x v="2"/>
    <s v="Bank"/>
  </r>
  <r>
    <d v="2025-03-20T00:00:00"/>
    <m/>
    <m/>
    <n v="100000"/>
    <x v="3"/>
    <n v="118988899"/>
    <s v="INFAQ QRIS"/>
    <x v="2"/>
    <s v="Bank"/>
  </r>
  <r>
    <d v="2025-03-20T00:00:00"/>
    <m/>
    <m/>
    <n v="50000"/>
    <x v="3"/>
    <n v="119038899"/>
    <s v="INFAQ QRIS"/>
    <x v="2"/>
    <s v="Bank"/>
  </r>
  <r>
    <d v="2025-03-20T00:00:00"/>
    <m/>
    <m/>
    <n v="4250000"/>
    <x v="3"/>
    <n v="123288899"/>
    <s v="Infaq Collection Imron"/>
    <x v="2"/>
    <s v="Bank"/>
  </r>
  <r>
    <d v="2025-03-20T00:00:00"/>
    <n v="425000"/>
    <m/>
    <m/>
    <x v="3"/>
    <n v="122863899"/>
    <s v="Collection FEE Imron"/>
    <x v="18"/>
    <s v="Bank"/>
  </r>
  <r>
    <d v="2025-03-20T00:00:00"/>
    <n v="2006000"/>
    <m/>
    <m/>
    <x v="3"/>
    <n v="120857899"/>
    <s v="Voucher Listrik"/>
    <x v="7"/>
    <s v="Bank"/>
  </r>
  <r>
    <m/>
    <m/>
    <n v="1819000"/>
    <m/>
    <x v="3"/>
    <n v="120857899"/>
    <s v="SETOR IMRON ROSADI"/>
    <x v="4"/>
    <m/>
  </r>
  <r>
    <d v="2025-03-20T00:00:00"/>
    <m/>
    <m/>
    <n v="25000"/>
    <x v="3"/>
    <n v="120882899"/>
    <s v="INFAQ FADEL MUHAMMAD IKHWAN"/>
    <x v="2"/>
    <s v="Bank"/>
  </r>
  <r>
    <d v="2025-03-21T00:00:00"/>
    <m/>
    <m/>
    <n v="50000"/>
    <x v="3"/>
    <n v="120932899"/>
    <s v="INFAQ QRIS"/>
    <x v="2"/>
    <s v="Bank"/>
  </r>
  <r>
    <d v="2025-03-21T00:00:00"/>
    <m/>
    <m/>
    <n v="200000"/>
    <x v="3"/>
    <n v="121132899"/>
    <s v="INFAQ QRIS"/>
    <x v="2"/>
    <s v="Bank"/>
  </r>
  <r>
    <d v="2025-03-21T00:00:00"/>
    <m/>
    <m/>
    <n v="25000"/>
    <x v="3"/>
    <n v="121157899"/>
    <s v="INFAQ QRIS"/>
    <x v="2"/>
    <s v="Bank"/>
  </r>
  <r>
    <d v="2025-03-21T00:00:00"/>
    <m/>
    <m/>
    <n v="100000"/>
    <x v="3"/>
    <n v="121257899"/>
    <s v="INFAQ QRIS"/>
    <x v="2"/>
    <s v="Bank"/>
  </r>
  <r>
    <d v="2025-03-21T00:00:00"/>
    <m/>
    <m/>
    <n v="100000"/>
    <x v="3"/>
    <n v="121357899"/>
    <s v="INFAQ QRIS"/>
    <x v="2"/>
    <s v="Bank"/>
  </r>
  <r>
    <d v="2025-03-21T00:00:00"/>
    <m/>
    <m/>
    <n v="10000"/>
    <x v="3"/>
    <n v="121367899"/>
    <s v="INFAQ QRIS"/>
    <x v="2"/>
    <s v="Bank"/>
  </r>
  <r>
    <d v="2025-03-21T00:00:00"/>
    <m/>
    <m/>
    <n v="25000"/>
    <x v="3"/>
    <n v="121392899"/>
    <s v="INFAQ QRIS"/>
    <x v="2"/>
    <s v="Bank"/>
  </r>
  <r>
    <d v="2025-03-21T00:00:00"/>
    <m/>
    <m/>
    <n v="50000"/>
    <x v="3"/>
    <n v="121442899"/>
    <s v="INFAQ QRIS"/>
    <x v="2"/>
    <s v="Bank"/>
  </r>
  <r>
    <d v="2025-03-21T00:00:00"/>
    <m/>
    <m/>
    <n v="10000"/>
    <x v="3"/>
    <n v="121452899"/>
    <s v="INFAQ QRIS"/>
    <x v="2"/>
    <s v="Bank"/>
  </r>
  <r>
    <d v="2025-03-21T00:00:00"/>
    <m/>
    <m/>
    <n v="100000"/>
    <x v="3"/>
    <n v="121552899"/>
    <s v="INFAQ QRIS"/>
    <x v="2"/>
    <s v="Bank"/>
  </r>
  <r>
    <d v="2025-03-21T00:00:00"/>
    <m/>
    <m/>
    <n v="10000"/>
    <x v="3"/>
    <n v="121562899"/>
    <s v="INFAQ QRIS"/>
    <x v="2"/>
    <s v="Bank"/>
  </r>
  <r>
    <d v="2025-03-21T00:00:00"/>
    <m/>
    <m/>
    <n v="1000000"/>
    <x v="3"/>
    <n v="122562899"/>
    <s v="INFAQ DARI ANGGONO IRIAWAN"/>
    <x v="2"/>
    <s v="Bank"/>
  </r>
  <r>
    <d v="2025-03-21T00:00:00"/>
    <n v="7000"/>
    <m/>
    <m/>
    <x v="3"/>
    <n v="122555899"/>
    <s v="BIAYA PAYROLL "/>
    <x v="1"/>
    <s v="Bank"/>
  </r>
  <r>
    <d v="2025-03-21T00:00:00"/>
    <m/>
    <m/>
    <n v="100000"/>
    <x v="3"/>
    <n v="122655899"/>
    <s v="INFAQ SURJATI SUTARJA"/>
    <x v="2"/>
    <s v="Bank"/>
  </r>
  <r>
    <d v="2025-03-24T00:00:00"/>
    <m/>
    <m/>
    <n v="50000"/>
    <x v="3"/>
    <n v="122705899"/>
    <s v="INFAQ QRIS"/>
    <x v="2"/>
    <s v="Bank"/>
  </r>
  <r>
    <d v="2025-03-24T00:00:00"/>
    <m/>
    <m/>
    <n v="100000"/>
    <x v="3"/>
    <n v="122805899"/>
    <s v="INFAQ QRIS"/>
    <x v="2"/>
    <s v="Bank"/>
  </r>
  <r>
    <d v="2025-03-24T00:00:00"/>
    <m/>
    <m/>
    <n v="25000"/>
    <x v="3"/>
    <n v="122830899"/>
    <s v="INFAQ QRIS"/>
    <x v="2"/>
    <s v="Bank"/>
  </r>
  <r>
    <d v="2025-03-24T00:00:00"/>
    <m/>
    <m/>
    <n v="100000"/>
    <x v="3"/>
    <n v="122930899"/>
    <s v="INFAQ QRIS"/>
    <x v="2"/>
    <s v="Bank"/>
  </r>
  <r>
    <d v="2025-03-24T00:00:00"/>
    <m/>
    <m/>
    <n v="1000010"/>
    <x v="3"/>
    <n v="123930909"/>
    <s v="ZAKAT MAL ELLIYAS"/>
    <x v="16"/>
    <s v="Bank"/>
  </r>
  <r>
    <d v="2025-03-24T00:00:00"/>
    <m/>
    <m/>
    <n v="25000"/>
    <x v="3"/>
    <n v="123955909"/>
    <s v="INFAQ QRIS"/>
    <x v="2"/>
    <s v="Bank"/>
  </r>
  <r>
    <d v="2025-03-24T00:00:00"/>
    <m/>
    <m/>
    <n v="10000"/>
    <x v="3"/>
    <n v="123965909"/>
    <s v="INFAQ QRIS"/>
    <x v="2"/>
    <s v="Bank"/>
  </r>
  <r>
    <d v="2025-03-24T00:00:00"/>
    <m/>
    <m/>
    <n v="50000"/>
    <x v="3"/>
    <n v="124015909"/>
    <s v="INFAQ QRIS"/>
    <x v="2"/>
    <s v="Bank"/>
  </r>
  <r>
    <d v="2025-03-24T00:00:00"/>
    <m/>
    <m/>
    <n v="10000"/>
    <x v="3"/>
    <n v="124025909"/>
    <s v="INFAQ QRIS"/>
    <x v="2"/>
    <s v="Bank"/>
  </r>
  <r>
    <d v="2025-03-24T00:00:00"/>
    <m/>
    <m/>
    <n v="100000"/>
    <x v="3"/>
    <n v="124125909"/>
    <s v="INFAQ QRIS"/>
    <x v="2"/>
    <s v="Bank"/>
  </r>
  <r>
    <d v="2025-03-24T00:00:00"/>
    <m/>
    <m/>
    <n v="20000"/>
    <x v="3"/>
    <n v="124145909"/>
    <s v="INFAQ QRIS"/>
    <x v="2"/>
    <s v="Bank"/>
  </r>
  <r>
    <d v="2025-03-24T00:00:00"/>
    <m/>
    <m/>
    <n v="48000"/>
    <x v="3"/>
    <n v="124193909"/>
    <s v="INFAQ QRIS"/>
    <x v="2"/>
    <s v="Bank"/>
  </r>
  <r>
    <d v="2025-03-24T00:00:00"/>
    <m/>
    <m/>
    <n v="100000"/>
    <x v="3"/>
    <n v="124293909"/>
    <s v="INFAQ QRIS"/>
    <x v="2"/>
    <s v="Bank"/>
  </r>
  <r>
    <d v="2025-03-24T00:00:00"/>
    <m/>
    <m/>
    <n v="300000"/>
    <x v="3"/>
    <n v="124593909"/>
    <s v="INFAQ QRIS"/>
    <x v="2"/>
    <s v="Bank"/>
  </r>
  <r>
    <d v="2025-03-24T00:00:00"/>
    <m/>
    <m/>
    <n v="20000"/>
    <x v="3"/>
    <n v="124613909"/>
    <s v="INFAQ QRIS"/>
    <x v="2"/>
    <s v="Bank"/>
  </r>
  <r>
    <d v="2025-03-24T00:00:00"/>
    <m/>
    <m/>
    <n v="1474"/>
    <x v="3"/>
    <n v="124615383"/>
    <s v="INFAQ QRIS"/>
    <x v="2"/>
    <s v="Bank"/>
  </r>
  <r>
    <d v="2025-03-24T00:00:00"/>
    <m/>
    <m/>
    <n v="5000"/>
    <x v="3"/>
    <n v="124620383"/>
    <s v="INFAQ QRIS"/>
    <x v="2"/>
    <s v="Bank"/>
  </r>
  <r>
    <d v="2025-03-24T00:00:00"/>
    <m/>
    <m/>
    <n v="20000"/>
    <x v="3"/>
    <n v="124640383"/>
    <s v="INFAQ QRIS"/>
    <x v="2"/>
    <s v="Bank"/>
  </r>
  <r>
    <d v="2025-03-24T00:00:00"/>
    <m/>
    <m/>
    <n v="2000000"/>
    <x v="3"/>
    <n v="126640383"/>
    <s v="INFAQ RIZKYHIDAYATSL"/>
    <x v="2"/>
    <s v="Bank"/>
  </r>
  <r>
    <d v="2025-03-24T00:00:00"/>
    <m/>
    <m/>
    <n v="1500000"/>
    <x v="3"/>
    <n v="128140383"/>
    <s v="ZAKAT MAL Budi Tursilo"/>
    <x v="16"/>
    <s v="Bank"/>
  </r>
  <r>
    <d v="2025-03-24T00:00:00"/>
    <m/>
    <m/>
    <n v="25000"/>
    <x v="3"/>
    <n v="128165383"/>
    <s v="INFAQ FADEL MUHAMMAD IKHWAN"/>
    <x v="2"/>
    <s v="Bank"/>
  </r>
  <r>
    <d v="2025-03-24T00:00:00"/>
    <m/>
    <m/>
    <n v="50000"/>
    <x v="3"/>
    <n v="128215383"/>
    <s v="INFAQ QRIS"/>
    <x v="2"/>
    <s v="Bank"/>
  </r>
  <r>
    <d v="2025-03-24T00:00:00"/>
    <m/>
    <m/>
    <n v="100000"/>
    <x v="3"/>
    <n v="128315383"/>
    <s v="INFAQ QRIS"/>
    <x v="2"/>
    <s v="Bank"/>
  </r>
  <r>
    <d v="2025-03-24T00:00:00"/>
    <m/>
    <m/>
    <n v="100000"/>
    <x v="3"/>
    <n v="128415383"/>
    <s v="INFAQ QRIS"/>
    <x v="2"/>
    <s v="Bank"/>
  </r>
  <r>
    <d v="2025-03-24T00:00:00"/>
    <m/>
    <m/>
    <n v="100000"/>
    <x v="3"/>
    <n v="128515383"/>
    <s v="INFAQ QRIS"/>
    <x v="2"/>
    <s v="Bank"/>
  </r>
  <r>
    <d v="2025-03-24T00:00:00"/>
    <m/>
    <m/>
    <n v="10000"/>
    <x v="3"/>
    <n v="128525383"/>
    <s v="INFAQ QRIS"/>
    <x v="2"/>
    <s v="Bank"/>
  </r>
  <r>
    <d v="2025-03-24T00:00:00"/>
    <m/>
    <m/>
    <n v="10000"/>
    <x v="3"/>
    <n v="128535383"/>
    <s v="INFAQ QRIS"/>
    <x v="2"/>
    <s v="Bank"/>
  </r>
  <r>
    <d v="2025-03-24T00:00:00"/>
    <m/>
    <m/>
    <n v="10000"/>
    <x v="3"/>
    <n v="128545383"/>
    <s v="INFAQ QRIS"/>
    <x v="2"/>
    <s v="Bank"/>
  </r>
  <r>
    <d v="2025-03-24T00:00:00"/>
    <m/>
    <m/>
    <n v="25000"/>
    <x v="3"/>
    <n v="128570383"/>
    <s v="INFAQ QRIS"/>
    <x v="2"/>
    <s v="Bank"/>
  </r>
  <r>
    <d v="2025-03-24T00:00:00"/>
    <m/>
    <m/>
    <n v="100000"/>
    <x v="3"/>
    <n v="128670383"/>
    <s v="INFAQ QRIS"/>
    <x v="2"/>
    <s v="Bank"/>
  </r>
  <r>
    <d v="2025-03-24T00:00:00"/>
    <m/>
    <m/>
    <n v="25000"/>
    <x v="3"/>
    <n v="128695383"/>
    <s v="INFAQ QRIS"/>
    <x v="2"/>
    <s v="Bank"/>
  </r>
  <r>
    <d v="2025-03-24T00:00:00"/>
    <m/>
    <m/>
    <n v="50000"/>
    <x v="3"/>
    <n v="128745383"/>
    <s v="INFAQ QRIS"/>
    <x v="2"/>
    <s v="Bank"/>
  </r>
  <r>
    <d v="2025-03-24T00:00:00"/>
    <m/>
    <m/>
    <n v="20000"/>
    <x v="3"/>
    <n v="128765383"/>
    <s v="INFAQ QRIS"/>
    <x v="2"/>
    <s v="Bank"/>
  </r>
  <r>
    <d v="2025-03-24T00:00:00"/>
    <m/>
    <m/>
    <n v="1000000"/>
    <x v="3"/>
    <n v="129765383"/>
    <s v="INFAQ DARI DION"/>
    <x v="2"/>
    <s v="Bank"/>
  </r>
  <r>
    <d v="2025-03-24T00:00:00"/>
    <m/>
    <m/>
    <n v="4000000"/>
    <x v="3"/>
    <n v="133765383"/>
    <s v="ZAKAT MAL DARI DION"/>
    <x v="16"/>
    <s v="Bank"/>
  </r>
  <r>
    <d v="2025-03-24T00:00:00"/>
    <m/>
    <m/>
    <n v="300000"/>
    <x v="3"/>
    <n v="134065383"/>
    <s v="INFAQ Bp. Injon"/>
    <x v="2"/>
    <s v="Bank"/>
  </r>
  <r>
    <d v="2025-03-24T00:00:00"/>
    <m/>
    <m/>
    <n v="5000000"/>
    <x v="3"/>
    <n v="139065383"/>
    <s v="ZAKAT MAL DHIDIK TRI WIBOWO"/>
    <x v="16"/>
    <s v="Bank"/>
  </r>
  <r>
    <d v="2025-03-24T00:00:00"/>
    <m/>
    <m/>
    <n v="20000"/>
    <x v="3"/>
    <n v="139085383"/>
    <s v="INFAQ QRIS"/>
    <x v="2"/>
    <s v="Bank"/>
  </r>
  <r>
    <d v="2025-03-24T00:00:00"/>
    <m/>
    <m/>
    <n v="50000"/>
    <x v="3"/>
    <n v="139135383"/>
    <s v="INFAQ QRIS"/>
    <x v="2"/>
    <s v="Bank"/>
  </r>
  <r>
    <d v="2025-03-24T00:00:00"/>
    <m/>
    <m/>
    <n v="25000"/>
    <x v="3"/>
    <n v="139160383"/>
    <s v="INFAQ QRIS"/>
    <x v="2"/>
    <s v="Bank"/>
  </r>
  <r>
    <d v="2025-03-24T00:00:00"/>
    <m/>
    <m/>
    <n v="100000"/>
    <x v="3"/>
    <n v="139260383"/>
    <s v="INFAQ QRIS"/>
    <x v="2"/>
    <s v="Bank"/>
  </r>
  <r>
    <d v="2025-03-24T00:00:00"/>
    <m/>
    <m/>
    <n v="5000"/>
    <x v="3"/>
    <n v="139265383"/>
    <s v="INFAQ QRIS"/>
    <x v="2"/>
    <s v="Bank"/>
  </r>
  <r>
    <d v="2025-03-24T00:00:00"/>
    <m/>
    <m/>
    <n v="1000000"/>
    <x v="3"/>
    <n v="140265383"/>
    <s v="INFAQ DARI WAHYU ROMADHONI"/>
    <x v="2"/>
    <s v="Bank"/>
  </r>
  <r>
    <d v="2025-03-24T00:00:00"/>
    <m/>
    <m/>
    <n v="100000"/>
    <x v="3"/>
    <n v="140365383"/>
    <s v="INFAQ QRIS"/>
    <x v="2"/>
    <s v="Bank"/>
  </r>
  <r>
    <d v="2025-03-24T00:00:00"/>
    <m/>
    <m/>
    <n v="9000"/>
    <x v="3"/>
    <n v="140374383"/>
    <s v="INFAQ QRIS"/>
    <x v="2"/>
    <s v="Bank"/>
  </r>
  <r>
    <d v="2025-03-24T00:00:00"/>
    <m/>
    <m/>
    <n v="10000"/>
    <x v="3"/>
    <n v="140384383"/>
    <s v="INFAQ QRIS"/>
    <x v="2"/>
    <s v="Bank"/>
  </r>
  <r>
    <d v="2025-03-24T00:00:00"/>
    <m/>
    <m/>
    <n v="50000"/>
    <x v="3"/>
    <n v="140434383"/>
    <s v="INFAQ QRIS"/>
    <x v="2"/>
    <s v="Bank"/>
  </r>
  <r>
    <d v="2025-03-24T00:00:00"/>
    <m/>
    <m/>
    <n v="10000"/>
    <x v="3"/>
    <n v="140444383"/>
    <s v="INFAQ QRIS"/>
    <x v="2"/>
    <s v="Bank"/>
  </r>
  <r>
    <d v="2025-03-24T00:00:00"/>
    <m/>
    <m/>
    <n v="25000"/>
    <x v="3"/>
    <n v="140469383"/>
    <s v="INFAQ QRIS"/>
    <x v="2"/>
    <s v="Bank"/>
  </r>
  <r>
    <d v="2025-03-24T00:00:00"/>
    <m/>
    <m/>
    <n v="25000"/>
    <x v="3"/>
    <n v="140494383"/>
    <s v="INFAQ QRIS"/>
    <x v="2"/>
    <s v="Bank"/>
  </r>
  <r>
    <d v="2025-03-24T00:00:00"/>
    <m/>
    <m/>
    <n v="5000"/>
    <x v="3"/>
    <n v="140499383"/>
    <s v="INFAQ QRIS"/>
    <x v="2"/>
    <s v="Bank"/>
  </r>
  <r>
    <d v="2025-03-24T00:00:00"/>
    <m/>
    <m/>
    <n v="20000"/>
    <x v="3"/>
    <n v="140519383"/>
    <s v="INFAQ QRIS"/>
    <x v="2"/>
    <s v="Bank"/>
  </r>
  <r>
    <d v="2025-03-24T00:00:00"/>
    <m/>
    <m/>
    <n v="10000"/>
    <x v="3"/>
    <n v="140529383"/>
    <s v="INFAQ QRIS"/>
    <x v="2"/>
    <s v="Bank"/>
  </r>
  <r>
    <d v="2025-03-24T00:00:00"/>
    <m/>
    <m/>
    <n v="5252"/>
    <x v="3"/>
    <n v="140534635"/>
    <s v="INFAQ QRIS"/>
    <x v="2"/>
    <s v="Bank"/>
  </r>
  <r>
    <d v="2025-03-24T00:00:00"/>
    <m/>
    <m/>
    <n v="401"/>
    <x v="3"/>
    <n v="140535036"/>
    <s v="INFAQ QRIS"/>
    <x v="2"/>
    <s v="Bank"/>
  </r>
  <r>
    <d v="2025-03-24T00:00:00"/>
    <m/>
    <m/>
    <n v="50000"/>
    <x v="3"/>
    <n v="140585036"/>
    <s v="INFAQ QRIS"/>
    <x v="2"/>
    <s v="Bank"/>
  </r>
  <r>
    <d v="2025-03-24T00:00:00"/>
    <m/>
    <m/>
    <n v="1000000"/>
    <x v="3"/>
    <n v="141585036"/>
    <s v="ZAKAT MAL DARI YADI ABDULLAH"/>
    <x v="16"/>
    <s v="Bank"/>
  </r>
  <r>
    <d v="2025-03-25T00:00:00"/>
    <m/>
    <m/>
    <n v="50000"/>
    <x v="3"/>
    <n v="141635036"/>
    <s v="INFAQ QRIS"/>
    <x v="2"/>
    <s v="Bank"/>
  </r>
  <r>
    <d v="2025-03-25T00:00:00"/>
    <m/>
    <m/>
    <n v="100000"/>
    <x v="3"/>
    <n v="141735036"/>
    <s v="INFAQ QRIS"/>
    <x v="2"/>
    <s v="Bank"/>
  </r>
  <r>
    <d v="2025-03-25T00:00:00"/>
    <m/>
    <m/>
    <n v="100000"/>
    <x v="3"/>
    <n v="141835036"/>
    <s v="INFAQ QRIS"/>
    <x v="2"/>
    <s v="Bank"/>
  </r>
  <r>
    <d v="2025-03-25T00:00:00"/>
    <m/>
    <m/>
    <n v="25000"/>
    <x v="3"/>
    <n v="141860036"/>
    <s v="INFAQ QRIS"/>
    <x v="2"/>
    <s v="Bank"/>
  </r>
  <r>
    <d v="2025-03-25T00:00:00"/>
    <m/>
    <m/>
    <n v="10000"/>
    <x v="3"/>
    <n v="141870036"/>
    <s v="INFAQ QRIS"/>
    <x v="2"/>
    <s v="Bank"/>
  </r>
  <r>
    <d v="2025-03-25T00:00:00"/>
    <m/>
    <m/>
    <n v="10000"/>
    <x v="3"/>
    <n v="141880036"/>
    <s v="INFAQ QRIS"/>
    <x v="2"/>
    <s v="Bank"/>
  </r>
  <r>
    <d v="2025-03-25T00:00:00"/>
    <m/>
    <m/>
    <n v="100000"/>
    <x v="3"/>
    <n v="141980036"/>
    <s v="INFAQ QRIS"/>
    <x v="2"/>
    <s v="Bank"/>
  </r>
  <r>
    <d v="2025-03-25T00:00:00"/>
    <m/>
    <m/>
    <n v="10000"/>
    <x v="3"/>
    <n v="141990036"/>
    <s v="INFAQ QRIS"/>
    <x v="2"/>
    <s v="Bank"/>
  </r>
  <r>
    <d v="2025-03-25T00:00:00"/>
    <m/>
    <m/>
    <n v="20000"/>
    <x v="3"/>
    <n v="142010036"/>
    <s v="INFAQ QRIS"/>
    <x v="2"/>
    <s v="Bank"/>
  </r>
  <r>
    <d v="2025-03-25T00:00:00"/>
    <m/>
    <m/>
    <n v="25000"/>
    <x v="3"/>
    <n v="142035036"/>
    <s v="INFAQ QRIS"/>
    <x v="2"/>
    <s v="Bank"/>
  </r>
  <r>
    <d v="2025-03-25T00:00:00"/>
    <m/>
    <m/>
    <n v="4415000"/>
    <x v="3"/>
    <n v="146450036"/>
    <s v="Akun Yatim &amp; Sosial"/>
    <x v="12"/>
    <s v="Bank"/>
  </r>
  <r>
    <d v="2025-03-25T00:00:00"/>
    <m/>
    <m/>
    <n v="2046000"/>
    <x v="3"/>
    <n v="148496036"/>
    <s v="Operasional (Infaq &amp; Sodaqoh)"/>
    <x v="2"/>
    <s v="Bank"/>
  </r>
  <r>
    <d v="2025-03-25T00:00:00"/>
    <m/>
    <m/>
    <n v="5026000"/>
    <x v="3"/>
    <n v="153522036"/>
    <s v="Infaq Taraweh"/>
    <x v="2"/>
    <s v="Bank"/>
  </r>
  <r>
    <m/>
    <m/>
    <n v="11487000"/>
    <m/>
    <x v="1"/>
    <n v="153522036"/>
    <s v="SETOR IMRON"/>
    <x v="4"/>
    <m/>
  </r>
  <r>
    <d v="2025-03-25T00:00:00"/>
    <m/>
    <m/>
    <n v="20000"/>
    <x v="3"/>
    <n v="153542036"/>
    <s v="INFAQ DARI FADEL MUHAMMAD IKHWAN"/>
    <x v="2"/>
    <s v="Bank"/>
  </r>
  <r>
    <d v="2025-03-26T00:00:00"/>
    <m/>
    <m/>
    <n v="50000"/>
    <x v="3"/>
    <n v="153592036"/>
    <s v="INFAQ QRIS"/>
    <x v="2"/>
    <s v="Bank"/>
  </r>
  <r>
    <d v="2025-03-26T00:00:00"/>
    <m/>
    <m/>
    <n v="50000"/>
    <x v="3"/>
    <n v="153642036"/>
    <s v="INFAQ QRIS"/>
    <x v="2"/>
    <s v="Bank"/>
  </r>
  <r>
    <d v="2025-03-26T00:00:00"/>
    <m/>
    <m/>
    <n v="50000"/>
    <x v="3"/>
    <n v="153692036"/>
    <s v="INFAQ QRIS"/>
    <x v="2"/>
    <s v="Bank"/>
  </r>
  <r>
    <d v="2025-03-26T00:00:00"/>
    <m/>
    <m/>
    <n v="100000"/>
    <x v="3"/>
    <n v="153792036"/>
    <s v="INFAQ QRIS"/>
    <x v="2"/>
    <s v="Bank"/>
  </r>
  <r>
    <d v="2025-03-26T00:00:00"/>
    <m/>
    <m/>
    <n v="25000"/>
    <x v="3"/>
    <n v="153817036"/>
    <s v="INFAQ QRIS"/>
    <x v="2"/>
    <s v="Bank"/>
  </r>
  <r>
    <d v="2025-03-26T00:00:00"/>
    <m/>
    <m/>
    <n v="10000"/>
    <x v="3"/>
    <n v="153827036"/>
    <s v="INFAQ QRIS"/>
    <x v="2"/>
    <s v="Bank"/>
  </r>
  <r>
    <d v="2025-03-26T00:00:00"/>
    <m/>
    <m/>
    <n v="10000"/>
    <x v="3"/>
    <n v="153837036"/>
    <s v="INFAQ QRIS"/>
    <x v="2"/>
    <s v="Bank"/>
  </r>
  <r>
    <d v="2025-03-26T00:00:00"/>
    <m/>
    <m/>
    <n v="100000"/>
    <x v="3"/>
    <n v="153937036"/>
    <s v="INFAQ QRIS"/>
    <x v="2"/>
    <s v="Bank"/>
  </r>
  <r>
    <d v="2025-03-26T00:00:00"/>
    <m/>
    <m/>
    <n v="50000"/>
    <x v="3"/>
    <n v="153987036"/>
    <s v="INFAQ QRIS"/>
    <x v="2"/>
    <s v="Bank"/>
  </r>
  <r>
    <d v="2025-03-26T00:00:00"/>
    <m/>
    <m/>
    <n v="25000"/>
    <x v="3"/>
    <n v="154012036"/>
    <s v="INFAQ QRIS"/>
    <x v="2"/>
    <s v="Bank"/>
  </r>
  <r>
    <d v="2025-03-26T00:00:00"/>
    <m/>
    <m/>
    <n v="5000"/>
    <x v="3"/>
    <n v="154017036"/>
    <s v="INFAQ QRIS"/>
    <x v="2"/>
    <s v="Bank"/>
  </r>
  <r>
    <d v="2025-03-26T00:00:00"/>
    <m/>
    <m/>
    <n v="100000"/>
    <x v="3"/>
    <n v="154117036"/>
    <s v="INFAQ QRIS"/>
    <x v="2"/>
    <s v="Bank"/>
  </r>
  <r>
    <d v="2025-03-27T00:00:00"/>
    <m/>
    <m/>
    <n v="50000"/>
    <x v="3"/>
    <n v="154167036"/>
    <s v="INFAQ DARI FADEL MUHAMMAD IKHWAN"/>
    <x v="2"/>
    <s v="Bank"/>
  </r>
  <r>
    <d v="2025-03-27T00:00:00"/>
    <m/>
    <m/>
    <n v="40000"/>
    <x v="3"/>
    <n v="154207036"/>
    <s v="INFAQ QRIS"/>
    <x v="2"/>
    <s v="Bank"/>
  </r>
  <r>
    <d v="2025-03-27T00:00:00"/>
    <m/>
    <m/>
    <n v="50000"/>
    <x v="3"/>
    <n v="154257036"/>
    <s v="INFAQ QRIS"/>
    <x v="2"/>
    <s v="Bank"/>
  </r>
  <r>
    <d v="2025-03-27T00:00:00"/>
    <m/>
    <m/>
    <n v="4000000"/>
    <x v="3"/>
    <n v="158257036"/>
    <s v="ZAKAT MAL DARI Muhammad Irfan GS DA 15"/>
    <x v="16"/>
    <s v="Bank"/>
  </r>
  <r>
    <d v="2025-03-27T00:00:00"/>
    <m/>
    <m/>
    <n v="50000"/>
    <x v="3"/>
    <n v="158307036"/>
    <s v="INFAQ QRIS"/>
    <x v="2"/>
    <s v="Bank"/>
  </r>
  <r>
    <d v="2025-03-27T00:00:00"/>
    <m/>
    <m/>
    <n v="10000"/>
    <x v="3"/>
    <n v="158317036"/>
    <s v="INFAQ QRIS"/>
    <x v="2"/>
    <s v="Bank"/>
  </r>
  <r>
    <d v="2025-03-27T00:00:00"/>
    <m/>
    <m/>
    <n v="10000"/>
    <x v="3"/>
    <n v="158327036"/>
    <s v="INFAQ QRIS"/>
    <x v="2"/>
    <s v="Bank"/>
  </r>
  <r>
    <d v="2025-03-27T00:00:00"/>
    <m/>
    <m/>
    <n v="50000"/>
    <x v="3"/>
    <n v="158377036"/>
    <s v="INFAQ QRIS"/>
    <x v="2"/>
    <s v="Bank"/>
  </r>
  <r>
    <d v="2025-03-27T00:00:00"/>
    <m/>
    <m/>
    <n v="100000"/>
    <x v="3"/>
    <n v="158477036"/>
    <s v="INFAQ QRIS"/>
    <x v="2"/>
    <s v="Bank"/>
  </r>
  <r>
    <d v="2025-03-27T00:00:00"/>
    <n v="4000000"/>
    <m/>
    <m/>
    <x v="3"/>
    <n v="154477036"/>
    <s v="BIAYA PERAWATAN SANTRI MARET 2025"/>
    <x v="14"/>
    <s v="Bank"/>
  </r>
  <r>
    <d v="2025-03-27T00:00:00"/>
    <n v="2500"/>
    <m/>
    <m/>
    <x v="3"/>
    <n v="154474536"/>
    <s v="BIAYA PERAWATAN SANTRI MARET 2025"/>
    <x v="14"/>
    <s v="Bank"/>
  </r>
  <r>
    <d v="2025-03-27T00:00:00"/>
    <n v="5400000"/>
    <m/>
    <m/>
    <x v="3"/>
    <n v="149074536"/>
    <s v="HONOR BAYU"/>
    <x v="14"/>
    <s v="Bank"/>
  </r>
  <r>
    <d v="2025-03-27T00:00:00"/>
    <n v="6500"/>
    <m/>
    <m/>
    <x v="3"/>
    <n v="149068036"/>
    <s v="HONOR BAYU"/>
    <x v="14"/>
    <s v="Bank"/>
  </r>
  <r>
    <d v="2025-03-27T00:00:00"/>
    <n v="6500000"/>
    <m/>
    <m/>
    <x v="3"/>
    <n v="142568036"/>
    <s v="HONOR NANANG "/>
    <x v="13"/>
    <s v="Bank"/>
  </r>
  <r>
    <d v="2025-03-27T00:00:00"/>
    <n v="6500"/>
    <m/>
    <m/>
    <x v="3"/>
    <n v="142561536"/>
    <s v="HONOR NANANG "/>
    <x v="13"/>
    <s v="Bank"/>
  </r>
  <r>
    <d v="2025-03-27T00:00:00"/>
    <n v="5000000"/>
    <m/>
    <m/>
    <x v="3"/>
    <n v="137561536"/>
    <s v="HONOR AZIZ"/>
    <x v="13"/>
    <s v="Bank"/>
  </r>
  <r>
    <d v="2025-03-27T00:00:00"/>
    <n v="6500"/>
    <m/>
    <m/>
    <x v="3"/>
    <n v="137555036"/>
    <s v="HONOR AZIZ"/>
    <x v="13"/>
    <s v="Bank"/>
  </r>
  <r>
    <d v="2025-03-27T00:00:00"/>
    <n v="3000000"/>
    <m/>
    <m/>
    <x v="3"/>
    <n v="134555036"/>
    <s v="HONOR ILHAM"/>
    <x v="13"/>
    <s v="Bank"/>
  </r>
  <r>
    <d v="2025-03-27T00:00:00"/>
    <n v="6500"/>
    <m/>
    <m/>
    <x v="3"/>
    <n v="134548536"/>
    <s v="HONOR ILHAM"/>
    <x v="13"/>
    <s v="Bank"/>
  </r>
  <r>
    <d v="2025-03-27T00:00:00"/>
    <n v="4000000"/>
    <m/>
    <m/>
    <x v="3"/>
    <n v="130548536"/>
    <s v="HONOR YANA"/>
    <x v="13"/>
    <s v="Bank"/>
  </r>
  <r>
    <d v="2025-03-27T00:00:00"/>
    <n v="6500"/>
    <m/>
    <m/>
    <x v="3"/>
    <n v="130542036"/>
    <s v="HONOR YANA"/>
    <x v="13"/>
    <s v="Bank"/>
  </r>
  <r>
    <d v="2025-03-27T00:00:00"/>
    <n v="4000000"/>
    <m/>
    <m/>
    <x v="3"/>
    <n v="126542036"/>
    <s v="HONOR IMRON"/>
    <x v="13"/>
    <s v="Bank"/>
  </r>
  <r>
    <d v="2025-03-27T00:00:00"/>
    <n v="6500"/>
    <m/>
    <m/>
    <x v="3"/>
    <n v="126535536"/>
    <s v="HONOR IMRON"/>
    <x v="13"/>
    <s v="Bank"/>
  </r>
  <r>
    <d v="2025-03-27T00:00:00"/>
    <n v="5000000"/>
    <m/>
    <m/>
    <x v="3"/>
    <n v="121535536"/>
    <s v="HONOR SURYADI"/>
    <x v="13"/>
    <s v="Bank"/>
  </r>
  <r>
    <d v="2025-03-27T00:00:00"/>
    <m/>
    <m/>
    <n v="100000"/>
    <x v="3"/>
    <n v="121635536"/>
    <s v="INFAQ QRIS"/>
    <x v="2"/>
    <s v="Bank"/>
  </r>
  <r>
    <d v="2025-03-27T00:00:00"/>
    <m/>
    <m/>
    <n v="50000"/>
    <x v="3"/>
    <n v="121685536"/>
    <s v="INFAQ QRIS"/>
    <x v="2"/>
    <s v="Bank"/>
  </r>
  <r>
    <d v="2025-03-28T00:00:00"/>
    <m/>
    <m/>
    <n v="50000"/>
    <x v="3"/>
    <n v="121735536"/>
    <s v="INFAQ QRIS"/>
    <x v="2"/>
    <s v="Bank"/>
  </r>
  <r>
    <d v="2025-03-28T00:00:00"/>
    <m/>
    <m/>
    <n v="100000"/>
    <x v="3"/>
    <n v="121835536"/>
    <s v="INFAQ QRIS"/>
    <x v="2"/>
    <s v="Bank"/>
  </r>
  <r>
    <d v="2025-03-28T00:00:00"/>
    <m/>
    <m/>
    <n v="24000"/>
    <x v="3"/>
    <n v="121859536"/>
    <s v="INFAQ QRIS"/>
    <x v="2"/>
    <s v="Bank"/>
  </r>
  <r>
    <d v="2025-03-28T00:00:00"/>
    <m/>
    <m/>
    <n v="100000"/>
    <x v="3"/>
    <n v="121959536"/>
    <s v="INFAQ QRIS"/>
    <x v="2"/>
    <s v="Bank"/>
  </r>
  <r>
    <d v="2025-03-28T00:00:00"/>
    <m/>
    <m/>
    <n v="25000"/>
    <x v="3"/>
    <n v="121984536"/>
    <s v="INFAQ QRIS"/>
    <x v="2"/>
    <s v="Bank"/>
  </r>
  <r>
    <d v="2025-03-28T00:00:00"/>
    <m/>
    <m/>
    <n v="50000"/>
    <x v="3"/>
    <n v="122034536"/>
    <s v="INFAQ QRIS"/>
    <x v="2"/>
    <s v="Bank"/>
  </r>
  <r>
    <d v="2025-03-28T00:00:00"/>
    <m/>
    <m/>
    <n v="15000"/>
    <x v="3"/>
    <n v="122049536"/>
    <s v="INFAQ QRIS"/>
    <x v="2"/>
    <s v="Bank"/>
  </r>
  <r>
    <d v="2025-03-28T00:00:00"/>
    <m/>
    <m/>
    <n v="1000000"/>
    <x v="3"/>
    <n v="123049536"/>
    <s v="ZAKAT MAL DIKI FIRMANSYAH"/>
    <x v="16"/>
    <s v="Bank"/>
  </r>
  <r>
    <d v="2025-03-28T00:00:00"/>
    <m/>
    <m/>
    <n v="10000"/>
    <x v="3"/>
    <n v="123059536"/>
    <s v="INFAQ QRIS"/>
    <x v="2"/>
    <s v="Bank"/>
  </r>
  <r>
    <d v="2025-03-28T00:00:00"/>
    <m/>
    <m/>
    <n v="100000"/>
    <x v="3"/>
    <n v="123159536"/>
    <s v="INFAQ QRIS"/>
    <x v="2"/>
    <s v="Bank"/>
  </r>
  <r>
    <d v="2025-03-28T00:00:00"/>
    <m/>
    <m/>
    <n v="100000"/>
    <x v="3"/>
    <n v="123259536"/>
    <s v="INFAQ QRIS"/>
    <x v="2"/>
    <s v="Bank"/>
  </r>
  <r>
    <d v="2025-03-28T00:00:00"/>
    <m/>
    <m/>
    <n v="50000"/>
    <x v="3"/>
    <n v="123309536"/>
    <s v="INFAQ QRIS"/>
    <x v="2"/>
    <s v="Bank"/>
  </r>
  <r>
    <d v="2025-03-28T00:00:00"/>
    <m/>
    <m/>
    <n v="100000"/>
    <x v="3"/>
    <n v="123409536"/>
    <s v="INFAQ QRIS"/>
    <x v="2"/>
    <s v="Bank"/>
  </r>
  <r>
    <d v="2025-03-28T00:00:00"/>
    <m/>
    <m/>
    <n v="25000"/>
    <x v="3"/>
    <n v="123434536"/>
    <s v="INFAQ QRIS"/>
    <x v="2"/>
    <s v="Bank"/>
  </r>
  <r>
    <d v="2025-03-28T00:00:00"/>
    <m/>
    <m/>
    <n v="200000"/>
    <x v="3"/>
    <n v="123634536"/>
    <s v="INFAQ QRIS"/>
    <x v="2"/>
    <s v="Bank"/>
  </r>
  <r>
    <d v="2025-03-28T00:00:00"/>
    <m/>
    <m/>
    <n v="20000"/>
    <x v="3"/>
    <n v="123654536"/>
    <s v="INFAQ QRIS"/>
    <x v="2"/>
    <s v="Bank"/>
  </r>
  <r>
    <d v="2025-03-28T00:00:00"/>
    <m/>
    <m/>
    <n v="30000"/>
    <x v="3"/>
    <n v="123684536"/>
    <s v="INFAQ QRIS"/>
    <x v="2"/>
    <s v="Bank"/>
  </r>
  <r>
    <d v="2025-03-28T00:00:00"/>
    <m/>
    <m/>
    <n v="10000"/>
    <x v="3"/>
    <n v="123694536"/>
    <s v="INFAQ QRIS"/>
    <x v="2"/>
    <s v="Bank"/>
  </r>
  <r>
    <d v="2025-03-28T00:00:00"/>
    <m/>
    <m/>
    <n v="20000"/>
    <x v="3"/>
    <n v="123714536"/>
    <s v="INFAQ QRIS"/>
    <x v="2"/>
    <s v="Bank"/>
  </r>
  <r>
    <d v="2025-03-28T00:00:00"/>
    <m/>
    <m/>
    <n v="20000"/>
    <x v="3"/>
    <n v="123734536"/>
    <s v="INFAQ QRIS"/>
    <x v="2"/>
    <s v="Bank"/>
  </r>
  <r>
    <d v="2025-03-28T00:00:00"/>
    <m/>
    <m/>
    <n v="10000"/>
    <x v="3"/>
    <n v="123744536"/>
    <s v="INFAQ QRIS"/>
    <x v="2"/>
    <s v="Bank"/>
  </r>
  <r>
    <d v="2025-03-28T00:00:00"/>
    <m/>
    <m/>
    <n v="20000"/>
    <x v="3"/>
    <n v="123764536"/>
    <s v="INFAQ QRIS"/>
    <x v="2"/>
    <s v="Bank"/>
  </r>
  <r>
    <d v="2025-03-28T00:00:00"/>
    <m/>
    <m/>
    <n v="1000000"/>
    <x v="3"/>
    <n v="124764536"/>
    <s v="Zakat mal a.n yustitia wahidin"/>
    <x v="16"/>
    <s v="Bank"/>
  </r>
  <r>
    <d v="2025-03-28T00:00:00"/>
    <n v="53150000"/>
    <m/>
    <m/>
    <x v="3"/>
    <n v="71614536"/>
    <s v="PEMBAGIAN ZAKAT FITRAH 1446H "/>
    <x v="14"/>
    <s v="Bank"/>
  </r>
  <r>
    <d v="2025-03-28T00:00:00"/>
    <n v="2500"/>
    <m/>
    <m/>
    <x v="3"/>
    <n v="71612036"/>
    <s v="PEMBAGIAN ZAKAT FITRAH 1446H "/>
    <x v="14"/>
    <s v="Bank"/>
  </r>
  <r>
    <d v="2025-03-28T00:00:00"/>
    <m/>
    <m/>
    <n v="1000000"/>
    <x v="3"/>
    <n v="72612036"/>
    <s v="Infaq an Ramadhan"/>
    <x v="2"/>
    <s v="Bank"/>
  </r>
  <r>
    <d v="2025-03-28T00:00:00"/>
    <m/>
    <m/>
    <n v="50000"/>
    <x v="3"/>
    <n v="72662036"/>
    <s v="INFAQ QRIS"/>
    <x v="2"/>
    <s v="Bank"/>
  </r>
  <r>
    <d v="2025-03-28T00:00:00"/>
    <m/>
    <m/>
    <n v="20000"/>
    <x v="3"/>
    <n v="72682036"/>
    <s v="INFAQ QRIS"/>
    <x v="2"/>
    <s v="Bank"/>
  </r>
  <r>
    <d v="2025-03-28T00:00:00"/>
    <m/>
    <m/>
    <n v="200000"/>
    <x v="3"/>
    <n v="72882036"/>
    <s v="INFAQ QRIS"/>
    <x v="2"/>
    <s v="Bank"/>
  </r>
  <r>
    <d v="2025-03-28T00:00:00"/>
    <m/>
    <m/>
    <n v="50000"/>
    <x v="3"/>
    <n v="72932036"/>
    <s v="INFAQ QRIS"/>
    <x v="2"/>
    <s v="Bank"/>
  </r>
  <r>
    <d v="2025-03-28T00:00:00"/>
    <m/>
    <m/>
    <n v="100000"/>
    <x v="3"/>
    <n v="73032036"/>
    <s v="INFAQ QRIS"/>
    <x v="2"/>
    <s v="Bank"/>
  </r>
  <r>
    <d v="2025-03-28T00:00:00"/>
    <m/>
    <m/>
    <n v="2000000"/>
    <x v="3"/>
    <n v="75032036"/>
    <s v="INFAQ DARI ARIEF TAUFIQURRAHMAN"/>
    <x v="2"/>
    <s v="Bank"/>
  </r>
  <r>
    <d v="2025-03-28T00:00:00"/>
    <m/>
    <m/>
    <n v="100000"/>
    <x v="3"/>
    <n v="75132036"/>
    <s v="INFAQ QRIS"/>
    <x v="2"/>
    <s v="Bank"/>
  </r>
  <r>
    <d v="2025-03-28T00:00:00"/>
    <m/>
    <m/>
    <n v="50000"/>
    <x v="3"/>
    <n v="75182036"/>
    <s v="INFAQ QRIS"/>
    <x v="2"/>
    <s v="Bank"/>
  </r>
  <r>
    <d v="2025-03-28T00:00:00"/>
    <m/>
    <m/>
    <n v="10000"/>
    <x v="3"/>
    <n v="75192036"/>
    <s v="INFAQ QRIS"/>
    <x v="2"/>
    <s v="Bank"/>
  </r>
  <r>
    <d v="2025-03-28T00:00:00"/>
    <m/>
    <m/>
    <n v="30000"/>
    <x v="3"/>
    <n v="75222036"/>
    <s v="INFAQ QRIS"/>
    <x v="2"/>
    <s v="Bank"/>
  </r>
  <r>
    <d v="2025-03-28T00:00:00"/>
    <m/>
    <m/>
    <n v="3475000"/>
    <x v="3"/>
    <n v="78697036"/>
    <s v="ZAKAT MAL ???"/>
    <x v="16"/>
    <s v="Bank"/>
  </r>
  <r>
    <d v="2025-03-28T00:00:00"/>
    <m/>
    <m/>
    <n v="50000"/>
    <x v="3"/>
    <n v="78747036"/>
    <s v="INFAQ QRIS"/>
    <x v="2"/>
    <s v="Bank"/>
  </r>
  <r>
    <d v="2025-03-28T00:00:00"/>
    <m/>
    <m/>
    <n v="3000000"/>
    <x v="3"/>
    <n v="81747036"/>
    <s v="ZAKAT MAL ???"/>
    <x v="16"/>
    <s v="Bank"/>
  </r>
  <r>
    <d v="2025-03-28T00:00:00"/>
    <m/>
    <m/>
    <n v="100000"/>
    <x v="3"/>
    <n v="81847036"/>
    <s v="INFAQ QRIS"/>
    <x v="2"/>
    <s v="Bank"/>
  </r>
  <r>
    <d v="2025-03-28T00:00:00"/>
    <m/>
    <m/>
    <n v="25000"/>
    <x v="3"/>
    <n v="81872036"/>
    <s v="INFAQ QRIS"/>
    <x v="2"/>
    <s v="Bank"/>
  </r>
  <r>
    <d v="2025-03-28T00:00:00"/>
    <m/>
    <m/>
    <n v="50000"/>
    <x v="3"/>
    <n v="81922036"/>
    <s v="INFAQ QRIS"/>
    <x v="2"/>
    <s v="Bank"/>
  </r>
  <r>
    <d v="2025-03-28T00:00:00"/>
    <m/>
    <m/>
    <n v="200000"/>
    <x v="3"/>
    <n v="82122036"/>
    <s v="INFAQ QRIS"/>
    <x v="2"/>
    <s v="Bank"/>
  </r>
  <r>
    <d v="2025-03-28T00:00:00"/>
    <m/>
    <m/>
    <n v="30000"/>
    <x v="3"/>
    <n v="82152036"/>
    <s v="INFAQ QRIS"/>
    <x v="2"/>
    <s v="Bank"/>
  </r>
  <r>
    <d v="2025-03-28T00:00:00"/>
    <m/>
    <m/>
    <n v="20000"/>
    <x v="3"/>
    <n v="82172036"/>
    <s v="INFAQ QRIS"/>
    <x v="2"/>
    <s v="Bank"/>
  </r>
  <r>
    <d v="2025-03-28T00:00:00"/>
    <m/>
    <m/>
    <n v="150000"/>
    <x v="3"/>
    <n v="82322036"/>
    <s v="INFAQ QRIS"/>
    <x v="2"/>
    <s v="Bank"/>
  </r>
  <r>
    <d v="2025-03-28T00:00:00"/>
    <m/>
    <m/>
    <n v="10000"/>
    <x v="3"/>
    <n v="82332036"/>
    <s v="INFAQ QRIS"/>
    <x v="2"/>
    <s v="Bank"/>
  </r>
  <r>
    <d v="2025-03-28T00:00:00"/>
    <m/>
    <m/>
    <n v="1000000"/>
    <x v="3"/>
    <n v="83332036"/>
    <s v="INFAQ QRIS"/>
    <x v="2"/>
    <s v="Bank"/>
  </r>
  <r>
    <d v="2025-03-28T00:00:00"/>
    <m/>
    <m/>
    <n v="50000"/>
    <x v="3"/>
    <n v="83382036"/>
    <s v="INFAQ QRIS"/>
    <x v="2"/>
    <s v="Bank"/>
  </r>
  <r>
    <d v="2025-03-28T00:00:00"/>
    <m/>
    <m/>
    <n v="6000"/>
    <x v="3"/>
    <n v="83388036"/>
    <s v="INFAQ QRIS"/>
    <x v="2"/>
    <s v="Bank"/>
  </r>
  <r>
    <d v="2025-03-28T00:00:00"/>
    <m/>
    <m/>
    <n v="20000"/>
    <x v="3"/>
    <n v="83408036"/>
    <s v="INFAQ QRIS"/>
    <x v="2"/>
    <s v="Bank"/>
  </r>
  <r>
    <d v="2025-03-28T00:00:00"/>
    <m/>
    <m/>
    <n v="150000"/>
    <x v="3"/>
    <n v="83558036"/>
    <s v="INFAQ QRIS"/>
    <x v="2"/>
    <s v="Bank"/>
  </r>
  <r>
    <d v="2025-03-28T00:00:00"/>
    <m/>
    <m/>
    <n v="6570000"/>
    <x v="3"/>
    <n v="90128036"/>
    <s v="ZAKAT MAL ???"/>
    <x v="16"/>
    <s v="Bank"/>
  </r>
  <r>
    <d v="2025-03-28T00:00:00"/>
    <m/>
    <m/>
    <n v="50000"/>
    <x v="3"/>
    <n v="90178036"/>
    <s v="INFAQ QRIS"/>
    <x v="2"/>
    <s v="Bank"/>
  </r>
  <r>
    <d v="2025-03-28T00:00:00"/>
    <m/>
    <m/>
    <n v="5000"/>
    <x v="3"/>
    <n v="90183036"/>
    <s v="INFAQ QRIS"/>
    <x v="2"/>
    <s v="Bank"/>
  </r>
  <r>
    <d v="2025-03-28T00:00:00"/>
    <m/>
    <m/>
    <n v="5000"/>
    <x v="3"/>
    <n v="90188036"/>
    <s v="INFAQ QRIS"/>
    <x v="2"/>
    <s v="Bank"/>
  </r>
  <r>
    <d v="2025-04-08T00:00:00"/>
    <m/>
    <m/>
    <n v="50000"/>
    <x v="4"/>
    <n v="90238036"/>
    <s v="INFAQ QRIS"/>
    <x v="2"/>
    <s v="Bank"/>
  </r>
  <r>
    <d v="2025-04-08T00:00:00"/>
    <m/>
    <m/>
    <n v="50000"/>
    <x v="4"/>
    <n v="90288036"/>
    <s v="INFAQ QRIS"/>
    <x v="2"/>
    <s v="Bank"/>
  </r>
  <r>
    <d v="2025-04-08T00:00:00"/>
    <m/>
    <m/>
    <n v="100000"/>
    <x v="4"/>
    <n v="90388036"/>
    <s v="INFAQ QRIS"/>
    <x v="2"/>
    <s v="Bank"/>
  </r>
  <r>
    <d v="2025-04-08T00:00:00"/>
    <m/>
    <m/>
    <n v="10000"/>
    <x v="4"/>
    <n v="90398036"/>
    <s v="INFAQ QRIS"/>
    <x v="2"/>
    <s v="Bank"/>
  </r>
  <r>
    <d v="2025-04-08T00:00:00"/>
    <m/>
    <m/>
    <n v="100000"/>
    <x v="4"/>
    <n v="90498036"/>
    <s v="INFAQ QRIS"/>
    <x v="2"/>
    <s v="Bank"/>
  </r>
  <r>
    <d v="2025-04-08T00:00:00"/>
    <m/>
    <m/>
    <n v="300000"/>
    <x v="4"/>
    <n v="90798036"/>
    <s v="INFAQ QRIS"/>
    <x v="2"/>
    <s v="Bank"/>
  </r>
  <r>
    <d v="2025-04-08T00:00:00"/>
    <m/>
    <m/>
    <n v="5000000"/>
    <x v="4"/>
    <n v="95798036"/>
    <s v="ZAKAT MAL ZULFIKAR MANGGAU"/>
    <x v="16"/>
    <s v="Bank"/>
  </r>
  <r>
    <d v="2025-04-08T00:00:00"/>
    <m/>
    <m/>
    <n v="50000"/>
    <x v="4"/>
    <n v="95848036"/>
    <s v="INFAQ QRIS"/>
    <x v="2"/>
    <s v="Bank"/>
  </r>
  <r>
    <d v="2025-04-08T00:00:00"/>
    <m/>
    <m/>
    <n v="50000"/>
    <x v="4"/>
    <n v="95898036"/>
    <s v="INFAQ QRIS"/>
    <x v="2"/>
    <s v="Bank"/>
  </r>
  <r>
    <d v="2025-04-08T00:00:00"/>
    <m/>
    <m/>
    <n v="100000"/>
    <x v="4"/>
    <n v="95998036"/>
    <s v="INFAQ QRIS"/>
    <x v="2"/>
    <s v="Bank"/>
  </r>
  <r>
    <d v="2025-04-08T00:00:00"/>
    <m/>
    <m/>
    <n v="25000"/>
    <x v="4"/>
    <n v="96023036"/>
    <s v="INFAQ QRIS"/>
    <x v="2"/>
    <s v="Bank"/>
  </r>
  <r>
    <d v="2025-04-08T00:00:00"/>
    <m/>
    <m/>
    <n v="18000"/>
    <x v="4"/>
    <n v="96041036"/>
    <s v="INFAQ QRIS"/>
    <x v="2"/>
    <s v="Bank"/>
  </r>
  <r>
    <d v="2025-04-08T00:00:00"/>
    <m/>
    <m/>
    <n v="30000"/>
    <x v="4"/>
    <n v="96071036"/>
    <s v="INFAQ QRIS"/>
    <x v="2"/>
    <s v="Bank"/>
  </r>
  <r>
    <d v="2025-04-08T00:00:00"/>
    <m/>
    <m/>
    <n v="20000"/>
    <x v="4"/>
    <n v="96091036"/>
    <s v="INFAQ QRIS"/>
    <x v="2"/>
    <s v="Bank"/>
  </r>
  <r>
    <d v="2025-04-08T00:00:00"/>
    <m/>
    <m/>
    <n v="1000000"/>
    <x v="4"/>
    <n v="97091036"/>
    <s v="INFAQ QRIS"/>
    <x v="2"/>
    <s v="Bank"/>
  </r>
  <r>
    <d v="2025-04-08T00:00:00"/>
    <m/>
    <m/>
    <n v="10000"/>
    <x v="4"/>
    <n v="97101036"/>
    <s v="INFAQ QRIS"/>
    <x v="2"/>
    <s v="Bank"/>
  </r>
  <r>
    <d v="2025-04-08T00:00:00"/>
    <m/>
    <m/>
    <n v="620000"/>
    <x v="4"/>
    <n v="97721036"/>
    <s v="ZAKAT MAL YAYAN"/>
    <x v="16"/>
    <s v="Bank"/>
  </r>
  <r>
    <d v="2025-04-08T00:00:00"/>
    <m/>
    <m/>
    <n v="50000"/>
    <x v="4"/>
    <n v="97771036"/>
    <s v="INFAQ QRIS"/>
    <x v="2"/>
    <s v="Bank"/>
  </r>
  <r>
    <d v="2025-04-08T00:00:00"/>
    <m/>
    <m/>
    <n v="25000"/>
    <x v="4"/>
    <n v="97796036"/>
    <s v="INFAQ QRIS"/>
    <x v="2"/>
    <s v="Bank"/>
  </r>
  <r>
    <d v="2025-04-08T00:00:00"/>
    <m/>
    <m/>
    <n v="150000"/>
    <x v="4"/>
    <n v="97946036"/>
    <s v="INFAQ QRIS"/>
    <x v="2"/>
    <s v="Bank"/>
  </r>
  <r>
    <d v="2025-04-08T00:00:00"/>
    <m/>
    <m/>
    <n v="30000"/>
    <x v="4"/>
    <n v="97976036"/>
    <s v="INFAQ QRIS"/>
    <x v="2"/>
    <s v="Bank"/>
  </r>
  <r>
    <d v="2025-04-08T00:00:00"/>
    <m/>
    <m/>
    <n v="10000"/>
    <x v="4"/>
    <n v="97986036"/>
    <s v="INFAQ QRIS"/>
    <x v="2"/>
    <s v="Bank"/>
  </r>
  <r>
    <d v="2025-04-08T00:00:00"/>
    <m/>
    <m/>
    <n v="6000"/>
    <x v="4"/>
    <n v="97992036"/>
    <s v="INFAQ QRIS"/>
    <x v="2"/>
    <s v="Bank"/>
  </r>
  <r>
    <d v="2025-04-08T00:00:00"/>
    <m/>
    <m/>
    <n v="50000"/>
    <x v="4"/>
    <n v="98042036"/>
    <s v="INFAQ QRIS"/>
    <x v="2"/>
    <s v="Bank"/>
  </r>
  <r>
    <d v="2025-04-08T00:00:00"/>
    <m/>
    <m/>
    <n v="24000000"/>
    <x v="4"/>
    <n v="122042036"/>
    <m/>
    <x v="16"/>
    <s v="Bank"/>
  </r>
  <r>
    <d v="2025-04-08T00:00:00"/>
    <m/>
    <m/>
    <n v="2040000"/>
    <x v="4"/>
    <n v="124082036"/>
    <m/>
    <x v="2"/>
    <s v="Bank"/>
  </r>
  <r>
    <m/>
    <m/>
    <n v="26040000"/>
    <m/>
    <x v="1"/>
    <n v="124082036"/>
    <s v="SETOR CASH IMRON"/>
    <x v="4"/>
    <m/>
  </r>
  <r>
    <d v="2025-04-08T00:00:00"/>
    <m/>
    <m/>
    <n v="20000000"/>
    <x v="4"/>
    <n v="144082036"/>
    <s v="ZAKAT MAL INDRA EDI SANTOSO"/>
    <x v="16"/>
    <s v="Bank"/>
  </r>
  <r>
    <d v="2025-04-08T00:00:00"/>
    <m/>
    <m/>
    <n v="500000"/>
    <x v="4"/>
    <n v="144582036"/>
    <s v="INFAQ QRIS"/>
    <x v="2"/>
    <s v="Bank"/>
  </r>
  <r>
    <d v="2025-04-08T00:00:00"/>
    <m/>
    <m/>
    <n v="10000"/>
    <x v="4"/>
    <n v="144592036"/>
    <s v="INFAQ QRIS"/>
    <x v="2"/>
    <s v="Bank"/>
  </r>
  <r>
    <d v="2025-04-08T00:00:00"/>
    <m/>
    <m/>
    <n v="10000"/>
    <x v="4"/>
    <n v="144602036"/>
    <s v="INFAQ QRIS"/>
    <x v="2"/>
    <s v="Bank"/>
  </r>
  <r>
    <d v="2025-04-08T00:00:00"/>
    <m/>
    <m/>
    <n v="50000"/>
    <x v="4"/>
    <n v="144652036"/>
    <s v="INFAQ QRIS"/>
    <x v="2"/>
    <s v="Bank"/>
  </r>
  <r>
    <d v="2025-04-08T00:00:00"/>
    <m/>
    <m/>
    <n v="50000"/>
    <x v="4"/>
    <n v="144702036"/>
    <s v="INFAQ QRIS"/>
    <x v="2"/>
    <s v="Bank"/>
  </r>
  <r>
    <d v="2025-04-08T00:00:00"/>
    <m/>
    <m/>
    <n v="100000"/>
    <x v="4"/>
    <n v="144802036"/>
    <s v="INFAQ QRIS"/>
    <x v="2"/>
    <s v="Bank"/>
  </r>
  <r>
    <d v="2025-04-08T00:00:00"/>
    <m/>
    <m/>
    <n v="20000"/>
    <x v="4"/>
    <n v="144822036"/>
    <s v="INFAQ QRIS"/>
    <x v="2"/>
    <s v="Bank"/>
  </r>
  <r>
    <d v="2025-04-08T00:00:00"/>
    <m/>
    <m/>
    <n v="20000"/>
    <x v="4"/>
    <n v="144842036"/>
    <s v="INFAQ QRIS"/>
    <x v="2"/>
    <s v="Bank"/>
  </r>
  <r>
    <d v="2025-04-08T00:00:00"/>
    <m/>
    <m/>
    <n v="10000"/>
    <x v="4"/>
    <n v="144852036"/>
    <s v="INFAQ QRIS"/>
    <x v="2"/>
    <s v="Bank"/>
  </r>
  <r>
    <d v="2025-04-08T00:00:00"/>
    <m/>
    <m/>
    <n v="10000000"/>
    <x v="4"/>
    <n v="154852036"/>
    <s v="ZAKAT MAL NURMANSYAH SYARIEF"/>
    <x v="16"/>
    <s v="Bank"/>
  </r>
  <r>
    <d v="2025-04-08T00:00:00"/>
    <m/>
    <m/>
    <n v="250000"/>
    <x v="4"/>
    <n v="155102036"/>
    <s v="INFAQ QRIS"/>
    <x v="2"/>
    <s v="Bank"/>
  </r>
  <r>
    <d v="2025-04-08T00:00:00"/>
    <m/>
    <m/>
    <n v="50000"/>
    <x v="4"/>
    <n v="155152036"/>
    <s v="INFAQ QRIS"/>
    <x v="2"/>
    <s v="Bank"/>
  </r>
  <r>
    <d v="2025-04-08T00:00:00"/>
    <m/>
    <m/>
    <n v="10000"/>
    <x v="4"/>
    <n v="155162036"/>
    <s v="INFAQ QRIS"/>
    <x v="2"/>
    <s v="Bank"/>
  </r>
  <r>
    <d v="2025-04-08T00:00:00"/>
    <m/>
    <m/>
    <n v="20000"/>
    <x v="4"/>
    <n v="155182036"/>
    <s v="INFAQ QRIS"/>
    <x v="2"/>
    <s v="Bank"/>
  </r>
  <r>
    <d v="2025-04-08T00:00:00"/>
    <m/>
    <m/>
    <n v="50000"/>
    <x v="4"/>
    <n v="155232036"/>
    <s v="INFAQ QRIS"/>
    <x v="2"/>
    <s v="Bank"/>
  </r>
  <r>
    <d v="2025-04-08T00:00:00"/>
    <m/>
    <m/>
    <n v="5000"/>
    <x v="4"/>
    <n v="155237036"/>
    <s v="INFAQ QRIS"/>
    <x v="2"/>
    <s v="Bank"/>
  </r>
  <r>
    <d v="2025-04-08T00:00:00"/>
    <m/>
    <m/>
    <n v="10000"/>
    <x v="4"/>
    <n v="155247036"/>
    <s v="INFAQ QRIS"/>
    <x v="2"/>
    <s v="Bank"/>
  </r>
  <r>
    <d v="2025-04-08T00:00:00"/>
    <m/>
    <m/>
    <n v="10000"/>
    <x v="4"/>
    <n v="155257036"/>
    <s v="INFAQ QRIS"/>
    <x v="2"/>
    <s v="Bank"/>
  </r>
  <r>
    <d v="2025-04-08T00:00:00"/>
    <m/>
    <m/>
    <n v="200000"/>
    <x v="4"/>
    <n v="155457036"/>
    <s v="INFAQ QRIS"/>
    <x v="2"/>
    <s v="Bank"/>
  </r>
  <r>
    <d v="2025-04-08T00:00:00"/>
    <m/>
    <m/>
    <n v="200000"/>
    <x v="4"/>
    <n v="155657036"/>
    <s v="INFAQ QRIS"/>
    <x v="2"/>
    <s v="Bank"/>
  </r>
  <r>
    <d v="2025-04-08T00:00:00"/>
    <m/>
    <m/>
    <n v="10000"/>
    <x v="4"/>
    <n v="155667036"/>
    <s v="INFAQ QRIS"/>
    <x v="2"/>
    <s v="Bank"/>
  </r>
  <r>
    <d v="2025-04-08T00:00:00"/>
    <m/>
    <m/>
    <n v="20000"/>
    <x v="5"/>
    <n v="155687036"/>
    <s v="INFAQ QRIS"/>
    <x v="2"/>
    <s v="Bank"/>
  </r>
  <r>
    <d v="2025-04-08T00:00:00"/>
    <m/>
    <m/>
    <n v="5700"/>
    <x v="5"/>
    <n v="155692736"/>
    <s v="INFAQ QRIS"/>
    <x v="2"/>
    <s v="Bank"/>
  </r>
  <r>
    <d v="2025-04-08T00:00:00"/>
    <m/>
    <m/>
    <n v="400000"/>
    <x v="5"/>
    <n v="156092736"/>
    <s v="INFAQ PUTIE AMBUN SURI / RIVENDRA"/>
    <x v="2"/>
    <s v="Bank"/>
  </r>
  <r>
    <d v="2025-04-08T00:00:00"/>
    <m/>
    <m/>
    <n v="20000"/>
    <x v="5"/>
    <n v="156112736"/>
    <s v="INFAQ QRIS"/>
    <x v="2"/>
    <s v="Bank"/>
  </r>
  <r>
    <d v="2025-04-08T00:00:00"/>
    <m/>
    <m/>
    <n v="5700"/>
    <x v="5"/>
    <n v="156118436"/>
    <s v="INFAQ QRIS"/>
    <x v="2"/>
    <s v="Bank"/>
  </r>
  <r>
    <d v="2025-04-08T00:00:00"/>
    <m/>
    <m/>
    <n v="100000"/>
    <x v="5"/>
    <n v="156218436"/>
    <s v="Infaq april25 yud"/>
    <x v="2"/>
    <s v="Bank"/>
  </r>
  <r>
    <d v="2025-04-08T00:00:00"/>
    <m/>
    <m/>
    <n v="150000"/>
    <x v="5"/>
    <n v="156368436"/>
    <s v="INFAQ DWI LISTYOWATI"/>
    <x v="2"/>
    <s v="Bank"/>
  </r>
  <r>
    <d v="2025-04-08T00:00:00"/>
    <m/>
    <m/>
    <n v="4816"/>
    <x v="5"/>
    <n v="156373252"/>
    <s v="INFAQ QRIS"/>
    <x v="2"/>
    <s v="Bank"/>
  </r>
  <r>
    <d v="2025-04-08T00:00:00"/>
    <m/>
    <m/>
    <n v="10000"/>
    <x v="5"/>
    <n v="156383252"/>
    <s v="INFAQ QRIS"/>
    <x v="2"/>
    <s v="Bank"/>
  </r>
  <r>
    <d v="2025-04-08T00:00:00"/>
    <m/>
    <m/>
    <n v="2308"/>
    <x v="5"/>
    <n v="156385560"/>
    <s v="INFAQ QRIS"/>
    <x v="2"/>
    <s v="Bank"/>
  </r>
  <r>
    <d v="2025-04-08T00:00:00"/>
    <n v="20000"/>
    <m/>
    <m/>
    <x v="5"/>
    <n v="156365560"/>
    <s v="INFAQ QRIS"/>
    <x v="1"/>
    <s v="Bank"/>
  </r>
  <r>
    <d v="2025-04-08T00:00:00"/>
    <n v="5700"/>
    <m/>
    <m/>
    <x v="5"/>
    <n v="156359860"/>
    <s v="INFAQ QRIS"/>
    <x v="1"/>
    <s v="Bank"/>
  </r>
  <r>
    <d v="2025-04-08T00:00:00"/>
    <m/>
    <m/>
    <n v="25000"/>
    <x v="5"/>
    <n v="156384860"/>
    <s v="INFAQ QRIS"/>
    <x v="2"/>
    <s v="Bank"/>
  </r>
  <r>
    <d v="2025-04-08T00:00:00"/>
    <m/>
    <m/>
    <n v="10000"/>
    <x v="5"/>
    <n v="156394860"/>
    <s v="INFAQ QRIS"/>
    <x v="2"/>
    <s v="Bank"/>
  </r>
  <r>
    <d v="2025-04-08T00:00:00"/>
    <m/>
    <m/>
    <n v="20000"/>
    <x v="5"/>
    <n v="156414860"/>
    <s v="INFAQ QRIS"/>
    <x v="2"/>
    <s v="Bank"/>
  </r>
  <r>
    <d v="2025-04-08T00:00:00"/>
    <m/>
    <m/>
    <n v="25000"/>
    <x v="5"/>
    <n v="156439860"/>
    <s v="INFAQ QRIS"/>
    <x v="2"/>
    <s v="Bank"/>
  </r>
  <r>
    <d v="2025-04-08T00:00:00"/>
    <m/>
    <m/>
    <n v="100000"/>
    <x v="5"/>
    <n v="156539860"/>
    <s v="INFAQ QRIS"/>
    <x v="2"/>
    <s v="Bank"/>
  </r>
  <r>
    <d v="2025-04-08T00:00:00"/>
    <m/>
    <m/>
    <n v="22000"/>
    <x v="5"/>
    <n v="156561860"/>
    <s v="INFAQ QRIS"/>
    <x v="2"/>
    <s v="Bank"/>
  </r>
  <r>
    <d v="2025-04-10T00:00:00"/>
    <n v="2000000"/>
    <m/>
    <m/>
    <x v="5"/>
    <n v="154561860"/>
    <s v="PENGAJIAN IBU-IBU APRIL VIA LINA HERLINA"/>
    <x v="11"/>
    <s v="Bank"/>
  </r>
  <r>
    <d v="2025-04-10T00:00:00"/>
    <n v="2900"/>
    <m/>
    <m/>
    <x v="5"/>
    <n v="154558960"/>
    <s v="BIAYA PENGAJIAN IBU-IBU APRIL VIA LINA HERLINA"/>
    <x v="11"/>
    <s v="Bank"/>
  </r>
  <r>
    <d v="2025-04-10T00:00:00"/>
    <m/>
    <m/>
    <n v="17785500"/>
    <x v="4"/>
    <n v="172344460"/>
    <s v="INFAQ SHOLAT IDUL FITRI 1446 H"/>
    <x v="2"/>
    <s v="Bank"/>
  </r>
  <r>
    <d v="2025-04-11T00:00:00"/>
    <m/>
    <m/>
    <n v="100000"/>
    <x v="5"/>
    <n v="172444460"/>
    <s v="INFAQ QRIS"/>
    <x v="2"/>
    <s v="Bank"/>
  </r>
  <r>
    <d v="2025-04-11T00:00:00"/>
    <m/>
    <m/>
    <n v="2000000"/>
    <x v="5"/>
    <n v="174444460"/>
    <s v="INFAQ RIZKY HIDAYAT"/>
    <x v="2"/>
    <s v="Bank"/>
  </r>
  <r>
    <d v="2025-04-11T00:00:00"/>
    <n v="5250000"/>
    <m/>
    <m/>
    <x v="5"/>
    <n v="169194460"/>
    <s v="Biaya Perbaikan 3 Pintu MAJ  SKN OUT TRF CMS "/>
    <x v="8"/>
    <s v="Bank"/>
  </r>
  <r>
    <d v="2025-04-11T00:00:00"/>
    <n v="2900"/>
    <m/>
    <m/>
    <x v="5"/>
    <n v="169191560"/>
    <s v="Adm Biaya Perbaikan 3 Pintu MAJ  SKN OUT TRF CMS "/>
    <x v="8"/>
    <s v="Bank"/>
  </r>
  <r>
    <d v="2025-04-11T00:00:00"/>
    <m/>
    <m/>
    <n v="1000000"/>
    <x v="6"/>
    <n v="170191560"/>
    <s v="INFAQ ANIS "/>
    <x v="2"/>
    <s v="Bank"/>
  </r>
  <r>
    <d v="2025-04-11T00:00:00"/>
    <m/>
    <m/>
    <n v="66500"/>
    <x v="6"/>
    <n v="170258060"/>
    <s v="FEE MUAMALAT"/>
    <x v="2"/>
    <s v="Bank"/>
  </r>
  <r>
    <d v="2025-04-14T00:00:00"/>
    <m/>
    <m/>
    <n v="25000"/>
    <x v="6"/>
    <n v="170283060"/>
    <s v="INFAQ QRIS"/>
    <x v="2"/>
    <s v="Bank"/>
  </r>
  <r>
    <d v="2025-04-14T00:00:00"/>
    <m/>
    <m/>
    <n v="100000"/>
    <x v="6"/>
    <n v="170383060"/>
    <s v="INFAQ QRIS"/>
    <x v="2"/>
    <s v="Bank"/>
  </r>
  <r>
    <d v="2025-04-14T00:00:00"/>
    <m/>
    <m/>
    <n v="25000"/>
    <x v="6"/>
    <n v="170408060"/>
    <s v="INFAQ QRIS"/>
    <x v="2"/>
    <s v="Bank"/>
  </r>
  <r>
    <d v="2025-04-14T00:00:00"/>
    <m/>
    <m/>
    <n v="50000"/>
    <x v="6"/>
    <n v="170458060"/>
    <s v="INFAQ QRIS"/>
    <x v="2"/>
    <s v="Bank"/>
  </r>
  <r>
    <d v="2025-04-14T00:00:00"/>
    <m/>
    <m/>
    <n v="10000"/>
    <x v="6"/>
    <n v="170468060"/>
    <s v="INFAQ QRIS"/>
    <x v="2"/>
    <s v="Bank"/>
  </r>
  <r>
    <d v="2025-04-14T00:00:00"/>
    <m/>
    <m/>
    <n v="10000"/>
    <x v="6"/>
    <n v="170478060"/>
    <s v="INFAQ QRIS"/>
    <x v="2"/>
    <s v="Bank"/>
  </r>
  <r>
    <d v="2025-04-14T00:00:00"/>
    <m/>
    <m/>
    <n v="20000"/>
    <x v="6"/>
    <n v="170498060"/>
    <s v="INFAQ QRIS"/>
    <x v="2"/>
    <s v="Bank"/>
  </r>
  <r>
    <d v="2025-04-14T00:00:00"/>
    <m/>
    <m/>
    <n v="10000"/>
    <x v="6"/>
    <n v="170508060"/>
    <s v="INFAQ QRIS"/>
    <x v="2"/>
    <s v="Bank"/>
  </r>
  <r>
    <d v="2025-04-14T00:00:00"/>
    <m/>
    <m/>
    <n v="5000"/>
    <x v="6"/>
    <n v="170513060"/>
    <s v="INFAQ QRIS"/>
    <x v="2"/>
    <s v="Bank"/>
  </r>
  <r>
    <d v="2025-04-14T00:00:00"/>
    <m/>
    <m/>
    <n v="6661"/>
    <x v="6"/>
    <n v="170519721"/>
    <s v="INFAQ QRIS"/>
    <x v="2"/>
    <s v="Bank"/>
  </r>
  <r>
    <d v="2025-04-14T00:00:00"/>
    <n v="4105500"/>
    <m/>
    <m/>
    <x v="6"/>
    <n v="166414221"/>
    <s v="PERAWATAN MAJ-MAHMUD MADJID"/>
    <x v="8"/>
    <s v="Bank"/>
  </r>
  <r>
    <d v="2025-04-14T00:00:00"/>
    <n v="6500"/>
    <m/>
    <m/>
    <x v="6"/>
    <n v="166407721"/>
    <s v="BIAYA PERAWATAN MAJ-MAHMUD MADJID"/>
    <x v="8"/>
    <s v="Bank"/>
  </r>
  <r>
    <d v="2025-04-14T00:00:00"/>
    <n v="750000"/>
    <m/>
    <m/>
    <x v="6"/>
    <n v="165657721"/>
    <s v="HONOR UST DARWIS MAJ "/>
    <x v="11"/>
    <s v="Bank"/>
  </r>
  <r>
    <d v="2025-04-14T00:00:00"/>
    <m/>
    <m/>
    <n v="10000"/>
    <x v="6"/>
    <n v="165667721"/>
    <s v="INFAQ QRIS"/>
    <x v="2"/>
    <s v="Bank"/>
  </r>
  <r>
    <d v="2025-04-14T00:00:00"/>
    <m/>
    <m/>
    <n v="25000"/>
    <x v="6"/>
    <n v="165692721"/>
    <s v="INFAQ QRIS"/>
    <x v="2"/>
    <s v="Bank"/>
  </r>
  <r>
    <d v="2025-04-14T00:00:00"/>
    <m/>
    <m/>
    <n v="200000"/>
    <x v="6"/>
    <n v="165892721"/>
    <s v="INFAQ WUSONO PRIHADI SANTO"/>
    <x v="2"/>
    <s v="Bank"/>
  </r>
  <r>
    <d v="2025-04-14T00:00:00"/>
    <m/>
    <m/>
    <n v="64192000"/>
    <x v="4"/>
    <n v="230084721"/>
    <s v="SETOR IMRON"/>
    <x v="2"/>
    <s v="Bank"/>
  </r>
  <r>
    <d v="2025-04-14T00:00:00"/>
    <n v="600000"/>
    <m/>
    <m/>
    <x v="6"/>
    <n v="229484721"/>
    <s v="Perbaikan Kipas Angin MAJ"/>
    <x v="8"/>
    <s v="Bank"/>
  </r>
  <r>
    <d v="2025-04-14T00:00:00"/>
    <n v="2900"/>
    <m/>
    <m/>
    <x v="6"/>
    <n v="229481821"/>
    <s v="Biaya Adm Perbaikan Kipas Angin MAJ"/>
    <x v="8"/>
    <s v="Bank"/>
  </r>
  <r>
    <d v="2025-04-15T00:00:00"/>
    <m/>
    <m/>
    <n v="50000"/>
    <x v="6"/>
    <n v="229531821"/>
    <s v="INFAQ QRIS"/>
    <x v="2"/>
    <s v="Bank"/>
  </r>
  <r>
    <d v="2025-04-15T00:00:00"/>
    <m/>
    <m/>
    <n v="10000"/>
    <x v="6"/>
    <n v="229541821"/>
    <s v="INFAQ QRIS"/>
    <x v="2"/>
    <s v="Bank"/>
  </r>
  <r>
    <d v="2025-04-15T00:00:00"/>
    <m/>
    <m/>
    <n v="500000"/>
    <x v="6"/>
    <n v="230041821"/>
    <s v="INFAQ INDRA EDI SANTOSO"/>
    <x v="2"/>
    <s v="Bank"/>
  </r>
  <r>
    <d v="2025-04-15T00:00:00"/>
    <n v="850000"/>
    <m/>
    <m/>
    <x v="6"/>
    <n v="229191821"/>
    <s v="Perbaikan Kipas Angin MAJ"/>
    <x v="8"/>
    <s v="Bank"/>
  </r>
  <r>
    <d v="2025-04-15T00:00:00"/>
    <n v="2900"/>
    <m/>
    <m/>
    <x v="6"/>
    <n v="229188921"/>
    <s v="Biaya Adm Perbaikan Kipas Angin MAJ"/>
    <x v="8"/>
    <s v="Bank"/>
  </r>
  <r>
    <d v="2025-04-16T00:00:00"/>
    <m/>
    <m/>
    <n v="50000"/>
    <x v="6"/>
    <n v="229238921"/>
    <s v="INFAQ QRIS"/>
    <x v="2"/>
    <s v="Bank"/>
  </r>
  <r>
    <d v="2025-04-16T00:00:00"/>
    <m/>
    <m/>
    <n v="100000"/>
    <x v="6"/>
    <n v="229338921"/>
    <s v="INFAQ QRIS"/>
    <x v="2"/>
    <s v="Bank"/>
  </r>
  <r>
    <d v="2025-04-16T00:00:00"/>
    <m/>
    <m/>
    <n v="10000"/>
    <x v="6"/>
    <n v="229348921"/>
    <s v="INFAQ QRIS"/>
    <x v="2"/>
    <s v="Bank"/>
  </r>
  <r>
    <d v="2025-04-17T00:00:00"/>
    <m/>
    <m/>
    <n v="10000"/>
    <x v="6"/>
    <n v="229358921"/>
    <s v="INFAQ QRIS"/>
    <x v="2"/>
    <s v="Bank"/>
  </r>
  <r>
    <d v="2025-04-17T00:00:00"/>
    <n v="7705000"/>
    <m/>
    <m/>
    <x v="6"/>
    <n v="221653921"/>
    <s v="PERBAIKAN DAK PIPA-MAHMUD MADJID"/>
    <x v="8"/>
    <s v="Bank"/>
  </r>
  <r>
    <d v="2025-04-17T00:00:00"/>
    <n v="6500"/>
    <m/>
    <m/>
    <x v="6"/>
    <n v="221647421"/>
    <s v="ADM PERBAIKAN DAK PIPA-MAHMUD MADJID"/>
    <x v="8"/>
    <s v="Bank"/>
  </r>
  <r>
    <d v="2025-04-18T00:00:00"/>
    <m/>
    <m/>
    <n v="50000"/>
    <x v="7"/>
    <n v="221697421"/>
    <s v="INFAQ QRIS"/>
    <x v="2"/>
    <s v="Bank"/>
  </r>
  <r>
    <d v="2025-04-18T00:00:00"/>
    <m/>
    <m/>
    <n v="10000"/>
    <x v="7"/>
    <n v="221707421"/>
    <s v="INFAQ QRIS"/>
    <x v="2"/>
    <s v="Bank"/>
  </r>
  <r>
    <d v="2025-04-19T00:00:00"/>
    <m/>
    <m/>
    <n v="50000"/>
    <x v="7"/>
    <n v="221757421"/>
    <s v="INFAQ QRIS"/>
    <x v="2"/>
    <s v="Bank"/>
  </r>
  <r>
    <d v="2025-04-19T00:00:00"/>
    <m/>
    <m/>
    <n v="200000"/>
    <x v="7"/>
    <n v="221957421"/>
    <s v="INFAQ QRIS"/>
    <x v="2"/>
    <s v="Bank"/>
  </r>
  <r>
    <d v="2025-04-19T00:00:00"/>
    <m/>
    <m/>
    <n v="8000"/>
    <x v="7"/>
    <n v="221965421"/>
    <s v="INFAQ QRIS"/>
    <x v="2"/>
    <s v="Bank"/>
  </r>
  <r>
    <d v="2025-04-19T00:00:00"/>
    <m/>
    <m/>
    <n v="25000"/>
    <x v="7"/>
    <n v="221990421"/>
    <s v="INFAQ QRIS"/>
    <x v="2"/>
    <s v="Bank"/>
  </r>
  <r>
    <d v="2025-04-19T00:00:00"/>
    <m/>
    <m/>
    <n v="100000"/>
    <x v="7"/>
    <n v="222090421"/>
    <s v="INFAQ QRIS"/>
    <x v="2"/>
    <s v="Bank"/>
  </r>
  <r>
    <d v="2025-04-19T00:00:00"/>
    <m/>
    <m/>
    <n v="50000"/>
    <x v="7"/>
    <n v="222140421"/>
    <s v="INFAQ QRIS"/>
    <x v="2"/>
    <s v="Bank"/>
  </r>
  <r>
    <d v="2025-04-19T00:00:00"/>
    <m/>
    <m/>
    <n v="75000"/>
    <x v="7"/>
    <n v="222215421"/>
    <s v="INFAQ QRIS"/>
    <x v="2"/>
    <s v="Bank"/>
  </r>
  <r>
    <d v="2025-04-19T00:00:00"/>
    <m/>
    <m/>
    <n v="20000"/>
    <x v="7"/>
    <n v="222235421"/>
    <s v="INFAQ QRIS"/>
    <x v="2"/>
    <s v="Bank"/>
  </r>
  <r>
    <d v="2025-04-19T00:00:00"/>
    <n v="5657000"/>
    <m/>
    <m/>
    <x v="7"/>
    <n v="216578421"/>
    <s v="Perbaikan Plafon MAJ"/>
    <x v="8"/>
    <s v="Bank"/>
  </r>
  <r>
    <d v="2025-04-19T00:00:00"/>
    <n v="6500"/>
    <m/>
    <m/>
    <x v="7"/>
    <n v="216571921"/>
    <s v="Biaya Trf Perbaikan Plafon MAJ"/>
    <x v="8"/>
    <s v="Bank"/>
  </r>
  <r>
    <d v="2025-04-20T00:00:00"/>
    <n v="750000"/>
    <m/>
    <m/>
    <x v="7"/>
    <n v="215821921"/>
    <s v="Honor Ustadz Hasan Mubarok"/>
    <x v="11"/>
    <s v="Bank"/>
  </r>
  <r>
    <d v="2025-04-20T00:00:00"/>
    <n v="6500"/>
    <m/>
    <m/>
    <x v="7"/>
    <n v="215815421"/>
    <s v="Biaya Trf Honor Ustadz Hasan Mubarok"/>
    <x v="11"/>
    <s v="Bank"/>
  </r>
  <r>
    <d v="2025-04-20T00:00:00"/>
    <m/>
    <m/>
    <n v="50000"/>
    <x v="7"/>
    <n v="215865421"/>
    <s v="INFAQ QRIS"/>
    <x v="2"/>
    <s v="Bank"/>
  </r>
  <r>
    <d v="2025-04-20T00:00:00"/>
    <m/>
    <m/>
    <n v="50000"/>
    <x v="7"/>
    <n v="215915421"/>
    <s v="INFAQ QRIS"/>
    <x v="2"/>
    <s v="Bank"/>
  </r>
  <r>
    <d v="2025-04-21T00:00:00"/>
    <m/>
    <m/>
    <n v="10000"/>
    <x v="7"/>
    <n v="215925421"/>
    <s v="INFAQ QRIS"/>
    <x v="2"/>
    <s v="Bank"/>
  </r>
  <r>
    <d v="2025-04-21T00:00:00"/>
    <m/>
    <m/>
    <n v="5000"/>
    <x v="7"/>
    <n v="215930421"/>
    <s v="INFAQ QRIS"/>
    <x v="2"/>
    <s v="Bank"/>
  </r>
  <r>
    <d v="2025-04-21T00:00:00"/>
    <m/>
    <m/>
    <n v="25000"/>
    <x v="7"/>
    <n v="215955421"/>
    <s v="INFAQ QRIS"/>
    <x v="2"/>
    <s v="Bank"/>
  </r>
  <r>
    <d v="2025-04-21T00:00:00"/>
    <m/>
    <m/>
    <n v="5000"/>
    <x v="7"/>
    <n v="215960421"/>
    <s v="INFAQ QRIS"/>
    <x v="2"/>
    <s v="Bank"/>
  </r>
  <r>
    <d v="2025-04-22T00:00:00"/>
    <m/>
    <m/>
    <n v="10000"/>
    <x v="7"/>
    <n v="215970421"/>
    <s v="INFAQ QRIS"/>
    <x v="2"/>
    <s v="Bank"/>
  </r>
  <r>
    <d v="2025-04-22T00:00:00"/>
    <m/>
    <m/>
    <n v="4358000"/>
    <x v="7"/>
    <n v="220328421"/>
    <s v="Akun Yatim &amp; Sosial"/>
    <x v="12"/>
    <s v="Bank"/>
  </r>
  <r>
    <d v="2025-04-22T00:00:00"/>
    <m/>
    <m/>
    <n v="2722000"/>
    <x v="7"/>
    <n v="223050421"/>
    <s v="Operasional (Infaq &amp; Sodaqoh)"/>
    <x v="2"/>
    <s v="Bank"/>
  </r>
  <r>
    <m/>
    <m/>
    <n v="7080000"/>
    <m/>
    <x v="1"/>
    <n v="223050421"/>
    <s v="Setor Imron"/>
    <x v="4"/>
    <m/>
  </r>
  <r>
    <d v="2025-04-22T00:00:00"/>
    <n v="7000"/>
    <m/>
    <m/>
    <x v="7"/>
    <n v="223043421"/>
    <s v="Biaya Adm Payroll Muamalat"/>
    <x v="1"/>
    <s v="Bank"/>
  </r>
  <r>
    <d v="2025-04-24T00:00:00"/>
    <m/>
    <m/>
    <n v="10000"/>
    <x v="7"/>
    <n v="223053421"/>
    <s v="INFAQ QRIS"/>
    <x v="2"/>
    <s v="Bank"/>
  </r>
  <r>
    <d v="2025-04-24T00:00:00"/>
    <n v="2000000"/>
    <m/>
    <m/>
    <x v="7"/>
    <n v="221053421"/>
    <s v="Honor Guru TPQ"/>
    <x v="19"/>
    <s v="Bank"/>
  </r>
  <r>
    <d v="2025-04-24T00:00:00"/>
    <n v="2900"/>
    <m/>
    <m/>
    <x v="7"/>
    <n v="221050521"/>
    <s v="Biaya Trf Honor Guru TPQ"/>
    <x v="19"/>
    <s v="Bank"/>
  </r>
  <r>
    <d v="2025-04-25T00:00:00"/>
    <m/>
    <m/>
    <n v="10000"/>
    <x v="8"/>
    <n v="221060521"/>
    <s v="INFAQ QRIS"/>
    <x v="2"/>
    <s v="Bank"/>
  </r>
  <r>
    <d v="2025-04-25T00:00:00"/>
    <m/>
    <m/>
    <n v="10000"/>
    <x v="8"/>
    <n v="221070521"/>
    <s v="INFAQ QRIS"/>
    <x v="2"/>
    <s v="Bank"/>
  </r>
  <r>
    <d v="2025-04-25T00:00:00"/>
    <m/>
    <m/>
    <n v="200000"/>
    <x v="8"/>
    <n v="221270521"/>
    <s v="INFAQ TPQ RIVENDRA"/>
    <x v="2"/>
    <s v="Bank"/>
  </r>
  <r>
    <d v="2025-04-25T00:00:00"/>
    <m/>
    <m/>
    <n v="1000000"/>
    <x v="8"/>
    <n v="222270521"/>
    <s v="INFAQ ANGGONO IRIAWAN"/>
    <x v="2"/>
    <s v="Bank"/>
  </r>
  <r>
    <d v="2025-04-26T00:00:00"/>
    <n v="750000"/>
    <m/>
    <m/>
    <x v="8"/>
    <n v="221520521"/>
    <s v="HONOR UST-KHOERUL MAKTUM"/>
    <x v="11"/>
    <s v="Bank"/>
  </r>
  <r>
    <d v="2025-04-26T00:00:00"/>
    <n v="6500"/>
    <m/>
    <m/>
    <x v="8"/>
    <n v="221514021"/>
    <s v="ADM HONOR UST-KHOERUL MAKTUM"/>
    <x v="11"/>
    <s v="Bank"/>
  </r>
  <r>
    <d v="2025-04-26T00:00:00"/>
    <m/>
    <m/>
    <n v="10000"/>
    <x v="8"/>
    <n v="221524021"/>
    <s v="INFAQ QRIS"/>
    <x v="2"/>
    <s v="Bank"/>
  </r>
  <r>
    <d v="2025-04-26T00:00:00"/>
    <m/>
    <m/>
    <n v="5000"/>
    <x v="8"/>
    <n v="221529021"/>
    <s v="INFAQ QRIS"/>
    <x v="2"/>
    <s v="Bank"/>
  </r>
  <r>
    <d v="2025-04-26T00:00:00"/>
    <m/>
    <m/>
    <n v="10000"/>
    <x v="8"/>
    <n v="221539021"/>
    <s v="INFAQ QRIS"/>
    <x v="2"/>
    <s v="Bank"/>
  </r>
  <r>
    <d v="2025-04-26T00:00:00"/>
    <m/>
    <m/>
    <n v="100000"/>
    <x v="8"/>
    <n v="221639021"/>
    <s v="INFAQ SURJATI SUTARJA"/>
    <x v="2"/>
    <s v="Bank"/>
  </r>
  <r>
    <d v="2025-04-27T00:00:00"/>
    <m/>
    <m/>
    <n v="10000"/>
    <x v="8"/>
    <n v="221649021"/>
    <s v="INFAQ QRIS"/>
    <x v="2"/>
    <s v="Bank"/>
  </r>
  <r>
    <d v="2025-04-28T00:00:00"/>
    <m/>
    <m/>
    <n v="10000"/>
    <x v="8"/>
    <n v="221659021"/>
    <s v="INFAQ QRIS"/>
    <x v="2"/>
    <s v="Bank"/>
  </r>
  <r>
    <d v="2025-04-28T00:00:00"/>
    <m/>
    <m/>
    <n v="25000"/>
    <x v="8"/>
    <n v="221684021"/>
    <s v="INFAQ QRIS"/>
    <x v="2"/>
    <s v="Bank"/>
  </r>
  <r>
    <d v="2025-04-28T00:00:00"/>
    <n v="1500000"/>
    <m/>
    <m/>
    <x v="8"/>
    <n v="220184021"/>
    <s v="HONOR-MUHAMMAD ILHAM"/>
    <x v="13"/>
    <s v="Bank"/>
  </r>
  <r>
    <d v="2025-04-28T00:00:00"/>
    <n v="6500"/>
    <m/>
    <m/>
    <x v="8"/>
    <n v="220177521"/>
    <s v="ADM HONOR-MUHAMMAD ILHAM"/>
    <x v="13"/>
    <s v="Bank"/>
  </r>
  <r>
    <d v="2025-04-28T00:00:00"/>
    <n v="2000000"/>
    <m/>
    <m/>
    <x v="8"/>
    <n v="218177521"/>
    <s v="HONOR A IMRON ROSADI "/>
    <x v="13"/>
    <s v="Bank"/>
  </r>
  <r>
    <d v="2025-04-28T00:00:00"/>
    <n v="6500"/>
    <m/>
    <m/>
    <x v="8"/>
    <n v="218171021"/>
    <s v="ADM HONOR A IMRON ROSADI "/>
    <x v="13"/>
    <s v="Bank"/>
  </r>
  <r>
    <d v="2025-04-28T00:00:00"/>
    <n v="2000000"/>
    <m/>
    <m/>
    <x v="8"/>
    <n v="216171021"/>
    <s v="HONOR-YANA SIGIT ISMATULLAH"/>
    <x v="13"/>
    <s v="Bank"/>
  </r>
  <r>
    <d v="2025-04-28T00:00:00"/>
    <n v="6500"/>
    <m/>
    <m/>
    <x v="8"/>
    <n v="216164521"/>
    <s v="ADM HONOR-YANA SIGIT ISMATULLAH"/>
    <x v="13"/>
    <s v="Bank"/>
  </r>
  <r>
    <d v="2025-04-28T00:00:00"/>
    <n v="3250000"/>
    <m/>
    <m/>
    <x v="8"/>
    <n v="212914521"/>
    <s v="HONOR-NANANG SUBAEDI"/>
    <x v="13"/>
    <s v="Bank"/>
  </r>
  <r>
    <d v="2025-04-28T00:00:00"/>
    <n v="6500"/>
    <m/>
    <m/>
    <x v="8"/>
    <n v="212908021"/>
    <s v="ADM HONOR-NANANG SUBAEDI"/>
    <x v="13"/>
    <s v="Bank"/>
  </r>
  <r>
    <d v="2025-04-28T00:00:00"/>
    <n v="2700000"/>
    <m/>
    <m/>
    <x v="8"/>
    <n v="210208021"/>
    <s v="HONOR-M BAYU CANDRA"/>
    <x v="14"/>
    <s v="Bank"/>
  </r>
  <r>
    <d v="2025-04-28T00:00:00"/>
    <n v="6500"/>
    <m/>
    <m/>
    <x v="8"/>
    <n v="210201521"/>
    <s v="ADM HONOR-M BAYU CANDRA"/>
    <x v="14"/>
    <s v="Bank"/>
  </r>
  <r>
    <d v="2025-04-28T00:00:00"/>
    <n v="2500000"/>
    <m/>
    <m/>
    <x v="8"/>
    <n v="207701521"/>
    <s v="HONOR SURYADI"/>
    <x v="13"/>
    <s v="Bank"/>
  </r>
  <r>
    <d v="2025-04-28T00:00:00"/>
    <n v="1000000"/>
    <m/>
    <m/>
    <x v="8"/>
    <n v="206701521"/>
    <s v="HONNOR Ustad Wahid Rahman"/>
    <x v="11"/>
    <s v="Bank"/>
  </r>
  <r>
    <d v="2025-04-28T00:00:00"/>
    <n v="4000000"/>
    <m/>
    <m/>
    <x v="8"/>
    <n v="202701521"/>
    <s v="PERAWATAN SANTRI VIA BAYU CANDRA-M BAYU CANDRA"/>
    <x v="14"/>
    <s v="Bank"/>
  </r>
  <r>
    <d v="2025-04-28T00:00:00"/>
    <n v="6500"/>
    <m/>
    <m/>
    <x v="8"/>
    <n v="202695021"/>
    <s v="ADM PERAWATAN SANTRI VIA BAYU CANDRA-M BAYU CANDRA"/>
    <x v="14"/>
    <s v="Bank"/>
  </r>
  <r>
    <d v="2025-04-28T00:00:00"/>
    <m/>
    <m/>
    <n v="600000"/>
    <x v="8"/>
    <n v="203295021"/>
    <s v="INFAQ TPQ RIVENDRA"/>
    <x v="2"/>
    <s v="Bank"/>
  </r>
  <r>
    <d v="2025-04-28T00:00:00"/>
    <m/>
    <m/>
    <n v="300000"/>
    <x v="8"/>
    <n v="203595021"/>
    <s v="INFAQ FADJAR SATYANI"/>
    <x v="2"/>
    <s v="Bank"/>
  </r>
  <r>
    <d v="2025-04-29T00:00:00"/>
    <m/>
    <m/>
    <n v="50000"/>
    <x v="8"/>
    <n v="203645021"/>
    <s v="INFAQ QRIS"/>
    <x v="2"/>
    <s v="Bank"/>
  </r>
  <r>
    <d v="2025-04-29T00:00:00"/>
    <m/>
    <m/>
    <n v="50000"/>
    <x v="8"/>
    <n v="203695021"/>
    <s v="INFAQ QRIS"/>
    <x v="2"/>
    <s v="Bank"/>
  </r>
  <r>
    <d v="2025-04-29T00:00:00"/>
    <m/>
    <m/>
    <n v="2477000"/>
    <x v="8"/>
    <n v="206172021"/>
    <s v="Laba ALJABAR Store"/>
    <x v="20"/>
    <s v="Bank"/>
  </r>
  <r>
    <d v="2025-04-29T00:00:00"/>
    <m/>
    <m/>
    <n v="3667000"/>
    <x v="8"/>
    <n v="209839021"/>
    <m/>
    <x v="12"/>
    <s v="Bank"/>
  </r>
  <r>
    <d v="2025-04-29T00:00:00"/>
    <m/>
    <m/>
    <n v="5927000"/>
    <x v="8"/>
    <n v="215766021"/>
    <m/>
    <x v="2"/>
    <s v="Bank"/>
  </r>
  <r>
    <m/>
    <m/>
    <n v="9594000"/>
    <m/>
    <x v="1"/>
    <n v="215766021"/>
    <s v="SETOR IMRON"/>
    <x v="4"/>
    <m/>
  </r>
  <r>
    <d v="2025-04-30T00:00:00"/>
    <m/>
    <m/>
    <n v="50000"/>
    <x v="8"/>
    <n v="215816021"/>
    <s v="INFAQ QRIS"/>
    <x v="2"/>
    <s v="Bank"/>
  </r>
  <r>
    <d v="2025-04-30T00:00:00"/>
    <m/>
    <m/>
    <n v="10000"/>
    <x v="8"/>
    <n v="215826021"/>
    <s v="INFAQ QRIS"/>
    <x v="2"/>
    <s v="Bank"/>
  </r>
  <r>
    <d v="2025-05-01T00:00:00"/>
    <m/>
    <m/>
    <n v="10000"/>
    <x v="8"/>
    <n v="215836021"/>
    <s v="INFAQ QRIS"/>
    <x v="2"/>
    <s v="Bank"/>
  </r>
  <r>
    <d v="2025-05-01T00:00:00"/>
    <m/>
    <m/>
    <n v="200000"/>
    <x v="8"/>
    <n v="216036021"/>
    <s v="INFAQ UMI HAMIDAH"/>
    <x v="2"/>
    <s v="Bank"/>
  </r>
  <r>
    <d v="2025-05-01T00:00:00"/>
    <m/>
    <m/>
    <n v="500000"/>
    <x v="8"/>
    <n v="216536021"/>
    <s v="INFAQ DRS SARWONO"/>
    <x v="2"/>
    <s v="Bank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m/>
    <m/>
    <n v="5000000"/>
    <x v="0"/>
    <n v="5000000"/>
    <s v="SALDO DARI AGUNG PRAMONO"/>
    <x v="0"/>
  </r>
  <r>
    <n v="200000"/>
    <m/>
    <m/>
    <x v="0"/>
    <n v="4800000"/>
    <s v="ADM FEE HARD TOKEN CMS "/>
    <x v="1"/>
  </r>
  <r>
    <m/>
    <m/>
    <n v="500000"/>
    <x v="0"/>
    <n v="5300000"/>
    <s v="INFAQ DARI INDRA EDI SANTOSO"/>
    <x v="2"/>
  </r>
  <r>
    <m/>
    <m/>
    <n v="1800000"/>
    <x v="0"/>
    <n v="7100000"/>
    <s v="INFAQ DARI DASA SUKARSIWI, SE / DR. FANANI"/>
    <x v="2"/>
  </r>
  <r>
    <m/>
    <m/>
    <n v="2000000"/>
    <x v="0"/>
    <n v="9100000"/>
    <s v="INFAQ DARI RIZKY HIDAYAT SL"/>
    <x v="2"/>
  </r>
  <r>
    <m/>
    <m/>
    <n v="400000"/>
    <x v="0"/>
    <n v="9500000"/>
    <s v="INFAQ DARI PUTIE AMBUN SURI / RIVENDRA"/>
    <x v="2"/>
  </r>
  <r>
    <m/>
    <m/>
    <n v="44196050"/>
    <x v="0"/>
    <n v="53696050"/>
    <s v="Baitul Mal"/>
    <x v="0"/>
  </r>
  <r>
    <m/>
    <m/>
    <n v="33983823"/>
    <x v="0"/>
    <n v="87679873"/>
    <s v="Pembangunan"/>
    <x v="3"/>
  </r>
  <r>
    <m/>
    <n v="78179873"/>
    <m/>
    <x v="1"/>
    <n v="87679873"/>
    <s v="SALDO DARI AGUNG PRAMONO"/>
    <x v="4"/>
  </r>
  <r>
    <m/>
    <m/>
    <n v="5594227"/>
    <x v="0"/>
    <n v="93274100"/>
    <s v="Pembangunan"/>
    <x v="3"/>
  </r>
  <r>
    <m/>
    <m/>
    <n v="39840773"/>
    <x v="0"/>
    <n v="133114873"/>
    <s v="Akun Yatim &amp; Sosial"/>
    <x v="5"/>
  </r>
  <r>
    <m/>
    <n v="45435000"/>
    <m/>
    <x v="1"/>
    <n v="133114873"/>
    <s v="SALDO DARI IMRON ROSADI"/>
    <x v="4"/>
  </r>
  <r>
    <m/>
    <m/>
    <n v="1000000"/>
    <x v="0"/>
    <n v="134114873"/>
    <s v="JUMAT BERKAH DARI LAELASARI / AMINUDIN"/>
    <x v="6"/>
  </r>
  <r>
    <m/>
    <m/>
    <n v="300000"/>
    <x v="0"/>
    <n v="134414873"/>
    <s v="JUMAT BERKAH DARI NITA ROSITA"/>
    <x v="6"/>
  </r>
  <r>
    <m/>
    <m/>
    <n v="600000"/>
    <x v="0"/>
    <n v="135014873"/>
    <s v="JUMAT BERKAH DARI AMRAN ANWAR"/>
    <x v="6"/>
  </r>
  <r>
    <n v="1250000"/>
    <m/>
    <m/>
    <x v="0"/>
    <n v="133764873"/>
    <s v="OP - A IMRON ROSADI OPERASI-REIMBURSE VOUCHER LISTRIK &amp; PAJAK MOTOR MASJID  "/>
    <x v="7"/>
  </r>
  <r>
    <n v="2500"/>
    <m/>
    <m/>
    <x v="0"/>
    <n v="133762373"/>
    <s v="OP - BIAYA TRANSFER A IMRON ROSADI OPERASI-REIMBURSE VOUCHER LISTRIK &amp; PAJAK MOTOR MASJID  "/>
    <x v="7"/>
  </r>
  <r>
    <m/>
    <m/>
    <n v="600000"/>
    <x v="0"/>
    <n v="134362373"/>
    <s v="JUMAT BERKAH DARI DARWIN ALI"/>
    <x v="6"/>
  </r>
  <r>
    <m/>
    <m/>
    <n v="300000"/>
    <x v="0"/>
    <n v="134662373"/>
    <s v="JUMAT BERKAH DARI AGUNG SANTOSO"/>
    <x v="6"/>
  </r>
  <r>
    <m/>
    <m/>
    <n v="300000"/>
    <x v="0"/>
    <n v="134962373"/>
    <s v="JUMAT BERKAH DARI DRS. SARWONO"/>
    <x v="6"/>
  </r>
  <r>
    <m/>
    <m/>
    <n v="300000"/>
    <x v="0"/>
    <n v="135262373"/>
    <s v="JUMAT BERKAH DARI SAFONI MAWARDI"/>
    <x v="6"/>
  </r>
  <r>
    <m/>
    <m/>
    <n v="300000"/>
    <x v="0"/>
    <n v="135562373"/>
    <s v="JUMAT BERKAH DARI ENICA AGUSTINA"/>
    <x v="6"/>
  </r>
  <r>
    <n v="500000"/>
    <m/>
    <m/>
    <x v="0"/>
    <n v="135062373"/>
    <s v="OP - SUGENG PRIYONO OP-SERVIS AC REIMBURSE PAK SUGENG PRIYONO"/>
    <x v="8"/>
  </r>
  <r>
    <n v="2000000"/>
    <m/>
    <m/>
    <x v="0"/>
    <n v="133062373"/>
    <s v="JUMAT BERKAH WATTIA NETI PEMBAYARAN DP REKENING JUMAT BAROKAH ALJABAR"/>
    <x v="9"/>
  </r>
  <r>
    <n v="2500"/>
    <m/>
    <m/>
    <x v="0"/>
    <n v="133059873"/>
    <s v="JUMAT BERKAH WATTIA NETI BIAYA TRANSFER DP REKENING JUMAT BAROKAH ALJABAR"/>
    <x v="9"/>
  </r>
  <r>
    <m/>
    <m/>
    <n v="504000"/>
    <x v="0"/>
    <n v="133563873"/>
    <s v="JUMAT BERKAH DARI ACHMAD FANANI ,DR."/>
    <x v="6"/>
  </r>
  <r>
    <m/>
    <m/>
    <n v="100000"/>
    <x v="0"/>
    <n v="133663873"/>
    <s v="JUMAT BERKAH DARI SHINTA NUR DEWANTI"/>
    <x v="6"/>
  </r>
  <r>
    <m/>
    <m/>
    <n v="400000"/>
    <x v="0"/>
    <n v="134063873"/>
    <s v="OP-INFAQ TPQ"/>
    <x v="10"/>
  </r>
  <r>
    <m/>
    <m/>
    <n v="300000"/>
    <x v="0"/>
    <n v="134363873"/>
    <s v="JUMAT BERKAH DARI AGUNG PRAMONO"/>
    <x v="6"/>
  </r>
  <r>
    <m/>
    <m/>
    <n v="300000"/>
    <x v="0"/>
    <n v="134663873"/>
    <s v="JUMAT BERKAH DARI RIZKI HIDAYAT"/>
    <x v="6"/>
  </r>
  <r>
    <m/>
    <m/>
    <n v="600000"/>
    <x v="0"/>
    <n v="135263873"/>
    <s v="JUMAT BERKAH DARI YUANITA"/>
    <x v="6"/>
  </r>
  <r>
    <m/>
    <m/>
    <n v="350000"/>
    <x v="0"/>
    <n v="135613873"/>
    <s v="JUMAT BERKAH DARI HAMZAH PATANGARIH"/>
    <x v="6"/>
  </r>
  <r>
    <n v="1600000"/>
    <m/>
    <m/>
    <x v="0"/>
    <n v="134013873"/>
    <s v="PELUNASAN CATERING JUMAT BERKAH"/>
    <x v="9"/>
  </r>
  <r>
    <n v="2500"/>
    <m/>
    <m/>
    <x v="0"/>
    <n v="134011373"/>
    <s v="BIAYA ADMPELUNASAN CATERING JUMAT BERKAH"/>
    <x v="9"/>
  </r>
  <r>
    <n v="750000"/>
    <m/>
    <m/>
    <x v="0"/>
    <n v="133261373"/>
    <s v="HONOR USTADZ ABDUL HAMID"/>
    <x v="11"/>
  </r>
  <r>
    <n v="2500"/>
    <m/>
    <m/>
    <x v="0"/>
    <n v="133258873"/>
    <s v="BIAYA ADM HONOR USTADZ ABDUL HAMID"/>
    <x v="11"/>
  </r>
  <r>
    <m/>
    <m/>
    <n v="300000"/>
    <x v="0"/>
    <n v="133558873"/>
    <s v="OP-INFAQ DJOKO SULISTIYONO"/>
    <x v="2"/>
  </r>
  <r>
    <m/>
    <m/>
    <n v="50000"/>
    <x v="0"/>
    <n v="133608873"/>
    <s v="INFAQ DARI PUTIE AMBUN SURI / RIVENDRA"/>
    <x v="2"/>
  </r>
  <r>
    <m/>
    <m/>
    <n v="100000"/>
    <x v="0"/>
    <n v="133708873"/>
    <s v="INFAQ DARI HASNANTO"/>
    <x v="2"/>
  </r>
  <r>
    <m/>
    <m/>
    <n v="3000000"/>
    <x v="0"/>
    <n v="136708873"/>
    <s v="INFAQ DARI ISTANTO / IDAWATI"/>
    <x v="2"/>
  </r>
  <r>
    <m/>
    <m/>
    <n v="2773000"/>
    <x v="0"/>
    <n v="139481873"/>
    <s v="Akun Yatim &amp; Sosial"/>
    <x v="12"/>
  </r>
  <r>
    <m/>
    <m/>
    <n v="3977000"/>
    <x v="0"/>
    <n v="143458873"/>
    <s v="Operasional (Infaq &amp; Sodaqoh)"/>
    <x v="2"/>
  </r>
  <r>
    <n v="2000000"/>
    <m/>
    <m/>
    <x v="0"/>
    <n v="141458873"/>
    <s v="Dropping Petty cash"/>
    <x v="1"/>
  </r>
  <r>
    <n v="200000"/>
    <m/>
    <m/>
    <x v="0"/>
    <n v="141258873"/>
    <s v="Selisih hitung setor bank"/>
    <x v="1"/>
  </r>
  <r>
    <m/>
    <n v="4550000"/>
    <m/>
    <x v="1"/>
    <n v="141258873"/>
    <s v="SETOR IMRON ROSADI"/>
    <x v="4"/>
  </r>
  <r>
    <m/>
    <m/>
    <n v="100000"/>
    <x v="0"/>
    <n v="141358873"/>
    <s v="INFAQ DARI MAHMUD"/>
    <x v="2"/>
  </r>
  <r>
    <m/>
    <m/>
    <n v="7000"/>
    <x v="0"/>
    <n v="141365873"/>
    <s v="INFAQ DARI MUHAMMAD UBAIDILLAH"/>
    <x v="2"/>
  </r>
  <r>
    <m/>
    <m/>
    <n v="1000000"/>
    <x v="0"/>
    <n v="142365873"/>
    <s v="INFAQ DARI ARWINDO"/>
    <x v="2"/>
  </r>
  <r>
    <m/>
    <m/>
    <n v="600000"/>
    <x v="0"/>
    <n v="142965873"/>
    <s v="INFAQ DARI TPQ"/>
    <x v="10"/>
  </r>
  <r>
    <m/>
    <m/>
    <n v="250000"/>
    <x v="0"/>
    <n v="143215873"/>
    <s v="JUMAT BERKAH DARI AMRAN ANWAR"/>
    <x v="6"/>
  </r>
  <r>
    <n v="2500000"/>
    <m/>
    <m/>
    <x v="0"/>
    <n v="140715873"/>
    <s v="PO CATERING JUMAT BAROKAH"/>
    <x v="9"/>
  </r>
  <r>
    <m/>
    <m/>
    <n v="50000"/>
    <x v="0"/>
    <n v="140765873"/>
    <s v="INFAQ DARI MUHAMMAD AKMAL HAKIM"/>
    <x v="2"/>
  </r>
  <r>
    <m/>
    <m/>
    <n v="5000"/>
    <x v="0"/>
    <n v="140770873"/>
    <s v="INFAQ DARI GOPAY"/>
    <x v="2"/>
  </r>
  <r>
    <m/>
    <m/>
    <n v="4044000"/>
    <x v="0"/>
    <n v="144814873"/>
    <s v="Akun Yatim &amp; Sosial"/>
    <x v="12"/>
  </r>
  <r>
    <m/>
    <m/>
    <n v="2967000"/>
    <x v="0"/>
    <n v="147781873"/>
    <s v="Operasional (Infaq &amp; Sodaqoh)"/>
    <x v="2"/>
  </r>
  <r>
    <n v="3000000"/>
    <m/>
    <m/>
    <x v="0"/>
    <n v="144781873"/>
    <s v="Dropping Petty cash"/>
    <x v="1"/>
  </r>
  <r>
    <n v="20000"/>
    <m/>
    <m/>
    <x v="0"/>
    <n v="144761873"/>
    <s v="Selisih hitung setor bank"/>
    <x v="1"/>
  </r>
  <r>
    <m/>
    <n v="3991000"/>
    <m/>
    <x v="1"/>
    <n v="144761873"/>
    <s v="SETOR IMRON ROSADI"/>
    <x v="4"/>
  </r>
  <r>
    <m/>
    <n v="6850000"/>
    <m/>
    <x v="1"/>
    <n v="144761873"/>
    <s v="Pengumpulan infaq oleh Ustad Imron"/>
    <x v="4"/>
  </r>
  <r>
    <m/>
    <n v="-1000000"/>
    <m/>
    <x v="1"/>
    <n v="144761873"/>
    <s v="Infaq disetor langsung ke rekening masjid "/>
    <x v="4"/>
  </r>
  <r>
    <m/>
    <n v="-685000"/>
    <m/>
    <x v="1"/>
    <n v="144761873"/>
    <s v="Honor collector ustadz Imron"/>
    <x v="4"/>
  </r>
  <r>
    <m/>
    <m/>
    <n v="5165000"/>
    <x v="0"/>
    <n v="149926873"/>
    <s v="SETOR IMRON ROSADI"/>
    <x v="2"/>
  </r>
  <r>
    <m/>
    <m/>
    <n v="10000"/>
    <x v="0"/>
    <n v="149936873"/>
    <s v="INFAQ DARI GOPAY"/>
    <x v="2"/>
  </r>
  <r>
    <m/>
    <m/>
    <n v="10000"/>
    <x v="0"/>
    <n v="149946873"/>
    <s v="INFAQ DARI YOYOK SUBIANTO"/>
    <x v="2"/>
  </r>
  <r>
    <n v="750000"/>
    <m/>
    <m/>
    <x v="0"/>
    <n v="149196873"/>
    <s v="Reimburse ke Rivendra Hadiah Kajian Sabtu Ust. Affan"/>
    <x v="11"/>
  </r>
  <r>
    <n v="2500"/>
    <m/>
    <m/>
    <x v="0"/>
    <n v="149194373"/>
    <s v="Biaya transfer Reimburse Hadiah Kajian Sabtu Ust. Affan"/>
    <x v="11"/>
  </r>
  <r>
    <n v="756500"/>
    <m/>
    <m/>
    <x v="0"/>
    <n v="148437873"/>
    <s v="Reimburse ke Rivendra Hadiah Kajian Ahad Ust. Hasan"/>
    <x v="11"/>
  </r>
  <r>
    <n v="2500"/>
    <m/>
    <m/>
    <x v="0"/>
    <n v="148435373"/>
    <s v="Biaya transfer Reimburse Hadiah Kajian Ahad Ust. Hasan"/>
    <x v="11"/>
  </r>
  <r>
    <m/>
    <m/>
    <n v="10000"/>
    <x v="0"/>
    <n v="148445373"/>
    <s v="INFAQ DARI YOYOK SUBIANTO"/>
    <x v="2"/>
  </r>
  <r>
    <m/>
    <m/>
    <n v="1200000"/>
    <x v="0"/>
    <n v="149645373"/>
    <s v="INFAQ DARI HASNANTO WAHYUDI"/>
    <x v="2"/>
  </r>
  <r>
    <m/>
    <m/>
    <n v="500000"/>
    <x v="0"/>
    <n v="150145373"/>
    <s v="JUMAT BERKAH DARI H.ROPI"/>
    <x v="6"/>
  </r>
  <r>
    <m/>
    <m/>
    <n v="10000"/>
    <x v="0"/>
    <n v="150155373"/>
    <s v="INFAQ DARI JAMAAH"/>
    <x v="2"/>
  </r>
  <r>
    <m/>
    <m/>
    <n v="300000"/>
    <x v="0"/>
    <n v="150455373"/>
    <s v="JUMAT BERKAH DARI EDI NURHADI"/>
    <x v="6"/>
  </r>
  <r>
    <m/>
    <m/>
    <n v="300000"/>
    <x v="0"/>
    <n v="150755373"/>
    <s v="JUMAT BERKAH DARI AMRAN ANWAR"/>
    <x v="6"/>
  </r>
  <r>
    <m/>
    <m/>
    <n v="150000"/>
    <x v="0"/>
    <n v="150905373"/>
    <s v="INFAQ DARI SURJATI SUTARJA"/>
    <x v="2"/>
  </r>
  <r>
    <m/>
    <m/>
    <n v="10000"/>
    <x v="0"/>
    <n v="150915373"/>
    <s v="INFAQ DARI WARGA"/>
    <x v="2"/>
  </r>
  <r>
    <m/>
    <m/>
    <n v="300000"/>
    <x v="0"/>
    <n v="151215373"/>
    <s v="JUMAT BERKAH DARI AGUNG PRAMONO"/>
    <x v="6"/>
  </r>
  <r>
    <m/>
    <m/>
    <n v="300000"/>
    <x v="0"/>
    <n v="151515373"/>
    <s v="INFAQ DARI WARGA"/>
    <x v="2"/>
  </r>
  <r>
    <n v="1400000"/>
    <m/>
    <m/>
    <x v="0"/>
    <n v="150115373"/>
    <s v="PEMBELIAN JUMAT BERKAH"/>
    <x v="9"/>
  </r>
  <r>
    <m/>
    <m/>
    <n v="100000"/>
    <x v="0"/>
    <n v="150215373"/>
    <s v="INFAQ DARI WARGA"/>
    <x v="2"/>
  </r>
  <r>
    <m/>
    <m/>
    <n v="10000"/>
    <x v="0"/>
    <n v="150225373"/>
    <s v="INFAQ DARI WARGA"/>
    <x v="2"/>
  </r>
  <r>
    <n v="750000"/>
    <m/>
    <m/>
    <x v="0"/>
    <n v="149475373"/>
    <s v="HONOR USTADZ KHOERUL MAKTUM"/>
    <x v="11"/>
  </r>
  <r>
    <n v="2500"/>
    <m/>
    <m/>
    <x v="0"/>
    <n v="149472873"/>
    <s v="BIAYA ADM HONOR USTADZ KHOERUL MAKTUM"/>
    <x v="11"/>
  </r>
  <r>
    <m/>
    <m/>
    <n v="100000"/>
    <x v="0"/>
    <n v="149572873"/>
    <s v="INFAQ DARI WARGA FENTY HERLIANA"/>
    <x v="2"/>
  </r>
  <r>
    <m/>
    <m/>
    <n v="200000"/>
    <x v="0"/>
    <n v="149772873"/>
    <s v="INFAQ DARI TPQ RIVENDRA"/>
    <x v="10"/>
  </r>
  <r>
    <m/>
    <m/>
    <n v="300000"/>
    <x v="0"/>
    <n v="150072873"/>
    <s v="INFAQ DARI WARGA BENY PRIYATNA KUSUMA"/>
    <x v="2"/>
  </r>
  <r>
    <n v="1000000"/>
    <m/>
    <m/>
    <x v="0"/>
    <n v="149072873"/>
    <s v="HONOR USTADZ WAHID RAHMAN"/>
    <x v="11"/>
  </r>
  <r>
    <n v="2500"/>
    <m/>
    <m/>
    <x v="0"/>
    <n v="149070373"/>
    <s v="BIAYA ADM HONOR USTADZ WAHID RAHMAN"/>
    <x v="11"/>
  </r>
  <r>
    <m/>
    <m/>
    <n v="10000"/>
    <x v="0"/>
    <n v="149080373"/>
    <s v="INFAQ DARI WARGA"/>
    <x v="2"/>
  </r>
  <r>
    <m/>
    <m/>
    <n v="5000"/>
    <x v="0"/>
    <n v="149085373"/>
    <s v="INFAQ DARI WARGA"/>
    <x v="2"/>
  </r>
  <r>
    <m/>
    <m/>
    <n v="200000"/>
    <x v="0"/>
    <n v="149285373"/>
    <s v="INFAQ DARI MOHAMMADIANTORO PURNAWAN A.N ALM M.HASAN"/>
    <x v="2"/>
  </r>
  <r>
    <m/>
    <m/>
    <n v="10000"/>
    <x v="0"/>
    <n v="149295373"/>
    <s v="INFAQ DARI WARGA"/>
    <x v="2"/>
  </r>
  <r>
    <n v="3250000"/>
    <m/>
    <m/>
    <x v="0"/>
    <n v="146045373"/>
    <s v="HONOR NANANG SUBAEDI"/>
    <x v="13"/>
  </r>
  <r>
    <n v="6500"/>
    <m/>
    <m/>
    <x v="0"/>
    <n v="146038873"/>
    <s v="BIAYA ADM HONOR NANANG SUBAEDI"/>
    <x v="13"/>
  </r>
  <r>
    <n v="2000000"/>
    <m/>
    <m/>
    <x v="0"/>
    <n v="144038873"/>
    <s v="HONOR YANA SIGIT ISMATULLAH"/>
    <x v="13"/>
  </r>
  <r>
    <n v="6500"/>
    <m/>
    <m/>
    <x v="0"/>
    <n v="144032373"/>
    <s v="BIAYA ADM HONOR YANA SIGIT ISMATULLAH"/>
    <x v="13"/>
  </r>
  <r>
    <n v="2500000"/>
    <m/>
    <m/>
    <x v="0"/>
    <n v="141532373"/>
    <s v="HONOR NANANG AZIS / ISTANTO"/>
    <x v="13"/>
  </r>
  <r>
    <n v="6500"/>
    <m/>
    <m/>
    <x v="0"/>
    <n v="141525873"/>
    <s v="BIAYA ADM HONOR AZIS / ISTANTO"/>
    <x v="13"/>
  </r>
  <r>
    <n v="2700000"/>
    <m/>
    <m/>
    <x v="0"/>
    <n v="138825873"/>
    <s v="HONOR M BAYU CANDRA"/>
    <x v="14"/>
  </r>
  <r>
    <n v="6500"/>
    <m/>
    <m/>
    <x v="0"/>
    <n v="138819373"/>
    <s v="BIAYA ADM HONOR M BAYU CANDRA"/>
    <x v="14"/>
  </r>
  <r>
    <n v="2000000"/>
    <m/>
    <m/>
    <x v="0"/>
    <n v="136819373"/>
    <s v="HONOR A IMRON ROSADI"/>
    <x v="13"/>
  </r>
  <r>
    <n v="6500"/>
    <m/>
    <m/>
    <x v="0"/>
    <n v="136812873"/>
    <s v="BIAYA ADM HONOR A IMRON ROSADI"/>
    <x v="13"/>
  </r>
  <r>
    <n v="1500000"/>
    <m/>
    <m/>
    <x v="0"/>
    <n v="135312873"/>
    <s v="HONOR MUHAMMAD ILHAM"/>
    <x v="13"/>
  </r>
  <r>
    <n v="6500"/>
    <m/>
    <m/>
    <x v="0"/>
    <n v="135306373"/>
    <s v="BIAYA ADM HONOR MUHAMMAD ILHAM"/>
    <x v="13"/>
  </r>
  <r>
    <n v="2500000"/>
    <m/>
    <m/>
    <x v="0"/>
    <n v="132806373"/>
    <s v="HONOR SURYADI"/>
    <x v="13"/>
  </r>
  <r>
    <m/>
    <m/>
    <n v="6000000"/>
    <x v="0"/>
    <n v="138806373"/>
    <s v="INFAQ DARI HARMEN"/>
    <x v="2"/>
  </r>
  <r>
    <m/>
    <m/>
    <n v="10000"/>
    <x v="0"/>
    <n v="138816373"/>
    <s v="INFAQ DARI WARGA"/>
    <x v="2"/>
  </r>
  <r>
    <n v="3000000"/>
    <m/>
    <m/>
    <x v="0"/>
    <n v="135816373"/>
    <s v="PENGGANTIAN BIAYA RAWAT SANTRI KE UST. BAMBANG"/>
    <x v="15"/>
  </r>
  <r>
    <n v="2000000"/>
    <m/>
    <m/>
    <x v="0"/>
    <n v="133816373"/>
    <s v="LINA HERLINA BIAYA MAJ BIAYA PENGAJIAN IBU-IBU"/>
    <x v="11"/>
  </r>
  <r>
    <n v="2500"/>
    <m/>
    <m/>
    <x v="0"/>
    <n v="133813873"/>
    <s v="BIAYA ADM LINA HERLINA BIAYA MAJ BIAYA PENGAJIAN IBU-IBU"/>
    <x v="11"/>
  </r>
  <r>
    <m/>
    <m/>
    <n v="1000"/>
    <x v="0"/>
    <n v="133814873"/>
    <s v="JUMAT BERKAH DARI RIVENDRA"/>
    <x v="6"/>
  </r>
  <r>
    <m/>
    <m/>
    <n v="750000"/>
    <x v="0"/>
    <n v="134564873"/>
    <s v="INFAQ DARI WARGA AGUSTANI Biaya Tebang Pohon"/>
    <x v="2"/>
  </r>
  <r>
    <m/>
    <m/>
    <n v="10000"/>
    <x v="0"/>
    <n v="134574873"/>
    <s v="INFAQ DARI WARGA"/>
    <x v="2"/>
  </r>
  <r>
    <m/>
    <m/>
    <m/>
    <x v="0"/>
    <n v="134574873"/>
    <s v="INFAQ DARI WARGA"/>
    <x v="2"/>
  </r>
  <r>
    <m/>
    <m/>
    <m/>
    <x v="0"/>
    <n v="134574873"/>
    <s v="INFAQ DARI WARGA"/>
    <x v="2"/>
  </r>
  <r>
    <m/>
    <m/>
    <n v="2643000"/>
    <x v="0"/>
    <n v="137217873"/>
    <s v="Akun Yatim &amp; Sosial"/>
    <x v="12"/>
  </r>
  <r>
    <m/>
    <m/>
    <n v="4823000"/>
    <x v="0"/>
    <n v="142040873"/>
    <s v="Operasional (Infaq &amp; Sodaqoh)"/>
    <x v="2"/>
  </r>
  <r>
    <n v="2000000"/>
    <m/>
    <m/>
    <x v="0"/>
    <n v="140040873"/>
    <s v="Dropping Petty cash"/>
    <x v="1"/>
  </r>
  <r>
    <n v="50000"/>
    <m/>
    <m/>
    <x v="0"/>
    <n v="139990873"/>
    <s v="Selisih hitung setor bank"/>
    <x v="1"/>
  </r>
  <r>
    <m/>
    <n v="5416000"/>
    <m/>
    <x v="1"/>
    <n v="139990873"/>
    <s v="SETOR IMRON ROSADI"/>
    <x v="4"/>
  </r>
  <r>
    <n v="4613000"/>
    <m/>
    <m/>
    <x v="0"/>
    <n v="135377873"/>
    <s v="PENGGANTIAN SISA BIAYA RAWAT SANTRI KE UST. BAMBANG"/>
    <x v="15"/>
  </r>
  <r>
    <n v="2500"/>
    <m/>
    <m/>
    <x v="0"/>
    <n v="135375373"/>
    <s v="BIAYA ADM PENGGANTIAN BIAYA RAWAT SANTRI KE UST. BAMBANG"/>
    <x v="15"/>
  </r>
  <r>
    <n v="4000000"/>
    <m/>
    <m/>
    <x v="0"/>
    <n v="131375373"/>
    <s v="MAJ BIAYA PERAWATAN SANTRI JANUARI VIA REK UST.BAYU"/>
    <x v="14"/>
  </r>
  <r>
    <n v="2500"/>
    <m/>
    <m/>
    <x v="0"/>
    <n v="131372873"/>
    <s v="BIAYA ADM MAJ BIAYA PERAWATAN SANTRI JANUARI VIA REK UST.BAYU"/>
    <x v="14"/>
  </r>
  <r>
    <n v="4950000"/>
    <m/>
    <m/>
    <x v="0"/>
    <n v="126422873"/>
    <s v="BIAYA PERAWATAN MASJID (PANGKAS SAWIT, BAMBU &amp; LAMPU)"/>
    <x v="8"/>
  </r>
  <r>
    <m/>
    <m/>
    <n v="100000"/>
    <x v="0"/>
    <n v="126522873"/>
    <s v="ZAKAT DARI MOH RESAWAN HAKIM"/>
    <x v="16"/>
  </r>
  <r>
    <n v="1000000"/>
    <m/>
    <m/>
    <x v="2"/>
    <n v="125522873"/>
    <s v="HONOR USTADZ AZHAR KHALID"/>
    <x v="11"/>
  </r>
  <r>
    <n v="2500"/>
    <m/>
    <m/>
    <x v="2"/>
    <n v="125520373"/>
    <s v="BIAYA ADM HONOR USTADZ AZHAR KHALID"/>
    <x v="11"/>
  </r>
  <r>
    <m/>
    <m/>
    <n v="1000"/>
    <x v="2"/>
    <n v="125521373"/>
    <s v="INFAQ DARI YOYOK SUBIANTO"/>
    <x v="2"/>
  </r>
  <r>
    <m/>
    <m/>
    <n v="75000"/>
    <x v="2"/>
    <n v="125596373"/>
    <s v="INFAQ DARI WIDHIYAKSA SAVEEDRA"/>
    <x v="2"/>
  </r>
  <r>
    <m/>
    <m/>
    <n v="500000"/>
    <x v="2"/>
    <n v="126096373"/>
    <s v="INFAQ DARI DRS SARWONO"/>
    <x v="2"/>
  </r>
  <r>
    <m/>
    <m/>
    <n v="200000"/>
    <x v="2"/>
    <n v="126296373"/>
    <s v="INFAQ DARI DEDEN TP PERDIANSYAH"/>
    <x v="2"/>
  </r>
  <r>
    <m/>
    <m/>
    <n v="15000"/>
    <x v="2"/>
    <n v="126311373"/>
    <s v="INFAQ DARI RIZKIVITA AGNES "/>
    <x v="2"/>
  </r>
  <r>
    <m/>
    <m/>
    <n v="300000"/>
    <x v="2"/>
    <n v="126611373"/>
    <s v="INFAQ DARI BU FAJAR TS 8"/>
    <x v="2"/>
  </r>
  <r>
    <m/>
    <m/>
    <n v="200000"/>
    <x v="2"/>
    <n v="126811373"/>
    <s v="INFAQ DARI UMI HAMIDAH"/>
    <x v="2"/>
  </r>
  <r>
    <m/>
    <m/>
    <n v="300000"/>
    <x v="2"/>
    <n v="127111373"/>
    <s v="INFAQ DARI AGUNG PRAMONO"/>
    <x v="2"/>
  </r>
  <r>
    <n v="750000"/>
    <m/>
    <m/>
    <x v="2"/>
    <n v="126361373"/>
    <s v="HONOR USTADZ HIKMATIYAR ABU UMAR"/>
    <x v="11"/>
  </r>
  <r>
    <n v="2500"/>
    <m/>
    <m/>
    <x v="2"/>
    <n v="126358873"/>
    <s v="BIAYA ADM HONOR USTADZ HIKMATIYAR ABU UMAR"/>
    <x v="11"/>
  </r>
  <r>
    <m/>
    <m/>
    <n v="500000"/>
    <x v="2"/>
    <n v="126858873"/>
    <s v="INFAQ DARI SHINTA NUR DEWANTI A.N NURKHOLIS TA 3/3"/>
    <x v="2"/>
  </r>
  <r>
    <m/>
    <m/>
    <n v="200000"/>
    <x v="2"/>
    <n v="127058873"/>
    <s v="INFAQ DARI WUSONO PRIHADI SANTO"/>
    <x v="2"/>
  </r>
  <r>
    <m/>
    <m/>
    <n v="400000"/>
    <x v="2"/>
    <n v="127458873"/>
    <s v="INFAQ DARI PUTIE AMBUN SURI/RIVENDRA"/>
    <x v="2"/>
  </r>
  <r>
    <m/>
    <m/>
    <n v="200000"/>
    <x v="2"/>
    <n v="127658873"/>
    <s v="INFAQ DARI DEDEN TP PERDIANSYAH"/>
    <x v="2"/>
  </r>
  <r>
    <m/>
    <m/>
    <n v="500000"/>
    <x v="2"/>
    <n v="128158873"/>
    <s v="INFAQ DARI INDRA EDI SANTOSO"/>
    <x v="2"/>
  </r>
  <r>
    <m/>
    <m/>
    <n v="2412000"/>
    <x v="2"/>
    <n v="130570873"/>
    <s v="Akun Yatim &amp; Sosial"/>
    <x v="12"/>
  </r>
  <r>
    <m/>
    <m/>
    <n v="3924000"/>
    <x v="2"/>
    <n v="134494873"/>
    <s v="Operasional (Infaq &amp; Sodaqoh)"/>
    <x v="2"/>
  </r>
  <r>
    <m/>
    <n v="6336000"/>
    <m/>
    <x v="1"/>
    <n v="134494873"/>
    <s v="SETOR IMRON ROSADI"/>
    <x v="4"/>
  </r>
  <r>
    <m/>
    <m/>
    <n v="1000000"/>
    <x v="2"/>
    <n v="135494873"/>
    <s v="INFAQ DARI AMRAN ANWAR"/>
    <x v="2"/>
  </r>
  <r>
    <m/>
    <m/>
    <n v="200000"/>
    <x v="2"/>
    <n v="135694873"/>
    <s v="INFAQ DARI MOHAMMADIANTORO PURNAWAN A.N ALM M.HASAN"/>
    <x v="2"/>
  </r>
  <r>
    <m/>
    <m/>
    <n v="100000"/>
    <x v="2"/>
    <n v="135794873"/>
    <s v="INFAQ DARI FENTYHERLIANA A.N YUDHA BS"/>
    <x v="2"/>
  </r>
  <r>
    <n v="2000000"/>
    <m/>
    <m/>
    <x v="2"/>
    <n v="133794873"/>
    <s v="BIAYA PENGAJIAN IBU-IBU MAJ FEBRUARI"/>
    <x v="11"/>
  </r>
  <r>
    <n v="2500"/>
    <m/>
    <m/>
    <x v="2"/>
    <n v="133792373"/>
    <s v="BIAYA ADM PENGAJIAN IBU-IBU MAJ FEBRUARI"/>
    <x v="11"/>
  </r>
  <r>
    <m/>
    <m/>
    <n v="2000000"/>
    <x v="2"/>
    <n v="135792373"/>
    <s v="INFAQ DARI RIZKY HIDAYAT SL"/>
    <x v="2"/>
  </r>
  <r>
    <m/>
    <m/>
    <n v="250000"/>
    <x v="2"/>
    <n v="136042373"/>
    <s v="INFAQ DARI SEPTEMBERIZAL TA 1/8"/>
    <x v="2"/>
  </r>
  <r>
    <m/>
    <m/>
    <n v="66500"/>
    <x v="2"/>
    <n v="136108873"/>
    <s v="Refund Program MAP_Januari 2025"/>
    <x v="2"/>
  </r>
  <r>
    <n v="750000"/>
    <m/>
    <m/>
    <x v="2"/>
    <n v="135358873"/>
    <s v="HONOR USTADZ ABDUL HAMID"/>
    <x v="11"/>
  </r>
  <r>
    <n v="2500"/>
    <m/>
    <m/>
    <x v="2"/>
    <n v="135356373"/>
    <s v="BIAYA ADM HONOR USTADZ ABDUL HAMID"/>
    <x v="11"/>
  </r>
  <r>
    <m/>
    <m/>
    <n v="20000"/>
    <x v="2"/>
    <n v="135376373"/>
    <s v="INFAQ DARI YOYOK SUBIANTO"/>
    <x v="2"/>
  </r>
  <r>
    <m/>
    <m/>
    <n v="75000"/>
    <x v="2"/>
    <n v="135451373"/>
    <s v="INFAQ DARI WIDHIYAKSA SAVEEDRA"/>
    <x v="2"/>
  </r>
  <r>
    <m/>
    <m/>
    <n v="1500"/>
    <x v="2"/>
    <n v="135452873"/>
    <s v="INFAQ DARI GOPAY"/>
    <x v="2"/>
  </r>
  <r>
    <m/>
    <m/>
    <n v="1250000"/>
    <x v="2"/>
    <n v="136702873"/>
    <s v="INFAQ DARI JIMMY FAJRIANSYAH"/>
    <x v="2"/>
  </r>
  <r>
    <n v="750000"/>
    <m/>
    <m/>
    <x v="2"/>
    <n v="135952873"/>
    <s v="HONOR USTADZ DARWIS"/>
    <x v="11"/>
  </r>
  <r>
    <m/>
    <m/>
    <n v="2000000"/>
    <x v="2"/>
    <n v="137952873"/>
    <s v="INFAQ DARI PAK RAMADHAN"/>
    <x v="2"/>
  </r>
  <r>
    <m/>
    <m/>
    <n v="20000"/>
    <x v="2"/>
    <n v="137972873"/>
    <s v="INFAQ DARI MAY SOEKMONO"/>
    <x v="2"/>
  </r>
  <r>
    <m/>
    <m/>
    <n v="3222000"/>
    <x v="2"/>
    <n v="141194873"/>
    <s v="Akun Yatim &amp; Sosial"/>
    <x v="12"/>
  </r>
  <r>
    <m/>
    <m/>
    <n v="4084000"/>
    <x v="2"/>
    <n v="145278873"/>
    <s v="Operasional (Infaq &amp; Sodaqoh)"/>
    <x v="2"/>
  </r>
  <r>
    <m/>
    <n v="7306000"/>
    <m/>
    <x v="1"/>
    <n v="145278873"/>
    <s v="SETOR IMRON ROSADI"/>
    <x v="4"/>
  </r>
  <r>
    <n v="840000"/>
    <m/>
    <m/>
    <x v="2"/>
    <n v="144438873"/>
    <s v="REIMBURSE SERVICE AC MASJID"/>
    <x v="8"/>
  </r>
  <r>
    <n v="2500"/>
    <m/>
    <m/>
    <x v="2"/>
    <n v="144436373"/>
    <s v="REIMBURSE SERVICE AC MASJID"/>
    <x v="8"/>
  </r>
  <r>
    <n v="1000000"/>
    <m/>
    <m/>
    <x v="2"/>
    <n v="143436373"/>
    <s v="MAHMUD MADJID BELI PARFUM PEWANGI KARPET MAJ"/>
    <x v="8"/>
  </r>
  <r>
    <n v="2500"/>
    <m/>
    <m/>
    <x v="2"/>
    <n v="143433873"/>
    <s v="MAHMUD MADJID BELI PARFUM PEWANGI KARPET MAJ"/>
    <x v="8"/>
  </r>
  <r>
    <m/>
    <m/>
    <n v="1800000"/>
    <x v="2"/>
    <n v="145233873"/>
    <s v="INFAQ DARI SARI ARGO WARDANI"/>
    <x v="2"/>
  </r>
  <r>
    <m/>
    <m/>
    <n v="10000"/>
    <x v="2"/>
    <n v="145243873"/>
    <s v="INFAQ DARI YOYOK SUBIANTO"/>
    <x v="2"/>
  </r>
  <r>
    <m/>
    <m/>
    <n v="20000"/>
    <x v="2"/>
    <n v="145263873"/>
    <s v="QRIS"/>
    <x v="2"/>
  </r>
  <r>
    <m/>
    <m/>
    <n v="10000"/>
    <x v="2"/>
    <n v="145273873"/>
    <s v="QRIS"/>
    <x v="2"/>
  </r>
  <r>
    <m/>
    <m/>
    <n v="25000"/>
    <x v="2"/>
    <n v="145298873"/>
    <s v="QRIS"/>
    <x v="2"/>
  </r>
  <r>
    <m/>
    <m/>
    <n v="400000"/>
    <x v="2"/>
    <n v="145698873"/>
    <s v="INFAQ TPQ IMRON ROSADI"/>
    <x v="10"/>
  </r>
  <r>
    <m/>
    <m/>
    <n v="100000"/>
    <x v="2"/>
    <n v="145798873"/>
    <s v="QRIS"/>
    <x v="2"/>
  </r>
  <r>
    <m/>
    <m/>
    <n v="10000"/>
    <x v="2"/>
    <n v="145808873"/>
    <s v="QRIS"/>
    <x v="2"/>
  </r>
  <r>
    <m/>
    <m/>
    <n v="1700"/>
    <x v="2"/>
    <n v="145810573"/>
    <s v="QRIS"/>
    <x v="2"/>
  </r>
  <r>
    <n v="750000"/>
    <m/>
    <m/>
    <x v="2"/>
    <n v="145060573"/>
    <s v="UST AFAN MUBARAK"/>
    <x v="11"/>
  </r>
  <r>
    <n v="2500"/>
    <m/>
    <m/>
    <x v="2"/>
    <n v="145058073"/>
    <s v="ADM"/>
    <x v="11"/>
  </r>
  <r>
    <n v="750000"/>
    <m/>
    <m/>
    <x v="2"/>
    <n v="144308073"/>
    <s v="UST HASAN MUBARAK"/>
    <x v="11"/>
  </r>
  <r>
    <n v="2500"/>
    <m/>
    <m/>
    <x v="2"/>
    <n v="144305573"/>
    <s v="ADM"/>
    <x v="11"/>
  </r>
  <r>
    <m/>
    <m/>
    <n v="10000"/>
    <x v="2"/>
    <n v="144315573"/>
    <s v="QRIS"/>
    <x v="2"/>
  </r>
  <r>
    <m/>
    <m/>
    <n v="1550000"/>
    <x v="2"/>
    <n v="145865573"/>
    <s v="INFAQ COLLECTIVE WARGA RT 5"/>
    <x v="2"/>
  </r>
  <r>
    <m/>
    <m/>
    <n v="10000"/>
    <x v="2"/>
    <n v="145875573"/>
    <s v="QRIS"/>
    <x v="2"/>
  </r>
  <r>
    <m/>
    <m/>
    <n v="3264000"/>
    <x v="2"/>
    <n v="149139573"/>
    <s v="Akun Yatim &amp; Sosial"/>
    <x v="12"/>
  </r>
  <r>
    <m/>
    <m/>
    <n v="3961000"/>
    <x v="2"/>
    <n v="153100573"/>
    <s v="Operasional (Infaq &amp; Sodaqoh)"/>
    <x v="2"/>
  </r>
  <r>
    <n v="2000000"/>
    <m/>
    <m/>
    <x v="2"/>
    <n v="151100573"/>
    <s v="Isi Petty Cash"/>
    <x v="1"/>
  </r>
  <r>
    <m/>
    <n v="5225000"/>
    <m/>
    <x v="1"/>
    <n v="151100573"/>
    <s v="SETOR IMRON ROSADI"/>
    <x v="4"/>
  </r>
  <r>
    <n v="625000"/>
    <m/>
    <m/>
    <x v="2"/>
    <n v="150475573"/>
    <s v="BIAYA CETAK IMSAKIYAH MAJ 500 LBR"/>
    <x v="1"/>
  </r>
  <r>
    <n v="2500"/>
    <m/>
    <m/>
    <x v="2"/>
    <n v="150473073"/>
    <s v="BIAYA ADM CETAK IMSAKIYAH MAJ 500 LBR"/>
    <x v="1"/>
  </r>
  <r>
    <m/>
    <m/>
    <n v="150000"/>
    <x v="2"/>
    <n v="150623073"/>
    <s v="INFAQ DARI JONET/DWI LISTYOWATI DRA Gunung Salak FA 5"/>
    <x v="2"/>
  </r>
  <r>
    <m/>
    <m/>
    <n v="20000"/>
    <x v="2"/>
    <n v="150643073"/>
    <s v="QRIS"/>
    <x v="2"/>
  </r>
  <r>
    <m/>
    <m/>
    <n v="1000000"/>
    <x v="2"/>
    <n v="151643073"/>
    <s v="INFAQ DARI AMIN/LAELASARI RT 5"/>
    <x v="2"/>
  </r>
  <r>
    <m/>
    <m/>
    <n v="400000"/>
    <x v="2"/>
    <n v="152043073"/>
    <s v="INFAQ TPQ DARI AGUNG PRAMONO"/>
    <x v="10"/>
  </r>
  <r>
    <m/>
    <m/>
    <n v="20000"/>
    <x v="2"/>
    <n v="152063073"/>
    <s v="QRIS"/>
    <x v="2"/>
  </r>
  <r>
    <m/>
    <n v="2650000"/>
    <m/>
    <x v="1"/>
    <n v="152063073"/>
    <s v="INFAQ COLLECTIVE IMRON"/>
    <x v="4"/>
  </r>
  <r>
    <m/>
    <n v="-265000"/>
    <m/>
    <x v="1"/>
    <n v="152063073"/>
    <s v="FEE IMRON"/>
    <x v="4"/>
  </r>
  <r>
    <m/>
    <m/>
    <n v="2385000"/>
    <x v="2"/>
    <n v="154448073"/>
    <s v="IMRON ROSADI"/>
    <x v="2"/>
  </r>
  <r>
    <m/>
    <m/>
    <n v="100000"/>
    <x v="2"/>
    <n v="154548073"/>
    <s v="INFAQ DARI SURJATI SUTARJA"/>
    <x v="2"/>
  </r>
  <r>
    <n v="750000"/>
    <m/>
    <m/>
    <x v="2"/>
    <n v="153798073"/>
    <s v="HONOR USTADZ KHOERUL MAKTUM"/>
    <x v="11"/>
  </r>
  <r>
    <n v="2500"/>
    <m/>
    <m/>
    <x v="2"/>
    <n v="153795573"/>
    <s v="BIAYA ADM HONOR USTADZ KHOERUL MAKTUM"/>
    <x v="11"/>
  </r>
  <r>
    <m/>
    <m/>
    <n v="50000"/>
    <x v="2"/>
    <n v="153845573"/>
    <s v="QRIS"/>
    <x v="2"/>
  </r>
  <r>
    <m/>
    <m/>
    <n v="20000"/>
    <x v="2"/>
    <n v="153865573"/>
    <s v="QRIS"/>
    <x v="2"/>
  </r>
  <r>
    <m/>
    <m/>
    <n v="150000"/>
    <x v="2"/>
    <n v="154015573"/>
    <s v="QRIS"/>
    <x v="2"/>
  </r>
  <r>
    <m/>
    <m/>
    <n v="1904"/>
    <x v="2"/>
    <n v="154017477"/>
    <s v="QRIS"/>
    <x v="2"/>
  </r>
  <r>
    <n v="1000000"/>
    <m/>
    <m/>
    <x v="2"/>
    <n v="153017477"/>
    <s v="HONOR USTADZ WAHID RAHMAN"/>
    <x v="11"/>
  </r>
  <r>
    <n v="2500"/>
    <m/>
    <m/>
    <x v="2"/>
    <n v="153014977"/>
    <s v="BIAYA ADM HONOR USTADZ WAHID RAHMAN"/>
    <x v="11"/>
  </r>
  <r>
    <n v="1500000"/>
    <m/>
    <m/>
    <x v="2"/>
    <n v="151514977"/>
    <s v="HONOR PELATIHAN JENAZAH"/>
    <x v="11"/>
  </r>
  <r>
    <n v="6500"/>
    <m/>
    <m/>
    <x v="2"/>
    <n v="151508477"/>
    <s v="BIAYA ADM HONOR PELATIHAN JENAZAH"/>
    <x v="11"/>
  </r>
  <r>
    <m/>
    <m/>
    <n v="5000"/>
    <x v="2"/>
    <n v="151513477"/>
    <s v="QRIS"/>
    <x v="2"/>
  </r>
  <r>
    <m/>
    <m/>
    <n v="1000"/>
    <x v="2"/>
    <n v="151514477"/>
    <s v="QRIS"/>
    <x v="2"/>
  </r>
  <r>
    <m/>
    <m/>
    <n v="2641000"/>
    <x v="2"/>
    <n v="154155477"/>
    <s v="Akun Yatim &amp; Sosial"/>
    <x v="12"/>
  </r>
  <r>
    <m/>
    <m/>
    <n v="3441000"/>
    <x v="2"/>
    <n v="157596477"/>
    <s v="Operasional (Infaq &amp; Sodaqoh)"/>
    <x v="2"/>
  </r>
  <r>
    <n v="1000000"/>
    <m/>
    <m/>
    <x v="2"/>
    <n v="156596477"/>
    <s v="Isi Petty Cash"/>
    <x v="1"/>
  </r>
  <r>
    <n v="62000"/>
    <m/>
    <m/>
    <x v="2"/>
    <n v="156534477"/>
    <s v="Selisih hitung setor bank"/>
    <x v="1"/>
  </r>
  <r>
    <m/>
    <n v="5020000"/>
    <m/>
    <x v="1"/>
    <n v="156534477"/>
    <s v="SETOR IMRON"/>
    <x v="4"/>
  </r>
  <r>
    <m/>
    <m/>
    <n v="50000"/>
    <x v="2"/>
    <n v="156584477"/>
    <s v="QRIS"/>
    <x v="2"/>
  </r>
  <r>
    <m/>
    <m/>
    <n v="10000"/>
    <x v="2"/>
    <n v="156594477"/>
    <s v="QRIS"/>
    <x v="2"/>
  </r>
  <r>
    <m/>
    <m/>
    <n v="200000"/>
    <x v="2"/>
    <n v="156794477"/>
    <s v="INFAQ TPQ RIVENDRA"/>
    <x v="2"/>
  </r>
  <r>
    <n v="15000"/>
    <m/>
    <m/>
    <x v="2"/>
    <n v="156779477"/>
    <s v="CETAK STICKER QRIS MASJID ALJABBAR"/>
    <x v="1"/>
  </r>
  <r>
    <n v="2500"/>
    <m/>
    <m/>
    <x v="2"/>
    <n v="156776977"/>
    <s v="BIAYA ADM CETAK STICKER QRIS MASJID ALJABBAR"/>
    <x v="1"/>
  </r>
  <r>
    <m/>
    <m/>
    <n v="10000"/>
    <x v="2"/>
    <n v="156786977"/>
    <s v="QRIS"/>
    <x v="2"/>
  </r>
  <r>
    <m/>
    <m/>
    <n v="10000"/>
    <x v="2"/>
    <n v="156796977"/>
    <s v="QRIS"/>
    <x v="2"/>
  </r>
  <r>
    <m/>
    <m/>
    <n v="20000"/>
    <x v="2"/>
    <n v="156816977"/>
    <s v="QRIS"/>
    <x v="2"/>
  </r>
  <r>
    <m/>
    <m/>
    <n v="10000"/>
    <x v="2"/>
    <n v="156826977"/>
    <s v="QRIS"/>
    <x v="2"/>
  </r>
  <r>
    <m/>
    <m/>
    <n v="1000000"/>
    <x v="2"/>
    <n v="157826977"/>
    <s v="INFAQ DARI ANGGONO IRIAWAN"/>
    <x v="2"/>
  </r>
  <r>
    <n v="2000000"/>
    <m/>
    <m/>
    <x v="2"/>
    <n v="155826977"/>
    <s v="HONOR YANA SIGIT ISMATULLAH"/>
    <x v="13"/>
  </r>
  <r>
    <n v="6500"/>
    <m/>
    <m/>
    <x v="2"/>
    <n v="155820477"/>
    <s v="HONOR YANA SIGIT ISMATULLAH"/>
    <x v="13"/>
  </r>
  <r>
    <n v="2000000"/>
    <m/>
    <m/>
    <x v="2"/>
    <n v="153820477"/>
    <s v="HONOR A IMRON ROSADI"/>
    <x v="13"/>
  </r>
  <r>
    <n v="6500"/>
    <m/>
    <m/>
    <x v="2"/>
    <n v="153813977"/>
    <s v="HONOR A IMRON ROSADI"/>
    <x v="13"/>
  </r>
  <r>
    <n v="2500000"/>
    <m/>
    <m/>
    <x v="2"/>
    <n v="151313977"/>
    <s v="HONOR ABDUL AZIS VIA ISTANTO"/>
    <x v="13"/>
  </r>
  <r>
    <n v="6500"/>
    <m/>
    <m/>
    <x v="2"/>
    <n v="151307477"/>
    <s v="HONOR ABDUL AZIS VIA ISTANTO"/>
    <x v="13"/>
  </r>
  <r>
    <n v="3250000"/>
    <m/>
    <m/>
    <x v="2"/>
    <n v="148057477"/>
    <s v="HONOR NANANG SUBAEDI"/>
    <x v="13"/>
  </r>
  <r>
    <n v="6500"/>
    <m/>
    <m/>
    <x v="2"/>
    <n v="148050977"/>
    <s v="HONOR NANANG SUBAEDI"/>
    <x v="13"/>
  </r>
  <r>
    <n v="2700000"/>
    <m/>
    <m/>
    <x v="2"/>
    <n v="145350977"/>
    <s v="HONOR M BAYU CANDRA"/>
    <x v="14"/>
  </r>
  <r>
    <n v="6500"/>
    <m/>
    <m/>
    <x v="2"/>
    <n v="145344477"/>
    <s v="HONOR M BAYU CANDRA"/>
    <x v="14"/>
  </r>
  <r>
    <n v="1500000"/>
    <m/>
    <m/>
    <x v="2"/>
    <n v="143844477"/>
    <s v="HONOR MUHAMMAD ILHAM"/>
    <x v="13"/>
  </r>
  <r>
    <n v="6500"/>
    <m/>
    <m/>
    <x v="2"/>
    <n v="143837977"/>
    <s v="HONOR MUHAMMAD ILHAM"/>
    <x v="13"/>
  </r>
  <r>
    <n v="2500000"/>
    <m/>
    <m/>
    <x v="2"/>
    <n v="141337977"/>
    <s v="HONOR SURYADI"/>
    <x v="13"/>
  </r>
  <r>
    <m/>
    <m/>
    <n v="1250000"/>
    <x v="2"/>
    <n v="142587977"/>
    <s v="INFAQ COLLECTIVE WARGA VIA ABDUL AZIS"/>
    <x v="2"/>
  </r>
  <r>
    <m/>
    <m/>
    <n v="10000"/>
    <x v="2"/>
    <n v="142597977"/>
    <s v="QRIS"/>
    <x v="2"/>
  </r>
  <r>
    <m/>
    <m/>
    <n v="50000"/>
    <x v="2"/>
    <n v="142647977"/>
    <s v="QRIS"/>
    <x v="2"/>
  </r>
  <r>
    <n v="4000000"/>
    <m/>
    <m/>
    <x v="2"/>
    <n v="138647977"/>
    <s v="MAJ BIAYA PERAWATAN SANTRI FEBRUARI"/>
    <x v="14"/>
  </r>
  <r>
    <n v="2500"/>
    <m/>
    <m/>
    <x v="2"/>
    <n v="138645477"/>
    <s v="BIAYA ADM"/>
    <x v="14"/>
  </r>
  <r>
    <n v="7000"/>
    <m/>
    <m/>
    <x v="2"/>
    <n v="138638477"/>
    <s v="Fee Payroll Januari"/>
    <x v="1"/>
  </r>
  <r>
    <m/>
    <m/>
    <n v="50000"/>
    <x v="3"/>
    <n v="138688477"/>
    <s v="INFAQ QRIS"/>
    <x v="2"/>
  </r>
  <r>
    <m/>
    <m/>
    <n v="20000"/>
    <x v="3"/>
    <n v="138708477"/>
    <s v="INFAQ QRIS"/>
    <x v="2"/>
  </r>
  <r>
    <m/>
    <m/>
    <n v="10000"/>
    <x v="3"/>
    <n v="138718477"/>
    <s v="INFAQ QRIS"/>
    <x v="2"/>
  </r>
  <r>
    <m/>
    <m/>
    <n v="75000"/>
    <x v="3"/>
    <n v="138793477"/>
    <s v="INFAQ QRIS"/>
    <x v="2"/>
  </r>
  <r>
    <m/>
    <m/>
    <n v="10000"/>
    <x v="3"/>
    <n v="138803477"/>
    <s v="INFAQ QRIS"/>
    <x v="2"/>
  </r>
  <r>
    <m/>
    <m/>
    <n v="800"/>
    <x v="3"/>
    <n v="138804277"/>
    <s v="INFAQ QRIS"/>
    <x v="2"/>
  </r>
  <r>
    <m/>
    <m/>
    <n v="200000"/>
    <x v="3"/>
    <n v="139004277"/>
    <s v="INFAQ DARI UMI HAMIDAH DRA"/>
    <x v="2"/>
  </r>
  <r>
    <n v="4002500"/>
    <m/>
    <m/>
    <x v="3"/>
    <n v="135001777"/>
    <s v="DP Panitia Buka Bersama MAJ 1446H"/>
    <x v="17"/>
  </r>
  <r>
    <m/>
    <m/>
    <n v="10000"/>
    <x v="3"/>
    <n v="135011777"/>
    <s v="INFAQ QRIS"/>
    <x v="2"/>
  </r>
  <r>
    <m/>
    <m/>
    <n v="50000"/>
    <x v="3"/>
    <n v="135061777"/>
    <s v="INFAQ QRIS"/>
    <x v="2"/>
  </r>
  <r>
    <m/>
    <m/>
    <n v="5000"/>
    <x v="3"/>
    <n v="135066777"/>
    <s v="INFAQ QRIS"/>
    <x v="2"/>
  </r>
  <r>
    <m/>
    <m/>
    <n v="50000"/>
    <x v="3"/>
    <n v="135116777"/>
    <s v="INFAQ QRIS"/>
    <x v="2"/>
  </r>
  <r>
    <m/>
    <m/>
    <n v="10000"/>
    <x v="3"/>
    <n v="135126777"/>
    <s v="INFAQ QRIS"/>
    <x v="2"/>
  </r>
  <r>
    <m/>
    <m/>
    <n v="20000"/>
    <x v="3"/>
    <n v="135146777"/>
    <s v="INFAQ QRIS"/>
    <x v="2"/>
  </r>
  <r>
    <m/>
    <m/>
    <n v="10000"/>
    <x v="3"/>
    <n v="135156777"/>
    <s v="INFAQ QRIS"/>
    <x v="2"/>
  </r>
  <r>
    <m/>
    <m/>
    <n v="5000"/>
    <x v="3"/>
    <n v="135161777"/>
    <s v="INFAQ QRIS"/>
    <x v="2"/>
  </r>
  <r>
    <m/>
    <m/>
    <n v="100000"/>
    <x v="3"/>
    <n v="135261777"/>
    <s v="INFAQ QRIS"/>
    <x v="2"/>
  </r>
  <r>
    <m/>
    <m/>
    <n v="20000"/>
    <x v="3"/>
    <n v="135281777"/>
    <s v="INFAQ QRIS"/>
    <x v="2"/>
  </r>
  <r>
    <m/>
    <m/>
    <n v="10000"/>
    <x v="3"/>
    <n v="135291777"/>
    <s v="INFAQ QRIS"/>
    <x v="2"/>
  </r>
  <r>
    <m/>
    <m/>
    <n v="5000"/>
    <x v="3"/>
    <n v="135296777"/>
    <s v="INFAQ QRIS"/>
    <x v="2"/>
  </r>
  <r>
    <m/>
    <m/>
    <n v="5000"/>
    <x v="3"/>
    <n v="135301777"/>
    <s v="INFAQ QRIS"/>
    <x v="2"/>
  </r>
  <r>
    <m/>
    <m/>
    <n v="200000"/>
    <x v="3"/>
    <n v="135501777"/>
    <s v="INFAQ DEDEN TP PERDIANSYAH"/>
    <x v="2"/>
  </r>
  <r>
    <m/>
    <m/>
    <n v="550000"/>
    <x v="3"/>
    <n v="136051777"/>
    <s v="INFAQ QRIS"/>
    <x v="2"/>
  </r>
  <r>
    <m/>
    <m/>
    <n v="50000"/>
    <x v="3"/>
    <n v="136101777"/>
    <s v="INFAQ QRIS"/>
    <x v="2"/>
  </r>
  <r>
    <m/>
    <m/>
    <n v="21439"/>
    <x v="3"/>
    <n v="136123216"/>
    <s v="INFAQ QRIS"/>
    <x v="2"/>
  </r>
  <r>
    <m/>
    <m/>
    <n v="50000"/>
    <x v="3"/>
    <n v="136173216"/>
    <s v="INFAQ QRIS"/>
    <x v="2"/>
  </r>
  <r>
    <m/>
    <m/>
    <n v="10000"/>
    <x v="3"/>
    <n v="136183216"/>
    <s v="INFAQ QRIS"/>
    <x v="2"/>
  </r>
  <r>
    <m/>
    <m/>
    <n v="10000"/>
    <x v="3"/>
    <n v="136193216"/>
    <s v="INFAQ QRIS"/>
    <x v="2"/>
  </r>
  <r>
    <m/>
    <m/>
    <n v="5000"/>
    <x v="3"/>
    <n v="136198216"/>
    <s v="INFAQ QRIS"/>
    <x v="2"/>
  </r>
  <r>
    <m/>
    <m/>
    <n v="20000"/>
    <x v="3"/>
    <n v="136218216"/>
    <s v="INFAQ QRIS"/>
    <x v="2"/>
  </r>
  <r>
    <m/>
    <m/>
    <n v="100000"/>
    <x v="3"/>
    <n v="136318216"/>
    <s v="INFAQ QRIS"/>
    <x v="2"/>
  </r>
  <r>
    <m/>
    <m/>
    <n v="100000"/>
    <x v="3"/>
    <n v="136418216"/>
    <s v="INFAQ QRIS"/>
    <x v="2"/>
  </r>
  <r>
    <m/>
    <m/>
    <n v="50000"/>
    <x v="3"/>
    <n v="136468216"/>
    <s v="INFAQ QRIS"/>
    <x v="2"/>
  </r>
  <r>
    <m/>
    <m/>
    <n v="25000"/>
    <x v="3"/>
    <n v="136493216"/>
    <s v="INFAQ QRIS"/>
    <x v="2"/>
  </r>
  <r>
    <m/>
    <m/>
    <n v="20000"/>
    <x v="3"/>
    <n v="136513216"/>
    <s v="INFAQ QRIS"/>
    <x v="2"/>
  </r>
  <r>
    <m/>
    <m/>
    <n v="10000"/>
    <x v="3"/>
    <n v="136523216"/>
    <s v="INFAQ QRIS"/>
    <x v="2"/>
  </r>
  <r>
    <m/>
    <m/>
    <n v="4000"/>
    <x v="3"/>
    <n v="136527216"/>
    <s v="INFAQ QRIS"/>
    <x v="2"/>
  </r>
  <r>
    <m/>
    <m/>
    <n v="500000"/>
    <x v="3"/>
    <n v="137027216"/>
    <s v="INFAQ DARI DRS SARWONO"/>
    <x v="2"/>
  </r>
  <r>
    <m/>
    <m/>
    <n v="2885000"/>
    <x v="3"/>
    <n v="139912216"/>
    <s v="Akun Yatim &amp; Sosial"/>
    <x v="12"/>
  </r>
  <r>
    <m/>
    <m/>
    <n v="1322000"/>
    <x v="3"/>
    <n v="141234216"/>
    <s v="Operasional (Infaq &amp; Sodaqoh)"/>
    <x v="2"/>
  </r>
  <r>
    <m/>
    <n v="4207000"/>
    <m/>
    <x v="1"/>
    <n v="141234216"/>
    <s v="SETOR IMRON"/>
    <x v="4"/>
  </r>
  <r>
    <m/>
    <m/>
    <n v="200000"/>
    <x v="3"/>
    <n v="141434216"/>
    <s v="INFAQ DARI WUSONO PRIHADI SANTO"/>
    <x v="2"/>
  </r>
  <r>
    <m/>
    <m/>
    <n v="900000"/>
    <x v="3"/>
    <n v="142334216"/>
    <s v="INFAQ DARI ANDI BAGUS JL.PANGRANGO 25"/>
    <x v="2"/>
  </r>
  <r>
    <m/>
    <m/>
    <n v="300000"/>
    <x v="3"/>
    <n v="142634216"/>
    <s v="INFAQ DARI FADJAR SATYANI"/>
    <x v="2"/>
  </r>
  <r>
    <m/>
    <m/>
    <n v="10000"/>
    <x v="3"/>
    <n v="142644216"/>
    <s v="INFAQ QRIS"/>
    <x v="2"/>
  </r>
  <r>
    <m/>
    <m/>
    <n v="5000"/>
    <x v="3"/>
    <n v="142649216"/>
    <s v="INFAQ QRIS"/>
    <x v="2"/>
  </r>
  <r>
    <m/>
    <m/>
    <n v="20000"/>
    <x v="3"/>
    <n v="142669216"/>
    <s v="INFAQ QRIS"/>
    <x v="2"/>
  </r>
  <r>
    <m/>
    <m/>
    <n v="50000"/>
    <x v="3"/>
    <n v="142719216"/>
    <s v="INFAQ QRIS"/>
    <x v="2"/>
  </r>
  <r>
    <m/>
    <m/>
    <n v="10000"/>
    <x v="3"/>
    <n v="142729216"/>
    <s v="INFAQ QRIS"/>
    <x v="2"/>
  </r>
  <r>
    <m/>
    <m/>
    <n v="10000"/>
    <x v="3"/>
    <n v="142739216"/>
    <s v="INFAQ QRIS"/>
    <x v="2"/>
  </r>
  <r>
    <n v="855000"/>
    <m/>
    <m/>
    <x v="3"/>
    <n v="141884216"/>
    <s v="REIMBURSE BELI MATERIAL CAT PAK AMRAN"/>
    <x v="8"/>
  </r>
  <r>
    <n v="2500"/>
    <m/>
    <m/>
    <x v="3"/>
    <n v="141881716"/>
    <s v="BIAYA ADM REIMBURSE BELI MATERIAL CAT PAK AMRAN"/>
    <x v="8"/>
  </r>
  <r>
    <m/>
    <m/>
    <n v="150000"/>
    <x v="3"/>
    <n v="142031716"/>
    <s v="INFAQ DARI DWI LISTYOWATI DRA/JONET GUNUNG SALAK FA 5"/>
    <x v="2"/>
  </r>
  <r>
    <m/>
    <m/>
    <n v="1000000"/>
    <x v="3"/>
    <n v="143031716"/>
    <s v="INFAQ DARI ANIS "/>
    <x v="2"/>
  </r>
  <r>
    <n v="1350000"/>
    <m/>
    <m/>
    <x v="3"/>
    <n v="141681716"/>
    <s v="REIMBURSE VOUCHER LISTRIK &amp; SERVICE AC"/>
    <x v="7"/>
  </r>
  <r>
    <n v="2500"/>
    <m/>
    <m/>
    <x v="3"/>
    <n v="141679216"/>
    <s v="BIAYA ADM REIMBURSE VOUCHER LISTRIK &amp; SERVICE AC"/>
    <x v="7"/>
  </r>
  <r>
    <m/>
    <m/>
    <n v="1000000"/>
    <x v="3"/>
    <n v="142679216"/>
    <s v="INFAQ DARI MOH RESAWAN HAKIM"/>
    <x v="2"/>
  </r>
  <r>
    <m/>
    <m/>
    <n v="10000"/>
    <x v="3"/>
    <n v="142689216"/>
    <s v="INFAQ QRIS"/>
    <x v="2"/>
  </r>
  <r>
    <m/>
    <m/>
    <n v="100000"/>
    <x v="3"/>
    <n v="142789216"/>
    <s v="INFAQ QRIS"/>
    <x v="2"/>
  </r>
  <r>
    <m/>
    <m/>
    <n v="20000"/>
    <x v="3"/>
    <n v="142809216"/>
    <s v="INFAQ QRIS"/>
    <x v="2"/>
  </r>
  <r>
    <m/>
    <m/>
    <n v="25000"/>
    <x v="3"/>
    <n v="142834216"/>
    <s v="INFAQ QRIS"/>
    <x v="2"/>
  </r>
  <r>
    <m/>
    <m/>
    <n v="10000"/>
    <x v="3"/>
    <n v="142844216"/>
    <s v="INFAQ QRIS"/>
    <x v="2"/>
  </r>
  <r>
    <m/>
    <m/>
    <n v="50000"/>
    <x v="3"/>
    <n v="142894216"/>
    <s v="INFAQ QRIS"/>
    <x v="2"/>
  </r>
  <r>
    <m/>
    <m/>
    <n v="4341"/>
    <x v="3"/>
    <n v="142898557"/>
    <s v="INFAQ QRIS"/>
    <x v="2"/>
  </r>
  <r>
    <m/>
    <m/>
    <n v="16000"/>
    <x v="3"/>
    <n v="142914557"/>
    <s v="INFAQ QRIS"/>
    <x v="2"/>
  </r>
  <r>
    <m/>
    <m/>
    <n v="216"/>
    <x v="3"/>
    <n v="142914773"/>
    <s v="INFAQ QRIS"/>
    <x v="2"/>
  </r>
  <r>
    <n v="500000"/>
    <m/>
    <m/>
    <x v="3"/>
    <n v="142414773"/>
    <s v="BAYAR TUKANG CAT LT 2 MAJ"/>
    <x v="8"/>
  </r>
  <r>
    <n v="2500"/>
    <m/>
    <m/>
    <x v="3"/>
    <n v="142412273"/>
    <s v="BIAYA ADM BAYAR TUKANG CAT LT 2 MAJ"/>
    <x v="8"/>
  </r>
  <r>
    <m/>
    <m/>
    <n v="600000"/>
    <x v="3"/>
    <n v="143012273"/>
    <s v="INFAQ DARI EDWARDI  CDT TRF BENFC BIFAST"/>
    <x v="2"/>
  </r>
  <r>
    <m/>
    <m/>
    <n v="78000"/>
    <x v="3"/>
    <n v="143090273"/>
    <s v="Refund Program MAP_Februari 2025"/>
    <x v="2"/>
  </r>
  <r>
    <m/>
    <m/>
    <n v="10000000"/>
    <x v="3"/>
    <n v="153090273"/>
    <s v="ZAKAT MAL BPK HARMEN"/>
    <x v="16"/>
  </r>
  <r>
    <m/>
    <m/>
    <n v="540000"/>
    <x v="3"/>
    <n v="153630273"/>
    <s v="INFAQ QRIS"/>
    <x v="2"/>
  </r>
  <r>
    <m/>
    <m/>
    <n v="100000"/>
    <x v="3"/>
    <n v="153730273"/>
    <s v="INFAQ QRIS"/>
    <x v="2"/>
  </r>
  <r>
    <m/>
    <m/>
    <n v="50000"/>
    <x v="3"/>
    <n v="153780273"/>
    <s v="INFAQ QRIS"/>
    <x v="2"/>
  </r>
  <r>
    <m/>
    <m/>
    <n v="10000"/>
    <x v="3"/>
    <n v="153790273"/>
    <s v="INFAQ QRIS"/>
    <x v="2"/>
  </r>
  <r>
    <m/>
    <m/>
    <n v="10000"/>
    <x v="3"/>
    <n v="153800273"/>
    <s v="INFAQ QRIS"/>
    <x v="2"/>
  </r>
  <r>
    <m/>
    <m/>
    <n v="100000"/>
    <x v="3"/>
    <n v="153900273"/>
    <s v="INFAQ QRIS"/>
    <x v="2"/>
  </r>
  <r>
    <m/>
    <m/>
    <n v="5000"/>
    <x v="3"/>
    <n v="153905273"/>
    <s v="INFAQ QRIS"/>
    <x v="2"/>
  </r>
  <r>
    <m/>
    <m/>
    <n v="50000"/>
    <x v="3"/>
    <n v="153955273"/>
    <s v="INFAQ QRIS"/>
    <x v="2"/>
  </r>
  <r>
    <m/>
    <m/>
    <n v="100000"/>
    <x v="3"/>
    <n v="154055273"/>
    <s v="InfaQ warga TS 5 No 8"/>
    <x v="2"/>
  </r>
  <r>
    <m/>
    <m/>
    <n v="400000"/>
    <x v="3"/>
    <n v="154455273"/>
    <s v="INFAQ DARI PUTIE AMBUN SURI/RIVENDRA"/>
    <x v="2"/>
  </r>
  <r>
    <m/>
    <m/>
    <n v="50000"/>
    <x v="3"/>
    <n v="154505273"/>
    <s v="INFAQ DARI DEDEN TP PERDIANSYAH "/>
    <x v="2"/>
  </r>
  <r>
    <m/>
    <m/>
    <n v="2000000"/>
    <x v="3"/>
    <n v="156505273"/>
    <s v="INFAQ DARI RIZKYHIDAYATSL"/>
    <x v="2"/>
  </r>
  <r>
    <m/>
    <m/>
    <n v="50000"/>
    <x v="3"/>
    <n v="156555273"/>
    <s v="INFAQ QRIS"/>
    <x v="2"/>
  </r>
  <r>
    <m/>
    <m/>
    <n v="50000"/>
    <x v="3"/>
    <n v="156605273"/>
    <s v="INFAQ QRIS"/>
    <x v="2"/>
  </r>
  <r>
    <m/>
    <m/>
    <n v="50000"/>
    <x v="3"/>
    <n v="156655273"/>
    <s v="INFAQ QRIS"/>
    <x v="2"/>
  </r>
  <r>
    <m/>
    <m/>
    <n v="100000"/>
    <x v="3"/>
    <n v="156755273"/>
    <s v="INFAQ QRIS"/>
    <x v="2"/>
  </r>
  <r>
    <m/>
    <m/>
    <n v="100000"/>
    <x v="3"/>
    <n v="156855273"/>
    <s v="INFAQ QRIS"/>
    <x v="2"/>
  </r>
  <r>
    <m/>
    <m/>
    <n v="100000"/>
    <x v="3"/>
    <n v="156955273"/>
    <s v="INFAQ QRIS"/>
    <x v="2"/>
  </r>
  <r>
    <m/>
    <m/>
    <n v="10000"/>
    <x v="3"/>
    <n v="156965273"/>
    <s v="INFAQ QRIS"/>
    <x v="2"/>
  </r>
  <r>
    <m/>
    <m/>
    <n v="50000"/>
    <x v="3"/>
    <n v="157015273"/>
    <s v="INFAQ QRIS"/>
    <x v="2"/>
  </r>
  <r>
    <m/>
    <m/>
    <n v="10000"/>
    <x v="3"/>
    <n v="157025273"/>
    <s v="INFAQ QRIS"/>
    <x v="2"/>
  </r>
  <r>
    <m/>
    <m/>
    <n v="100000"/>
    <x v="3"/>
    <n v="157125273"/>
    <s v="INFAQ QRIS"/>
    <x v="2"/>
  </r>
  <r>
    <m/>
    <m/>
    <n v="99359"/>
    <x v="3"/>
    <n v="157224632"/>
    <s v="INFAQ QRIS"/>
    <x v="2"/>
  </r>
  <r>
    <m/>
    <m/>
    <n v="25000"/>
    <x v="3"/>
    <n v="157249632"/>
    <s v="INFAQ QRIS"/>
    <x v="2"/>
  </r>
  <r>
    <m/>
    <m/>
    <n v="20000"/>
    <x v="3"/>
    <n v="157269632"/>
    <s v="INFAQ QRIS"/>
    <x v="2"/>
  </r>
  <r>
    <m/>
    <m/>
    <n v="4331"/>
    <x v="3"/>
    <n v="157273963"/>
    <s v="INFAQ QRIS"/>
    <x v="2"/>
  </r>
  <r>
    <n v="2000000"/>
    <m/>
    <m/>
    <x v="3"/>
    <n v="155273963"/>
    <s v="PENGAJIAN IBU-IBU MAJ MARET"/>
    <x v="11"/>
  </r>
  <r>
    <n v="2500"/>
    <m/>
    <m/>
    <x v="3"/>
    <n v="155271463"/>
    <s v="BIAYA ADM PENGAJIAN IBU-IBU MAJ MARET"/>
    <x v="11"/>
  </r>
  <r>
    <n v="1350000"/>
    <m/>
    <m/>
    <x v="3"/>
    <n v="153921463"/>
    <s v="Pembelian Hadiah &amp; ATK Pesantren Kilat MAJ"/>
    <x v="1"/>
  </r>
  <r>
    <m/>
    <m/>
    <n v="250000"/>
    <x v="3"/>
    <n v="154171463"/>
    <s v="Infaq QRIS"/>
    <x v="2"/>
  </r>
  <r>
    <m/>
    <m/>
    <n v="50000"/>
    <x v="3"/>
    <n v="154221463"/>
    <s v="Infaq QRIS"/>
    <x v="2"/>
  </r>
  <r>
    <m/>
    <m/>
    <n v="50000"/>
    <x v="3"/>
    <n v="154271463"/>
    <s v="Infaq QRIS"/>
    <x v="2"/>
  </r>
  <r>
    <m/>
    <m/>
    <n v="50000"/>
    <x v="3"/>
    <n v="154321463"/>
    <s v="Infaq QRIS"/>
    <x v="2"/>
  </r>
  <r>
    <m/>
    <m/>
    <n v="100000"/>
    <x v="3"/>
    <n v="154421463"/>
    <s v="Infaq QRIS"/>
    <x v="2"/>
  </r>
  <r>
    <m/>
    <m/>
    <n v="25000"/>
    <x v="3"/>
    <n v="154446463"/>
    <s v="Infaq QRIS"/>
    <x v="2"/>
  </r>
  <r>
    <m/>
    <m/>
    <n v="10000"/>
    <x v="3"/>
    <n v="154456463"/>
    <s v="Infaq QRIS"/>
    <x v="2"/>
  </r>
  <r>
    <m/>
    <m/>
    <n v="50000"/>
    <x v="3"/>
    <n v="154506463"/>
    <s v="Infaq QRIS"/>
    <x v="2"/>
  </r>
  <r>
    <m/>
    <m/>
    <n v="10000"/>
    <x v="3"/>
    <n v="154516463"/>
    <s v="Infaq QRIS"/>
    <x v="2"/>
  </r>
  <r>
    <m/>
    <m/>
    <n v="20000"/>
    <x v="3"/>
    <n v="154536463"/>
    <s v="Infaq QRIS"/>
    <x v="2"/>
  </r>
  <r>
    <m/>
    <m/>
    <n v="3000"/>
    <x v="3"/>
    <n v="154539463"/>
    <s v="Infaq QRIS"/>
    <x v="2"/>
  </r>
  <r>
    <m/>
    <m/>
    <n v="916"/>
    <x v="3"/>
    <n v="154540379"/>
    <s v="Infaq QRIS"/>
    <x v="2"/>
  </r>
  <r>
    <n v="750000"/>
    <m/>
    <m/>
    <x v="3"/>
    <n v="153790379"/>
    <s v="HONOR UST KHOERUL MAKTUM DKM MAJ HADIAH PESANTREN KILAT RAMADHAN"/>
    <x v="11"/>
  </r>
  <r>
    <n v="2500"/>
    <m/>
    <m/>
    <x v="3"/>
    <n v="153787879"/>
    <s v="BIAYA ADM HONOR UST KHOERUL MAKTUM DKM MAJ HADIAH PESANTREN KILAT RAMADHAN"/>
    <x v="11"/>
  </r>
  <r>
    <m/>
    <m/>
    <n v="400000"/>
    <x v="3"/>
    <n v="154187879"/>
    <s v="AGUNG PRAMONO Donasi acara kajian lesantren"/>
    <x v="2"/>
  </r>
  <r>
    <m/>
    <m/>
    <n v="20000"/>
    <x v="3"/>
    <n v="154207879"/>
    <s v="Infaq QRIS"/>
    <x v="2"/>
  </r>
  <r>
    <m/>
    <m/>
    <n v="25000"/>
    <x v="3"/>
    <n v="154232879"/>
    <s v="Infaq QRIS"/>
    <x v="2"/>
  </r>
  <r>
    <m/>
    <m/>
    <n v="100000"/>
    <x v="3"/>
    <n v="154332879"/>
    <s v="Infaq QRIS"/>
    <x v="2"/>
  </r>
  <r>
    <m/>
    <m/>
    <n v="50000"/>
    <x v="3"/>
    <n v="154382879"/>
    <s v="Infaq QRIS"/>
    <x v="2"/>
  </r>
  <r>
    <m/>
    <m/>
    <n v="100000"/>
    <x v="3"/>
    <n v="154482879"/>
    <s v="Infaq QRIS"/>
    <x v="2"/>
  </r>
  <r>
    <m/>
    <m/>
    <n v="25000"/>
    <x v="3"/>
    <n v="154507879"/>
    <s v="Infaq QRIS"/>
    <x v="2"/>
  </r>
  <r>
    <m/>
    <m/>
    <n v="25000"/>
    <x v="3"/>
    <n v="154532879"/>
    <s v="Infaq QRIS"/>
    <x v="2"/>
  </r>
  <r>
    <m/>
    <m/>
    <n v="50000"/>
    <x v="3"/>
    <n v="154582879"/>
    <s v="Infaq QRIS"/>
    <x v="2"/>
  </r>
  <r>
    <m/>
    <m/>
    <n v="10000"/>
    <x v="3"/>
    <n v="154592879"/>
    <s v="Infaq QRIS"/>
    <x v="2"/>
  </r>
  <r>
    <m/>
    <m/>
    <n v="100000"/>
    <x v="3"/>
    <n v="154692879"/>
    <s v="Infaq QRIS"/>
    <x v="2"/>
  </r>
  <r>
    <m/>
    <m/>
    <n v="50000"/>
    <x v="3"/>
    <n v="154742879"/>
    <s v="Infaq QRIS"/>
    <x v="2"/>
  </r>
  <r>
    <m/>
    <m/>
    <n v="100000"/>
    <x v="3"/>
    <n v="154842879"/>
    <s v="Infaq QRIS"/>
    <x v="2"/>
  </r>
  <r>
    <m/>
    <m/>
    <n v="25000"/>
    <x v="3"/>
    <n v="154867879"/>
    <s v="Infaq QRIS"/>
    <x v="2"/>
  </r>
  <r>
    <m/>
    <m/>
    <n v="200000"/>
    <x v="3"/>
    <n v="155067879"/>
    <s v="INFAQ MOHAMMADIANTORO PURNAWAN a.n HM HASAN MERBABU NO.3"/>
    <x v="2"/>
  </r>
  <r>
    <m/>
    <m/>
    <n v="20000"/>
    <x v="3"/>
    <n v="155087879"/>
    <s v="Infaq QRIS"/>
    <x v="2"/>
  </r>
  <r>
    <m/>
    <m/>
    <n v="100000"/>
    <x v="3"/>
    <n v="155187879"/>
    <s v="Infaq QRIS"/>
    <x v="2"/>
  </r>
  <r>
    <m/>
    <m/>
    <n v="25000"/>
    <x v="3"/>
    <n v="155212879"/>
    <s v="Infaq QRIS"/>
    <x v="2"/>
  </r>
  <r>
    <m/>
    <m/>
    <n v="25000"/>
    <x v="3"/>
    <n v="155237879"/>
    <s v="Infaq QRIS"/>
    <x v="2"/>
  </r>
  <r>
    <m/>
    <m/>
    <n v="100000"/>
    <x v="3"/>
    <n v="155337879"/>
    <s v="Infaq QRIS"/>
    <x v="2"/>
  </r>
  <r>
    <m/>
    <m/>
    <n v="10000"/>
    <x v="3"/>
    <n v="155347879"/>
    <s v="Infaq QRIS"/>
    <x v="2"/>
  </r>
  <r>
    <m/>
    <m/>
    <n v="10000"/>
    <x v="3"/>
    <n v="155357879"/>
    <s v="Infaq QRIS"/>
    <x v="2"/>
  </r>
  <r>
    <m/>
    <m/>
    <n v="7000"/>
    <x v="3"/>
    <n v="155364879"/>
    <s v="Infaq QRIS"/>
    <x v="2"/>
  </r>
  <r>
    <m/>
    <m/>
    <n v="25000"/>
    <x v="3"/>
    <n v="155389879"/>
    <s v="Infaq QRIS"/>
    <x v="2"/>
  </r>
  <r>
    <m/>
    <m/>
    <n v="20000"/>
    <x v="3"/>
    <n v="155409879"/>
    <s v="Infaq QRIS"/>
    <x v="2"/>
  </r>
  <r>
    <m/>
    <m/>
    <n v="5597000"/>
    <x v="3"/>
    <n v="161006879"/>
    <s v="Akun Yatim &amp; Sosial"/>
    <x v="12"/>
  </r>
  <r>
    <m/>
    <m/>
    <n v="5680000"/>
    <x v="3"/>
    <n v="166686879"/>
    <s v="Operasional (Infaq &amp; Sodaqoh)"/>
    <x v="2"/>
  </r>
  <r>
    <m/>
    <m/>
    <n v="4558000"/>
    <x v="3"/>
    <n v="171244879"/>
    <s v="Infaq Taraweh"/>
    <x v="2"/>
  </r>
  <r>
    <n v="5000"/>
    <m/>
    <m/>
    <x v="3"/>
    <n v="171239879"/>
    <s v="Selisih hitung setor bank"/>
    <x v="1"/>
  </r>
  <r>
    <m/>
    <n v="15830000"/>
    <m/>
    <x v="1"/>
    <n v="171239879"/>
    <s v="SETOR IMRON"/>
    <x v="4"/>
  </r>
  <r>
    <m/>
    <m/>
    <n v="50000"/>
    <x v="3"/>
    <n v="171289879"/>
    <s v="Infaq QRIS"/>
    <x v="2"/>
  </r>
  <r>
    <m/>
    <m/>
    <n v="100000"/>
    <x v="3"/>
    <n v="171389879"/>
    <s v="Infaq QRIS"/>
    <x v="2"/>
  </r>
  <r>
    <m/>
    <m/>
    <n v="250000"/>
    <x v="3"/>
    <n v="171639879"/>
    <s v="Infaq QRIS"/>
    <x v="2"/>
  </r>
  <r>
    <m/>
    <m/>
    <n v="50000"/>
    <x v="3"/>
    <n v="171689879"/>
    <s v="Infaq QRIS"/>
    <x v="2"/>
  </r>
  <r>
    <m/>
    <m/>
    <n v="10000"/>
    <x v="3"/>
    <n v="171699879"/>
    <s v="Infaq QRIS"/>
    <x v="2"/>
  </r>
  <r>
    <m/>
    <m/>
    <n v="25000"/>
    <x v="3"/>
    <n v="171724879"/>
    <s v="Infaq QRIS"/>
    <x v="2"/>
  </r>
  <r>
    <m/>
    <m/>
    <n v="50000"/>
    <x v="3"/>
    <n v="171774879"/>
    <s v="Infaq QRIS"/>
    <x v="2"/>
  </r>
  <r>
    <m/>
    <m/>
    <n v="20000"/>
    <x v="3"/>
    <n v="171794879"/>
    <s v="Infaq QRIS"/>
    <x v="2"/>
  </r>
  <r>
    <m/>
    <m/>
    <n v="1010"/>
    <x v="3"/>
    <n v="171795889"/>
    <s v="Infaq QRIS"/>
    <x v="2"/>
  </r>
  <r>
    <m/>
    <m/>
    <n v="5000"/>
    <x v="3"/>
    <n v="171800889"/>
    <s v="Infaq QRIS"/>
    <x v="2"/>
  </r>
  <r>
    <m/>
    <m/>
    <n v="100000"/>
    <x v="3"/>
    <n v="171900889"/>
    <s v="INFAQ FENTYHERLIANA"/>
    <x v="2"/>
  </r>
  <r>
    <m/>
    <m/>
    <n v="250000"/>
    <x v="3"/>
    <n v="172150889"/>
    <s v="INFAQ DARI SEPTEMBERIZAL"/>
    <x v="2"/>
  </r>
  <r>
    <n v="3500000"/>
    <m/>
    <m/>
    <x v="3"/>
    <n v="168650889"/>
    <s v="PEMBELIAN LAPTOP SANTRI"/>
    <x v="1"/>
  </r>
  <r>
    <n v="2500"/>
    <m/>
    <m/>
    <x v="3"/>
    <n v="168648389"/>
    <s v="BIAYA ADM PEMBELIAN LAPTOP SANTRI"/>
    <x v="1"/>
  </r>
  <r>
    <m/>
    <m/>
    <n v="50000"/>
    <x v="3"/>
    <n v="168698389"/>
    <s v="INFAQ QRIS"/>
    <x v="2"/>
  </r>
  <r>
    <m/>
    <m/>
    <n v="50000"/>
    <x v="3"/>
    <n v="168748389"/>
    <s v="INFAQ QRIS"/>
    <x v="2"/>
  </r>
  <r>
    <m/>
    <m/>
    <n v="10000"/>
    <x v="3"/>
    <n v="168758389"/>
    <s v="INFAQ QRIS"/>
    <x v="2"/>
  </r>
  <r>
    <m/>
    <m/>
    <n v="100000"/>
    <x v="3"/>
    <n v="168858389"/>
    <s v="INFAQ QRIS"/>
    <x v="2"/>
  </r>
  <r>
    <m/>
    <m/>
    <n v="5000"/>
    <x v="3"/>
    <n v="168863389"/>
    <s v="INFAQ QRIS"/>
    <x v="2"/>
  </r>
  <r>
    <m/>
    <m/>
    <n v="10000"/>
    <x v="3"/>
    <n v="168873389"/>
    <s v="INFAQ QRIS"/>
    <x v="2"/>
  </r>
  <r>
    <m/>
    <m/>
    <n v="10000"/>
    <x v="3"/>
    <n v="168883389"/>
    <s v="INFAQ QRIS"/>
    <x v="2"/>
  </r>
  <r>
    <m/>
    <m/>
    <n v="170000"/>
    <x v="3"/>
    <n v="169053389"/>
    <s v="INFAQ DARI AMRAN ANWAR"/>
    <x v="2"/>
  </r>
  <r>
    <m/>
    <m/>
    <n v="100000"/>
    <x v="3"/>
    <n v="169153389"/>
    <s v="INFAQ QRIS"/>
    <x v="2"/>
  </r>
  <r>
    <m/>
    <m/>
    <n v="10000"/>
    <x v="3"/>
    <n v="169163389"/>
    <s v="INFAQ QRIS"/>
    <x v="2"/>
  </r>
  <r>
    <m/>
    <m/>
    <n v="50000"/>
    <x v="3"/>
    <n v="169213389"/>
    <s v="INFAQ QRIS"/>
    <x v="2"/>
  </r>
  <r>
    <m/>
    <m/>
    <n v="100000"/>
    <x v="3"/>
    <n v="169313389"/>
    <s v="INFAQ QRIS"/>
    <x v="2"/>
  </r>
  <r>
    <n v="1000000"/>
    <m/>
    <m/>
    <x v="3"/>
    <n v="168313389"/>
    <s v="CUCI KARPET LT.2 PAK MAHMUD"/>
    <x v="8"/>
  </r>
  <r>
    <n v="2500"/>
    <m/>
    <m/>
    <x v="3"/>
    <n v="168310889"/>
    <s v="BIAYA DM CUCI KARPET LT.2 PAK MAHMUD"/>
    <x v="8"/>
  </r>
  <r>
    <m/>
    <m/>
    <n v="100000"/>
    <x v="3"/>
    <n v="168410889"/>
    <s v="INFAQ QRIS"/>
    <x v="2"/>
  </r>
  <r>
    <m/>
    <m/>
    <n v="200000"/>
    <x v="3"/>
    <n v="168610889"/>
    <s v="INFAQ QRIS"/>
    <x v="2"/>
  </r>
  <r>
    <m/>
    <m/>
    <n v="50000"/>
    <x v="3"/>
    <n v="168660889"/>
    <s v="INFAQ QRIS"/>
    <x v="2"/>
  </r>
  <r>
    <m/>
    <m/>
    <n v="50000"/>
    <x v="3"/>
    <n v="168710889"/>
    <s v="INFAQ QRIS"/>
    <x v="2"/>
  </r>
  <r>
    <m/>
    <m/>
    <n v="25000"/>
    <x v="3"/>
    <n v="168735889"/>
    <s v="INFAQ QRIS"/>
    <x v="2"/>
  </r>
  <r>
    <m/>
    <m/>
    <n v="50000"/>
    <x v="3"/>
    <n v="168785889"/>
    <s v="INFAQ QRIS"/>
    <x v="2"/>
  </r>
  <r>
    <m/>
    <m/>
    <n v="100000"/>
    <x v="3"/>
    <n v="168885889"/>
    <s v="INFAQ QRIS"/>
    <x v="2"/>
  </r>
  <r>
    <m/>
    <m/>
    <n v="10000"/>
    <x v="3"/>
    <n v="168895889"/>
    <s v="INFAQ QRIS"/>
    <x v="2"/>
  </r>
  <r>
    <m/>
    <m/>
    <n v="300000"/>
    <x v="3"/>
    <n v="169195889"/>
    <s v="INFAQ DARI BENY PRIYATNA KUSUMA"/>
    <x v="2"/>
  </r>
  <r>
    <n v="400000"/>
    <m/>
    <m/>
    <x v="3"/>
    <n v="168795889"/>
    <s v="Beli baju wisuda santri MAJ"/>
    <x v="14"/>
  </r>
  <r>
    <m/>
    <m/>
    <n v="50000"/>
    <x v="3"/>
    <n v="168845889"/>
    <s v="INFAQ QRIS"/>
    <x v="2"/>
  </r>
  <r>
    <m/>
    <m/>
    <n v="50000"/>
    <x v="3"/>
    <n v="168895889"/>
    <s v="INFAQ QRIS"/>
    <x v="2"/>
  </r>
  <r>
    <m/>
    <m/>
    <n v="50000"/>
    <x v="3"/>
    <n v="168945889"/>
    <s v="INFAQ QRIS"/>
    <x v="2"/>
  </r>
  <r>
    <m/>
    <m/>
    <n v="25000"/>
    <x v="3"/>
    <n v="168970889"/>
    <s v="INFAQ QRIS"/>
    <x v="2"/>
  </r>
  <r>
    <m/>
    <m/>
    <n v="10000"/>
    <x v="3"/>
    <n v="168980889"/>
    <s v="INFAQ QRIS"/>
    <x v="2"/>
  </r>
  <r>
    <m/>
    <m/>
    <n v="50000"/>
    <x v="3"/>
    <n v="169030889"/>
    <s v="INFAQ QRIS"/>
    <x v="2"/>
  </r>
  <r>
    <m/>
    <m/>
    <n v="50000"/>
    <x v="3"/>
    <n v="169080889"/>
    <s v="INFAQ QRIS"/>
    <x v="2"/>
  </r>
  <r>
    <m/>
    <m/>
    <n v="100000"/>
    <x v="3"/>
    <n v="169180889"/>
    <s v="INFAQ QRIS"/>
    <x v="2"/>
  </r>
  <r>
    <m/>
    <m/>
    <n v="50000"/>
    <x v="3"/>
    <n v="169230889"/>
    <s v="INFAQ QRIS"/>
    <x v="2"/>
  </r>
  <r>
    <m/>
    <m/>
    <n v="20000"/>
    <x v="3"/>
    <n v="169250889"/>
    <s v="INFAQ QRIS"/>
    <x v="2"/>
  </r>
  <r>
    <m/>
    <m/>
    <n v="510"/>
    <x v="3"/>
    <n v="169251399"/>
    <s v="INFAQ QRIS"/>
    <x v="2"/>
  </r>
  <r>
    <n v="3000000"/>
    <m/>
    <m/>
    <x v="3"/>
    <n v="166251399"/>
    <s v="PELUNASAN BUKA BERSAMA MAJ 1446H"/>
    <x v="17"/>
  </r>
  <r>
    <n v="2500"/>
    <m/>
    <m/>
    <x v="3"/>
    <n v="166248899"/>
    <s v="BIAYA ADM PELUNASAN BUKA BERSAMA MAJ 1446H"/>
    <x v="17"/>
  </r>
  <r>
    <m/>
    <m/>
    <n v="100000"/>
    <x v="3"/>
    <n v="166348899"/>
    <s v="INFAQ QRIS"/>
    <x v="2"/>
  </r>
  <r>
    <m/>
    <m/>
    <n v="100000"/>
    <x v="3"/>
    <n v="166448899"/>
    <s v="INFAQ QRIS"/>
    <x v="2"/>
  </r>
  <r>
    <m/>
    <m/>
    <n v="25000"/>
    <x v="3"/>
    <n v="166473899"/>
    <s v="INFAQ QRIS"/>
    <x v="2"/>
  </r>
  <r>
    <m/>
    <m/>
    <n v="10000"/>
    <x v="3"/>
    <n v="166483899"/>
    <s v="INFAQ QRIS"/>
    <x v="2"/>
  </r>
  <r>
    <m/>
    <m/>
    <n v="10000"/>
    <x v="3"/>
    <n v="166493899"/>
    <s v="INFAQ QRIS"/>
    <x v="2"/>
  </r>
  <r>
    <m/>
    <m/>
    <n v="50000"/>
    <x v="3"/>
    <n v="166543899"/>
    <s v="INFAQ QRIS"/>
    <x v="2"/>
  </r>
  <r>
    <m/>
    <m/>
    <n v="10000"/>
    <x v="3"/>
    <n v="166553899"/>
    <s v="INFAQ QRIS"/>
    <x v="2"/>
  </r>
  <r>
    <m/>
    <m/>
    <n v="20000"/>
    <x v="3"/>
    <n v="166573899"/>
    <s v="INFAQ QRIS"/>
    <x v="2"/>
  </r>
  <r>
    <m/>
    <m/>
    <n v="50000"/>
    <x v="3"/>
    <n v="166623899"/>
    <s v="INFAQ QRIS"/>
    <x v="2"/>
  </r>
  <r>
    <m/>
    <m/>
    <n v="100000"/>
    <x v="3"/>
    <n v="166723899"/>
    <s v="INFAQ QRIS"/>
    <x v="2"/>
  </r>
  <r>
    <m/>
    <m/>
    <n v="100000"/>
    <x v="3"/>
    <n v="166823899"/>
    <s v="INFAQ QRIS"/>
    <x v="2"/>
  </r>
  <r>
    <m/>
    <m/>
    <n v="30000"/>
    <x v="3"/>
    <n v="166853899"/>
    <s v="INFAQ QRIS"/>
    <x v="2"/>
  </r>
  <r>
    <m/>
    <m/>
    <n v="50000"/>
    <x v="3"/>
    <n v="166903899"/>
    <s v="INFAQ QRIS"/>
    <x v="2"/>
  </r>
  <r>
    <m/>
    <m/>
    <n v="15000"/>
    <x v="3"/>
    <n v="166918899"/>
    <s v="INFAQ QRIS"/>
    <x v="2"/>
  </r>
  <r>
    <m/>
    <m/>
    <n v="10000"/>
    <x v="3"/>
    <n v="166928899"/>
    <s v="INFAQ QRIS"/>
    <x v="2"/>
  </r>
  <r>
    <m/>
    <m/>
    <n v="50000"/>
    <x v="3"/>
    <n v="166978899"/>
    <s v="INFAQ QRIS"/>
    <x v="2"/>
  </r>
  <r>
    <m/>
    <m/>
    <n v="10000"/>
    <x v="3"/>
    <n v="166988899"/>
    <s v="INFAQ QRIS"/>
    <x v="2"/>
  </r>
  <r>
    <m/>
    <m/>
    <n v="100000"/>
    <x v="3"/>
    <n v="167088899"/>
    <s v="INFAQ QRIS"/>
    <x v="2"/>
  </r>
  <r>
    <m/>
    <m/>
    <n v="5000"/>
    <x v="3"/>
    <n v="167093899"/>
    <s v="INFAQ QRIS"/>
    <x v="2"/>
  </r>
  <r>
    <m/>
    <m/>
    <n v="150000"/>
    <x v="3"/>
    <n v="167243899"/>
    <s v="INFAQ QRIS"/>
    <x v="2"/>
  </r>
  <r>
    <m/>
    <m/>
    <n v="20000"/>
    <x v="3"/>
    <n v="167263899"/>
    <s v="INFAQ QRIS"/>
    <x v="2"/>
  </r>
  <r>
    <n v="58150000"/>
    <m/>
    <m/>
    <x v="3"/>
    <n v="109113899"/>
    <s v="PENYALURAN DANA YATIM DAN WISUDA MAJ"/>
    <x v="15"/>
  </r>
  <r>
    <n v="2500"/>
    <m/>
    <m/>
    <x v="3"/>
    <n v="109111399"/>
    <s v="BIAYA ADM PENYALURAN DANA YATIM DAN WISUDA MAJ"/>
    <x v="15"/>
  </r>
  <r>
    <m/>
    <m/>
    <n v="4230000"/>
    <x v="3"/>
    <n v="113341399"/>
    <s v="Akun Yatim &amp; Sosial"/>
    <x v="12"/>
  </r>
  <r>
    <m/>
    <m/>
    <n v="526000"/>
    <x v="3"/>
    <n v="113867399"/>
    <s v="Operasional (Infaq &amp; Sodaqoh)"/>
    <x v="2"/>
  </r>
  <r>
    <m/>
    <m/>
    <n v="5578000"/>
    <x v="3"/>
    <n v="119445399"/>
    <s v="Infaq Taraweh"/>
    <x v="2"/>
  </r>
  <r>
    <m/>
    <m/>
    <n v="1000"/>
    <x v="3"/>
    <n v="119446399"/>
    <s v="Selisih hitung setor bank"/>
    <x v="2"/>
  </r>
  <r>
    <m/>
    <n v="10335000"/>
    <m/>
    <x v="1"/>
    <n v="119446399"/>
    <s v="SETOR IMRON"/>
    <x v="4"/>
  </r>
  <r>
    <n v="2800000"/>
    <m/>
    <m/>
    <x v="3"/>
    <n v="116646399"/>
    <s v="BELI BAJU LEBARAN SANTRI MAJ 1446H"/>
    <x v="14"/>
  </r>
  <r>
    <n v="2500"/>
    <m/>
    <m/>
    <x v="3"/>
    <n v="116643899"/>
    <s v="BIAYA ADM BELI BAJU LEBARAN SANTRI MAJ 1446H"/>
    <x v="14"/>
  </r>
  <r>
    <m/>
    <m/>
    <n v="50000"/>
    <x v="3"/>
    <n v="116693899"/>
    <s v="INFAQ QRIS"/>
    <x v="2"/>
  </r>
  <r>
    <m/>
    <m/>
    <n v="50000"/>
    <x v="3"/>
    <n v="116743899"/>
    <s v="INFAQ QRIS"/>
    <x v="2"/>
  </r>
  <r>
    <m/>
    <m/>
    <n v="100000"/>
    <x v="3"/>
    <n v="116843899"/>
    <s v="INFAQ QRIS"/>
    <x v="2"/>
  </r>
  <r>
    <m/>
    <m/>
    <n v="50000"/>
    <x v="3"/>
    <n v="116893899"/>
    <s v="INFAQ QRIS"/>
    <x v="2"/>
  </r>
  <r>
    <m/>
    <m/>
    <n v="10000"/>
    <x v="3"/>
    <n v="116903899"/>
    <s v="INFAQ QRIS"/>
    <x v="2"/>
  </r>
  <r>
    <m/>
    <m/>
    <n v="50000"/>
    <x v="3"/>
    <n v="116953899"/>
    <s v="INFAQ QRIS"/>
    <x v="2"/>
  </r>
  <r>
    <m/>
    <m/>
    <n v="10000"/>
    <x v="3"/>
    <n v="116963899"/>
    <s v="INFAQ QRIS"/>
    <x v="2"/>
  </r>
  <r>
    <m/>
    <m/>
    <n v="100000"/>
    <x v="3"/>
    <n v="117063899"/>
    <s v="INFAQ QRIS"/>
    <x v="2"/>
  </r>
  <r>
    <m/>
    <m/>
    <n v="20000"/>
    <x v="3"/>
    <n v="117083899"/>
    <s v="INFAQ QRIS"/>
    <x v="2"/>
  </r>
  <r>
    <m/>
    <m/>
    <n v="50000"/>
    <x v="3"/>
    <n v="117133899"/>
    <s v="INFAQ QRIS"/>
    <x v="2"/>
  </r>
  <r>
    <m/>
    <m/>
    <n v="25000"/>
    <x v="3"/>
    <n v="117158899"/>
    <s v="INFAQ QRIS"/>
    <x v="2"/>
  </r>
  <r>
    <m/>
    <m/>
    <n v="25000"/>
    <x v="3"/>
    <n v="117183899"/>
    <s v="INFAQ QRIS"/>
    <x v="2"/>
  </r>
  <r>
    <m/>
    <m/>
    <n v="100000"/>
    <x v="3"/>
    <n v="117283899"/>
    <s v="INFAQ QRIS"/>
    <x v="2"/>
  </r>
  <r>
    <m/>
    <m/>
    <n v="50000"/>
    <x v="3"/>
    <n v="117333899"/>
    <s v="INFAQ QRIS"/>
    <x v="2"/>
  </r>
  <r>
    <m/>
    <m/>
    <n v="25000"/>
    <x v="3"/>
    <n v="117358899"/>
    <s v="INFAQ QRIS"/>
    <x v="2"/>
  </r>
  <r>
    <m/>
    <m/>
    <n v="50000"/>
    <x v="3"/>
    <n v="117408899"/>
    <s v="INFAQ QRIS"/>
    <x v="2"/>
  </r>
  <r>
    <m/>
    <m/>
    <n v="10000"/>
    <x v="3"/>
    <n v="117418899"/>
    <s v="INFAQ QRIS"/>
    <x v="2"/>
  </r>
  <r>
    <m/>
    <m/>
    <n v="10000"/>
    <x v="3"/>
    <n v="117428899"/>
    <s v="INFAQ QRIS"/>
    <x v="2"/>
  </r>
  <r>
    <m/>
    <m/>
    <n v="100000"/>
    <x v="3"/>
    <n v="117528899"/>
    <s v="INFAQ QRIS"/>
    <x v="2"/>
  </r>
  <r>
    <m/>
    <m/>
    <n v="50000"/>
    <x v="3"/>
    <n v="117578899"/>
    <s v="INFAQ QRIS"/>
    <x v="2"/>
  </r>
  <r>
    <m/>
    <m/>
    <n v="10000"/>
    <x v="3"/>
    <n v="117588899"/>
    <s v="INFAQ QRIS"/>
    <x v="2"/>
  </r>
  <r>
    <m/>
    <m/>
    <n v="5000"/>
    <x v="3"/>
    <n v="117593899"/>
    <s v="INFAQ QRIS"/>
    <x v="2"/>
  </r>
  <r>
    <m/>
    <m/>
    <n v="50000"/>
    <x v="3"/>
    <n v="117643899"/>
    <s v="INFAQ QRIS"/>
    <x v="2"/>
  </r>
  <r>
    <m/>
    <m/>
    <n v="900000"/>
    <x v="3"/>
    <n v="118543899"/>
    <s v="Infaq an wahyu romadhoni"/>
    <x v="2"/>
  </r>
  <r>
    <m/>
    <m/>
    <n v="50000"/>
    <x v="3"/>
    <n v="118593899"/>
    <s v="INFAQ QRIS"/>
    <x v="2"/>
  </r>
  <r>
    <m/>
    <m/>
    <n v="100000"/>
    <x v="3"/>
    <n v="118693899"/>
    <s v="INFAQ QRIS"/>
    <x v="2"/>
  </r>
  <r>
    <m/>
    <m/>
    <n v="25000"/>
    <x v="3"/>
    <n v="118718899"/>
    <s v="INFAQ QRIS"/>
    <x v="2"/>
  </r>
  <r>
    <m/>
    <m/>
    <n v="50000"/>
    <x v="3"/>
    <n v="118768899"/>
    <s v="INFAQ QRIS"/>
    <x v="2"/>
  </r>
  <r>
    <m/>
    <m/>
    <n v="50000"/>
    <x v="3"/>
    <n v="118818899"/>
    <s v="INFAQ QRIS"/>
    <x v="2"/>
  </r>
  <r>
    <m/>
    <m/>
    <n v="10000"/>
    <x v="3"/>
    <n v="118828899"/>
    <s v="INFAQ QRIS"/>
    <x v="2"/>
  </r>
  <r>
    <m/>
    <m/>
    <n v="50000"/>
    <x v="3"/>
    <n v="118878899"/>
    <s v="INFAQ QRIS"/>
    <x v="2"/>
  </r>
  <r>
    <m/>
    <m/>
    <n v="10000"/>
    <x v="3"/>
    <n v="118888899"/>
    <s v="INFAQ QRIS"/>
    <x v="2"/>
  </r>
  <r>
    <m/>
    <m/>
    <n v="100000"/>
    <x v="3"/>
    <n v="118988899"/>
    <s v="INFAQ QRIS"/>
    <x v="2"/>
  </r>
  <r>
    <m/>
    <m/>
    <n v="50000"/>
    <x v="3"/>
    <n v="119038899"/>
    <s v="INFAQ QRIS"/>
    <x v="2"/>
  </r>
  <r>
    <m/>
    <m/>
    <n v="4250000"/>
    <x v="3"/>
    <n v="123288899"/>
    <s v="Infaq Collection Imron"/>
    <x v="2"/>
  </r>
  <r>
    <n v="425000"/>
    <m/>
    <m/>
    <x v="3"/>
    <n v="122863899"/>
    <s v="Collection FEE Imron"/>
    <x v="18"/>
  </r>
  <r>
    <n v="2006000"/>
    <m/>
    <m/>
    <x v="3"/>
    <n v="120857899"/>
    <s v="Voucher Listrik"/>
    <x v="7"/>
  </r>
  <r>
    <m/>
    <n v="1819000"/>
    <m/>
    <x v="1"/>
    <n v="120857899"/>
    <s v="SETOR IMRON ROSADI"/>
    <x v="4"/>
  </r>
  <r>
    <m/>
    <m/>
    <n v="25000"/>
    <x v="3"/>
    <n v="120882899"/>
    <s v="INFAQ FADEL MUHAMMAD IKHWAN"/>
    <x v="2"/>
  </r>
  <r>
    <m/>
    <m/>
    <n v="50000"/>
    <x v="3"/>
    <n v="120932899"/>
    <s v="INFAQ QRIS"/>
    <x v="2"/>
  </r>
  <r>
    <m/>
    <m/>
    <n v="200000"/>
    <x v="3"/>
    <n v="121132899"/>
    <s v="INFAQ QRIS"/>
    <x v="2"/>
  </r>
  <r>
    <m/>
    <m/>
    <n v="25000"/>
    <x v="3"/>
    <n v="121157899"/>
    <s v="INFAQ QRIS"/>
    <x v="2"/>
  </r>
  <r>
    <m/>
    <m/>
    <n v="100000"/>
    <x v="3"/>
    <n v="121257899"/>
    <s v="INFAQ QRIS"/>
    <x v="2"/>
  </r>
  <r>
    <m/>
    <m/>
    <n v="100000"/>
    <x v="3"/>
    <n v="121357899"/>
    <s v="INFAQ QRIS"/>
    <x v="2"/>
  </r>
  <r>
    <m/>
    <m/>
    <n v="10000"/>
    <x v="3"/>
    <n v="121367899"/>
    <s v="INFAQ QRIS"/>
    <x v="2"/>
  </r>
  <r>
    <m/>
    <m/>
    <n v="25000"/>
    <x v="3"/>
    <n v="121392899"/>
    <s v="INFAQ QRIS"/>
    <x v="2"/>
  </r>
  <r>
    <m/>
    <m/>
    <n v="50000"/>
    <x v="3"/>
    <n v="121442899"/>
    <s v="INFAQ QRIS"/>
    <x v="2"/>
  </r>
  <r>
    <m/>
    <m/>
    <n v="10000"/>
    <x v="3"/>
    <n v="121452899"/>
    <s v="INFAQ QRIS"/>
    <x v="2"/>
  </r>
  <r>
    <m/>
    <m/>
    <n v="100000"/>
    <x v="3"/>
    <n v="121552899"/>
    <s v="INFAQ QRIS"/>
    <x v="2"/>
  </r>
  <r>
    <m/>
    <m/>
    <n v="10000"/>
    <x v="3"/>
    <n v="121562899"/>
    <s v="INFAQ QRIS"/>
    <x v="2"/>
  </r>
  <r>
    <m/>
    <m/>
    <n v="1000000"/>
    <x v="3"/>
    <n v="122562899"/>
    <s v="INFAQ DARI ANGGONO IRIAWAN"/>
    <x v="2"/>
  </r>
  <r>
    <n v="7000"/>
    <m/>
    <m/>
    <x v="3"/>
    <n v="122555899"/>
    <s v="BIAYA PAYROLL "/>
    <x v="1"/>
  </r>
  <r>
    <m/>
    <m/>
    <n v="100000"/>
    <x v="3"/>
    <n v="122655899"/>
    <s v="INFAQ SURJATI SUTARJA"/>
    <x v="2"/>
  </r>
  <r>
    <m/>
    <m/>
    <n v="50000"/>
    <x v="3"/>
    <n v="122705899"/>
    <s v="INFAQ QRIS"/>
    <x v="2"/>
  </r>
  <r>
    <m/>
    <m/>
    <n v="100000"/>
    <x v="3"/>
    <n v="122805899"/>
    <s v="INFAQ QRIS"/>
    <x v="2"/>
  </r>
  <r>
    <m/>
    <m/>
    <n v="25000"/>
    <x v="3"/>
    <n v="122830899"/>
    <s v="INFAQ QRIS"/>
    <x v="2"/>
  </r>
  <r>
    <m/>
    <m/>
    <n v="100000"/>
    <x v="3"/>
    <n v="122930899"/>
    <s v="INFAQ QRIS"/>
    <x v="2"/>
  </r>
  <r>
    <m/>
    <m/>
    <n v="1000010"/>
    <x v="3"/>
    <n v="123930909"/>
    <s v="ZAKAT MAL ELLIYAS"/>
    <x v="16"/>
  </r>
  <r>
    <m/>
    <m/>
    <n v="25000"/>
    <x v="3"/>
    <n v="123955909"/>
    <s v="INFAQ QRIS"/>
    <x v="2"/>
  </r>
  <r>
    <m/>
    <m/>
    <n v="10000"/>
    <x v="3"/>
    <n v="123965909"/>
    <s v="INFAQ QRIS"/>
    <x v="2"/>
  </r>
  <r>
    <m/>
    <m/>
    <n v="50000"/>
    <x v="3"/>
    <n v="124015909"/>
    <s v="INFAQ QRIS"/>
    <x v="2"/>
  </r>
  <r>
    <m/>
    <m/>
    <n v="10000"/>
    <x v="3"/>
    <n v="124025909"/>
    <s v="INFAQ QRIS"/>
    <x v="2"/>
  </r>
  <r>
    <m/>
    <m/>
    <n v="100000"/>
    <x v="3"/>
    <n v="124125909"/>
    <s v="INFAQ QRIS"/>
    <x v="2"/>
  </r>
  <r>
    <m/>
    <m/>
    <n v="20000"/>
    <x v="3"/>
    <n v="124145909"/>
    <s v="INFAQ QRIS"/>
    <x v="2"/>
  </r>
  <r>
    <m/>
    <m/>
    <n v="48000"/>
    <x v="3"/>
    <n v="124193909"/>
    <s v="INFAQ QRIS"/>
    <x v="2"/>
  </r>
  <r>
    <m/>
    <m/>
    <n v="100000"/>
    <x v="3"/>
    <n v="124293909"/>
    <s v="INFAQ QRIS"/>
    <x v="2"/>
  </r>
  <r>
    <m/>
    <m/>
    <n v="300000"/>
    <x v="3"/>
    <n v="124593909"/>
    <s v="INFAQ QRIS"/>
    <x v="2"/>
  </r>
  <r>
    <m/>
    <m/>
    <n v="20000"/>
    <x v="3"/>
    <n v="124613909"/>
    <s v="INFAQ QRIS"/>
    <x v="2"/>
  </r>
  <r>
    <m/>
    <m/>
    <n v="1474"/>
    <x v="3"/>
    <n v="124615383"/>
    <s v="INFAQ QRIS"/>
    <x v="2"/>
  </r>
  <r>
    <m/>
    <m/>
    <n v="5000"/>
    <x v="3"/>
    <n v="124620383"/>
    <s v="INFAQ QRIS"/>
    <x v="2"/>
  </r>
  <r>
    <m/>
    <m/>
    <n v="20000"/>
    <x v="3"/>
    <n v="124640383"/>
    <s v="INFAQ QRIS"/>
    <x v="2"/>
  </r>
  <r>
    <m/>
    <m/>
    <n v="2000000"/>
    <x v="3"/>
    <n v="126640383"/>
    <s v="INFAQ RIZKYHIDAYATSL"/>
    <x v="2"/>
  </r>
  <r>
    <m/>
    <m/>
    <n v="1500000"/>
    <x v="3"/>
    <n v="128140383"/>
    <s v="ZAKAT MAL Budi Tursilo"/>
    <x v="16"/>
  </r>
  <r>
    <m/>
    <m/>
    <n v="25000"/>
    <x v="3"/>
    <n v="128165383"/>
    <s v="INFAQ FADEL MUHAMMAD IKHWAN"/>
    <x v="2"/>
  </r>
  <r>
    <m/>
    <m/>
    <n v="50000"/>
    <x v="3"/>
    <n v="128215383"/>
    <s v="INFAQ QRIS"/>
    <x v="2"/>
  </r>
  <r>
    <m/>
    <m/>
    <n v="100000"/>
    <x v="3"/>
    <n v="128315383"/>
    <s v="INFAQ QRIS"/>
    <x v="2"/>
  </r>
  <r>
    <m/>
    <m/>
    <n v="100000"/>
    <x v="3"/>
    <n v="128415383"/>
    <s v="INFAQ QRIS"/>
    <x v="2"/>
  </r>
  <r>
    <m/>
    <m/>
    <n v="100000"/>
    <x v="3"/>
    <n v="128515383"/>
    <s v="INFAQ QRIS"/>
    <x v="2"/>
  </r>
  <r>
    <m/>
    <m/>
    <n v="10000"/>
    <x v="3"/>
    <n v="128525383"/>
    <s v="INFAQ QRIS"/>
    <x v="2"/>
  </r>
  <r>
    <m/>
    <m/>
    <n v="10000"/>
    <x v="3"/>
    <n v="128535383"/>
    <s v="INFAQ QRIS"/>
    <x v="2"/>
  </r>
  <r>
    <m/>
    <m/>
    <n v="10000"/>
    <x v="3"/>
    <n v="128545383"/>
    <s v="INFAQ QRIS"/>
    <x v="2"/>
  </r>
  <r>
    <m/>
    <m/>
    <n v="25000"/>
    <x v="3"/>
    <n v="128570383"/>
    <s v="INFAQ QRIS"/>
    <x v="2"/>
  </r>
  <r>
    <m/>
    <m/>
    <n v="100000"/>
    <x v="3"/>
    <n v="128670383"/>
    <s v="INFAQ QRIS"/>
    <x v="2"/>
  </r>
  <r>
    <m/>
    <m/>
    <n v="25000"/>
    <x v="3"/>
    <n v="128695383"/>
    <s v="INFAQ QRIS"/>
    <x v="2"/>
  </r>
  <r>
    <m/>
    <m/>
    <n v="50000"/>
    <x v="3"/>
    <n v="128745383"/>
    <s v="INFAQ QRIS"/>
    <x v="2"/>
  </r>
  <r>
    <m/>
    <m/>
    <n v="20000"/>
    <x v="3"/>
    <n v="128765383"/>
    <s v="INFAQ QRIS"/>
    <x v="2"/>
  </r>
  <r>
    <m/>
    <m/>
    <n v="1000000"/>
    <x v="3"/>
    <n v="129765383"/>
    <s v="INFAQ DARI DION"/>
    <x v="2"/>
  </r>
  <r>
    <m/>
    <m/>
    <n v="4000000"/>
    <x v="3"/>
    <n v="133765383"/>
    <s v="ZAKAT MAL DARI DION"/>
    <x v="16"/>
  </r>
  <r>
    <m/>
    <m/>
    <n v="300000"/>
    <x v="3"/>
    <n v="134065383"/>
    <s v="INFAQ Bp. Injon"/>
    <x v="2"/>
  </r>
  <r>
    <m/>
    <m/>
    <n v="5000000"/>
    <x v="3"/>
    <n v="139065383"/>
    <s v="ZAKAT MAL DHIDIK TRI WIBOWO"/>
    <x v="16"/>
  </r>
  <r>
    <m/>
    <m/>
    <n v="20000"/>
    <x v="3"/>
    <n v="139085383"/>
    <s v="INFAQ QRIS"/>
    <x v="2"/>
  </r>
  <r>
    <m/>
    <m/>
    <n v="50000"/>
    <x v="3"/>
    <n v="139135383"/>
    <s v="INFAQ QRIS"/>
    <x v="2"/>
  </r>
  <r>
    <m/>
    <m/>
    <n v="25000"/>
    <x v="3"/>
    <n v="139160383"/>
    <s v="INFAQ QRIS"/>
    <x v="2"/>
  </r>
  <r>
    <m/>
    <m/>
    <n v="100000"/>
    <x v="3"/>
    <n v="139260383"/>
    <s v="INFAQ QRIS"/>
    <x v="2"/>
  </r>
  <r>
    <m/>
    <m/>
    <n v="5000"/>
    <x v="3"/>
    <n v="139265383"/>
    <s v="INFAQ QRIS"/>
    <x v="2"/>
  </r>
  <r>
    <m/>
    <m/>
    <n v="1000000"/>
    <x v="3"/>
    <n v="140265383"/>
    <s v="INFAQ DARI WAHYU ROMADHONI"/>
    <x v="2"/>
  </r>
  <r>
    <m/>
    <m/>
    <n v="100000"/>
    <x v="3"/>
    <n v="140365383"/>
    <s v="INFAQ QRIS"/>
    <x v="2"/>
  </r>
  <r>
    <m/>
    <m/>
    <n v="9000"/>
    <x v="3"/>
    <n v="140374383"/>
    <s v="INFAQ QRIS"/>
    <x v="2"/>
  </r>
  <r>
    <m/>
    <m/>
    <n v="10000"/>
    <x v="3"/>
    <n v="140384383"/>
    <s v="INFAQ QRIS"/>
    <x v="2"/>
  </r>
  <r>
    <m/>
    <m/>
    <n v="50000"/>
    <x v="3"/>
    <n v="140434383"/>
    <s v="INFAQ QRIS"/>
    <x v="2"/>
  </r>
  <r>
    <m/>
    <m/>
    <n v="10000"/>
    <x v="3"/>
    <n v="140444383"/>
    <s v="INFAQ QRIS"/>
    <x v="2"/>
  </r>
  <r>
    <m/>
    <m/>
    <n v="25000"/>
    <x v="3"/>
    <n v="140469383"/>
    <s v="INFAQ QRIS"/>
    <x v="2"/>
  </r>
  <r>
    <m/>
    <m/>
    <n v="25000"/>
    <x v="3"/>
    <n v="140494383"/>
    <s v="INFAQ QRIS"/>
    <x v="2"/>
  </r>
  <r>
    <m/>
    <m/>
    <n v="5000"/>
    <x v="3"/>
    <n v="140499383"/>
    <s v="INFAQ QRIS"/>
    <x v="2"/>
  </r>
  <r>
    <m/>
    <m/>
    <n v="20000"/>
    <x v="3"/>
    <n v="140519383"/>
    <s v="INFAQ QRIS"/>
    <x v="2"/>
  </r>
  <r>
    <m/>
    <m/>
    <n v="10000"/>
    <x v="3"/>
    <n v="140529383"/>
    <s v="INFAQ QRIS"/>
    <x v="2"/>
  </r>
  <r>
    <m/>
    <m/>
    <n v="5252"/>
    <x v="3"/>
    <n v="140534635"/>
    <s v="INFAQ QRIS"/>
    <x v="2"/>
  </r>
  <r>
    <m/>
    <m/>
    <n v="401"/>
    <x v="3"/>
    <n v="140535036"/>
    <s v="INFAQ QRIS"/>
    <x v="2"/>
  </r>
  <r>
    <m/>
    <m/>
    <n v="50000"/>
    <x v="3"/>
    <n v="140585036"/>
    <s v="INFAQ QRIS"/>
    <x v="2"/>
  </r>
  <r>
    <m/>
    <m/>
    <n v="1000000"/>
    <x v="3"/>
    <n v="141585036"/>
    <s v="ZAKAT MAL DARI YADI ABDULLAH"/>
    <x v="16"/>
  </r>
  <r>
    <m/>
    <m/>
    <n v="50000"/>
    <x v="3"/>
    <n v="141635036"/>
    <s v="INFAQ QRIS"/>
    <x v="2"/>
  </r>
  <r>
    <m/>
    <m/>
    <n v="100000"/>
    <x v="3"/>
    <n v="141735036"/>
    <s v="INFAQ QRIS"/>
    <x v="2"/>
  </r>
  <r>
    <m/>
    <m/>
    <n v="100000"/>
    <x v="3"/>
    <n v="141835036"/>
    <s v="INFAQ QRIS"/>
    <x v="2"/>
  </r>
  <r>
    <m/>
    <m/>
    <n v="25000"/>
    <x v="3"/>
    <n v="141860036"/>
    <s v="INFAQ QRIS"/>
    <x v="2"/>
  </r>
  <r>
    <m/>
    <m/>
    <n v="10000"/>
    <x v="3"/>
    <n v="141870036"/>
    <s v="INFAQ QRIS"/>
    <x v="2"/>
  </r>
  <r>
    <m/>
    <m/>
    <n v="10000"/>
    <x v="3"/>
    <n v="141880036"/>
    <s v="INFAQ QRIS"/>
    <x v="2"/>
  </r>
  <r>
    <m/>
    <m/>
    <n v="100000"/>
    <x v="3"/>
    <n v="141980036"/>
    <s v="INFAQ QRIS"/>
    <x v="2"/>
  </r>
  <r>
    <m/>
    <m/>
    <n v="10000"/>
    <x v="3"/>
    <n v="141990036"/>
    <s v="INFAQ QRIS"/>
    <x v="2"/>
  </r>
  <r>
    <m/>
    <m/>
    <n v="20000"/>
    <x v="3"/>
    <n v="142010036"/>
    <s v="INFAQ QRIS"/>
    <x v="2"/>
  </r>
  <r>
    <m/>
    <m/>
    <n v="25000"/>
    <x v="3"/>
    <n v="142035036"/>
    <s v="INFAQ QRIS"/>
    <x v="2"/>
  </r>
  <r>
    <m/>
    <m/>
    <n v="4415000"/>
    <x v="3"/>
    <n v="146450036"/>
    <s v="Akun Yatim &amp; Sosial"/>
    <x v="12"/>
  </r>
  <r>
    <m/>
    <m/>
    <n v="2046000"/>
    <x v="3"/>
    <n v="148496036"/>
    <s v="Operasional (Infaq &amp; Sodaqoh)"/>
    <x v="2"/>
  </r>
  <r>
    <m/>
    <m/>
    <n v="5026000"/>
    <x v="3"/>
    <n v="153522036"/>
    <s v="Infaq Taraweh"/>
    <x v="2"/>
  </r>
  <r>
    <m/>
    <n v="11487000"/>
    <m/>
    <x v="1"/>
    <n v="153522036"/>
    <s v="SETOR IMRON"/>
    <x v="4"/>
  </r>
  <r>
    <m/>
    <m/>
    <n v="20000"/>
    <x v="3"/>
    <n v="153542036"/>
    <s v="INFAQ DARI FADEL MUHAMMAD IKHWAN"/>
    <x v="2"/>
  </r>
  <r>
    <m/>
    <m/>
    <n v="50000"/>
    <x v="3"/>
    <n v="153592036"/>
    <s v="INFAQ QRIS"/>
    <x v="2"/>
  </r>
  <r>
    <m/>
    <m/>
    <n v="50000"/>
    <x v="3"/>
    <n v="153642036"/>
    <s v="INFAQ QRIS"/>
    <x v="2"/>
  </r>
  <r>
    <m/>
    <m/>
    <n v="50000"/>
    <x v="3"/>
    <n v="153692036"/>
    <s v="INFAQ QRIS"/>
    <x v="2"/>
  </r>
  <r>
    <m/>
    <m/>
    <n v="100000"/>
    <x v="3"/>
    <n v="153792036"/>
    <s v="INFAQ QRIS"/>
    <x v="2"/>
  </r>
  <r>
    <m/>
    <m/>
    <n v="25000"/>
    <x v="3"/>
    <n v="153817036"/>
    <s v="INFAQ QRIS"/>
    <x v="2"/>
  </r>
  <r>
    <m/>
    <m/>
    <n v="10000"/>
    <x v="3"/>
    <n v="153827036"/>
    <s v="INFAQ QRIS"/>
    <x v="2"/>
  </r>
  <r>
    <m/>
    <m/>
    <n v="10000"/>
    <x v="3"/>
    <n v="153837036"/>
    <s v="INFAQ QRIS"/>
    <x v="2"/>
  </r>
  <r>
    <m/>
    <m/>
    <n v="100000"/>
    <x v="3"/>
    <n v="153937036"/>
    <s v="INFAQ QRIS"/>
    <x v="2"/>
  </r>
  <r>
    <m/>
    <m/>
    <n v="50000"/>
    <x v="3"/>
    <n v="153987036"/>
    <s v="INFAQ QRIS"/>
    <x v="2"/>
  </r>
  <r>
    <m/>
    <m/>
    <n v="25000"/>
    <x v="3"/>
    <n v="154012036"/>
    <s v="INFAQ QRIS"/>
    <x v="2"/>
  </r>
  <r>
    <m/>
    <m/>
    <n v="5000"/>
    <x v="3"/>
    <n v="154017036"/>
    <s v="INFAQ QRIS"/>
    <x v="2"/>
  </r>
  <r>
    <m/>
    <m/>
    <n v="100000"/>
    <x v="3"/>
    <n v="154117036"/>
    <s v="INFAQ QRIS"/>
    <x v="2"/>
  </r>
  <r>
    <m/>
    <m/>
    <n v="50000"/>
    <x v="3"/>
    <n v="154167036"/>
    <s v="INFAQ DARI FADEL MUHAMMAD IKHWAN"/>
    <x v="2"/>
  </r>
  <r>
    <m/>
    <m/>
    <n v="40000"/>
    <x v="3"/>
    <n v="154207036"/>
    <s v="INFAQ QRIS"/>
    <x v="2"/>
  </r>
  <r>
    <m/>
    <m/>
    <n v="50000"/>
    <x v="3"/>
    <n v="154257036"/>
    <s v="INFAQ QRIS"/>
    <x v="2"/>
  </r>
  <r>
    <m/>
    <m/>
    <n v="4000000"/>
    <x v="3"/>
    <n v="158257036"/>
    <s v="ZAKAT MAL DARI Muhammad Irfan GS DA 15"/>
    <x v="16"/>
  </r>
  <r>
    <m/>
    <m/>
    <n v="50000"/>
    <x v="3"/>
    <n v="158307036"/>
    <s v="INFAQ QRIS"/>
    <x v="2"/>
  </r>
  <r>
    <m/>
    <m/>
    <n v="10000"/>
    <x v="3"/>
    <n v="158317036"/>
    <s v="INFAQ QRIS"/>
    <x v="2"/>
  </r>
  <r>
    <m/>
    <m/>
    <n v="10000"/>
    <x v="3"/>
    <n v="158327036"/>
    <s v="INFAQ QRIS"/>
    <x v="2"/>
  </r>
  <r>
    <m/>
    <m/>
    <n v="50000"/>
    <x v="3"/>
    <n v="158377036"/>
    <s v="INFAQ QRIS"/>
    <x v="2"/>
  </r>
  <r>
    <m/>
    <m/>
    <n v="100000"/>
    <x v="3"/>
    <n v="158477036"/>
    <s v="INFAQ QRIS"/>
    <x v="2"/>
  </r>
  <r>
    <n v="4000000"/>
    <m/>
    <m/>
    <x v="3"/>
    <n v="154477036"/>
    <s v="BIAYA PERAWATAN SANTRI MARET 2025"/>
    <x v="14"/>
  </r>
  <r>
    <n v="2500"/>
    <m/>
    <m/>
    <x v="3"/>
    <n v="154474536"/>
    <s v="BIAYA PERAWATAN SANTRI MARET 2025"/>
    <x v="14"/>
  </r>
  <r>
    <n v="5400000"/>
    <m/>
    <m/>
    <x v="3"/>
    <n v="149074536"/>
    <s v="HONOR BAYU"/>
    <x v="14"/>
  </r>
  <r>
    <n v="6500"/>
    <m/>
    <m/>
    <x v="3"/>
    <n v="149068036"/>
    <s v="HONOR BAYU"/>
    <x v="14"/>
  </r>
  <r>
    <n v="6500000"/>
    <m/>
    <m/>
    <x v="3"/>
    <n v="142568036"/>
    <s v="HONOR NANANG "/>
    <x v="13"/>
  </r>
  <r>
    <n v="6500"/>
    <m/>
    <m/>
    <x v="3"/>
    <n v="142561536"/>
    <s v="HONOR NANANG "/>
    <x v="13"/>
  </r>
  <r>
    <n v="5000000"/>
    <m/>
    <m/>
    <x v="3"/>
    <n v="137561536"/>
    <s v="HONOR AZIZ"/>
    <x v="13"/>
  </r>
  <r>
    <n v="6500"/>
    <m/>
    <m/>
    <x v="3"/>
    <n v="137555036"/>
    <s v="HONOR AZIZ"/>
    <x v="13"/>
  </r>
  <r>
    <n v="3000000"/>
    <m/>
    <m/>
    <x v="3"/>
    <n v="134555036"/>
    <s v="HONOR ILHAM"/>
    <x v="13"/>
  </r>
  <r>
    <n v="6500"/>
    <m/>
    <m/>
    <x v="3"/>
    <n v="134548536"/>
    <s v="HONOR ILHAM"/>
    <x v="13"/>
  </r>
  <r>
    <n v="4000000"/>
    <m/>
    <m/>
    <x v="3"/>
    <n v="130548536"/>
    <s v="HONOR YANA"/>
    <x v="13"/>
  </r>
  <r>
    <n v="6500"/>
    <m/>
    <m/>
    <x v="3"/>
    <n v="130542036"/>
    <s v="HONOR YANA"/>
    <x v="13"/>
  </r>
  <r>
    <n v="4000000"/>
    <m/>
    <m/>
    <x v="3"/>
    <n v="126542036"/>
    <s v="HONOR IMRON"/>
    <x v="13"/>
  </r>
  <r>
    <n v="6500"/>
    <m/>
    <m/>
    <x v="3"/>
    <n v="126535536"/>
    <s v="HONOR IMRON"/>
    <x v="13"/>
  </r>
  <r>
    <n v="5000000"/>
    <m/>
    <m/>
    <x v="3"/>
    <n v="121535536"/>
    <s v="HONOR SURYADI"/>
    <x v="13"/>
  </r>
  <r>
    <m/>
    <m/>
    <n v="100000"/>
    <x v="3"/>
    <n v="121635536"/>
    <s v="INFAQ QRIS"/>
    <x v="2"/>
  </r>
  <r>
    <m/>
    <m/>
    <n v="50000"/>
    <x v="3"/>
    <n v="121685536"/>
    <s v="INFAQ QRIS"/>
    <x v="2"/>
  </r>
  <r>
    <m/>
    <m/>
    <n v="50000"/>
    <x v="3"/>
    <n v="121735536"/>
    <s v="INFAQ QRIS"/>
    <x v="2"/>
  </r>
  <r>
    <m/>
    <m/>
    <n v="100000"/>
    <x v="3"/>
    <n v="121835536"/>
    <s v="INFAQ QRIS"/>
    <x v="2"/>
  </r>
  <r>
    <m/>
    <m/>
    <n v="24000"/>
    <x v="3"/>
    <n v="121859536"/>
    <s v="INFAQ QRIS"/>
    <x v="2"/>
  </r>
  <r>
    <m/>
    <m/>
    <n v="100000"/>
    <x v="3"/>
    <n v="121959536"/>
    <s v="INFAQ QRIS"/>
    <x v="2"/>
  </r>
  <r>
    <m/>
    <m/>
    <n v="25000"/>
    <x v="3"/>
    <n v="121984536"/>
    <s v="INFAQ QRIS"/>
    <x v="2"/>
  </r>
  <r>
    <m/>
    <m/>
    <n v="50000"/>
    <x v="3"/>
    <n v="122034536"/>
    <s v="INFAQ QRIS"/>
    <x v="2"/>
  </r>
  <r>
    <m/>
    <m/>
    <n v="15000"/>
    <x v="3"/>
    <n v="122049536"/>
    <s v="INFAQ QRIS"/>
    <x v="2"/>
  </r>
  <r>
    <m/>
    <m/>
    <n v="1000000"/>
    <x v="3"/>
    <n v="123049536"/>
    <s v="ZAKAT MAL DIKI FIRMANSYAH"/>
    <x v="16"/>
  </r>
  <r>
    <m/>
    <m/>
    <n v="10000"/>
    <x v="3"/>
    <n v="123059536"/>
    <s v="INFAQ QRIS"/>
    <x v="2"/>
  </r>
  <r>
    <m/>
    <m/>
    <n v="100000"/>
    <x v="3"/>
    <n v="123159536"/>
    <s v="INFAQ QRIS"/>
    <x v="2"/>
  </r>
  <r>
    <m/>
    <m/>
    <n v="100000"/>
    <x v="3"/>
    <n v="123259536"/>
    <s v="INFAQ QRIS"/>
    <x v="2"/>
  </r>
  <r>
    <m/>
    <m/>
    <n v="50000"/>
    <x v="3"/>
    <n v="123309536"/>
    <s v="INFAQ QRIS"/>
    <x v="2"/>
  </r>
  <r>
    <m/>
    <m/>
    <n v="100000"/>
    <x v="3"/>
    <n v="123409536"/>
    <s v="INFAQ QRIS"/>
    <x v="2"/>
  </r>
  <r>
    <m/>
    <m/>
    <n v="25000"/>
    <x v="3"/>
    <n v="123434536"/>
    <s v="INFAQ QRIS"/>
    <x v="2"/>
  </r>
  <r>
    <m/>
    <m/>
    <n v="200000"/>
    <x v="3"/>
    <n v="123634536"/>
    <s v="INFAQ QRIS"/>
    <x v="2"/>
  </r>
  <r>
    <m/>
    <m/>
    <n v="20000"/>
    <x v="3"/>
    <n v="123654536"/>
    <s v="INFAQ QRIS"/>
    <x v="2"/>
  </r>
  <r>
    <m/>
    <m/>
    <n v="30000"/>
    <x v="3"/>
    <n v="123684536"/>
    <s v="INFAQ QRIS"/>
    <x v="2"/>
  </r>
  <r>
    <m/>
    <m/>
    <n v="10000"/>
    <x v="3"/>
    <n v="123694536"/>
    <s v="INFAQ QRIS"/>
    <x v="2"/>
  </r>
  <r>
    <m/>
    <m/>
    <n v="20000"/>
    <x v="3"/>
    <n v="123714536"/>
    <s v="INFAQ QRIS"/>
    <x v="2"/>
  </r>
  <r>
    <m/>
    <m/>
    <n v="20000"/>
    <x v="3"/>
    <n v="123734536"/>
    <s v="INFAQ QRIS"/>
    <x v="2"/>
  </r>
  <r>
    <m/>
    <m/>
    <n v="10000"/>
    <x v="3"/>
    <n v="123744536"/>
    <s v="INFAQ QRIS"/>
    <x v="2"/>
  </r>
  <r>
    <m/>
    <m/>
    <n v="20000"/>
    <x v="3"/>
    <n v="123764536"/>
    <s v="INFAQ QRIS"/>
    <x v="2"/>
  </r>
  <r>
    <m/>
    <m/>
    <n v="1000000"/>
    <x v="3"/>
    <n v="124764536"/>
    <s v="Zakat mal a.n yustitia wahidin"/>
    <x v="16"/>
  </r>
  <r>
    <n v="53150000"/>
    <m/>
    <m/>
    <x v="3"/>
    <n v="71614536"/>
    <s v="PEMBAGIAN ZAKAT FITRAH 1446H "/>
    <x v="14"/>
  </r>
  <r>
    <n v="2500"/>
    <m/>
    <m/>
    <x v="3"/>
    <n v="71612036"/>
    <s v="PEMBAGIAN ZAKAT FITRAH 1446H "/>
    <x v="14"/>
  </r>
  <r>
    <m/>
    <m/>
    <n v="1000000"/>
    <x v="3"/>
    <n v="72612036"/>
    <s v="Infaq an Ramadhan"/>
    <x v="2"/>
  </r>
  <r>
    <m/>
    <m/>
    <n v="50000"/>
    <x v="3"/>
    <n v="72662036"/>
    <s v="INFAQ QRIS"/>
    <x v="2"/>
  </r>
  <r>
    <m/>
    <m/>
    <n v="20000"/>
    <x v="3"/>
    <n v="72682036"/>
    <s v="INFAQ QRIS"/>
    <x v="2"/>
  </r>
  <r>
    <m/>
    <m/>
    <n v="200000"/>
    <x v="3"/>
    <n v="72882036"/>
    <s v="INFAQ QRIS"/>
    <x v="2"/>
  </r>
  <r>
    <m/>
    <m/>
    <n v="50000"/>
    <x v="3"/>
    <n v="72932036"/>
    <s v="INFAQ QRIS"/>
    <x v="2"/>
  </r>
  <r>
    <m/>
    <m/>
    <n v="100000"/>
    <x v="3"/>
    <n v="73032036"/>
    <s v="INFAQ QRIS"/>
    <x v="2"/>
  </r>
  <r>
    <m/>
    <m/>
    <n v="2000000"/>
    <x v="3"/>
    <n v="75032036"/>
    <s v="INFAQ DARI ARIEF TAUFIQURRAHMAN"/>
    <x v="2"/>
  </r>
  <r>
    <m/>
    <m/>
    <n v="100000"/>
    <x v="3"/>
    <n v="75132036"/>
    <s v="INFAQ QRIS"/>
    <x v="2"/>
  </r>
  <r>
    <m/>
    <m/>
    <n v="50000"/>
    <x v="3"/>
    <n v="75182036"/>
    <s v="INFAQ QRIS"/>
    <x v="2"/>
  </r>
  <r>
    <m/>
    <m/>
    <n v="10000"/>
    <x v="3"/>
    <n v="75192036"/>
    <s v="INFAQ QRIS"/>
    <x v="2"/>
  </r>
  <r>
    <m/>
    <m/>
    <n v="30000"/>
    <x v="3"/>
    <n v="75222036"/>
    <s v="INFAQ QRIS"/>
    <x v="2"/>
  </r>
  <r>
    <m/>
    <m/>
    <n v="3475000"/>
    <x v="3"/>
    <n v="78697036"/>
    <s v="ZAKAT MAL ???"/>
    <x v="16"/>
  </r>
  <r>
    <m/>
    <m/>
    <n v="50000"/>
    <x v="3"/>
    <n v="78747036"/>
    <s v="INFAQ QRIS"/>
    <x v="2"/>
  </r>
  <r>
    <m/>
    <m/>
    <n v="3000000"/>
    <x v="3"/>
    <n v="81747036"/>
    <s v="ZAKAT MAL ???"/>
    <x v="16"/>
  </r>
  <r>
    <m/>
    <m/>
    <n v="100000"/>
    <x v="3"/>
    <n v="81847036"/>
    <s v="INFAQ QRIS"/>
    <x v="2"/>
  </r>
  <r>
    <m/>
    <m/>
    <n v="25000"/>
    <x v="3"/>
    <n v="81872036"/>
    <s v="INFAQ QRIS"/>
    <x v="2"/>
  </r>
  <r>
    <m/>
    <m/>
    <n v="50000"/>
    <x v="3"/>
    <n v="81922036"/>
    <s v="INFAQ QRIS"/>
    <x v="2"/>
  </r>
  <r>
    <m/>
    <m/>
    <n v="200000"/>
    <x v="3"/>
    <n v="82122036"/>
    <s v="INFAQ QRIS"/>
    <x v="2"/>
  </r>
  <r>
    <m/>
    <m/>
    <n v="30000"/>
    <x v="3"/>
    <n v="82152036"/>
    <s v="INFAQ QRIS"/>
    <x v="2"/>
  </r>
  <r>
    <m/>
    <m/>
    <n v="20000"/>
    <x v="3"/>
    <n v="82172036"/>
    <s v="INFAQ QRIS"/>
    <x v="2"/>
  </r>
  <r>
    <m/>
    <m/>
    <n v="150000"/>
    <x v="3"/>
    <n v="82322036"/>
    <s v="INFAQ QRIS"/>
    <x v="2"/>
  </r>
  <r>
    <m/>
    <m/>
    <n v="10000"/>
    <x v="3"/>
    <n v="82332036"/>
    <s v="INFAQ QRIS"/>
    <x v="2"/>
  </r>
  <r>
    <m/>
    <m/>
    <n v="1000000"/>
    <x v="3"/>
    <n v="83332036"/>
    <s v="INFAQ QRIS"/>
    <x v="2"/>
  </r>
  <r>
    <m/>
    <m/>
    <n v="50000"/>
    <x v="3"/>
    <n v="83382036"/>
    <s v="INFAQ QRIS"/>
    <x v="2"/>
  </r>
  <r>
    <m/>
    <m/>
    <n v="6000"/>
    <x v="3"/>
    <n v="83388036"/>
    <s v="INFAQ QRIS"/>
    <x v="2"/>
  </r>
  <r>
    <m/>
    <m/>
    <n v="20000"/>
    <x v="3"/>
    <n v="83408036"/>
    <s v="INFAQ QRIS"/>
    <x v="2"/>
  </r>
  <r>
    <m/>
    <m/>
    <n v="150000"/>
    <x v="3"/>
    <n v="83558036"/>
    <s v="INFAQ QRIS"/>
    <x v="2"/>
  </r>
  <r>
    <m/>
    <m/>
    <n v="6570000"/>
    <x v="3"/>
    <n v="90128036"/>
    <s v="ZAKAT MAL ???"/>
    <x v="16"/>
  </r>
  <r>
    <m/>
    <m/>
    <n v="50000"/>
    <x v="3"/>
    <n v="90178036"/>
    <s v="INFAQ QRIS"/>
    <x v="2"/>
  </r>
  <r>
    <m/>
    <m/>
    <n v="5000"/>
    <x v="3"/>
    <n v="90183036"/>
    <s v="INFAQ QRIS"/>
    <x v="2"/>
  </r>
  <r>
    <m/>
    <m/>
    <n v="5000"/>
    <x v="3"/>
    <n v="90188036"/>
    <s v="INFAQ QRIS"/>
    <x v="2"/>
  </r>
  <r>
    <m/>
    <m/>
    <n v="50000"/>
    <x v="4"/>
    <n v="90238036"/>
    <s v="INFAQ QRIS"/>
    <x v="2"/>
  </r>
  <r>
    <m/>
    <m/>
    <n v="50000"/>
    <x v="4"/>
    <n v="90288036"/>
    <s v="INFAQ QRIS"/>
    <x v="2"/>
  </r>
  <r>
    <m/>
    <m/>
    <n v="100000"/>
    <x v="4"/>
    <n v="90388036"/>
    <s v="INFAQ QRIS"/>
    <x v="2"/>
  </r>
  <r>
    <m/>
    <m/>
    <n v="10000"/>
    <x v="4"/>
    <n v="90398036"/>
    <s v="INFAQ QRIS"/>
    <x v="2"/>
  </r>
  <r>
    <m/>
    <m/>
    <n v="100000"/>
    <x v="4"/>
    <n v="90498036"/>
    <s v="INFAQ QRIS"/>
    <x v="2"/>
  </r>
  <r>
    <m/>
    <m/>
    <n v="300000"/>
    <x v="4"/>
    <n v="90798036"/>
    <s v="INFAQ QRIS"/>
    <x v="2"/>
  </r>
  <r>
    <m/>
    <m/>
    <n v="5000000"/>
    <x v="4"/>
    <n v="95798036"/>
    <s v="ZAKAT MAL ZULFIKAR MANGGAU"/>
    <x v="16"/>
  </r>
  <r>
    <m/>
    <m/>
    <n v="50000"/>
    <x v="4"/>
    <n v="95848036"/>
    <s v="INFAQ QRIS"/>
    <x v="2"/>
  </r>
  <r>
    <m/>
    <m/>
    <n v="50000"/>
    <x v="4"/>
    <n v="95898036"/>
    <s v="INFAQ QRIS"/>
    <x v="2"/>
  </r>
  <r>
    <m/>
    <m/>
    <n v="100000"/>
    <x v="4"/>
    <n v="95998036"/>
    <s v="INFAQ QRIS"/>
    <x v="2"/>
  </r>
  <r>
    <m/>
    <m/>
    <n v="25000"/>
    <x v="4"/>
    <n v="96023036"/>
    <s v="INFAQ QRIS"/>
    <x v="2"/>
  </r>
  <r>
    <m/>
    <m/>
    <n v="18000"/>
    <x v="4"/>
    <n v="96041036"/>
    <s v="INFAQ QRIS"/>
    <x v="2"/>
  </r>
  <r>
    <m/>
    <m/>
    <n v="30000"/>
    <x v="4"/>
    <n v="96071036"/>
    <s v="INFAQ QRIS"/>
    <x v="2"/>
  </r>
  <r>
    <m/>
    <m/>
    <n v="20000"/>
    <x v="4"/>
    <n v="96091036"/>
    <s v="INFAQ QRIS"/>
    <x v="2"/>
  </r>
  <r>
    <m/>
    <m/>
    <n v="1000000"/>
    <x v="4"/>
    <n v="97091036"/>
    <s v="INFAQ QRIS"/>
    <x v="2"/>
  </r>
  <r>
    <m/>
    <m/>
    <n v="10000"/>
    <x v="4"/>
    <n v="97101036"/>
    <s v="INFAQ QRIS"/>
    <x v="2"/>
  </r>
  <r>
    <m/>
    <m/>
    <n v="620000"/>
    <x v="4"/>
    <n v="97721036"/>
    <s v="ZAKAT MAL YAYAN"/>
    <x v="16"/>
  </r>
  <r>
    <m/>
    <m/>
    <n v="50000"/>
    <x v="4"/>
    <n v="97771036"/>
    <s v="INFAQ QRIS"/>
    <x v="2"/>
  </r>
  <r>
    <m/>
    <m/>
    <n v="25000"/>
    <x v="4"/>
    <n v="97796036"/>
    <s v="INFAQ QRIS"/>
    <x v="2"/>
  </r>
  <r>
    <m/>
    <m/>
    <n v="150000"/>
    <x v="4"/>
    <n v="97946036"/>
    <s v="INFAQ QRIS"/>
    <x v="2"/>
  </r>
  <r>
    <m/>
    <m/>
    <n v="30000"/>
    <x v="4"/>
    <n v="97976036"/>
    <s v="INFAQ QRIS"/>
    <x v="2"/>
  </r>
  <r>
    <m/>
    <m/>
    <n v="10000"/>
    <x v="4"/>
    <n v="97986036"/>
    <s v="INFAQ QRIS"/>
    <x v="2"/>
  </r>
  <r>
    <m/>
    <m/>
    <n v="6000"/>
    <x v="4"/>
    <n v="97992036"/>
    <s v="INFAQ QRIS"/>
    <x v="2"/>
  </r>
  <r>
    <m/>
    <m/>
    <n v="50000"/>
    <x v="4"/>
    <n v="98042036"/>
    <s v="INFAQ QRIS"/>
    <x v="2"/>
  </r>
  <r>
    <m/>
    <m/>
    <n v="24000000"/>
    <x v="4"/>
    <n v="122042036"/>
    <m/>
    <x v="16"/>
  </r>
  <r>
    <m/>
    <m/>
    <n v="2040000"/>
    <x v="4"/>
    <n v="124082036"/>
    <m/>
    <x v="2"/>
  </r>
  <r>
    <m/>
    <n v="26040000"/>
    <m/>
    <x v="1"/>
    <n v="124082036"/>
    <s v="SETOR CASH IMRON"/>
    <x v="4"/>
  </r>
  <r>
    <m/>
    <m/>
    <n v="20000000"/>
    <x v="4"/>
    <n v="144082036"/>
    <s v="ZAKAT MAL INDRA EDI SANTOSO"/>
    <x v="16"/>
  </r>
  <r>
    <m/>
    <m/>
    <n v="500000"/>
    <x v="4"/>
    <n v="144582036"/>
    <s v="INFAQ QRIS"/>
    <x v="2"/>
  </r>
  <r>
    <m/>
    <m/>
    <n v="10000"/>
    <x v="4"/>
    <n v="144592036"/>
    <s v="INFAQ QRIS"/>
    <x v="2"/>
  </r>
  <r>
    <m/>
    <m/>
    <n v="10000"/>
    <x v="4"/>
    <n v="144602036"/>
    <s v="INFAQ QRIS"/>
    <x v="2"/>
  </r>
  <r>
    <m/>
    <m/>
    <n v="50000"/>
    <x v="4"/>
    <n v="144652036"/>
    <s v="INFAQ QRIS"/>
    <x v="2"/>
  </r>
  <r>
    <m/>
    <m/>
    <n v="50000"/>
    <x v="4"/>
    <n v="144702036"/>
    <s v="INFAQ QRIS"/>
    <x v="2"/>
  </r>
  <r>
    <m/>
    <m/>
    <n v="100000"/>
    <x v="4"/>
    <n v="144802036"/>
    <s v="INFAQ QRIS"/>
    <x v="2"/>
  </r>
  <r>
    <m/>
    <m/>
    <n v="20000"/>
    <x v="4"/>
    <n v="144822036"/>
    <s v="INFAQ QRIS"/>
    <x v="2"/>
  </r>
  <r>
    <m/>
    <m/>
    <n v="20000"/>
    <x v="4"/>
    <n v="144842036"/>
    <s v="INFAQ QRIS"/>
    <x v="2"/>
  </r>
  <r>
    <m/>
    <m/>
    <n v="10000"/>
    <x v="4"/>
    <n v="144852036"/>
    <s v="INFAQ QRIS"/>
    <x v="2"/>
  </r>
  <r>
    <m/>
    <m/>
    <n v="10000000"/>
    <x v="4"/>
    <n v="154852036"/>
    <s v="ZAKAT MAL NURMANSYAH SYARIEF"/>
    <x v="16"/>
  </r>
  <r>
    <m/>
    <m/>
    <n v="250000"/>
    <x v="4"/>
    <n v="155102036"/>
    <s v="INFAQ QRIS"/>
    <x v="2"/>
  </r>
  <r>
    <m/>
    <m/>
    <n v="50000"/>
    <x v="4"/>
    <n v="155152036"/>
    <s v="INFAQ QRIS"/>
    <x v="2"/>
  </r>
  <r>
    <m/>
    <m/>
    <n v="10000"/>
    <x v="4"/>
    <n v="155162036"/>
    <s v="INFAQ QRIS"/>
    <x v="2"/>
  </r>
  <r>
    <m/>
    <m/>
    <n v="20000"/>
    <x v="4"/>
    <n v="155182036"/>
    <s v="INFAQ QRIS"/>
    <x v="2"/>
  </r>
  <r>
    <m/>
    <m/>
    <n v="50000"/>
    <x v="4"/>
    <n v="155232036"/>
    <s v="INFAQ QRIS"/>
    <x v="2"/>
  </r>
  <r>
    <m/>
    <m/>
    <n v="5000"/>
    <x v="4"/>
    <n v="155237036"/>
    <s v="INFAQ QRIS"/>
    <x v="2"/>
  </r>
  <r>
    <m/>
    <m/>
    <n v="10000"/>
    <x v="4"/>
    <n v="155247036"/>
    <s v="INFAQ QRIS"/>
    <x v="2"/>
  </r>
  <r>
    <m/>
    <m/>
    <n v="10000"/>
    <x v="4"/>
    <n v="155257036"/>
    <s v="INFAQ QRIS"/>
    <x v="2"/>
  </r>
  <r>
    <m/>
    <m/>
    <n v="200000"/>
    <x v="4"/>
    <n v="155457036"/>
    <s v="INFAQ QRIS"/>
    <x v="2"/>
  </r>
  <r>
    <m/>
    <m/>
    <n v="200000"/>
    <x v="4"/>
    <n v="155657036"/>
    <s v="INFAQ QRIS"/>
    <x v="2"/>
  </r>
  <r>
    <m/>
    <m/>
    <n v="10000"/>
    <x v="4"/>
    <n v="155667036"/>
    <s v="INFAQ QRIS"/>
    <x v="2"/>
  </r>
  <r>
    <m/>
    <m/>
    <n v="20000"/>
    <x v="4"/>
    <n v="155687036"/>
    <s v="INFAQ QRIS"/>
    <x v="2"/>
  </r>
  <r>
    <m/>
    <m/>
    <n v="5700"/>
    <x v="4"/>
    <n v="155692736"/>
    <s v="INFAQ QRIS"/>
    <x v="2"/>
  </r>
  <r>
    <m/>
    <m/>
    <n v="400000"/>
    <x v="4"/>
    <n v="156092736"/>
    <s v="INFAQ PUTIE AMBUN SURI / RIVENDRA"/>
    <x v="2"/>
  </r>
  <r>
    <m/>
    <m/>
    <n v="20000"/>
    <x v="4"/>
    <n v="156112736"/>
    <s v="INFAQ QRIS"/>
    <x v="2"/>
  </r>
  <r>
    <m/>
    <m/>
    <n v="5700"/>
    <x v="4"/>
    <n v="156118436"/>
    <s v="INFAQ QRIS"/>
    <x v="2"/>
  </r>
  <r>
    <m/>
    <m/>
    <n v="100000"/>
    <x v="4"/>
    <n v="156218436"/>
    <s v="Infaq april25 yud"/>
    <x v="2"/>
  </r>
  <r>
    <m/>
    <m/>
    <n v="150000"/>
    <x v="4"/>
    <n v="156368436"/>
    <s v="INFAQ DWI LISTYOWATI"/>
    <x v="2"/>
  </r>
  <r>
    <m/>
    <m/>
    <n v="4816"/>
    <x v="4"/>
    <n v="156373252"/>
    <s v="INFAQ QRIS"/>
    <x v="2"/>
  </r>
  <r>
    <m/>
    <m/>
    <n v="10000"/>
    <x v="4"/>
    <n v="156383252"/>
    <s v="INFAQ QRIS"/>
    <x v="2"/>
  </r>
  <r>
    <m/>
    <m/>
    <n v="2308"/>
    <x v="4"/>
    <n v="156385560"/>
    <s v="INFAQ QRIS"/>
    <x v="2"/>
  </r>
  <r>
    <n v="20000"/>
    <m/>
    <m/>
    <x v="4"/>
    <n v="156365560"/>
    <s v="INFAQ QRIS"/>
    <x v="1"/>
  </r>
  <r>
    <n v="5700"/>
    <m/>
    <m/>
    <x v="4"/>
    <n v="156359860"/>
    <s v="INFAQ QRIS"/>
    <x v="1"/>
  </r>
  <r>
    <m/>
    <m/>
    <n v="25000"/>
    <x v="4"/>
    <n v="156384860"/>
    <s v="INFAQ QRIS"/>
    <x v="2"/>
  </r>
  <r>
    <m/>
    <m/>
    <n v="10000"/>
    <x v="4"/>
    <n v="156394860"/>
    <s v="INFAQ QRIS"/>
    <x v="2"/>
  </r>
  <r>
    <m/>
    <m/>
    <n v="20000"/>
    <x v="4"/>
    <n v="156414860"/>
    <s v="INFAQ QRIS"/>
    <x v="2"/>
  </r>
  <r>
    <m/>
    <m/>
    <n v="25000"/>
    <x v="4"/>
    <n v="156439860"/>
    <s v="INFAQ QRIS"/>
    <x v="2"/>
  </r>
  <r>
    <m/>
    <m/>
    <n v="100000"/>
    <x v="4"/>
    <n v="156539860"/>
    <s v="INFAQ QRIS"/>
    <x v="2"/>
  </r>
  <r>
    <m/>
    <m/>
    <n v="22000"/>
    <x v="4"/>
    <n v="156561860"/>
    <s v="INFAQ QRIS"/>
    <x v="2"/>
  </r>
  <r>
    <n v="2000000"/>
    <m/>
    <m/>
    <x v="4"/>
    <n v="154561860"/>
    <s v="PENGAJIAN IBU-IBU APRIL VIA LINA HERLINA"/>
    <x v="11"/>
  </r>
  <r>
    <n v="2900"/>
    <m/>
    <m/>
    <x v="4"/>
    <n v="154558960"/>
    <s v="BIAYA PENGAJIAN IBU-IBU APRIL VIA LINA HERLINA"/>
    <x v="11"/>
  </r>
  <r>
    <m/>
    <m/>
    <n v="17785500"/>
    <x v="4"/>
    <n v="172344460"/>
    <s v="INFAQ SHOLAT IDUL FITRI 1446 H"/>
    <x v="2"/>
  </r>
  <r>
    <m/>
    <m/>
    <n v="100000"/>
    <x v="4"/>
    <n v="172444460"/>
    <s v="INFAQ QRIS"/>
    <x v="2"/>
  </r>
  <r>
    <m/>
    <m/>
    <n v="2000000"/>
    <x v="4"/>
    <n v="174444460"/>
    <s v="INFAQ RIZKY HIDAYAT"/>
    <x v="2"/>
  </r>
  <r>
    <n v="5250000"/>
    <m/>
    <m/>
    <x v="4"/>
    <n v="169194460"/>
    <s v="Biaya Perbaikan 3 Pintu MAJ  SKN OUT TRF CMS "/>
    <x v="8"/>
  </r>
  <r>
    <n v="2900"/>
    <m/>
    <m/>
    <x v="4"/>
    <n v="169191560"/>
    <s v="Adm Biaya Perbaikan 3 Pintu MAJ  SKN OUT TRF CMS "/>
    <x v="8"/>
  </r>
  <r>
    <m/>
    <m/>
    <n v="1000000"/>
    <x v="4"/>
    <n v="170191560"/>
    <s v="INFAQ ANIS "/>
    <x v="2"/>
  </r>
  <r>
    <m/>
    <m/>
    <n v="66500"/>
    <x v="4"/>
    <n v="170258060"/>
    <s v="FEE MUAMALAT"/>
    <x v="2"/>
  </r>
  <r>
    <m/>
    <m/>
    <n v="25000"/>
    <x v="4"/>
    <n v="170283060"/>
    <s v="INFAQ QRIS"/>
    <x v="2"/>
  </r>
  <r>
    <m/>
    <m/>
    <n v="100000"/>
    <x v="4"/>
    <n v="170383060"/>
    <s v="INFAQ QRIS"/>
    <x v="2"/>
  </r>
  <r>
    <m/>
    <m/>
    <n v="25000"/>
    <x v="4"/>
    <n v="170408060"/>
    <s v="INFAQ QRIS"/>
    <x v="2"/>
  </r>
  <r>
    <m/>
    <m/>
    <n v="50000"/>
    <x v="4"/>
    <n v="170458060"/>
    <s v="INFAQ QRIS"/>
    <x v="2"/>
  </r>
  <r>
    <m/>
    <m/>
    <n v="10000"/>
    <x v="4"/>
    <n v="170468060"/>
    <s v="INFAQ QRIS"/>
    <x v="2"/>
  </r>
  <r>
    <m/>
    <m/>
    <n v="10000"/>
    <x v="4"/>
    <n v="170478060"/>
    <s v="INFAQ QRIS"/>
    <x v="2"/>
  </r>
  <r>
    <m/>
    <m/>
    <n v="20000"/>
    <x v="4"/>
    <n v="170498060"/>
    <s v="INFAQ QRIS"/>
    <x v="2"/>
  </r>
  <r>
    <m/>
    <m/>
    <n v="10000"/>
    <x v="4"/>
    <n v="170508060"/>
    <s v="INFAQ QRIS"/>
    <x v="2"/>
  </r>
  <r>
    <m/>
    <m/>
    <n v="5000"/>
    <x v="4"/>
    <n v="170513060"/>
    <s v="INFAQ QRIS"/>
    <x v="2"/>
  </r>
  <r>
    <m/>
    <m/>
    <n v="6661"/>
    <x v="4"/>
    <n v="170519721"/>
    <s v="INFAQ QRIS"/>
    <x v="2"/>
  </r>
  <r>
    <n v="4105500"/>
    <m/>
    <m/>
    <x v="4"/>
    <n v="166414221"/>
    <s v="PERAWATAN MAJ-MAHMUD MADJID"/>
    <x v="8"/>
  </r>
  <r>
    <n v="6500"/>
    <m/>
    <m/>
    <x v="4"/>
    <n v="166407721"/>
    <s v="BIAYA PERAWATAN MAJ-MAHMUD MADJID"/>
    <x v="8"/>
  </r>
  <r>
    <n v="750000"/>
    <m/>
    <m/>
    <x v="4"/>
    <n v="165657721"/>
    <s v="HONOR UST DARWIS MAJ "/>
    <x v="11"/>
  </r>
  <r>
    <m/>
    <m/>
    <n v="10000"/>
    <x v="4"/>
    <n v="165667721"/>
    <s v="INFAQ QRIS"/>
    <x v="2"/>
  </r>
  <r>
    <m/>
    <m/>
    <n v="25000"/>
    <x v="4"/>
    <n v="165692721"/>
    <s v="INFAQ QRIS"/>
    <x v="2"/>
  </r>
  <r>
    <m/>
    <m/>
    <n v="200000"/>
    <x v="4"/>
    <n v="165892721"/>
    <s v="INFAQ WUSONO PRIHADI SANTO"/>
    <x v="2"/>
  </r>
  <r>
    <m/>
    <m/>
    <n v="41800000"/>
    <x v="4"/>
    <n v="207692721"/>
    <s v="Zakat Mal"/>
    <x v="16"/>
  </r>
  <r>
    <m/>
    <m/>
    <n v="3042000"/>
    <x v="4"/>
    <n v="210734721"/>
    <s v="Infaq Ramadhan"/>
    <x v="2"/>
  </r>
  <r>
    <m/>
    <m/>
    <n v="10195000"/>
    <x v="4"/>
    <n v="220929721"/>
    <s v="Yatim dan Sosial"/>
    <x v="12"/>
  </r>
  <r>
    <m/>
    <m/>
    <n v="9155000"/>
    <x v="4"/>
    <n v="230084721"/>
    <s v="Tromol Jumat"/>
    <x v="2"/>
  </r>
  <r>
    <m/>
    <n v="64192000"/>
    <m/>
    <x v="1"/>
    <n v="230084721"/>
    <s v="SETOR IMRON"/>
    <x v="4"/>
  </r>
  <r>
    <n v="600000"/>
    <m/>
    <m/>
    <x v="4"/>
    <n v="229484721"/>
    <s v="Perbaikan Kipas Angin MAJ"/>
    <x v="8"/>
  </r>
  <r>
    <n v="2900"/>
    <m/>
    <m/>
    <x v="4"/>
    <n v="229481821"/>
    <s v="Biaya Adm Perbaikan Kipas Angin MAJ"/>
    <x v="8"/>
  </r>
  <r>
    <m/>
    <m/>
    <n v="50000"/>
    <x v="4"/>
    <n v="229531821"/>
    <s v="INFAQ QRIS"/>
    <x v="2"/>
  </r>
  <r>
    <m/>
    <m/>
    <n v="10000"/>
    <x v="4"/>
    <n v="229541821"/>
    <s v="INFAQ QRIS"/>
    <x v="2"/>
  </r>
  <r>
    <m/>
    <m/>
    <n v="500000"/>
    <x v="4"/>
    <n v="230041821"/>
    <s v="INFAQ INDRA EDI SANTOSO"/>
    <x v="2"/>
  </r>
  <r>
    <n v="850000"/>
    <m/>
    <m/>
    <x v="4"/>
    <n v="229191821"/>
    <s v="Perbaikan Kipas Angin MAJ"/>
    <x v="8"/>
  </r>
  <r>
    <n v="2900"/>
    <m/>
    <m/>
    <x v="4"/>
    <n v="229188921"/>
    <s v="Biaya Adm Perbaikan Kipas Angin MAJ"/>
    <x v="8"/>
  </r>
  <r>
    <m/>
    <m/>
    <n v="50000"/>
    <x v="4"/>
    <n v="229238921"/>
    <s v="INFAQ QRIS"/>
    <x v="2"/>
  </r>
  <r>
    <m/>
    <m/>
    <n v="100000"/>
    <x v="4"/>
    <n v="229338921"/>
    <s v="INFAQ QRIS"/>
    <x v="2"/>
  </r>
  <r>
    <m/>
    <m/>
    <n v="10000"/>
    <x v="4"/>
    <n v="229348921"/>
    <s v="INFAQ QRIS"/>
    <x v="2"/>
  </r>
  <r>
    <m/>
    <m/>
    <n v="10000"/>
    <x v="4"/>
    <n v="229358921"/>
    <s v="INFAQ QRIS"/>
    <x v="2"/>
  </r>
  <r>
    <n v="7705000"/>
    <m/>
    <m/>
    <x v="4"/>
    <n v="221653921"/>
    <s v="PERBAIKAN DAK PIPA-MAHMUD MADJID"/>
    <x v="8"/>
  </r>
  <r>
    <n v="6500"/>
    <m/>
    <m/>
    <x v="4"/>
    <n v="221647421"/>
    <s v="ADM PERBAIKAN DAK PIPA-MAHMUD MADJID"/>
    <x v="8"/>
  </r>
  <r>
    <m/>
    <m/>
    <n v="50000"/>
    <x v="4"/>
    <n v="221697421"/>
    <s v="INFAQ QRIS"/>
    <x v="2"/>
  </r>
  <r>
    <m/>
    <m/>
    <n v="10000"/>
    <x v="4"/>
    <n v="221707421"/>
    <s v="INFAQ QRIS"/>
    <x v="2"/>
  </r>
  <r>
    <m/>
    <m/>
    <n v="50000"/>
    <x v="4"/>
    <n v="221757421"/>
    <s v="INFAQ QRIS"/>
    <x v="2"/>
  </r>
  <r>
    <m/>
    <m/>
    <n v="200000"/>
    <x v="4"/>
    <n v="221957421"/>
    <s v="INFAQ QRIS"/>
    <x v="2"/>
  </r>
  <r>
    <m/>
    <m/>
    <n v="8000"/>
    <x v="4"/>
    <n v="221965421"/>
    <s v="INFAQ QRIS"/>
    <x v="2"/>
  </r>
  <r>
    <m/>
    <m/>
    <n v="25000"/>
    <x v="4"/>
    <n v="221990421"/>
    <s v="INFAQ QRIS"/>
    <x v="2"/>
  </r>
  <r>
    <m/>
    <m/>
    <n v="100000"/>
    <x v="4"/>
    <n v="222090421"/>
    <s v="INFAQ QRIS"/>
    <x v="2"/>
  </r>
  <r>
    <m/>
    <m/>
    <n v="50000"/>
    <x v="4"/>
    <n v="222140421"/>
    <s v="INFAQ QRIS"/>
    <x v="2"/>
  </r>
  <r>
    <m/>
    <m/>
    <n v="75000"/>
    <x v="4"/>
    <n v="222215421"/>
    <s v="INFAQ QRIS"/>
    <x v="2"/>
  </r>
  <r>
    <m/>
    <m/>
    <n v="20000"/>
    <x v="4"/>
    <n v="222235421"/>
    <s v="INFAQ QRIS"/>
    <x v="2"/>
  </r>
  <r>
    <n v="5657000"/>
    <m/>
    <m/>
    <x v="4"/>
    <n v="216578421"/>
    <s v="Perbaikan Plafon MAJ"/>
    <x v="8"/>
  </r>
  <r>
    <n v="6500"/>
    <m/>
    <m/>
    <x v="4"/>
    <n v="216571921"/>
    <s v="Biaya Trf Perbaikan Plafon MAJ"/>
    <x v="8"/>
  </r>
  <r>
    <n v="750000"/>
    <m/>
    <m/>
    <x v="4"/>
    <n v="215821921"/>
    <s v="Honor Ustadz Hasan Mubarok"/>
    <x v="11"/>
  </r>
  <r>
    <n v="6500"/>
    <m/>
    <m/>
    <x v="4"/>
    <n v="215815421"/>
    <s v="Biaya Trf Honor Ustadz Hasan Mubarok"/>
    <x v="11"/>
  </r>
  <r>
    <m/>
    <m/>
    <n v="50000"/>
    <x v="4"/>
    <n v="215865421"/>
    <s v="INFAQ QRIS"/>
    <x v="2"/>
  </r>
  <r>
    <m/>
    <m/>
    <n v="50000"/>
    <x v="4"/>
    <n v="215915421"/>
    <s v="INFAQ QRIS"/>
    <x v="2"/>
  </r>
  <r>
    <m/>
    <m/>
    <n v="10000"/>
    <x v="4"/>
    <n v="215925421"/>
    <s v="INFAQ QRIS"/>
    <x v="2"/>
  </r>
  <r>
    <m/>
    <m/>
    <n v="5000"/>
    <x v="4"/>
    <n v="215930421"/>
    <s v="INFAQ QRIS"/>
    <x v="2"/>
  </r>
  <r>
    <m/>
    <m/>
    <n v="25000"/>
    <x v="4"/>
    <n v="215955421"/>
    <s v="INFAQ QRIS"/>
    <x v="2"/>
  </r>
  <r>
    <m/>
    <m/>
    <n v="5000"/>
    <x v="4"/>
    <n v="215960421"/>
    <s v="INFAQ QRIS"/>
    <x v="2"/>
  </r>
  <r>
    <m/>
    <m/>
    <n v="10000"/>
    <x v="4"/>
    <n v="215970421"/>
    <s v="INFAQ QRIS"/>
    <x v="2"/>
  </r>
  <r>
    <m/>
    <m/>
    <n v="4358000"/>
    <x v="4"/>
    <n v="220328421"/>
    <s v="Akun Yatim &amp; Sosial"/>
    <x v="12"/>
  </r>
  <r>
    <m/>
    <m/>
    <n v="2722000"/>
    <x v="4"/>
    <n v="223050421"/>
    <s v="Operasional (Infaq &amp; Sodaqoh)"/>
    <x v="2"/>
  </r>
  <r>
    <m/>
    <n v="7080000"/>
    <m/>
    <x v="1"/>
    <n v="223050421"/>
    <s v="Setor Imron"/>
    <x v="4"/>
  </r>
  <r>
    <n v="7000"/>
    <m/>
    <m/>
    <x v="4"/>
    <n v="223043421"/>
    <s v="Biaya Adm Payroll Muamalat"/>
    <x v="1"/>
  </r>
  <r>
    <m/>
    <m/>
    <n v="10000"/>
    <x v="4"/>
    <n v="223053421"/>
    <s v="INFAQ QRIS"/>
    <x v="2"/>
  </r>
  <r>
    <n v="2000000"/>
    <m/>
    <m/>
    <x v="4"/>
    <n v="221053421"/>
    <s v="Honor Guru TPQ"/>
    <x v="19"/>
  </r>
  <r>
    <n v="2900"/>
    <m/>
    <m/>
    <x v="4"/>
    <n v="221050521"/>
    <s v="Biaya Trf Honor Guru TPQ"/>
    <x v="19"/>
  </r>
  <r>
    <m/>
    <m/>
    <n v="10000"/>
    <x v="4"/>
    <n v="221060521"/>
    <s v="INFAQ QRIS"/>
    <x v="2"/>
  </r>
  <r>
    <m/>
    <m/>
    <n v="10000"/>
    <x v="4"/>
    <n v="221070521"/>
    <s v="INFAQ QRIS"/>
    <x v="2"/>
  </r>
  <r>
    <m/>
    <m/>
    <n v="200000"/>
    <x v="4"/>
    <n v="221270521"/>
    <s v="INFAQ TPQ RIVENDRA"/>
    <x v="10"/>
  </r>
  <r>
    <m/>
    <m/>
    <n v="1000000"/>
    <x v="4"/>
    <n v="222270521"/>
    <s v="INFAQ ANGGONO IRIAWAN"/>
    <x v="2"/>
  </r>
  <r>
    <n v="750000"/>
    <m/>
    <m/>
    <x v="4"/>
    <n v="221520521"/>
    <s v="HONOR UST-KHOERUL MAKTUM"/>
    <x v="11"/>
  </r>
  <r>
    <n v="6500"/>
    <m/>
    <m/>
    <x v="4"/>
    <n v="221514021"/>
    <s v="ADM HONOR UST-KHOERUL MAKTUM"/>
    <x v="11"/>
  </r>
  <r>
    <m/>
    <m/>
    <n v="10000"/>
    <x v="4"/>
    <n v="221524021"/>
    <s v="INFAQ QRIS"/>
    <x v="2"/>
  </r>
  <r>
    <m/>
    <m/>
    <n v="5000"/>
    <x v="4"/>
    <n v="221529021"/>
    <s v="INFAQ QRIS"/>
    <x v="2"/>
  </r>
  <r>
    <m/>
    <m/>
    <n v="10000"/>
    <x v="4"/>
    <n v="221539021"/>
    <s v="INFAQ QRIS"/>
    <x v="2"/>
  </r>
  <r>
    <m/>
    <m/>
    <n v="100000"/>
    <x v="4"/>
    <n v="221639021"/>
    <s v="INFAQ SURJATI SUTARJA"/>
    <x v="2"/>
  </r>
  <r>
    <m/>
    <m/>
    <n v="10000"/>
    <x v="4"/>
    <n v="221649021"/>
    <s v="INFAQ QRIS"/>
    <x v="2"/>
  </r>
  <r>
    <m/>
    <m/>
    <n v="10000"/>
    <x v="4"/>
    <n v="221659021"/>
    <s v="INFAQ QRIS"/>
    <x v="2"/>
  </r>
  <r>
    <m/>
    <m/>
    <n v="25000"/>
    <x v="4"/>
    <n v="221684021"/>
    <s v="INFAQ QRIS"/>
    <x v="2"/>
  </r>
  <r>
    <n v="1500000"/>
    <m/>
    <m/>
    <x v="4"/>
    <n v="220184021"/>
    <s v="HONOR-MUHAMMAD ILHAM"/>
    <x v="13"/>
  </r>
  <r>
    <n v="6500"/>
    <m/>
    <m/>
    <x v="4"/>
    <n v="220177521"/>
    <s v="ADM HONOR-MUHAMMAD ILHAM"/>
    <x v="13"/>
  </r>
  <r>
    <n v="2000000"/>
    <m/>
    <m/>
    <x v="4"/>
    <n v="218177521"/>
    <s v="HONOR A IMRON ROSADI "/>
    <x v="13"/>
  </r>
  <r>
    <n v="6500"/>
    <m/>
    <m/>
    <x v="4"/>
    <n v="218171021"/>
    <s v="ADM HONOR A IMRON ROSADI "/>
    <x v="13"/>
  </r>
  <r>
    <n v="2000000"/>
    <m/>
    <m/>
    <x v="4"/>
    <n v="216171021"/>
    <s v="HONOR-YANA SIGIT ISMATULLAH"/>
    <x v="13"/>
  </r>
  <r>
    <n v="6500"/>
    <m/>
    <m/>
    <x v="4"/>
    <n v="216164521"/>
    <s v="ADM HONOR-YANA SIGIT ISMATULLAH"/>
    <x v="13"/>
  </r>
  <r>
    <n v="3250000"/>
    <m/>
    <m/>
    <x v="4"/>
    <n v="212914521"/>
    <s v="HONOR-NANANG SUBAEDI"/>
    <x v="13"/>
  </r>
  <r>
    <n v="6500"/>
    <m/>
    <m/>
    <x v="4"/>
    <n v="212908021"/>
    <s v="ADM HONOR-NANANG SUBAEDI"/>
    <x v="13"/>
  </r>
  <r>
    <n v="2700000"/>
    <m/>
    <m/>
    <x v="4"/>
    <n v="210208021"/>
    <s v="HONOR-M BAYU CANDRA"/>
    <x v="14"/>
  </r>
  <r>
    <n v="6500"/>
    <m/>
    <m/>
    <x v="4"/>
    <n v="210201521"/>
    <s v="ADM HONOR-M BAYU CANDRA"/>
    <x v="14"/>
  </r>
  <r>
    <n v="2500000"/>
    <m/>
    <m/>
    <x v="4"/>
    <n v="207701521"/>
    <s v="HONOR SURYADI"/>
    <x v="13"/>
  </r>
  <r>
    <n v="1000000"/>
    <m/>
    <m/>
    <x v="4"/>
    <n v="206701521"/>
    <s v="HONNOR Ustad Wahid Rahman"/>
    <x v="11"/>
  </r>
  <r>
    <n v="4000000"/>
    <m/>
    <m/>
    <x v="4"/>
    <n v="202701521"/>
    <s v="PERAWATAN SANTRI VIA BAYU CANDRA-M BAYU CANDRA"/>
    <x v="14"/>
  </r>
  <r>
    <n v="6500"/>
    <m/>
    <m/>
    <x v="4"/>
    <n v="202695021"/>
    <s v="ADM PERAWATAN SANTRI VIA BAYU CANDRA-M BAYU CANDRA"/>
    <x v="14"/>
  </r>
  <r>
    <m/>
    <m/>
    <n v="600000"/>
    <x v="4"/>
    <n v="203295021"/>
    <s v="INFAQ TPQ IMRON ROSADI"/>
    <x v="10"/>
  </r>
  <r>
    <m/>
    <m/>
    <n v="300000"/>
    <x v="4"/>
    <n v="203595021"/>
    <s v="INFAQ FADJAR SATYANI"/>
    <x v="2"/>
  </r>
  <r>
    <m/>
    <m/>
    <n v="50000"/>
    <x v="4"/>
    <n v="203645021"/>
    <s v="INFAQ QRIS"/>
    <x v="2"/>
  </r>
  <r>
    <m/>
    <m/>
    <n v="50000"/>
    <x v="4"/>
    <n v="203695021"/>
    <s v="INFAQ QRIS"/>
    <x v="2"/>
  </r>
  <r>
    <m/>
    <m/>
    <n v="2477000"/>
    <x v="4"/>
    <n v="206172021"/>
    <s v="Laba ALJABAR Store"/>
    <x v="20"/>
  </r>
  <r>
    <m/>
    <m/>
    <n v="3667000"/>
    <x v="4"/>
    <n v="209839021"/>
    <m/>
    <x v="12"/>
  </r>
  <r>
    <m/>
    <m/>
    <n v="5927000"/>
    <x v="4"/>
    <n v="215766021"/>
    <m/>
    <x v="2"/>
  </r>
  <r>
    <m/>
    <n v="9594000"/>
    <m/>
    <x v="1"/>
    <n v="215766021"/>
    <s v="SETOR IMRON"/>
    <x v="4"/>
  </r>
  <r>
    <m/>
    <m/>
    <n v="50000"/>
    <x v="4"/>
    <n v="215816021"/>
    <s v="INFAQ QRIS"/>
    <x v="2"/>
  </r>
  <r>
    <m/>
    <m/>
    <n v="10000"/>
    <x v="4"/>
    <n v="215826021"/>
    <s v="INFAQ QRIS"/>
    <x v="2"/>
  </r>
  <r>
    <m/>
    <m/>
    <n v="10000"/>
    <x v="5"/>
    <n v="215836021"/>
    <s v="INFAQ QRIS"/>
    <x v="2"/>
  </r>
  <r>
    <m/>
    <m/>
    <n v="200000"/>
    <x v="5"/>
    <n v="216036021"/>
    <s v="INFAQ UMI HAMIDAH"/>
    <x v="2"/>
  </r>
  <r>
    <m/>
    <m/>
    <n v="500000"/>
    <x v="5"/>
    <n v="216536021"/>
    <s v="INFAQ DRS SARWONO"/>
    <x v="2"/>
  </r>
  <r>
    <m/>
    <m/>
    <n v="50000"/>
    <x v="5"/>
    <n v="216586021"/>
    <s v="INFAQ QRIS"/>
    <x v="2"/>
  </r>
  <r>
    <m/>
    <m/>
    <n v="10000"/>
    <x v="5"/>
    <n v="216596021"/>
    <s v="INFAQ QRIS"/>
    <x v="2"/>
  </r>
  <r>
    <m/>
    <m/>
    <n v="2000000"/>
    <x v="5"/>
    <n v="218596021"/>
    <s v="INFAQ RIZKY HIDAYAT"/>
    <x v="2"/>
  </r>
  <r>
    <m/>
    <m/>
    <n v="200000"/>
    <x v="5"/>
    <n v="218796021"/>
    <s v="INFAQ DEDEN TP"/>
    <x v="2"/>
  </r>
  <r>
    <n v="4500000"/>
    <m/>
    <m/>
    <x v="5"/>
    <n v="214296021"/>
    <s v="HONOR AZIS"/>
    <x v="13"/>
  </r>
  <r>
    <n v="6500"/>
    <m/>
    <m/>
    <x v="5"/>
    <n v="214289521"/>
    <s v="ADM HONOR AZIS"/>
    <x v="13"/>
  </r>
  <r>
    <n v="2500000"/>
    <m/>
    <m/>
    <x v="5"/>
    <n v="211789521"/>
    <s v="HONOR YANA"/>
    <x v="13"/>
  </r>
  <r>
    <n v="6500"/>
    <m/>
    <m/>
    <x v="5"/>
    <n v="211783021"/>
    <s v="ADM HONOR YANA"/>
    <x v="13"/>
  </r>
  <r>
    <m/>
    <m/>
    <n v="50000"/>
    <x v="5"/>
    <n v="211833021"/>
    <s v="INFAQ QRIS"/>
    <x v="2"/>
  </r>
  <r>
    <m/>
    <m/>
    <n v="50000"/>
    <x v="5"/>
    <n v="211883021"/>
    <s v="INFAQ QRIS"/>
    <x v="2"/>
  </r>
  <r>
    <m/>
    <m/>
    <n v="25000"/>
    <x v="5"/>
    <n v="211908021"/>
    <s v="INFAQ QRIS"/>
    <x v="2"/>
  </r>
  <r>
    <m/>
    <m/>
    <n v="10000"/>
    <x v="5"/>
    <n v="211918021"/>
    <s v="INFAQ QRIS"/>
    <x v="2"/>
  </r>
  <r>
    <m/>
    <m/>
    <n v="10000"/>
    <x v="5"/>
    <n v="211928021"/>
    <s v="INFAQ QRIS"/>
    <x v="2"/>
  </r>
  <r>
    <n v="750000"/>
    <m/>
    <m/>
    <x v="5"/>
    <n v="211178021"/>
    <s v="HONOR-MOHAMMAD SHODIQ"/>
    <x v="11"/>
  </r>
  <r>
    <n v="6500"/>
    <m/>
    <m/>
    <x v="5"/>
    <n v="211171521"/>
    <s v="ADM HONOR-MOHAMMAD SHODIQ"/>
    <x v="11"/>
  </r>
  <r>
    <n v="750000"/>
    <m/>
    <m/>
    <x v="5"/>
    <n v="210421521"/>
    <s v="HONOR UST.UMAR"/>
    <x v="11"/>
  </r>
  <r>
    <n v="6500"/>
    <m/>
    <m/>
    <x v="5"/>
    <n v="210415021"/>
    <s v="ADM HONOR UST.UMAR"/>
    <x v="11"/>
  </r>
  <r>
    <m/>
    <m/>
    <n v="5000"/>
    <x v="5"/>
    <n v="210420021"/>
    <s v="INFAQ QRIS"/>
    <x v="2"/>
  </r>
  <r>
    <m/>
    <m/>
    <n v="10000"/>
    <x v="5"/>
    <n v="210430021"/>
    <s v="INFAQ QRIS"/>
    <x v="2"/>
  </r>
  <r>
    <m/>
    <m/>
    <n v="400000"/>
    <x v="5"/>
    <n v="210830021"/>
    <s v="INFAQ PUTIE AMBUN SURI/RIVENDRA"/>
    <x v="2"/>
  </r>
  <r>
    <n v="75000"/>
    <m/>
    <m/>
    <x v="5"/>
    <n v="210755021"/>
    <s v="CETAK STIKER MAJ"/>
    <x v="1"/>
  </r>
  <r>
    <n v="6500"/>
    <m/>
    <m/>
    <x v="5"/>
    <n v="210748521"/>
    <s v="ADM CETAK STIKER MAJ"/>
    <x v="1"/>
  </r>
  <r>
    <m/>
    <m/>
    <n v="150000"/>
    <x v="5"/>
    <n v="210898521"/>
    <s v="INFAQ DWI LISTYOWATI DRA"/>
    <x v="2"/>
  </r>
  <r>
    <m/>
    <m/>
    <n v="100000"/>
    <x v="5"/>
    <n v="210998521"/>
    <s v="INFAQ QRIS"/>
    <x v="2"/>
  </r>
  <r>
    <m/>
    <m/>
    <n v="5000000"/>
    <x v="5"/>
    <n v="215998521"/>
    <s v="QURBAN YOYOK SUBIYANTO SAKIDI"/>
    <x v="21"/>
  </r>
  <r>
    <m/>
    <m/>
    <n v="50000"/>
    <x v="5"/>
    <n v="216048521"/>
    <s v="INFAQ QRIS"/>
    <x v="2"/>
  </r>
  <r>
    <m/>
    <m/>
    <n v="25000"/>
    <x v="5"/>
    <n v="216073521"/>
    <s v="INFAQ QRIS"/>
    <x v="2"/>
  </r>
  <r>
    <m/>
    <m/>
    <n v="10000"/>
    <x v="5"/>
    <n v="216083521"/>
    <s v="INFAQ QRIS"/>
    <x v="2"/>
  </r>
  <r>
    <m/>
    <m/>
    <n v="2"/>
    <x v="5"/>
    <n v="216083523"/>
    <s v="INFAQ QRIS"/>
    <x v="2"/>
  </r>
  <r>
    <m/>
    <m/>
    <n v="3203000"/>
    <x v="5"/>
    <n v="219286523"/>
    <m/>
    <x v="12"/>
  </r>
  <r>
    <m/>
    <m/>
    <n v="1683000"/>
    <x v="5"/>
    <n v="220969523"/>
    <m/>
    <x v="2"/>
  </r>
  <r>
    <m/>
    <n v="4886000"/>
    <m/>
    <x v="5"/>
    <n v="220969523"/>
    <s v="SETOR IMRON"/>
    <x v="4"/>
  </r>
  <r>
    <m/>
    <m/>
    <n v="3500000"/>
    <x v="5"/>
    <n v="224469523"/>
    <s v="QURBAN IBU SRI MAULATI A F"/>
    <x v="21"/>
  </r>
  <r>
    <m/>
    <m/>
    <n v="600000"/>
    <x v="5"/>
    <n v="225069523"/>
    <s v="INFAQ IBU SRI MAULATI A F"/>
    <x v="2"/>
  </r>
  <r>
    <n v="2000000"/>
    <m/>
    <m/>
    <x v="5"/>
    <n v="223069523"/>
    <s v="BIAYA PENGAJIAN IBU-IBU"/>
    <x v="11"/>
  </r>
  <r>
    <n v="6500"/>
    <m/>
    <m/>
    <x v="5"/>
    <n v="223063023"/>
    <s v="ADM BIAYA PENGAJIAN IBU-IBU"/>
    <x v="11"/>
  </r>
  <r>
    <m/>
    <m/>
    <n v="200000"/>
    <x v="5"/>
    <n v="223263023"/>
    <s v="INFAQ WUSONO PRIHADI SANTO"/>
    <x v="2"/>
  </r>
  <r>
    <m/>
    <m/>
    <n v="10000"/>
    <x v="5"/>
    <n v="223273023"/>
    <s v="INFAQ QRIS"/>
    <x v="2"/>
  </r>
  <r>
    <m/>
    <m/>
    <n v="1000000"/>
    <x v="5"/>
    <n v="224273023"/>
    <s v="INFAQ RAMADHAN NIENDRAPUTRA"/>
    <x v="2"/>
  </r>
  <r>
    <m/>
    <m/>
    <n v="800000"/>
    <x v="5"/>
    <n v="225073023"/>
    <s v="INFAQ TPQ"/>
    <x v="2"/>
  </r>
  <r>
    <m/>
    <m/>
    <n v="4000000"/>
    <x v="5"/>
    <n v="229073023"/>
    <s v="QURBAN SAFONI MAWARDI"/>
    <x v="21"/>
  </r>
  <r>
    <m/>
    <m/>
    <n v="4000000"/>
    <x v="5"/>
    <n v="233073023"/>
    <s v="QURBAN YADI ABDULLAH"/>
    <x v="21"/>
  </r>
  <r>
    <m/>
    <m/>
    <n v="10000"/>
    <x v="5"/>
    <n v="233083023"/>
    <s v="INFAQ QRIS"/>
    <x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3">
  <r>
    <m/>
    <m/>
    <n v="5000000"/>
    <x v="0"/>
    <n v="5000000"/>
    <s v="SALDO DARI AGUNG PRAMONO"/>
    <x v="0"/>
  </r>
  <r>
    <n v="200000"/>
    <m/>
    <m/>
    <x v="0"/>
    <n v="4800000"/>
    <s v="ADM FEE HARD TOKEN CMS "/>
    <x v="1"/>
  </r>
  <r>
    <m/>
    <m/>
    <n v="500000"/>
    <x v="0"/>
    <n v="5300000"/>
    <s v="INFAQ DARI INDRA EDI SANTOSO"/>
    <x v="2"/>
  </r>
  <r>
    <m/>
    <m/>
    <n v="1800000"/>
    <x v="0"/>
    <n v="7100000"/>
    <s v="INFAQ DARI DASA SUKARSIWI, SE / DR. FANANI"/>
    <x v="2"/>
  </r>
  <r>
    <m/>
    <m/>
    <n v="2000000"/>
    <x v="0"/>
    <n v="9100000"/>
    <s v="INFAQ DARI RIZKY HIDAYAT SL"/>
    <x v="2"/>
  </r>
  <r>
    <m/>
    <m/>
    <n v="400000"/>
    <x v="0"/>
    <n v="9500000"/>
    <s v="INFAQ DARI PUTIE AMBUN SURI / RIVENDRA"/>
    <x v="2"/>
  </r>
  <r>
    <m/>
    <m/>
    <n v="44196050"/>
    <x v="0"/>
    <n v="53696050"/>
    <s v="Baitul Mal"/>
    <x v="0"/>
  </r>
  <r>
    <m/>
    <m/>
    <n v="33983823"/>
    <x v="0"/>
    <n v="87679873"/>
    <s v="Pembangunan"/>
    <x v="3"/>
  </r>
  <r>
    <m/>
    <n v="78179873"/>
    <m/>
    <x v="1"/>
    <n v="87679873"/>
    <s v="SALDO DARI AGUNG PRAMONO"/>
    <x v="4"/>
  </r>
  <r>
    <m/>
    <m/>
    <n v="5594227"/>
    <x v="0"/>
    <n v="93274100"/>
    <s v="Pembangunan"/>
    <x v="3"/>
  </r>
  <r>
    <m/>
    <m/>
    <n v="39840773"/>
    <x v="0"/>
    <n v="133114873"/>
    <s v="Akun Yatim &amp; Sosial"/>
    <x v="5"/>
  </r>
  <r>
    <m/>
    <n v="45435000"/>
    <m/>
    <x v="1"/>
    <n v="133114873"/>
    <s v="SALDO DARI IMRON ROSADI"/>
    <x v="4"/>
  </r>
  <r>
    <m/>
    <m/>
    <n v="1000000"/>
    <x v="0"/>
    <n v="134114873"/>
    <s v="JUMAT BERKAH DARI LAELASARI / AMINUDIN"/>
    <x v="6"/>
  </r>
  <r>
    <m/>
    <m/>
    <n v="300000"/>
    <x v="0"/>
    <n v="134414873"/>
    <s v="JUMAT BERKAH DARI NITA ROSITA"/>
    <x v="6"/>
  </r>
  <r>
    <m/>
    <m/>
    <n v="600000"/>
    <x v="0"/>
    <n v="135014873"/>
    <s v="JUMAT BERKAH DARI AMRAN ANWAR"/>
    <x v="6"/>
  </r>
  <r>
    <n v="1250000"/>
    <m/>
    <m/>
    <x v="0"/>
    <n v="133764873"/>
    <s v="OP - A IMRON ROSADI OPERASI-REIMBURSE VOUCHER LISTRIK &amp; PAJAK MOTOR MASJID  "/>
    <x v="7"/>
  </r>
  <r>
    <n v="2500"/>
    <m/>
    <m/>
    <x v="0"/>
    <n v="133762373"/>
    <s v="OP - BIAYA TRANSFER A IMRON ROSADI OPERASI-REIMBURSE VOUCHER LISTRIK &amp; PAJAK MOTOR MASJID  "/>
    <x v="7"/>
  </r>
  <r>
    <m/>
    <m/>
    <n v="600000"/>
    <x v="0"/>
    <n v="134362373"/>
    <s v="JUMAT BERKAH DARI DARWIN ALI"/>
    <x v="6"/>
  </r>
  <r>
    <m/>
    <m/>
    <n v="300000"/>
    <x v="0"/>
    <n v="134662373"/>
    <s v="JUMAT BERKAH DARI AGUNG SANTOSO"/>
    <x v="6"/>
  </r>
  <r>
    <m/>
    <m/>
    <n v="300000"/>
    <x v="0"/>
    <n v="134962373"/>
    <s v="JUMAT BERKAH DARI DRS. SARWONO"/>
    <x v="6"/>
  </r>
  <r>
    <m/>
    <m/>
    <n v="300000"/>
    <x v="0"/>
    <n v="135262373"/>
    <s v="JUMAT BERKAH DARI SAFONI MAWARDI"/>
    <x v="6"/>
  </r>
  <r>
    <m/>
    <m/>
    <n v="300000"/>
    <x v="0"/>
    <n v="135562373"/>
    <s v="JUMAT BERKAH DARI ENICA AGUSTINA"/>
    <x v="6"/>
  </r>
  <r>
    <n v="500000"/>
    <m/>
    <m/>
    <x v="0"/>
    <n v="135062373"/>
    <s v="OP - SUGENG PRIYONO OP-SERVIS AC REIMBURSE PAK SUGENG PRIYONO"/>
    <x v="8"/>
  </r>
  <r>
    <n v="2000000"/>
    <m/>
    <m/>
    <x v="0"/>
    <n v="133062373"/>
    <s v="JUMAT BERKAH WATTIA NETI PEMBAYARAN DP REKENING JUMAT BAROKAH ALJABAR"/>
    <x v="9"/>
  </r>
  <r>
    <n v="2500"/>
    <m/>
    <m/>
    <x v="0"/>
    <n v="133059873"/>
    <s v="JUMAT BERKAH WATTIA NETI BIAYA TRANSFER DP REKENING JUMAT BAROKAH ALJABAR"/>
    <x v="9"/>
  </r>
  <r>
    <m/>
    <m/>
    <n v="504000"/>
    <x v="0"/>
    <n v="133563873"/>
    <s v="JUMAT BERKAH DARI ACHMAD FANANI ,DR."/>
    <x v="6"/>
  </r>
  <r>
    <m/>
    <m/>
    <n v="100000"/>
    <x v="0"/>
    <n v="133663873"/>
    <s v="JUMAT BERKAH DARI SHINTA NUR DEWANTI"/>
    <x v="6"/>
  </r>
  <r>
    <m/>
    <m/>
    <n v="400000"/>
    <x v="0"/>
    <n v="134063873"/>
    <s v="OP-INFAQ TPQ"/>
    <x v="10"/>
  </r>
  <r>
    <m/>
    <m/>
    <n v="300000"/>
    <x v="0"/>
    <n v="134363873"/>
    <s v="JUMAT BERKAH DARI AGUNG PRAMONO"/>
    <x v="6"/>
  </r>
  <r>
    <m/>
    <m/>
    <n v="300000"/>
    <x v="0"/>
    <n v="134663873"/>
    <s v="JUMAT BERKAH DARI RIZKI HIDAYAT"/>
    <x v="6"/>
  </r>
  <r>
    <m/>
    <m/>
    <n v="600000"/>
    <x v="0"/>
    <n v="135263873"/>
    <s v="JUMAT BERKAH DARI YUANITA"/>
    <x v="6"/>
  </r>
  <r>
    <m/>
    <m/>
    <n v="350000"/>
    <x v="0"/>
    <n v="135613873"/>
    <s v="JUMAT BERKAH DARI HAMZAH PATANGARIH"/>
    <x v="6"/>
  </r>
  <r>
    <n v="1600000"/>
    <m/>
    <m/>
    <x v="0"/>
    <n v="134013873"/>
    <s v="PELUNASAN CATERING JUMAT BERKAH"/>
    <x v="9"/>
  </r>
  <r>
    <n v="2500"/>
    <m/>
    <m/>
    <x v="0"/>
    <n v="134011373"/>
    <s v="BIAYA ADMPELUNASAN CATERING JUMAT BERKAH"/>
    <x v="9"/>
  </r>
  <r>
    <n v="750000"/>
    <m/>
    <m/>
    <x v="0"/>
    <n v="133261373"/>
    <s v="HONOR USTADZ ABDUL HAMID"/>
    <x v="11"/>
  </r>
  <r>
    <n v="2500"/>
    <m/>
    <m/>
    <x v="0"/>
    <n v="133258873"/>
    <s v="BIAYA ADM HONOR USTADZ ABDUL HAMID"/>
    <x v="11"/>
  </r>
  <r>
    <m/>
    <m/>
    <n v="300000"/>
    <x v="0"/>
    <n v="133558873"/>
    <s v="OP-INFAQ DJOKO SULISTIYONO"/>
    <x v="2"/>
  </r>
  <r>
    <m/>
    <m/>
    <n v="50000"/>
    <x v="0"/>
    <n v="133608873"/>
    <s v="INFAQ DARI PUTIE AMBUN SURI / RIVENDRA"/>
    <x v="2"/>
  </r>
  <r>
    <m/>
    <m/>
    <n v="100000"/>
    <x v="0"/>
    <n v="133708873"/>
    <s v="INFAQ DARI HASNANTO"/>
    <x v="2"/>
  </r>
  <r>
    <m/>
    <m/>
    <n v="3000000"/>
    <x v="0"/>
    <n v="136708873"/>
    <s v="INFAQ DARI ISTANTO / IDAWATI"/>
    <x v="2"/>
  </r>
  <r>
    <m/>
    <m/>
    <n v="2773000"/>
    <x v="0"/>
    <n v="139481873"/>
    <s v="Akun Yatim &amp; Sosial"/>
    <x v="12"/>
  </r>
  <r>
    <m/>
    <m/>
    <n v="1977000"/>
    <x v="0"/>
    <n v="141458873"/>
    <s v="Operasional (Infaq &amp; Sodaqoh)"/>
    <x v="2"/>
  </r>
  <r>
    <n v="200000"/>
    <m/>
    <m/>
    <x v="0"/>
    <n v="141258873"/>
    <s v="Selisih hitung setor bank"/>
    <x v="1"/>
  </r>
  <r>
    <m/>
    <n v="4550000"/>
    <m/>
    <x v="1"/>
    <n v="141258873"/>
    <s v="SETOR IMRON ROSADI"/>
    <x v="4"/>
  </r>
  <r>
    <m/>
    <m/>
    <n v="100000"/>
    <x v="0"/>
    <n v="141358873"/>
    <s v="INFAQ DARI MAHMUD"/>
    <x v="2"/>
  </r>
  <r>
    <m/>
    <m/>
    <n v="7000"/>
    <x v="0"/>
    <n v="141365873"/>
    <s v="INFAQ DARI MUHAMMAD UBAIDILLAH"/>
    <x v="2"/>
  </r>
  <r>
    <m/>
    <m/>
    <n v="1000000"/>
    <x v="0"/>
    <n v="142365873"/>
    <s v="INFAQ DARI ARWINDO"/>
    <x v="2"/>
  </r>
  <r>
    <m/>
    <m/>
    <n v="600000"/>
    <x v="0"/>
    <n v="142965873"/>
    <s v="INFAQ DARI TPQ"/>
    <x v="10"/>
  </r>
  <r>
    <m/>
    <m/>
    <n v="250000"/>
    <x v="0"/>
    <n v="143215873"/>
    <s v="JUMAT BERKAH DARI AMRAN ANWAR"/>
    <x v="6"/>
  </r>
  <r>
    <n v="2500000"/>
    <m/>
    <m/>
    <x v="0"/>
    <n v="140715873"/>
    <s v="PO CATERING JUMAT BAROKAH"/>
    <x v="9"/>
  </r>
  <r>
    <m/>
    <m/>
    <n v="50000"/>
    <x v="0"/>
    <n v="140765873"/>
    <s v="INFAQ DARI MUHAMMAD AKMAL HAKIM"/>
    <x v="2"/>
  </r>
  <r>
    <m/>
    <m/>
    <n v="5000"/>
    <x v="0"/>
    <n v="140770873"/>
    <s v="INFAQ DARI GOPAY"/>
    <x v="2"/>
  </r>
  <r>
    <m/>
    <m/>
    <n v="4044000"/>
    <x v="0"/>
    <n v="144814873"/>
    <s v="Akun Yatim &amp; Sosial"/>
    <x v="12"/>
  </r>
  <r>
    <m/>
    <m/>
    <n v="-33000"/>
    <x v="0"/>
    <n v="144781873"/>
    <s v="Operasional (Infaq &amp; Sodaqoh)"/>
    <x v="2"/>
  </r>
  <r>
    <n v="20000"/>
    <m/>
    <m/>
    <x v="0"/>
    <n v="144761873"/>
    <s v="Selisih hitung setor bank"/>
    <x v="1"/>
  </r>
  <r>
    <m/>
    <n v="3991000"/>
    <m/>
    <x v="1"/>
    <n v="144761873"/>
    <s v="SETOR IMRON ROSADI"/>
    <x v="4"/>
  </r>
  <r>
    <m/>
    <n v="6850000"/>
    <m/>
    <x v="1"/>
    <n v="144761873"/>
    <s v="Pengumpulan infaq oleh Ustad Imron"/>
    <x v="4"/>
  </r>
  <r>
    <m/>
    <n v="-1000000"/>
    <m/>
    <x v="1"/>
    <n v="144761873"/>
    <s v="Infaq disetor langsung ke rekening masjid "/>
    <x v="4"/>
  </r>
  <r>
    <m/>
    <n v="-685000"/>
    <m/>
    <x v="1"/>
    <n v="144761873"/>
    <s v="Honor collector ustadz Imron"/>
    <x v="4"/>
  </r>
  <r>
    <m/>
    <m/>
    <n v="5165000"/>
    <x v="0"/>
    <n v="149926873"/>
    <s v="SETOR IMRON ROSADI"/>
    <x v="2"/>
  </r>
  <r>
    <m/>
    <m/>
    <n v="10000"/>
    <x v="0"/>
    <n v="149936873"/>
    <s v="INFAQ DARI GOPAY"/>
    <x v="2"/>
  </r>
  <r>
    <m/>
    <m/>
    <n v="10000"/>
    <x v="0"/>
    <n v="149946873"/>
    <s v="INFAQ DARI YOYOK SUBIANTO"/>
    <x v="2"/>
  </r>
  <r>
    <n v="750000"/>
    <m/>
    <m/>
    <x v="0"/>
    <n v="149196873"/>
    <s v="Reimburse ke Rivendra Hadiah Kajian Sabtu Ust. Affan"/>
    <x v="11"/>
  </r>
  <r>
    <n v="2500"/>
    <m/>
    <m/>
    <x v="0"/>
    <n v="149194373"/>
    <s v="Biaya transfer Reimburse Hadiah Kajian Sabtu Ust. Affan"/>
    <x v="11"/>
  </r>
  <r>
    <n v="756500"/>
    <m/>
    <m/>
    <x v="0"/>
    <n v="148437873"/>
    <s v="Reimburse ke Rivendra Hadiah Kajian Ahad Ust. Hasan"/>
    <x v="11"/>
  </r>
  <r>
    <n v="2500"/>
    <m/>
    <m/>
    <x v="0"/>
    <n v="148435373"/>
    <s v="Biaya transfer Reimburse Hadiah Kajian Ahad Ust. Hasan"/>
    <x v="11"/>
  </r>
  <r>
    <m/>
    <m/>
    <n v="10000"/>
    <x v="0"/>
    <n v="148445373"/>
    <s v="INFAQ DARI YOYOK SUBIANTO"/>
    <x v="2"/>
  </r>
  <r>
    <m/>
    <m/>
    <n v="1200000"/>
    <x v="0"/>
    <n v="149645373"/>
    <s v="INFAQ DARI HASNANTO WAHYUDI"/>
    <x v="2"/>
  </r>
  <r>
    <m/>
    <m/>
    <n v="500000"/>
    <x v="0"/>
    <n v="150145373"/>
    <s v="JUMAT BERKAH DARI H.ROPI"/>
    <x v="6"/>
  </r>
  <r>
    <m/>
    <m/>
    <n v="10000"/>
    <x v="0"/>
    <n v="150155373"/>
    <s v="INFAQ DARI JAMAAH"/>
    <x v="2"/>
  </r>
  <r>
    <m/>
    <m/>
    <n v="300000"/>
    <x v="0"/>
    <n v="150455373"/>
    <s v="JUMAT BERKAH DARI EDI NURHADI"/>
    <x v="6"/>
  </r>
  <r>
    <m/>
    <m/>
    <n v="300000"/>
    <x v="0"/>
    <n v="150755373"/>
    <s v="JUMAT BERKAH DARI AMRAN ANWAR"/>
    <x v="6"/>
  </r>
  <r>
    <m/>
    <m/>
    <n v="150000"/>
    <x v="0"/>
    <n v="150905373"/>
    <s v="INFAQ DARI SURJATI SUTARJA"/>
    <x v="2"/>
  </r>
  <r>
    <m/>
    <m/>
    <n v="10000"/>
    <x v="0"/>
    <n v="150915373"/>
    <s v="INFAQ DARI WARGA"/>
    <x v="2"/>
  </r>
  <r>
    <m/>
    <m/>
    <n v="300000"/>
    <x v="0"/>
    <n v="151215373"/>
    <s v="JUMAT BERKAH DARI AGUNG PRAMONO"/>
    <x v="6"/>
  </r>
  <r>
    <m/>
    <m/>
    <n v="300000"/>
    <x v="0"/>
    <n v="151515373"/>
    <s v="INFAQ DARI WARGA"/>
    <x v="2"/>
  </r>
  <r>
    <n v="1400000"/>
    <m/>
    <m/>
    <x v="0"/>
    <n v="150115373"/>
    <s v="PEMBELIAN JUMAT BERKAH"/>
    <x v="9"/>
  </r>
  <r>
    <m/>
    <m/>
    <n v="100000"/>
    <x v="0"/>
    <n v="150215373"/>
    <s v="INFAQ DARI WARGA"/>
    <x v="2"/>
  </r>
  <r>
    <m/>
    <m/>
    <n v="10000"/>
    <x v="0"/>
    <n v="150225373"/>
    <s v="INFAQ DARI WARGA"/>
    <x v="2"/>
  </r>
  <r>
    <n v="750000"/>
    <m/>
    <m/>
    <x v="0"/>
    <n v="149475373"/>
    <s v="HONOR USTADZ KHOERUL MAKTUM"/>
    <x v="11"/>
  </r>
  <r>
    <n v="2500"/>
    <m/>
    <m/>
    <x v="0"/>
    <n v="149472873"/>
    <s v="BIAYA ADM HONOR USTADZ KHOERUL MAKTUM"/>
    <x v="11"/>
  </r>
  <r>
    <m/>
    <m/>
    <n v="100000"/>
    <x v="0"/>
    <n v="149572873"/>
    <s v="INFAQ DARI WARGA FENTY HERLIANA"/>
    <x v="2"/>
  </r>
  <r>
    <m/>
    <m/>
    <n v="200000"/>
    <x v="0"/>
    <n v="149772873"/>
    <s v="INFAQ DARI TPQ RIVENDRA"/>
    <x v="10"/>
  </r>
  <r>
    <m/>
    <m/>
    <n v="300000"/>
    <x v="0"/>
    <n v="150072873"/>
    <s v="INFAQ DARI WARGA BENY PRIYATNA KUSUMA"/>
    <x v="2"/>
  </r>
  <r>
    <n v="1000000"/>
    <m/>
    <m/>
    <x v="0"/>
    <n v="149072873"/>
    <s v="HONOR USTADZ WAHID RAHMAN"/>
    <x v="11"/>
  </r>
  <r>
    <n v="2500"/>
    <m/>
    <m/>
    <x v="0"/>
    <n v="149070373"/>
    <s v="BIAYA ADM HONOR USTADZ WAHID RAHMAN"/>
    <x v="11"/>
  </r>
  <r>
    <m/>
    <m/>
    <n v="10000"/>
    <x v="0"/>
    <n v="149080373"/>
    <s v="INFAQ DARI WARGA"/>
    <x v="2"/>
  </r>
  <r>
    <m/>
    <m/>
    <n v="5000"/>
    <x v="0"/>
    <n v="149085373"/>
    <s v="INFAQ DARI WARGA"/>
    <x v="2"/>
  </r>
  <r>
    <m/>
    <m/>
    <n v="200000"/>
    <x v="0"/>
    <n v="149285373"/>
    <s v="INFAQ DARI MOHAMMADIANTORO PURNAWAN A.N ALM M.HASAN"/>
    <x v="2"/>
  </r>
  <r>
    <m/>
    <m/>
    <n v="10000"/>
    <x v="0"/>
    <n v="149295373"/>
    <s v="INFAQ DARI WARGA"/>
    <x v="2"/>
  </r>
  <r>
    <n v="3250000"/>
    <m/>
    <m/>
    <x v="0"/>
    <n v="146045373"/>
    <s v="HONOR NANANG SUBAEDI"/>
    <x v="13"/>
  </r>
  <r>
    <n v="6500"/>
    <m/>
    <m/>
    <x v="0"/>
    <n v="146038873"/>
    <s v="BIAYA ADM HONOR NANANG SUBAEDI"/>
    <x v="13"/>
  </r>
  <r>
    <n v="2000000"/>
    <m/>
    <m/>
    <x v="0"/>
    <n v="144038873"/>
    <s v="HONOR YANA SIGIT ISMATULLAH"/>
    <x v="13"/>
  </r>
  <r>
    <n v="6500"/>
    <m/>
    <m/>
    <x v="0"/>
    <n v="144032373"/>
    <s v="BIAYA ADM HONOR YANA SIGIT ISMATULLAH"/>
    <x v="13"/>
  </r>
  <r>
    <n v="2500000"/>
    <m/>
    <m/>
    <x v="0"/>
    <n v="141532373"/>
    <s v="HONOR NANANG AZIS / ISTANTO"/>
    <x v="13"/>
  </r>
  <r>
    <n v="6500"/>
    <m/>
    <m/>
    <x v="0"/>
    <n v="141525873"/>
    <s v="BIAYA ADM HONOR AZIS / ISTANTO"/>
    <x v="13"/>
  </r>
  <r>
    <n v="2700000"/>
    <m/>
    <m/>
    <x v="0"/>
    <n v="138825873"/>
    <s v="HONOR M BAYU CANDRA"/>
    <x v="14"/>
  </r>
  <r>
    <n v="6500"/>
    <m/>
    <m/>
    <x v="0"/>
    <n v="138819373"/>
    <s v="BIAYA ADM HONOR M BAYU CANDRA"/>
    <x v="14"/>
  </r>
  <r>
    <n v="2000000"/>
    <m/>
    <m/>
    <x v="0"/>
    <n v="136819373"/>
    <s v="HONOR A IMRON ROSADI"/>
    <x v="13"/>
  </r>
  <r>
    <n v="6500"/>
    <m/>
    <m/>
    <x v="0"/>
    <n v="136812873"/>
    <s v="BIAYA ADM HONOR A IMRON ROSADI"/>
    <x v="13"/>
  </r>
  <r>
    <n v="1500000"/>
    <m/>
    <m/>
    <x v="0"/>
    <n v="135312873"/>
    <s v="HONOR MUHAMMAD ILHAM"/>
    <x v="13"/>
  </r>
  <r>
    <n v="6500"/>
    <m/>
    <m/>
    <x v="0"/>
    <n v="135306373"/>
    <s v="BIAYA ADM HONOR MUHAMMAD ILHAM"/>
    <x v="13"/>
  </r>
  <r>
    <n v="2500000"/>
    <m/>
    <m/>
    <x v="0"/>
    <n v="132806373"/>
    <s v="HONOR SURYADI"/>
    <x v="13"/>
  </r>
  <r>
    <m/>
    <m/>
    <n v="6000000"/>
    <x v="0"/>
    <n v="138806373"/>
    <s v="INFAQ DARI HARMEN"/>
    <x v="2"/>
  </r>
  <r>
    <m/>
    <m/>
    <n v="10000"/>
    <x v="0"/>
    <n v="138816373"/>
    <s v="INFAQ DARI WARGA"/>
    <x v="2"/>
  </r>
  <r>
    <n v="3000000"/>
    <m/>
    <m/>
    <x v="0"/>
    <n v="135816373"/>
    <s v="PENGGANTIAN BIAYA RAWAT SANTRI KE UST. BAMBANG"/>
    <x v="15"/>
  </r>
  <r>
    <n v="2000000"/>
    <m/>
    <m/>
    <x v="0"/>
    <n v="133816373"/>
    <s v="LINA HERLINA BIAYA MAJ BIAYA PENGAJIAN IBU-IBU"/>
    <x v="11"/>
  </r>
  <r>
    <n v="2500"/>
    <m/>
    <m/>
    <x v="0"/>
    <n v="133813873"/>
    <s v="BIAYA ADM LINA HERLINA BIAYA MAJ BIAYA PENGAJIAN IBU-IBU"/>
    <x v="11"/>
  </r>
  <r>
    <m/>
    <m/>
    <n v="1000"/>
    <x v="0"/>
    <n v="133814873"/>
    <s v="JUMAT BERKAH DARI RIVENDRA"/>
    <x v="6"/>
  </r>
  <r>
    <m/>
    <m/>
    <n v="750000"/>
    <x v="0"/>
    <n v="134564873"/>
    <s v="INFAQ DARI WARGA AGUSTANI Biaya Tebang Pohon"/>
    <x v="2"/>
  </r>
  <r>
    <m/>
    <m/>
    <n v="10000"/>
    <x v="0"/>
    <n v="134574873"/>
    <s v="INFAQ DARI WARGA"/>
    <x v="2"/>
  </r>
  <r>
    <m/>
    <m/>
    <m/>
    <x v="0"/>
    <n v="134574873"/>
    <s v="INFAQ DARI WARGA"/>
    <x v="2"/>
  </r>
  <r>
    <m/>
    <m/>
    <m/>
    <x v="0"/>
    <n v="134574873"/>
    <s v="INFAQ DARI WARGA"/>
    <x v="2"/>
  </r>
  <r>
    <m/>
    <m/>
    <n v="2643000"/>
    <x v="0"/>
    <n v="137217873"/>
    <s v="Akun Yatim &amp; Sosial"/>
    <x v="12"/>
  </r>
  <r>
    <m/>
    <m/>
    <n v="2823000"/>
    <x v="0"/>
    <n v="140040873"/>
    <s v="Operasional (Infaq &amp; Sodaqoh)"/>
    <x v="2"/>
  </r>
  <r>
    <n v="50000"/>
    <m/>
    <m/>
    <x v="0"/>
    <n v="139990873"/>
    <s v="Selisih hitung setor bank"/>
    <x v="1"/>
  </r>
  <r>
    <m/>
    <n v="5416000"/>
    <m/>
    <x v="1"/>
    <n v="139990873"/>
    <s v="SETOR IMRON ROSADI"/>
    <x v="4"/>
  </r>
  <r>
    <n v="4613000"/>
    <m/>
    <m/>
    <x v="0"/>
    <n v="135377873"/>
    <s v="PENGGANTIAN SISA BIAYA RAWAT SANTRI KE UST. BAMBANG"/>
    <x v="15"/>
  </r>
  <r>
    <n v="2500"/>
    <m/>
    <m/>
    <x v="0"/>
    <n v="135375373"/>
    <s v="BIAYA ADM PENGGANTIAN BIAYA RAWAT SANTRI KE UST. BAMBANG"/>
    <x v="15"/>
  </r>
  <r>
    <n v="4000000"/>
    <m/>
    <m/>
    <x v="0"/>
    <n v="131375373"/>
    <s v="MAJ BIAYA PERAWATAN SANTRI JANUARI VIA REK UST.BAYU"/>
    <x v="14"/>
  </r>
  <r>
    <n v="2500"/>
    <m/>
    <m/>
    <x v="0"/>
    <n v="131372873"/>
    <s v="BIAYA ADM MAJ BIAYA PERAWATAN SANTRI JANUARI VIA REK UST.BAYU"/>
    <x v="14"/>
  </r>
  <r>
    <n v="4950000"/>
    <m/>
    <m/>
    <x v="0"/>
    <n v="126422873"/>
    <s v="BIAYA PERAWATAN MASJID (PANGKAS SAWIT, BAMBU &amp; LAMPU)"/>
    <x v="8"/>
  </r>
  <r>
    <m/>
    <m/>
    <n v="100000"/>
    <x v="0"/>
    <n v="126522873"/>
    <s v="ZAKAT DARI MOH RESAWAN HAKIM"/>
    <x v="16"/>
  </r>
  <r>
    <n v="1000000"/>
    <m/>
    <m/>
    <x v="2"/>
    <n v="125522873"/>
    <s v="HONOR USTADZ AZHAR KHALID"/>
    <x v="11"/>
  </r>
  <r>
    <n v="2500"/>
    <m/>
    <m/>
    <x v="2"/>
    <n v="125520373"/>
    <s v="BIAYA ADM HONOR USTADZ AZHAR KHALID"/>
    <x v="11"/>
  </r>
  <r>
    <m/>
    <m/>
    <n v="1000"/>
    <x v="2"/>
    <n v="125521373"/>
    <s v="INFAQ DARI YOYOK SUBIANTO"/>
    <x v="2"/>
  </r>
  <r>
    <m/>
    <m/>
    <n v="75000"/>
    <x v="2"/>
    <n v="125596373"/>
    <s v="INFAQ DARI WIDHIYAKSA SAVEEDRA"/>
    <x v="2"/>
  </r>
  <r>
    <m/>
    <m/>
    <n v="500000"/>
    <x v="2"/>
    <n v="126096373"/>
    <s v="INFAQ DARI DRS SARWONO"/>
    <x v="2"/>
  </r>
  <r>
    <m/>
    <m/>
    <n v="200000"/>
    <x v="2"/>
    <n v="126296373"/>
    <s v="INFAQ DARI DEDEN TP PERDIANSYAH"/>
    <x v="2"/>
  </r>
  <r>
    <m/>
    <m/>
    <n v="15000"/>
    <x v="2"/>
    <n v="126311373"/>
    <s v="INFAQ DARI RIZKIVITA AGNES "/>
    <x v="2"/>
  </r>
  <r>
    <m/>
    <m/>
    <n v="300000"/>
    <x v="2"/>
    <n v="126611373"/>
    <s v="INFAQ DARI BU FAJAR TS 8"/>
    <x v="2"/>
  </r>
  <r>
    <m/>
    <m/>
    <n v="200000"/>
    <x v="2"/>
    <n v="126811373"/>
    <s v="INFAQ DARI UMI HAMIDAH"/>
    <x v="2"/>
  </r>
  <r>
    <m/>
    <m/>
    <n v="300000"/>
    <x v="2"/>
    <n v="127111373"/>
    <s v="INFAQ DARI AGUNG PRAMONO"/>
    <x v="2"/>
  </r>
  <r>
    <n v="750000"/>
    <m/>
    <m/>
    <x v="2"/>
    <n v="126361373"/>
    <s v="HONOR USTADZ HIKMATIYAR ABU UMAR"/>
    <x v="11"/>
  </r>
  <r>
    <n v="2500"/>
    <m/>
    <m/>
    <x v="2"/>
    <n v="126358873"/>
    <s v="BIAYA ADM HONOR USTADZ HIKMATIYAR ABU UMAR"/>
    <x v="11"/>
  </r>
  <r>
    <m/>
    <m/>
    <n v="500000"/>
    <x v="2"/>
    <n v="126858873"/>
    <s v="INFAQ DARI SHINTA NUR DEWANTI A.N NURKHOLIS TA 3/3"/>
    <x v="2"/>
  </r>
  <r>
    <m/>
    <m/>
    <n v="200000"/>
    <x v="2"/>
    <n v="127058873"/>
    <s v="INFAQ DARI WUSONO PRIHADI SANTO"/>
    <x v="2"/>
  </r>
  <r>
    <m/>
    <m/>
    <n v="400000"/>
    <x v="2"/>
    <n v="127458873"/>
    <s v="INFAQ DARI PUTIE AMBUN SURI/RIVENDRA"/>
    <x v="2"/>
  </r>
  <r>
    <m/>
    <m/>
    <n v="200000"/>
    <x v="2"/>
    <n v="127658873"/>
    <s v="INFAQ DARI DEDEN TP PERDIANSYAH"/>
    <x v="2"/>
  </r>
  <r>
    <m/>
    <m/>
    <n v="500000"/>
    <x v="2"/>
    <n v="128158873"/>
    <s v="INFAQ DARI INDRA EDI SANTOSO"/>
    <x v="2"/>
  </r>
  <r>
    <m/>
    <m/>
    <n v="2412000"/>
    <x v="2"/>
    <n v="130570873"/>
    <s v="Akun Yatim &amp; Sosial"/>
    <x v="12"/>
  </r>
  <r>
    <m/>
    <m/>
    <n v="3924000"/>
    <x v="2"/>
    <n v="134494873"/>
    <s v="Operasional (Infaq &amp; Sodaqoh)"/>
    <x v="2"/>
  </r>
  <r>
    <m/>
    <n v="6336000"/>
    <m/>
    <x v="1"/>
    <n v="134494873"/>
    <s v="SETOR IMRON ROSADI"/>
    <x v="4"/>
  </r>
  <r>
    <m/>
    <m/>
    <n v="1000000"/>
    <x v="2"/>
    <n v="135494873"/>
    <s v="INFAQ DARI AMRAN ANWAR"/>
    <x v="2"/>
  </r>
  <r>
    <m/>
    <m/>
    <n v="200000"/>
    <x v="2"/>
    <n v="135694873"/>
    <s v="INFAQ DARI MOHAMMADIANTORO PURNAWAN A.N ALM M.HASAN"/>
    <x v="2"/>
  </r>
  <r>
    <m/>
    <m/>
    <n v="100000"/>
    <x v="2"/>
    <n v="135794873"/>
    <s v="INFAQ DARI FENTYHERLIANA A.N YUDHA BS"/>
    <x v="2"/>
  </r>
  <r>
    <n v="2000000"/>
    <m/>
    <m/>
    <x v="2"/>
    <n v="133794873"/>
    <s v="BIAYA PENGAJIAN IBU-IBU MAJ FEBRUARI"/>
    <x v="11"/>
  </r>
  <r>
    <n v="2500"/>
    <m/>
    <m/>
    <x v="2"/>
    <n v="133792373"/>
    <s v="BIAYA ADM PENGAJIAN IBU-IBU MAJ FEBRUARI"/>
    <x v="11"/>
  </r>
  <r>
    <m/>
    <m/>
    <n v="2000000"/>
    <x v="2"/>
    <n v="135792373"/>
    <s v="INFAQ DARI RIZKY HIDAYAT SL"/>
    <x v="2"/>
  </r>
  <r>
    <m/>
    <m/>
    <n v="250000"/>
    <x v="2"/>
    <n v="136042373"/>
    <s v="INFAQ DARI SEPTEMBERIZAL TA 1/8"/>
    <x v="2"/>
  </r>
  <r>
    <m/>
    <m/>
    <n v="66500"/>
    <x v="2"/>
    <n v="136108873"/>
    <s v="Refund Program MAP_Januari 2025"/>
    <x v="2"/>
  </r>
  <r>
    <n v="750000"/>
    <m/>
    <m/>
    <x v="2"/>
    <n v="135358873"/>
    <s v="HONOR USTADZ ABDUL HAMID"/>
    <x v="11"/>
  </r>
  <r>
    <n v="2500"/>
    <m/>
    <m/>
    <x v="2"/>
    <n v="135356373"/>
    <s v="BIAYA ADM HONOR USTADZ ABDUL HAMID"/>
    <x v="11"/>
  </r>
  <r>
    <m/>
    <m/>
    <n v="20000"/>
    <x v="2"/>
    <n v="135376373"/>
    <s v="INFAQ DARI YOYOK SUBIANTO"/>
    <x v="2"/>
  </r>
  <r>
    <m/>
    <m/>
    <n v="75000"/>
    <x v="2"/>
    <n v="135451373"/>
    <s v="INFAQ DARI WIDHIYAKSA SAVEEDRA"/>
    <x v="2"/>
  </r>
  <r>
    <m/>
    <m/>
    <n v="1500"/>
    <x v="2"/>
    <n v="135452873"/>
    <s v="INFAQ DARI GOPAY"/>
    <x v="2"/>
  </r>
  <r>
    <m/>
    <m/>
    <n v="1250000"/>
    <x v="2"/>
    <n v="136702873"/>
    <s v="INFAQ DARI JIMMY FAJRIANSYAH"/>
    <x v="2"/>
  </r>
  <r>
    <n v="750000"/>
    <m/>
    <m/>
    <x v="2"/>
    <n v="135952873"/>
    <s v="HONOR USTADZ DARWIS"/>
    <x v="11"/>
  </r>
  <r>
    <m/>
    <m/>
    <n v="2000000"/>
    <x v="2"/>
    <n v="137952873"/>
    <s v="INFAQ DARI PAK RAMADHAN"/>
    <x v="2"/>
  </r>
  <r>
    <m/>
    <m/>
    <n v="20000"/>
    <x v="2"/>
    <n v="137972873"/>
    <s v="INFAQ DARI MAY SOEKMONO"/>
    <x v="2"/>
  </r>
  <r>
    <m/>
    <m/>
    <n v="3222000"/>
    <x v="2"/>
    <n v="141194873"/>
    <s v="Akun Yatim &amp; Sosial"/>
    <x v="12"/>
  </r>
  <r>
    <m/>
    <m/>
    <n v="4084000"/>
    <x v="2"/>
    <n v="145278873"/>
    <s v="Operasional (Infaq &amp; Sodaqoh)"/>
    <x v="2"/>
  </r>
  <r>
    <m/>
    <n v="7306000"/>
    <m/>
    <x v="1"/>
    <n v="145278873"/>
    <s v="SETOR IMRON ROSADI"/>
    <x v="4"/>
  </r>
  <r>
    <n v="840000"/>
    <m/>
    <m/>
    <x v="2"/>
    <n v="144438873"/>
    <s v="REIMBURSE SERVICE AC MASJID"/>
    <x v="8"/>
  </r>
  <r>
    <n v="2500"/>
    <m/>
    <m/>
    <x v="2"/>
    <n v="144436373"/>
    <s v="REIMBURSE SERVICE AC MASJID"/>
    <x v="8"/>
  </r>
  <r>
    <n v="1000000"/>
    <m/>
    <m/>
    <x v="2"/>
    <n v="143436373"/>
    <s v="MAHMUD MADJID BELI PARFUM PEWANGI KARPET MAJ"/>
    <x v="8"/>
  </r>
  <r>
    <n v="2500"/>
    <m/>
    <m/>
    <x v="2"/>
    <n v="143433873"/>
    <s v="MAHMUD MADJID BELI PARFUM PEWANGI KARPET MAJ"/>
    <x v="8"/>
  </r>
  <r>
    <m/>
    <m/>
    <n v="1800000"/>
    <x v="2"/>
    <n v="145233873"/>
    <s v="INFAQ DARI SARI ARGO WARDANI"/>
    <x v="2"/>
  </r>
  <r>
    <m/>
    <m/>
    <n v="10000"/>
    <x v="2"/>
    <n v="145243873"/>
    <s v="INFAQ DARI YOYOK SUBIANTO"/>
    <x v="2"/>
  </r>
  <r>
    <m/>
    <m/>
    <n v="20000"/>
    <x v="2"/>
    <n v="145263873"/>
    <s v="QRIS"/>
    <x v="2"/>
  </r>
  <r>
    <m/>
    <m/>
    <n v="10000"/>
    <x v="2"/>
    <n v="145273873"/>
    <s v="QRIS"/>
    <x v="2"/>
  </r>
  <r>
    <m/>
    <m/>
    <n v="25000"/>
    <x v="2"/>
    <n v="145298873"/>
    <s v="QRIS"/>
    <x v="2"/>
  </r>
  <r>
    <m/>
    <m/>
    <n v="400000"/>
    <x v="2"/>
    <n v="145698873"/>
    <s v="INFAQ TPQ IMRON ROSADI"/>
    <x v="10"/>
  </r>
  <r>
    <m/>
    <m/>
    <n v="100000"/>
    <x v="2"/>
    <n v="145798873"/>
    <s v="QRIS"/>
    <x v="2"/>
  </r>
  <r>
    <m/>
    <m/>
    <n v="10000"/>
    <x v="2"/>
    <n v="145808873"/>
    <s v="QRIS"/>
    <x v="2"/>
  </r>
  <r>
    <m/>
    <m/>
    <n v="1700"/>
    <x v="2"/>
    <n v="145810573"/>
    <s v="QRIS"/>
    <x v="2"/>
  </r>
  <r>
    <n v="750000"/>
    <m/>
    <m/>
    <x v="2"/>
    <n v="145060573"/>
    <s v="UST AFAN MUBARAK"/>
    <x v="11"/>
  </r>
  <r>
    <n v="2500"/>
    <m/>
    <m/>
    <x v="2"/>
    <n v="145058073"/>
    <s v="ADM"/>
    <x v="11"/>
  </r>
  <r>
    <n v="750000"/>
    <m/>
    <m/>
    <x v="2"/>
    <n v="144308073"/>
    <s v="UST HASAN MUBARAK"/>
    <x v="11"/>
  </r>
  <r>
    <n v="2500"/>
    <m/>
    <m/>
    <x v="2"/>
    <n v="144305573"/>
    <s v="ADM"/>
    <x v="11"/>
  </r>
  <r>
    <m/>
    <m/>
    <n v="10000"/>
    <x v="2"/>
    <n v="144315573"/>
    <s v="QRIS"/>
    <x v="2"/>
  </r>
  <r>
    <m/>
    <m/>
    <n v="1550000"/>
    <x v="2"/>
    <n v="145865573"/>
    <s v="INFAQ COLLECTIVE WARGA RT 5"/>
    <x v="2"/>
  </r>
  <r>
    <m/>
    <m/>
    <n v="10000"/>
    <x v="2"/>
    <n v="145875573"/>
    <s v="QRIS"/>
    <x v="2"/>
  </r>
  <r>
    <m/>
    <m/>
    <n v="3264000"/>
    <x v="2"/>
    <n v="149139573"/>
    <s v="Akun Yatim &amp; Sosial"/>
    <x v="12"/>
  </r>
  <r>
    <m/>
    <m/>
    <n v="1961000"/>
    <x v="2"/>
    <n v="151100573"/>
    <s v="Operasional (Infaq &amp; Sodaqoh)"/>
    <x v="2"/>
  </r>
  <r>
    <m/>
    <n v="5225000"/>
    <m/>
    <x v="1"/>
    <n v="151100573"/>
    <s v="SETOR IMRON ROSADI"/>
    <x v="4"/>
  </r>
  <r>
    <n v="625000"/>
    <m/>
    <m/>
    <x v="2"/>
    <n v="150475573"/>
    <s v="BIAYA CETAK IMSAKIYAH MAJ 500 LBR"/>
    <x v="1"/>
  </r>
  <r>
    <n v="2500"/>
    <m/>
    <m/>
    <x v="2"/>
    <n v="150473073"/>
    <s v="BIAYA ADM CETAK IMSAKIYAH MAJ 500 LBR"/>
    <x v="1"/>
  </r>
  <r>
    <m/>
    <m/>
    <n v="150000"/>
    <x v="2"/>
    <n v="150623073"/>
    <s v="INFAQ DARI JONET/DWI LISTYOWATI DRA Gunung Salak FA 5"/>
    <x v="2"/>
  </r>
  <r>
    <m/>
    <m/>
    <n v="20000"/>
    <x v="2"/>
    <n v="150643073"/>
    <s v="QRIS"/>
    <x v="2"/>
  </r>
  <r>
    <m/>
    <m/>
    <n v="1000000"/>
    <x v="2"/>
    <n v="151643073"/>
    <s v="INFAQ DARI AMIN/LAELASARI RT 5"/>
    <x v="2"/>
  </r>
  <r>
    <m/>
    <m/>
    <n v="400000"/>
    <x v="2"/>
    <n v="152043073"/>
    <s v="INFAQ TPQ DARI AGUNG PRAMONO"/>
    <x v="10"/>
  </r>
  <r>
    <m/>
    <m/>
    <n v="20000"/>
    <x v="2"/>
    <n v="152063073"/>
    <s v="QRIS"/>
    <x v="2"/>
  </r>
  <r>
    <m/>
    <n v="2650000"/>
    <m/>
    <x v="1"/>
    <n v="152063073"/>
    <s v="INFAQ COLLECTIVE IMRON"/>
    <x v="4"/>
  </r>
  <r>
    <m/>
    <n v="-265000"/>
    <m/>
    <x v="1"/>
    <n v="152063073"/>
    <s v="FEE IMRON"/>
    <x v="4"/>
  </r>
  <r>
    <m/>
    <m/>
    <n v="2385000"/>
    <x v="2"/>
    <n v="154448073"/>
    <s v="IMRON ROSADI"/>
    <x v="2"/>
  </r>
  <r>
    <m/>
    <m/>
    <n v="100000"/>
    <x v="2"/>
    <n v="154548073"/>
    <s v="INFAQ DARI SURJATI SUTARJA"/>
    <x v="2"/>
  </r>
  <r>
    <n v="750000"/>
    <m/>
    <m/>
    <x v="2"/>
    <n v="153798073"/>
    <s v="HONOR USTADZ KHOERUL MAKTUM"/>
    <x v="11"/>
  </r>
  <r>
    <n v="2500"/>
    <m/>
    <m/>
    <x v="2"/>
    <n v="153795573"/>
    <s v="BIAYA ADM HONOR USTADZ KHOERUL MAKTUM"/>
    <x v="11"/>
  </r>
  <r>
    <m/>
    <m/>
    <n v="50000"/>
    <x v="2"/>
    <n v="153845573"/>
    <s v="QRIS"/>
    <x v="2"/>
  </r>
  <r>
    <m/>
    <m/>
    <n v="20000"/>
    <x v="2"/>
    <n v="153865573"/>
    <s v="QRIS"/>
    <x v="2"/>
  </r>
  <r>
    <m/>
    <m/>
    <n v="150000"/>
    <x v="2"/>
    <n v="154015573"/>
    <s v="QRIS"/>
    <x v="2"/>
  </r>
  <r>
    <m/>
    <m/>
    <n v="1904"/>
    <x v="2"/>
    <n v="154017477"/>
    <s v="QRIS"/>
    <x v="2"/>
  </r>
  <r>
    <n v="1000000"/>
    <m/>
    <m/>
    <x v="2"/>
    <n v="153017477"/>
    <s v="HONOR USTADZ WAHID RAHMAN"/>
    <x v="11"/>
  </r>
  <r>
    <n v="2500"/>
    <m/>
    <m/>
    <x v="2"/>
    <n v="153014977"/>
    <s v="BIAYA ADM HONOR USTADZ WAHID RAHMAN"/>
    <x v="11"/>
  </r>
  <r>
    <n v="1500000"/>
    <m/>
    <m/>
    <x v="2"/>
    <n v="151514977"/>
    <s v="HONOR PELATIHAN JENAZAH"/>
    <x v="11"/>
  </r>
  <r>
    <n v="6500"/>
    <m/>
    <m/>
    <x v="2"/>
    <n v="151508477"/>
    <s v="BIAYA ADM HONOR PELATIHAN JENAZAH"/>
    <x v="11"/>
  </r>
  <r>
    <m/>
    <m/>
    <n v="5000"/>
    <x v="2"/>
    <n v="151513477"/>
    <s v="QRIS"/>
    <x v="2"/>
  </r>
  <r>
    <m/>
    <m/>
    <n v="1000"/>
    <x v="2"/>
    <n v="151514477"/>
    <s v="QRIS"/>
    <x v="2"/>
  </r>
  <r>
    <m/>
    <m/>
    <n v="2641000"/>
    <x v="2"/>
    <n v="154155477"/>
    <s v="Akun Yatim &amp; Sosial"/>
    <x v="12"/>
  </r>
  <r>
    <m/>
    <m/>
    <n v="2441000"/>
    <x v="2"/>
    <n v="156596477"/>
    <s v="Operasional (Infaq &amp; Sodaqoh)"/>
    <x v="2"/>
  </r>
  <r>
    <n v="62000"/>
    <m/>
    <m/>
    <x v="2"/>
    <n v="156534477"/>
    <s v="Selisih hitung setor bank"/>
    <x v="1"/>
  </r>
  <r>
    <m/>
    <n v="5020000"/>
    <m/>
    <x v="1"/>
    <n v="156534477"/>
    <s v="SETOR IMRON"/>
    <x v="4"/>
  </r>
  <r>
    <m/>
    <m/>
    <n v="50000"/>
    <x v="2"/>
    <n v="156584477"/>
    <s v="QRIS"/>
    <x v="2"/>
  </r>
  <r>
    <m/>
    <m/>
    <n v="10000"/>
    <x v="2"/>
    <n v="156594477"/>
    <s v="QRIS"/>
    <x v="2"/>
  </r>
  <r>
    <m/>
    <m/>
    <n v="200000"/>
    <x v="2"/>
    <n v="156794477"/>
    <s v="INFAQ TPQ RIVENDRA"/>
    <x v="2"/>
  </r>
  <r>
    <n v="15000"/>
    <m/>
    <m/>
    <x v="2"/>
    <n v="156779477"/>
    <s v="CETAK STICKER QRIS MASJID ALJABBAR"/>
    <x v="1"/>
  </r>
  <r>
    <n v="2500"/>
    <m/>
    <m/>
    <x v="2"/>
    <n v="156776977"/>
    <s v="BIAYA ADM CETAK STICKER QRIS MASJID ALJABBAR"/>
    <x v="1"/>
  </r>
  <r>
    <m/>
    <m/>
    <n v="10000"/>
    <x v="2"/>
    <n v="156786977"/>
    <s v="QRIS"/>
    <x v="2"/>
  </r>
  <r>
    <m/>
    <m/>
    <n v="10000"/>
    <x v="2"/>
    <n v="156796977"/>
    <s v="QRIS"/>
    <x v="2"/>
  </r>
  <r>
    <m/>
    <m/>
    <n v="20000"/>
    <x v="2"/>
    <n v="156816977"/>
    <s v="QRIS"/>
    <x v="2"/>
  </r>
  <r>
    <m/>
    <m/>
    <n v="10000"/>
    <x v="2"/>
    <n v="156826977"/>
    <s v="QRIS"/>
    <x v="2"/>
  </r>
  <r>
    <m/>
    <m/>
    <n v="1000000"/>
    <x v="2"/>
    <n v="157826977"/>
    <s v="INFAQ DARI ANGGONO IRIAWAN"/>
    <x v="2"/>
  </r>
  <r>
    <n v="2000000"/>
    <m/>
    <m/>
    <x v="2"/>
    <n v="155826977"/>
    <s v="HONOR YANA SIGIT ISMATULLAH"/>
    <x v="13"/>
  </r>
  <r>
    <n v="6500"/>
    <m/>
    <m/>
    <x v="2"/>
    <n v="155820477"/>
    <s v="HONOR YANA SIGIT ISMATULLAH"/>
    <x v="13"/>
  </r>
  <r>
    <n v="2000000"/>
    <m/>
    <m/>
    <x v="2"/>
    <n v="153820477"/>
    <s v="HONOR A IMRON ROSADI"/>
    <x v="13"/>
  </r>
  <r>
    <n v="6500"/>
    <m/>
    <m/>
    <x v="2"/>
    <n v="153813977"/>
    <s v="HONOR A IMRON ROSADI"/>
    <x v="13"/>
  </r>
  <r>
    <n v="2500000"/>
    <m/>
    <m/>
    <x v="2"/>
    <n v="151313977"/>
    <s v="HONOR ABDUL AZIS VIA ISTANTO"/>
    <x v="13"/>
  </r>
  <r>
    <n v="6500"/>
    <m/>
    <m/>
    <x v="2"/>
    <n v="151307477"/>
    <s v="HONOR ABDUL AZIS VIA ISTANTO"/>
    <x v="13"/>
  </r>
  <r>
    <n v="3250000"/>
    <m/>
    <m/>
    <x v="2"/>
    <n v="148057477"/>
    <s v="HONOR NANANG SUBAEDI"/>
    <x v="13"/>
  </r>
  <r>
    <n v="6500"/>
    <m/>
    <m/>
    <x v="2"/>
    <n v="148050977"/>
    <s v="HONOR NANANG SUBAEDI"/>
    <x v="13"/>
  </r>
  <r>
    <n v="2700000"/>
    <m/>
    <m/>
    <x v="2"/>
    <n v="145350977"/>
    <s v="HONOR M BAYU CANDRA"/>
    <x v="14"/>
  </r>
  <r>
    <n v="6500"/>
    <m/>
    <m/>
    <x v="2"/>
    <n v="145344477"/>
    <s v="HONOR M BAYU CANDRA"/>
    <x v="14"/>
  </r>
  <r>
    <n v="1500000"/>
    <m/>
    <m/>
    <x v="2"/>
    <n v="143844477"/>
    <s v="HONOR MUHAMMAD ILHAM"/>
    <x v="13"/>
  </r>
  <r>
    <n v="6500"/>
    <m/>
    <m/>
    <x v="2"/>
    <n v="143837977"/>
    <s v="HONOR MUHAMMAD ILHAM"/>
    <x v="13"/>
  </r>
  <r>
    <n v="2500000"/>
    <m/>
    <m/>
    <x v="2"/>
    <n v="141337977"/>
    <s v="HONOR SURYADI"/>
    <x v="13"/>
  </r>
  <r>
    <m/>
    <m/>
    <n v="1250000"/>
    <x v="2"/>
    <n v="142587977"/>
    <s v="INFAQ COLLECTIVE WARGA VIA ABDUL AZIS"/>
    <x v="2"/>
  </r>
  <r>
    <m/>
    <m/>
    <n v="10000"/>
    <x v="2"/>
    <n v="142597977"/>
    <s v="QRIS"/>
    <x v="2"/>
  </r>
  <r>
    <m/>
    <m/>
    <n v="50000"/>
    <x v="2"/>
    <n v="142647977"/>
    <s v="QRIS"/>
    <x v="2"/>
  </r>
  <r>
    <n v="4000000"/>
    <m/>
    <m/>
    <x v="2"/>
    <n v="138647977"/>
    <s v="MAJ BIAYA PERAWATAN SANTRI FEBRUARI"/>
    <x v="14"/>
  </r>
  <r>
    <n v="2500"/>
    <m/>
    <m/>
    <x v="2"/>
    <n v="138645477"/>
    <s v="BIAYA ADM"/>
    <x v="14"/>
  </r>
  <r>
    <n v="7000"/>
    <m/>
    <m/>
    <x v="2"/>
    <n v="138638477"/>
    <s v="Fee Payroll Januari"/>
    <x v="1"/>
  </r>
  <r>
    <m/>
    <m/>
    <n v="50000"/>
    <x v="3"/>
    <n v="138688477"/>
    <s v="INFAQ QRIS"/>
    <x v="2"/>
  </r>
  <r>
    <m/>
    <m/>
    <n v="20000"/>
    <x v="3"/>
    <n v="138708477"/>
    <s v="INFAQ QRIS"/>
    <x v="2"/>
  </r>
  <r>
    <m/>
    <m/>
    <n v="10000"/>
    <x v="3"/>
    <n v="138718477"/>
    <s v="INFAQ QRIS"/>
    <x v="2"/>
  </r>
  <r>
    <m/>
    <m/>
    <n v="75000"/>
    <x v="3"/>
    <n v="138793477"/>
    <s v="INFAQ QRIS"/>
    <x v="2"/>
  </r>
  <r>
    <m/>
    <m/>
    <n v="10000"/>
    <x v="3"/>
    <n v="138803477"/>
    <s v="INFAQ QRIS"/>
    <x v="2"/>
  </r>
  <r>
    <m/>
    <m/>
    <n v="800"/>
    <x v="3"/>
    <n v="138804277"/>
    <s v="INFAQ QRIS"/>
    <x v="2"/>
  </r>
  <r>
    <m/>
    <m/>
    <n v="200000"/>
    <x v="3"/>
    <n v="139004277"/>
    <s v="INFAQ DARI UMI HAMIDAH DRA"/>
    <x v="2"/>
  </r>
  <r>
    <n v="4002500"/>
    <m/>
    <m/>
    <x v="3"/>
    <n v="135001777"/>
    <s v="DP Panitia Buka Bersama MAJ 1446H"/>
    <x v="17"/>
  </r>
  <r>
    <m/>
    <m/>
    <n v="10000"/>
    <x v="3"/>
    <n v="135011777"/>
    <s v="INFAQ QRIS"/>
    <x v="2"/>
  </r>
  <r>
    <m/>
    <m/>
    <n v="50000"/>
    <x v="3"/>
    <n v="135061777"/>
    <s v="INFAQ QRIS"/>
    <x v="2"/>
  </r>
  <r>
    <m/>
    <m/>
    <n v="5000"/>
    <x v="3"/>
    <n v="135066777"/>
    <s v="INFAQ QRIS"/>
    <x v="2"/>
  </r>
  <r>
    <m/>
    <m/>
    <n v="50000"/>
    <x v="3"/>
    <n v="135116777"/>
    <s v="INFAQ QRIS"/>
    <x v="2"/>
  </r>
  <r>
    <m/>
    <m/>
    <n v="10000"/>
    <x v="3"/>
    <n v="135126777"/>
    <s v="INFAQ QRIS"/>
    <x v="2"/>
  </r>
  <r>
    <m/>
    <m/>
    <n v="20000"/>
    <x v="3"/>
    <n v="135146777"/>
    <s v="INFAQ QRIS"/>
    <x v="2"/>
  </r>
  <r>
    <m/>
    <m/>
    <n v="10000"/>
    <x v="3"/>
    <n v="135156777"/>
    <s v="INFAQ QRIS"/>
    <x v="2"/>
  </r>
  <r>
    <m/>
    <m/>
    <n v="5000"/>
    <x v="3"/>
    <n v="135161777"/>
    <s v="INFAQ QRIS"/>
    <x v="2"/>
  </r>
  <r>
    <m/>
    <m/>
    <n v="100000"/>
    <x v="3"/>
    <n v="135261777"/>
    <s v="INFAQ QRIS"/>
    <x v="2"/>
  </r>
  <r>
    <m/>
    <m/>
    <n v="20000"/>
    <x v="3"/>
    <n v="135281777"/>
    <s v="INFAQ QRIS"/>
    <x v="2"/>
  </r>
  <r>
    <m/>
    <m/>
    <n v="10000"/>
    <x v="3"/>
    <n v="135291777"/>
    <s v="INFAQ QRIS"/>
    <x v="2"/>
  </r>
  <r>
    <m/>
    <m/>
    <n v="5000"/>
    <x v="3"/>
    <n v="135296777"/>
    <s v="INFAQ QRIS"/>
    <x v="2"/>
  </r>
  <r>
    <m/>
    <m/>
    <n v="5000"/>
    <x v="3"/>
    <n v="135301777"/>
    <s v="INFAQ QRIS"/>
    <x v="2"/>
  </r>
  <r>
    <m/>
    <m/>
    <n v="200000"/>
    <x v="3"/>
    <n v="135501777"/>
    <s v="INFAQ DEDEN TP PERDIANSYAH"/>
    <x v="2"/>
  </r>
  <r>
    <m/>
    <m/>
    <n v="550000"/>
    <x v="3"/>
    <n v="136051777"/>
    <s v="INFAQ QRIS"/>
    <x v="2"/>
  </r>
  <r>
    <m/>
    <m/>
    <n v="50000"/>
    <x v="3"/>
    <n v="136101777"/>
    <s v="INFAQ QRIS"/>
    <x v="2"/>
  </r>
  <r>
    <m/>
    <m/>
    <n v="21439"/>
    <x v="3"/>
    <n v="136123216"/>
    <s v="INFAQ QRIS"/>
    <x v="2"/>
  </r>
  <r>
    <m/>
    <m/>
    <n v="50000"/>
    <x v="3"/>
    <n v="136173216"/>
    <s v="INFAQ QRIS"/>
    <x v="2"/>
  </r>
  <r>
    <m/>
    <m/>
    <n v="10000"/>
    <x v="3"/>
    <n v="136183216"/>
    <s v="INFAQ QRIS"/>
    <x v="2"/>
  </r>
  <r>
    <m/>
    <m/>
    <n v="10000"/>
    <x v="3"/>
    <n v="136193216"/>
    <s v="INFAQ QRIS"/>
    <x v="2"/>
  </r>
  <r>
    <m/>
    <m/>
    <n v="5000"/>
    <x v="3"/>
    <n v="136198216"/>
    <s v="INFAQ QRIS"/>
    <x v="2"/>
  </r>
  <r>
    <m/>
    <m/>
    <n v="20000"/>
    <x v="3"/>
    <n v="136218216"/>
    <s v="INFAQ QRIS"/>
    <x v="2"/>
  </r>
  <r>
    <m/>
    <m/>
    <n v="100000"/>
    <x v="3"/>
    <n v="136318216"/>
    <s v="INFAQ QRIS"/>
    <x v="2"/>
  </r>
  <r>
    <m/>
    <m/>
    <n v="100000"/>
    <x v="3"/>
    <n v="136418216"/>
    <s v="INFAQ QRIS"/>
    <x v="2"/>
  </r>
  <r>
    <m/>
    <m/>
    <n v="50000"/>
    <x v="3"/>
    <n v="136468216"/>
    <s v="INFAQ QRIS"/>
    <x v="2"/>
  </r>
  <r>
    <m/>
    <m/>
    <n v="25000"/>
    <x v="3"/>
    <n v="136493216"/>
    <s v="INFAQ QRIS"/>
    <x v="2"/>
  </r>
  <r>
    <m/>
    <m/>
    <n v="20000"/>
    <x v="3"/>
    <n v="136513216"/>
    <s v="INFAQ QRIS"/>
    <x v="2"/>
  </r>
  <r>
    <m/>
    <m/>
    <n v="10000"/>
    <x v="3"/>
    <n v="136523216"/>
    <s v="INFAQ QRIS"/>
    <x v="2"/>
  </r>
  <r>
    <m/>
    <m/>
    <n v="4000"/>
    <x v="3"/>
    <n v="136527216"/>
    <s v="INFAQ QRIS"/>
    <x v="2"/>
  </r>
  <r>
    <m/>
    <m/>
    <n v="500000"/>
    <x v="3"/>
    <n v="137027216"/>
    <s v="INFAQ DARI DRS SARWONO"/>
    <x v="2"/>
  </r>
  <r>
    <m/>
    <m/>
    <n v="2885000"/>
    <x v="3"/>
    <n v="139912216"/>
    <s v="Akun Yatim &amp; Sosial"/>
    <x v="12"/>
  </r>
  <r>
    <m/>
    <m/>
    <n v="1322000"/>
    <x v="3"/>
    <n v="141234216"/>
    <s v="Operasional (Infaq &amp; Sodaqoh)"/>
    <x v="2"/>
  </r>
  <r>
    <m/>
    <n v="4207000"/>
    <m/>
    <x v="1"/>
    <n v="141234216"/>
    <s v="SETOR IMRON"/>
    <x v="4"/>
  </r>
  <r>
    <m/>
    <m/>
    <n v="200000"/>
    <x v="3"/>
    <n v="141434216"/>
    <s v="INFAQ DARI WUSONO PRIHADI SANTO"/>
    <x v="2"/>
  </r>
  <r>
    <m/>
    <m/>
    <n v="900000"/>
    <x v="3"/>
    <n v="142334216"/>
    <s v="INFAQ DARI ANDI BAGUS JL.PANGRANGO 25"/>
    <x v="2"/>
  </r>
  <r>
    <m/>
    <m/>
    <n v="300000"/>
    <x v="3"/>
    <n v="142634216"/>
    <s v="INFAQ DARI FADJAR SATYANI"/>
    <x v="2"/>
  </r>
  <r>
    <m/>
    <m/>
    <n v="10000"/>
    <x v="3"/>
    <n v="142644216"/>
    <s v="INFAQ QRIS"/>
    <x v="2"/>
  </r>
  <r>
    <m/>
    <m/>
    <n v="5000"/>
    <x v="3"/>
    <n v="142649216"/>
    <s v="INFAQ QRIS"/>
    <x v="2"/>
  </r>
  <r>
    <m/>
    <m/>
    <n v="20000"/>
    <x v="3"/>
    <n v="142669216"/>
    <s v="INFAQ QRIS"/>
    <x v="2"/>
  </r>
  <r>
    <m/>
    <m/>
    <n v="50000"/>
    <x v="3"/>
    <n v="142719216"/>
    <s v="INFAQ QRIS"/>
    <x v="2"/>
  </r>
  <r>
    <m/>
    <m/>
    <n v="10000"/>
    <x v="3"/>
    <n v="142729216"/>
    <s v="INFAQ QRIS"/>
    <x v="2"/>
  </r>
  <r>
    <m/>
    <m/>
    <n v="10000"/>
    <x v="3"/>
    <n v="142739216"/>
    <s v="INFAQ QRIS"/>
    <x v="2"/>
  </r>
  <r>
    <n v="855000"/>
    <m/>
    <m/>
    <x v="3"/>
    <n v="141884216"/>
    <s v="REIMBURSE BELI MATERIAL CAT PAK AMRAN"/>
    <x v="8"/>
  </r>
  <r>
    <n v="2500"/>
    <m/>
    <m/>
    <x v="3"/>
    <n v="141881716"/>
    <s v="BIAYA ADM REIMBURSE BELI MATERIAL CAT PAK AMRAN"/>
    <x v="8"/>
  </r>
  <r>
    <m/>
    <m/>
    <n v="150000"/>
    <x v="3"/>
    <n v="142031716"/>
    <s v="INFAQ DARI DWI LISTYOWATI DRA/JONET GUNUNG SALAK FA 5"/>
    <x v="2"/>
  </r>
  <r>
    <m/>
    <m/>
    <n v="1000000"/>
    <x v="3"/>
    <n v="143031716"/>
    <s v="INFAQ DARI ANIS "/>
    <x v="2"/>
  </r>
  <r>
    <n v="1350000"/>
    <m/>
    <m/>
    <x v="3"/>
    <n v="141681716"/>
    <s v="REIMBURSE VOUCHER LISTRIK &amp; SERVICE AC"/>
    <x v="7"/>
  </r>
  <r>
    <n v="2500"/>
    <m/>
    <m/>
    <x v="3"/>
    <n v="141679216"/>
    <s v="BIAYA ADM REIMBURSE VOUCHER LISTRIK &amp; SERVICE AC"/>
    <x v="7"/>
  </r>
  <r>
    <m/>
    <m/>
    <n v="1000000"/>
    <x v="3"/>
    <n v="142679216"/>
    <s v="INFAQ DARI MOH RESAWAN HAKIM"/>
    <x v="2"/>
  </r>
  <r>
    <m/>
    <m/>
    <n v="10000"/>
    <x v="3"/>
    <n v="142689216"/>
    <s v="INFAQ QRIS"/>
    <x v="2"/>
  </r>
  <r>
    <m/>
    <m/>
    <n v="100000"/>
    <x v="3"/>
    <n v="142789216"/>
    <s v="INFAQ QRIS"/>
    <x v="2"/>
  </r>
  <r>
    <m/>
    <m/>
    <n v="20000"/>
    <x v="3"/>
    <n v="142809216"/>
    <s v="INFAQ QRIS"/>
    <x v="2"/>
  </r>
  <r>
    <m/>
    <m/>
    <n v="25000"/>
    <x v="3"/>
    <n v="142834216"/>
    <s v="INFAQ QRIS"/>
    <x v="2"/>
  </r>
  <r>
    <m/>
    <m/>
    <n v="10000"/>
    <x v="3"/>
    <n v="142844216"/>
    <s v="INFAQ QRIS"/>
    <x v="2"/>
  </r>
  <r>
    <m/>
    <m/>
    <n v="50000"/>
    <x v="3"/>
    <n v="142894216"/>
    <s v="INFAQ QRIS"/>
    <x v="2"/>
  </r>
  <r>
    <m/>
    <m/>
    <n v="4341"/>
    <x v="3"/>
    <n v="142898557"/>
    <s v="INFAQ QRIS"/>
    <x v="2"/>
  </r>
  <r>
    <m/>
    <m/>
    <n v="16000"/>
    <x v="3"/>
    <n v="142914557"/>
    <s v="INFAQ QRIS"/>
    <x v="2"/>
  </r>
  <r>
    <m/>
    <m/>
    <n v="216"/>
    <x v="3"/>
    <n v="142914773"/>
    <s v="INFAQ QRIS"/>
    <x v="2"/>
  </r>
  <r>
    <n v="500000"/>
    <m/>
    <m/>
    <x v="3"/>
    <n v="142414773"/>
    <s v="BAYAR TUKANG CAT LT 2 MAJ"/>
    <x v="8"/>
  </r>
  <r>
    <n v="2500"/>
    <m/>
    <m/>
    <x v="3"/>
    <n v="142412273"/>
    <s v="BIAYA ADM BAYAR TUKANG CAT LT 2 MAJ"/>
    <x v="8"/>
  </r>
  <r>
    <m/>
    <m/>
    <n v="600000"/>
    <x v="3"/>
    <n v="143012273"/>
    <s v="INFAQ DARI EDWARDI  CDT TRF BENFC BIFAST"/>
    <x v="2"/>
  </r>
  <r>
    <m/>
    <m/>
    <n v="78000"/>
    <x v="3"/>
    <n v="143090273"/>
    <s v="Refund Program MAP_Februari 2025"/>
    <x v="2"/>
  </r>
  <r>
    <m/>
    <m/>
    <n v="10000000"/>
    <x v="3"/>
    <n v="153090273"/>
    <s v="ZAKAT MAL BPK HARMEN"/>
    <x v="16"/>
  </r>
  <r>
    <m/>
    <m/>
    <n v="540000"/>
    <x v="3"/>
    <n v="153630273"/>
    <s v="INFAQ QRIS"/>
    <x v="2"/>
  </r>
  <r>
    <m/>
    <m/>
    <n v="100000"/>
    <x v="3"/>
    <n v="153730273"/>
    <s v="INFAQ QRIS"/>
    <x v="2"/>
  </r>
  <r>
    <m/>
    <m/>
    <n v="50000"/>
    <x v="3"/>
    <n v="153780273"/>
    <s v="INFAQ QRIS"/>
    <x v="2"/>
  </r>
  <r>
    <m/>
    <m/>
    <n v="10000"/>
    <x v="3"/>
    <n v="153790273"/>
    <s v="INFAQ QRIS"/>
    <x v="2"/>
  </r>
  <r>
    <m/>
    <m/>
    <n v="10000"/>
    <x v="3"/>
    <n v="153800273"/>
    <s v="INFAQ QRIS"/>
    <x v="2"/>
  </r>
  <r>
    <m/>
    <m/>
    <n v="100000"/>
    <x v="3"/>
    <n v="153900273"/>
    <s v="INFAQ QRIS"/>
    <x v="2"/>
  </r>
  <r>
    <m/>
    <m/>
    <n v="5000"/>
    <x v="3"/>
    <n v="153905273"/>
    <s v="INFAQ QRIS"/>
    <x v="2"/>
  </r>
  <r>
    <m/>
    <m/>
    <n v="50000"/>
    <x v="3"/>
    <n v="153955273"/>
    <s v="INFAQ QRIS"/>
    <x v="2"/>
  </r>
  <r>
    <m/>
    <m/>
    <n v="100000"/>
    <x v="3"/>
    <n v="154055273"/>
    <s v="InfaQ warga TS 5 No 8"/>
    <x v="2"/>
  </r>
  <r>
    <m/>
    <m/>
    <n v="400000"/>
    <x v="3"/>
    <n v="154455273"/>
    <s v="INFAQ DARI PUTIE AMBUN SURI/RIVENDRA"/>
    <x v="2"/>
  </r>
  <r>
    <m/>
    <m/>
    <n v="50000"/>
    <x v="3"/>
    <n v="154505273"/>
    <s v="INFAQ DARI DEDEN TP PERDIANSYAH "/>
    <x v="2"/>
  </r>
  <r>
    <m/>
    <m/>
    <n v="2000000"/>
    <x v="3"/>
    <n v="156505273"/>
    <s v="INFAQ DARI RIZKYHIDAYATSL"/>
    <x v="2"/>
  </r>
  <r>
    <m/>
    <m/>
    <n v="50000"/>
    <x v="3"/>
    <n v="156555273"/>
    <s v="INFAQ QRIS"/>
    <x v="2"/>
  </r>
  <r>
    <m/>
    <m/>
    <n v="50000"/>
    <x v="3"/>
    <n v="156605273"/>
    <s v="INFAQ QRIS"/>
    <x v="2"/>
  </r>
  <r>
    <m/>
    <m/>
    <n v="50000"/>
    <x v="3"/>
    <n v="156655273"/>
    <s v="INFAQ QRIS"/>
    <x v="2"/>
  </r>
  <r>
    <m/>
    <m/>
    <n v="100000"/>
    <x v="3"/>
    <n v="156755273"/>
    <s v="INFAQ QRIS"/>
    <x v="2"/>
  </r>
  <r>
    <m/>
    <m/>
    <n v="100000"/>
    <x v="3"/>
    <n v="156855273"/>
    <s v="INFAQ QRIS"/>
    <x v="2"/>
  </r>
  <r>
    <m/>
    <m/>
    <n v="100000"/>
    <x v="3"/>
    <n v="156955273"/>
    <s v="INFAQ QRIS"/>
    <x v="2"/>
  </r>
  <r>
    <m/>
    <m/>
    <n v="10000"/>
    <x v="3"/>
    <n v="156965273"/>
    <s v="INFAQ QRIS"/>
    <x v="2"/>
  </r>
  <r>
    <m/>
    <m/>
    <n v="50000"/>
    <x v="3"/>
    <n v="157015273"/>
    <s v="INFAQ QRIS"/>
    <x v="2"/>
  </r>
  <r>
    <m/>
    <m/>
    <n v="10000"/>
    <x v="3"/>
    <n v="157025273"/>
    <s v="INFAQ QRIS"/>
    <x v="2"/>
  </r>
  <r>
    <m/>
    <m/>
    <n v="100000"/>
    <x v="3"/>
    <n v="157125273"/>
    <s v="INFAQ QRIS"/>
    <x v="2"/>
  </r>
  <r>
    <m/>
    <m/>
    <n v="99359"/>
    <x v="3"/>
    <n v="157224632"/>
    <s v="INFAQ QRIS"/>
    <x v="2"/>
  </r>
  <r>
    <m/>
    <m/>
    <n v="25000"/>
    <x v="3"/>
    <n v="157249632"/>
    <s v="INFAQ QRIS"/>
    <x v="2"/>
  </r>
  <r>
    <m/>
    <m/>
    <n v="20000"/>
    <x v="3"/>
    <n v="157269632"/>
    <s v="INFAQ QRIS"/>
    <x v="2"/>
  </r>
  <r>
    <m/>
    <m/>
    <n v="4331"/>
    <x v="3"/>
    <n v="157273963"/>
    <s v="INFAQ QRIS"/>
    <x v="2"/>
  </r>
  <r>
    <n v="2000000"/>
    <m/>
    <m/>
    <x v="3"/>
    <n v="155273963"/>
    <s v="PENGAJIAN IBU-IBU MAJ MARET"/>
    <x v="11"/>
  </r>
  <r>
    <n v="2500"/>
    <m/>
    <m/>
    <x v="3"/>
    <n v="155271463"/>
    <s v="BIAYA ADM PENGAJIAN IBU-IBU MAJ MARET"/>
    <x v="11"/>
  </r>
  <r>
    <n v="1350000"/>
    <m/>
    <m/>
    <x v="3"/>
    <n v="153921463"/>
    <s v="Pembelian Hadiah &amp; ATK Pesantren Kilat MAJ"/>
    <x v="1"/>
  </r>
  <r>
    <m/>
    <m/>
    <n v="250000"/>
    <x v="3"/>
    <n v="154171463"/>
    <s v="Infaq QRIS"/>
    <x v="2"/>
  </r>
  <r>
    <m/>
    <m/>
    <n v="50000"/>
    <x v="3"/>
    <n v="154221463"/>
    <s v="Infaq QRIS"/>
    <x v="2"/>
  </r>
  <r>
    <m/>
    <m/>
    <n v="50000"/>
    <x v="3"/>
    <n v="154271463"/>
    <s v="Infaq QRIS"/>
    <x v="2"/>
  </r>
  <r>
    <m/>
    <m/>
    <n v="50000"/>
    <x v="3"/>
    <n v="154321463"/>
    <s v="Infaq QRIS"/>
    <x v="2"/>
  </r>
  <r>
    <m/>
    <m/>
    <n v="100000"/>
    <x v="3"/>
    <n v="154421463"/>
    <s v="Infaq QRIS"/>
    <x v="2"/>
  </r>
  <r>
    <m/>
    <m/>
    <n v="25000"/>
    <x v="3"/>
    <n v="154446463"/>
    <s v="Infaq QRIS"/>
    <x v="2"/>
  </r>
  <r>
    <m/>
    <m/>
    <n v="10000"/>
    <x v="3"/>
    <n v="154456463"/>
    <s v="Infaq QRIS"/>
    <x v="2"/>
  </r>
  <r>
    <m/>
    <m/>
    <n v="50000"/>
    <x v="3"/>
    <n v="154506463"/>
    <s v="Infaq QRIS"/>
    <x v="2"/>
  </r>
  <r>
    <m/>
    <m/>
    <n v="10000"/>
    <x v="3"/>
    <n v="154516463"/>
    <s v="Infaq QRIS"/>
    <x v="2"/>
  </r>
  <r>
    <m/>
    <m/>
    <n v="20000"/>
    <x v="3"/>
    <n v="154536463"/>
    <s v="Infaq QRIS"/>
    <x v="2"/>
  </r>
  <r>
    <m/>
    <m/>
    <n v="3000"/>
    <x v="3"/>
    <n v="154539463"/>
    <s v="Infaq QRIS"/>
    <x v="2"/>
  </r>
  <r>
    <m/>
    <m/>
    <n v="916"/>
    <x v="3"/>
    <n v="154540379"/>
    <s v="Infaq QRIS"/>
    <x v="2"/>
  </r>
  <r>
    <n v="750000"/>
    <m/>
    <m/>
    <x v="3"/>
    <n v="153790379"/>
    <s v="HONOR UST KHOERUL MAKTUM DKM MAJ HADIAH PESANTREN KILAT RAMADHAN"/>
    <x v="11"/>
  </r>
  <r>
    <n v="2500"/>
    <m/>
    <m/>
    <x v="3"/>
    <n v="153787879"/>
    <s v="BIAYA ADM HONOR UST KHOERUL MAKTUM DKM MAJ HADIAH PESANTREN KILAT RAMADHAN"/>
    <x v="11"/>
  </r>
  <r>
    <m/>
    <m/>
    <n v="400000"/>
    <x v="3"/>
    <n v="154187879"/>
    <s v="AGUNG PRAMONO Donasi acara kajian lesantren"/>
    <x v="2"/>
  </r>
  <r>
    <m/>
    <m/>
    <n v="20000"/>
    <x v="3"/>
    <n v="154207879"/>
    <s v="Infaq QRIS"/>
    <x v="2"/>
  </r>
  <r>
    <m/>
    <m/>
    <n v="25000"/>
    <x v="3"/>
    <n v="154232879"/>
    <s v="Infaq QRIS"/>
    <x v="2"/>
  </r>
  <r>
    <m/>
    <m/>
    <n v="100000"/>
    <x v="3"/>
    <n v="154332879"/>
    <s v="Infaq QRIS"/>
    <x v="2"/>
  </r>
  <r>
    <m/>
    <m/>
    <n v="50000"/>
    <x v="3"/>
    <n v="154382879"/>
    <s v="Infaq QRIS"/>
    <x v="2"/>
  </r>
  <r>
    <m/>
    <m/>
    <n v="100000"/>
    <x v="3"/>
    <n v="154482879"/>
    <s v="Infaq QRIS"/>
    <x v="2"/>
  </r>
  <r>
    <m/>
    <m/>
    <n v="25000"/>
    <x v="3"/>
    <n v="154507879"/>
    <s v="Infaq QRIS"/>
    <x v="2"/>
  </r>
  <r>
    <m/>
    <m/>
    <n v="25000"/>
    <x v="3"/>
    <n v="154532879"/>
    <s v="Infaq QRIS"/>
    <x v="2"/>
  </r>
  <r>
    <m/>
    <m/>
    <n v="50000"/>
    <x v="3"/>
    <n v="154582879"/>
    <s v="Infaq QRIS"/>
    <x v="2"/>
  </r>
  <r>
    <m/>
    <m/>
    <n v="10000"/>
    <x v="3"/>
    <n v="154592879"/>
    <s v="Infaq QRIS"/>
    <x v="2"/>
  </r>
  <r>
    <m/>
    <m/>
    <n v="100000"/>
    <x v="3"/>
    <n v="154692879"/>
    <s v="Infaq QRIS"/>
    <x v="2"/>
  </r>
  <r>
    <m/>
    <m/>
    <n v="50000"/>
    <x v="3"/>
    <n v="154742879"/>
    <s v="Infaq QRIS"/>
    <x v="2"/>
  </r>
  <r>
    <m/>
    <m/>
    <n v="100000"/>
    <x v="3"/>
    <n v="154842879"/>
    <s v="Infaq QRIS"/>
    <x v="2"/>
  </r>
  <r>
    <m/>
    <m/>
    <n v="25000"/>
    <x v="3"/>
    <n v="154867879"/>
    <s v="Infaq QRIS"/>
    <x v="2"/>
  </r>
  <r>
    <m/>
    <m/>
    <n v="200000"/>
    <x v="3"/>
    <n v="155067879"/>
    <s v="INFAQ MOHAMMADIANTORO PURNAWAN a.n HM HASAN MERBABU NO.3"/>
    <x v="2"/>
  </r>
  <r>
    <m/>
    <m/>
    <n v="20000"/>
    <x v="3"/>
    <n v="155087879"/>
    <s v="Infaq QRIS"/>
    <x v="2"/>
  </r>
  <r>
    <m/>
    <m/>
    <n v="100000"/>
    <x v="3"/>
    <n v="155187879"/>
    <s v="Infaq QRIS"/>
    <x v="2"/>
  </r>
  <r>
    <m/>
    <m/>
    <n v="25000"/>
    <x v="3"/>
    <n v="155212879"/>
    <s v="Infaq QRIS"/>
    <x v="2"/>
  </r>
  <r>
    <m/>
    <m/>
    <n v="25000"/>
    <x v="3"/>
    <n v="155237879"/>
    <s v="Infaq QRIS"/>
    <x v="2"/>
  </r>
  <r>
    <m/>
    <m/>
    <n v="100000"/>
    <x v="3"/>
    <n v="155337879"/>
    <s v="Infaq QRIS"/>
    <x v="2"/>
  </r>
  <r>
    <m/>
    <m/>
    <n v="10000"/>
    <x v="3"/>
    <n v="155347879"/>
    <s v="Infaq QRIS"/>
    <x v="2"/>
  </r>
  <r>
    <m/>
    <m/>
    <n v="10000"/>
    <x v="3"/>
    <n v="155357879"/>
    <s v="Infaq QRIS"/>
    <x v="2"/>
  </r>
  <r>
    <m/>
    <m/>
    <n v="7000"/>
    <x v="3"/>
    <n v="155364879"/>
    <s v="Infaq QRIS"/>
    <x v="2"/>
  </r>
  <r>
    <m/>
    <m/>
    <n v="25000"/>
    <x v="3"/>
    <n v="155389879"/>
    <s v="Infaq QRIS"/>
    <x v="2"/>
  </r>
  <r>
    <m/>
    <m/>
    <n v="20000"/>
    <x v="3"/>
    <n v="155409879"/>
    <s v="Infaq QRIS"/>
    <x v="2"/>
  </r>
  <r>
    <m/>
    <m/>
    <n v="5597000"/>
    <x v="3"/>
    <n v="161006879"/>
    <s v="Akun Yatim &amp; Sosial"/>
    <x v="12"/>
  </r>
  <r>
    <m/>
    <m/>
    <n v="5680000"/>
    <x v="3"/>
    <n v="166686879"/>
    <s v="Operasional (Infaq &amp; Sodaqoh)"/>
    <x v="2"/>
  </r>
  <r>
    <m/>
    <m/>
    <n v="4558000"/>
    <x v="3"/>
    <n v="171244879"/>
    <s v="Infaq Taraweh"/>
    <x v="2"/>
  </r>
  <r>
    <n v="5000"/>
    <m/>
    <m/>
    <x v="3"/>
    <n v="171239879"/>
    <s v="Selisih hitung setor bank"/>
    <x v="1"/>
  </r>
  <r>
    <m/>
    <n v="15830000"/>
    <m/>
    <x v="1"/>
    <n v="171239879"/>
    <s v="SETOR IMRON"/>
    <x v="4"/>
  </r>
  <r>
    <m/>
    <m/>
    <n v="50000"/>
    <x v="3"/>
    <n v="171289879"/>
    <s v="Infaq QRIS"/>
    <x v="2"/>
  </r>
  <r>
    <m/>
    <m/>
    <n v="100000"/>
    <x v="3"/>
    <n v="171389879"/>
    <s v="Infaq QRIS"/>
    <x v="2"/>
  </r>
  <r>
    <m/>
    <m/>
    <n v="250000"/>
    <x v="3"/>
    <n v="171639879"/>
    <s v="Infaq QRIS"/>
    <x v="2"/>
  </r>
  <r>
    <m/>
    <m/>
    <n v="50000"/>
    <x v="3"/>
    <n v="171689879"/>
    <s v="Infaq QRIS"/>
    <x v="2"/>
  </r>
  <r>
    <m/>
    <m/>
    <n v="10000"/>
    <x v="3"/>
    <n v="171699879"/>
    <s v="Infaq QRIS"/>
    <x v="2"/>
  </r>
  <r>
    <m/>
    <m/>
    <n v="25000"/>
    <x v="3"/>
    <n v="171724879"/>
    <s v="Infaq QRIS"/>
    <x v="2"/>
  </r>
  <r>
    <m/>
    <m/>
    <n v="50000"/>
    <x v="3"/>
    <n v="171774879"/>
    <s v="Infaq QRIS"/>
    <x v="2"/>
  </r>
  <r>
    <m/>
    <m/>
    <n v="20000"/>
    <x v="3"/>
    <n v="171794879"/>
    <s v="Infaq QRIS"/>
    <x v="2"/>
  </r>
  <r>
    <m/>
    <m/>
    <n v="1010"/>
    <x v="3"/>
    <n v="171795889"/>
    <s v="Infaq QRIS"/>
    <x v="2"/>
  </r>
  <r>
    <m/>
    <m/>
    <n v="5000"/>
    <x v="3"/>
    <n v="171800889"/>
    <s v="Infaq QRIS"/>
    <x v="2"/>
  </r>
  <r>
    <m/>
    <m/>
    <n v="100000"/>
    <x v="3"/>
    <n v="171900889"/>
    <s v="INFAQ FENTYHERLIANA"/>
    <x v="2"/>
  </r>
  <r>
    <m/>
    <m/>
    <n v="250000"/>
    <x v="3"/>
    <n v="172150889"/>
    <s v="INFAQ DARI SEPTEMBERIZAL"/>
    <x v="2"/>
  </r>
  <r>
    <n v="3500000"/>
    <m/>
    <m/>
    <x v="3"/>
    <n v="168650889"/>
    <s v="PEMBELIAN LAPTOP SANTRI"/>
    <x v="1"/>
  </r>
  <r>
    <n v="2500"/>
    <m/>
    <m/>
    <x v="3"/>
    <n v="168648389"/>
    <s v="BIAYA ADM PEMBELIAN LAPTOP SANTRI"/>
    <x v="1"/>
  </r>
  <r>
    <m/>
    <m/>
    <n v="50000"/>
    <x v="3"/>
    <n v="168698389"/>
    <s v="INFAQ QRIS"/>
    <x v="2"/>
  </r>
  <r>
    <m/>
    <m/>
    <n v="50000"/>
    <x v="3"/>
    <n v="168748389"/>
    <s v="INFAQ QRIS"/>
    <x v="2"/>
  </r>
  <r>
    <m/>
    <m/>
    <n v="10000"/>
    <x v="3"/>
    <n v="168758389"/>
    <s v="INFAQ QRIS"/>
    <x v="2"/>
  </r>
  <r>
    <m/>
    <m/>
    <n v="100000"/>
    <x v="3"/>
    <n v="168858389"/>
    <s v="INFAQ QRIS"/>
    <x v="2"/>
  </r>
  <r>
    <m/>
    <m/>
    <n v="5000"/>
    <x v="3"/>
    <n v="168863389"/>
    <s v="INFAQ QRIS"/>
    <x v="2"/>
  </r>
  <r>
    <m/>
    <m/>
    <n v="10000"/>
    <x v="3"/>
    <n v="168873389"/>
    <s v="INFAQ QRIS"/>
    <x v="2"/>
  </r>
  <r>
    <m/>
    <m/>
    <n v="10000"/>
    <x v="3"/>
    <n v="168883389"/>
    <s v="INFAQ QRIS"/>
    <x v="2"/>
  </r>
  <r>
    <m/>
    <m/>
    <n v="170000"/>
    <x v="3"/>
    <n v="169053389"/>
    <s v="INFAQ DARI AMRAN ANWAR"/>
    <x v="2"/>
  </r>
  <r>
    <m/>
    <m/>
    <n v="100000"/>
    <x v="3"/>
    <n v="169153389"/>
    <s v="INFAQ QRIS"/>
    <x v="2"/>
  </r>
  <r>
    <m/>
    <m/>
    <n v="10000"/>
    <x v="3"/>
    <n v="169163389"/>
    <s v="INFAQ QRIS"/>
    <x v="2"/>
  </r>
  <r>
    <m/>
    <m/>
    <n v="50000"/>
    <x v="3"/>
    <n v="169213389"/>
    <s v="INFAQ QRIS"/>
    <x v="2"/>
  </r>
  <r>
    <m/>
    <m/>
    <n v="100000"/>
    <x v="3"/>
    <n v="169313389"/>
    <s v="INFAQ QRIS"/>
    <x v="2"/>
  </r>
  <r>
    <n v="1000000"/>
    <m/>
    <m/>
    <x v="3"/>
    <n v="168313389"/>
    <s v="CUCI KARPET LT.2 PAK MAHMUD"/>
    <x v="8"/>
  </r>
  <r>
    <n v="2500"/>
    <m/>
    <m/>
    <x v="3"/>
    <n v="168310889"/>
    <s v="BIAYA DM CUCI KARPET LT.2 PAK MAHMUD"/>
    <x v="8"/>
  </r>
  <r>
    <m/>
    <m/>
    <n v="100000"/>
    <x v="3"/>
    <n v="168410889"/>
    <s v="INFAQ QRIS"/>
    <x v="2"/>
  </r>
  <r>
    <m/>
    <m/>
    <n v="200000"/>
    <x v="3"/>
    <n v="168610889"/>
    <s v="INFAQ QRIS"/>
    <x v="2"/>
  </r>
  <r>
    <m/>
    <m/>
    <n v="50000"/>
    <x v="3"/>
    <n v="168660889"/>
    <s v="INFAQ QRIS"/>
    <x v="2"/>
  </r>
  <r>
    <m/>
    <m/>
    <n v="50000"/>
    <x v="3"/>
    <n v="168710889"/>
    <s v="INFAQ QRIS"/>
    <x v="2"/>
  </r>
  <r>
    <m/>
    <m/>
    <n v="25000"/>
    <x v="3"/>
    <n v="168735889"/>
    <s v="INFAQ QRIS"/>
    <x v="2"/>
  </r>
  <r>
    <m/>
    <m/>
    <n v="50000"/>
    <x v="3"/>
    <n v="168785889"/>
    <s v="INFAQ QRIS"/>
    <x v="2"/>
  </r>
  <r>
    <m/>
    <m/>
    <n v="100000"/>
    <x v="3"/>
    <n v="168885889"/>
    <s v="INFAQ QRIS"/>
    <x v="2"/>
  </r>
  <r>
    <m/>
    <m/>
    <n v="10000"/>
    <x v="3"/>
    <n v="168895889"/>
    <s v="INFAQ QRIS"/>
    <x v="2"/>
  </r>
  <r>
    <m/>
    <m/>
    <n v="300000"/>
    <x v="3"/>
    <n v="169195889"/>
    <s v="INFAQ DARI BENY PRIYATNA KUSUMA"/>
    <x v="2"/>
  </r>
  <r>
    <n v="400000"/>
    <m/>
    <m/>
    <x v="3"/>
    <n v="168795889"/>
    <s v="Beli baju wisuda santri MAJ"/>
    <x v="14"/>
  </r>
  <r>
    <m/>
    <m/>
    <n v="50000"/>
    <x v="3"/>
    <n v="168845889"/>
    <s v="INFAQ QRIS"/>
    <x v="2"/>
  </r>
  <r>
    <m/>
    <m/>
    <n v="50000"/>
    <x v="3"/>
    <n v="168895889"/>
    <s v="INFAQ QRIS"/>
    <x v="2"/>
  </r>
  <r>
    <m/>
    <m/>
    <n v="50000"/>
    <x v="3"/>
    <n v="168945889"/>
    <s v="INFAQ QRIS"/>
    <x v="2"/>
  </r>
  <r>
    <m/>
    <m/>
    <n v="25000"/>
    <x v="3"/>
    <n v="168970889"/>
    <s v="INFAQ QRIS"/>
    <x v="2"/>
  </r>
  <r>
    <m/>
    <m/>
    <n v="10000"/>
    <x v="3"/>
    <n v="168980889"/>
    <s v="INFAQ QRIS"/>
    <x v="2"/>
  </r>
  <r>
    <m/>
    <m/>
    <n v="50000"/>
    <x v="3"/>
    <n v="169030889"/>
    <s v="INFAQ QRIS"/>
    <x v="2"/>
  </r>
  <r>
    <m/>
    <m/>
    <n v="50000"/>
    <x v="3"/>
    <n v="169080889"/>
    <s v="INFAQ QRIS"/>
    <x v="2"/>
  </r>
  <r>
    <m/>
    <m/>
    <n v="100000"/>
    <x v="3"/>
    <n v="169180889"/>
    <s v="INFAQ QRIS"/>
    <x v="2"/>
  </r>
  <r>
    <m/>
    <m/>
    <n v="50000"/>
    <x v="3"/>
    <n v="169230889"/>
    <s v="INFAQ QRIS"/>
    <x v="2"/>
  </r>
  <r>
    <m/>
    <m/>
    <n v="20000"/>
    <x v="3"/>
    <n v="169250889"/>
    <s v="INFAQ QRIS"/>
    <x v="2"/>
  </r>
  <r>
    <m/>
    <m/>
    <n v="510"/>
    <x v="3"/>
    <n v="169251399"/>
    <s v="INFAQ QRIS"/>
    <x v="2"/>
  </r>
  <r>
    <n v="3000000"/>
    <m/>
    <m/>
    <x v="3"/>
    <n v="166251399"/>
    <s v="PELUNASAN BUKA BERSAMA MAJ 1446H"/>
    <x v="17"/>
  </r>
  <r>
    <n v="2500"/>
    <m/>
    <m/>
    <x v="3"/>
    <n v="166248899"/>
    <s v="BIAYA ADM PELUNASAN BUKA BERSAMA MAJ 1446H"/>
    <x v="17"/>
  </r>
  <r>
    <m/>
    <m/>
    <n v="100000"/>
    <x v="3"/>
    <n v="166348899"/>
    <s v="INFAQ QRIS"/>
    <x v="2"/>
  </r>
  <r>
    <m/>
    <m/>
    <n v="100000"/>
    <x v="3"/>
    <n v="166448899"/>
    <s v="INFAQ QRIS"/>
    <x v="2"/>
  </r>
  <r>
    <m/>
    <m/>
    <n v="25000"/>
    <x v="3"/>
    <n v="166473899"/>
    <s v="INFAQ QRIS"/>
    <x v="2"/>
  </r>
  <r>
    <m/>
    <m/>
    <n v="10000"/>
    <x v="3"/>
    <n v="166483899"/>
    <s v="INFAQ QRIS"/>
    <x v="2"/>
  </r>
  <r>
    <m/>
    <m/>
    <n v="10000"/>
    <x v="3"/>
    <n v="166493899"/>
    <s v="INFAQ QRIS"/>
    <x v="2"/>
  </r>
  <r>
    <m/>
    <m/>
    <n v="50000"/>
    <x v="3"/>
    <n v="166543899"/>
    <s v="INFAQ QRIS"/>
    <x v="2"/>
  </r>
  <r>
    <m/>
    <m/>
    <n v="10000"/>
    <x v="3"/>
    <n v="166553899"/>
    <s v="INFAQ QRIS"/>
    <x v="2"/>
  </r>
  <r>
    <m/>
    <m/>
    <n v="20000"/>
    <x v="3"/>
    <n v="166573899"/>
    <s v="INFAQ QRIS"/>
    <x v="2"/>
  </r>
  <r>
    <m/>
    <m/>
    <n v="50000"/>
    <x v="3"/>
    <n v="166623899"/>
    <s v="INFAQ QRIS"/>
    <x v="2"/>
  </r>
  <r>
    <m/>
    <m/>
    <n v="100000"/>
    <x v="3"/>
    <n v="166723899"/>
    <s v="INFAQ QRIS"/>
    <x v="2"/>
  </r>
  <r>
    <m/>
    <m/>
    <n v="100000"/>
    <x v="3"/>
    <n v="166823899"/>
    <s v="INFAQ QRIS"/>
    <x v="2"/>
  </r>
  <r>
    <m/>
    <m/>
    <n v="30000"/>
    <x v="3"/>
    <n v="166853899"/>
    <s v="INFAQ QRIS"/>
    <x v="2"/>
  </r>
  <r>
    <m/>
    <m/>
    <n v="50000"/>
    <x v="3"/>
    <n v="166903899"/>
    <s v="INFAQ QRIS"/>
    <x v="2"/>
  </r>
  <r>
    <m/>
    <m/>
    <n v="15000"/>
    <x v="3"/>
    <n v="166918899"/>
    <s v="INFAQ QRIS"/>
    <x v="2"/>
  </r>
  <r>
    <m/>
    <m/>
    <n v="10000"/>
    <x v="3"/>
    <n v="166928899"/>
    <s v="INFAQ QRIS"/>
    <x v="2"/>
  </r>
  <r>
    <m/>
    <m/>
    <n v="50000"/>
    <x v="3"/>
    <n v="166978899"/>
    <s v="INFAQ QRIS"/>
    <x v="2"/>
  </r>
  <r>
    <m/>
    <m/>
    <n v="10000"/>
    <x v="3"/>
    <n v="166988899"/>
    <s v="INFAQ QRIS"/>
    <x v="2"/>
  </r>
  <r>
    <m/>
    <m/>
    <n v="100000"/>
    <x v="3"/>
    <n v="167088899"/>
    <s v="INFAQ QRIS"/>
    <x v="2"/>
  </r>
  <r>
    <m/>
    <m/>
    <n v="5000"/>
    <x v="3"/>
    <n v="167093899"/>
    <s v="INFAQ QRIS"/>
    <x v="2"/>
  </r>
  <r>
    <m/>
    <m/>
    <n v="150000"/>
    <x v="3"/>
    <n v="167243899"/>
    <s v="INFAQ QRIS"/>
    <x v="2"/>
  </r>
  <r>
    <m/>
    <m/>
    <n v="20000"/>
    <x v="3"/>
    <n v="167263899"/>
    <s v="INFAQ QRIS"/>
    <x v="2"/>
  </r>
  <r>
    <n v="58150000"/>
    <m/>
    <m/>
    <x v="3"/>
    <n v="109113899"/>
    <s v="PENYALURAN DANA YATIM DAN WISUDA MAJ"/>
    <x v="15"/>
  </r>
  <r>
    <n v="2500"/>
    <m/>
    <m/>
    <x v="3"/>
    <n v="109111399"/>
    <s v="BIAYA ADM PENYALURAN DANA YATIM DAN WISUDA MAJ"/>
    <x v="15"/>
  </r>
  <r>
    <m/>
    <m/>
    <n v="4230000"/>
    <x v="3"/>
    <n v="113341399"/>
    <s v="Akun Yatim &amp; Sosial"/>
    <x v="12"/>
  </r>
  <r>
    <m/>
    <m/>
    <n v="526000"/>
    <x v="3"/>
    <n v="113867399"/>
    <s v="Operasional (Infaq &amp; Sodaqoh)"/>
    <x v="2"/>
  </r>
  <r>
    <m/>
    <m/>
    <n v="5578000"/>
    <x v="3"/>
    <n v="119445399"/>
    <s v="Infaq Taraweh"/>
    <x v="2"/>
  </r>
  <r>
    <m/>
    <m/>
    <n v="1000"/>
    <x v="3"/>
    <n v="119446399"/>
    <s v="Selisih hitung setor bank"/>
    <x v="2"/>
  </r>
  <r>
    <m/>
    <n v="10335000"/>
    <m/>
    <x v="1"/>
    <n v="119446399"/>
    <s v="SETOR IMRON"/>
    <x v="4"/>
  </r>
  <r>
    <n v="2800000"/>
    <m/>
    <m/>
    <x v="3"/>
    <n v="116646399"/>
    <s v="BELI BAJU LEBARAN SANTRI MAJ 1446H"/>
    <x v="14"/>
  </r>
  <r>
    <n v="2500"/>
    <m/>
    <m/>
    <x v="3"/>
    <n v="116643899"/>
    <s v="BIAYA ADM BELI BAJU LEBARAN SANTRI MAJ 1446H"/>
    <x v="14"/>
  </r>
  <r>
    <m/>
    <m/>
    <n v="50000"/>
    <x v="3"/>
    <n v="116693899"/>
    <s v="INFAQ QRIS"/>
    <x v="2"/>
  </r>
  <r>
    <m/>
    <m/>
    <n v="50000"/>
    <x v="3"/>
    <n v="116743899"/>
    <s v="INFAQ QRIS"/>
    <x v="2"/>
  </r>
  <r>
    <m/>
    <m/>
    <n v="100000"/>
    <x v="3"/>
    <n v="116843899"/>
    <s v="INFAQ QRIS"/>
    <x v="2"/>
  </r>
  <r>
    <m/>
    <m/>
    <n v="50000"/>
    <x v="3"/>
    <n v="116893899"/>
    <s v="INFAQ QRIS"/>
    <x v="2"/>
  </r>
  <r>
    <m/>
    <m/>
    <n v="10000"/>
    <x v="3"/>
    <n v="116903899"/>
    <s v="INFAQ QRIS"/>
    <x v="2"/>
  </r>
  <r>
    <m/>
    <m/>
    <n v="50000"/>
    <x v="3"/>
    <n v="116953899"/>
    <s v="INFAQ QRIS"/>
    <x v="2"/>
  </r>
  <r>
    <m/>
    <m/>
    <n v="10000"/>
    <x v="3"/>
    <n v="116963899"/>
    <s v="INFAQ QRIS"/>
    <x v="2"/>
  </r>
  <r>
    <m/>
    <m/>
    <n v="100000"/>
    <x v="3"/>
    <n v="117063899"/>
    <s v="INFAQ QRIS"/>
    <x v="2"/>
  </r>
  <r>
    <m/>
    <m/>
    <n v="20000"/>
    <x v="3"/>
    <n v="117083899"/>
    <s v="INFAQ QRIS"/>
    <x v="2"/>
  </r>
  <r>
    <m/>
    <m/>
    <n v="50000"/>
    <x v="3"/>
    <n v="117133899"/>
    <s v="INFAQ QRIS"/>
    <x v="2"/>
  </r>
  <r>
    <m/>
    <m/>
    <n v="25000"/>
    <x v="3"/>
    <n v="117158899"/>
    <s v="INFAQ QRIS"/>
    <x v="2"/>
  </r>
  <r>
    <m/>
    <m/>
    <n v="25000"/>
    <x v="3"/>
    <n v="117183899"/>
    <s v="INFAQ QRIS"/>
    <x v="2"/>
  </r>
  <r>
    <m/>
    <m/>
    <n v="100000"/>
    <x v="3"/>
    <n v="117283899"/>
    <s v="INFAQ QRIS"/>
    <x v="2"/>
  </r>
  <r>
    <m/>
    <m/>
    <n v="50000"/>
    <x v="3"/>
    <n v="117333899"/>
    <s v="INFAQ QRIS"/>
    <x v="2"/>
  </r>
  <r>
    <m/>
    <m/>
    <n v="25000"/>
    <x v="3"/>
    <n v="117358899"/>
    <s v="INFAQ QRIS"/>
    <x v="2"/>
  </r>
  <r>
    <m/>
    <m/>
    <n v="50000"/>
    <x v="3"/>
    <n v="117408899"/>
    <s v="INFAQ QRIS"/>
    <x v="2"/>
  </r>
  <r>
    <m/>
    <m/>
    <n v="10000"/>
    <x v="3"/>
    <n v="117418899"/>
    <s v="INFAQ QRIS"/>
    <x v="2"/>
  </r>
  <r>
    <m/>
    <m/>
    <n v="10000"/>
    <x v="3"/>
    <n v="117428899"/>
    <s v="INFAQ QRIS"/>
    <x v="2"/>
  </r>
  <r>
    <m/>
    <m/>
    <n v="100000"/>
    <x v="3"/>
    <n v="117528899"/>
    <s v="INFAQ QRIS"/>
    <x v="2"/>
  </r>
  <r>
    <m/>
    <m/>
    <n v="50000"/>
    <x v="3"/>
    <n v="117578899"/>
    <s v="INFAQ QRIS"/>
    <x v="2"/>
  </r>
  <r>
    <m/>
    <m/>
    <n v="10000"/>
    <x v="3"/>
    <n v="117588899"/>
    <s v="INFAQ QRIS"/>
    <x v="2"/>
  </r>
  <r>
    <m/>
    <m/>
    <n v="5000"/>
    <x v="3"/>
    <n v="117593899"/>
    <s v="INFAQ QRIS"/>
    <x v="2"/>
  </r>
  <r>
    <m/>
    <m/>
    <n v="50000"/>
    <x v="3"/>
    <n v="117643899"/>
    <s v="INFAQ QRIS"/>
    <x v="2"/>
  </r>
  <r>
    <m/>
    <m/>
    <n v="900000"/>
    <x v="3"/>
    <n v="118543899"/>
    <s v="Infaq an wahyu romadhoni"/>
    <x v="2"/>
  </r>
  <r>
    <m/>
    <m/>
    <n v="50000"/>
    <x v="3"/>
    <n v="118593899"/>
    <s v="INFAQ QRIS"/>
    <x v="2"/>
  </r>
  <r>
    <m/>
    <m/>
    <n v="100000"/>
    <x v="3"/>
    <n v="118693899"/>
    <s v="INFAQ QRIS"/>
    <x v="2"/>
  </r>
  <r>
    <m/>
    <m/>
    <n v="25000"/>
    <x v="3"/>
    <n v="118718899"/>
    <s v="INFAQ QRIS"/>
    <x v="2"/>
  </r>
  <r>
    <m/>
    <m/>
    <n v="50000"/>
    <x v="3"/>
    <n v="118768899"/>
    <s v="INFAQ QRIS"/>
    <x v="2"/>
  </r>
  <r>
    <m/>
    <m/>
    <n v="50000"/>
    <x v="3"/>
    <n v="118818899"/>
    <s v="INFAQ QRIS"/>
    <x v="2"/>
  </r>
  <r>
    <m/>
    <m/>
    <n v="10000"/>
    <x v="3"/>
    <n v="118828899"/>
    <s v="INFAQ QRIS"/>
    <x v="2"/>
  </r>
  <r>
    <m/>
    <m/>
    <n v="50000"/>
    <x v="3"/>
    <n v="118878899"/>
    <s v="INFAQ QRIS"/>
    <x v="2"/>
  </r>
  <r>
    <m/>
    <m/>
    <n v="10000"/>
    <x v="3"/>
    <n v="118888899"/>
    <s v="INFAQ QRIS"/>
    <x v="2"/>
  </r>
  <r>
    <m/>
    <m/>
    <n v="100000"/>
    <x v="3"/>
    <n v="118988899"/>
    <s v="INFAQ QRIS"/>
    <x v="2"/>
  </r>
  <r>
    <m/>
    <m/>
    <n v="50000"/>
    <x v="3"/>
    <n v="119038899"/>
    <s v="INFAQ QRIS"/>
    <x v="2"/>
  </r>
  <r>
    <m/>
    <m/>
    <n v="4250000"/>
    <x v="3"/>
    <n v="123288899"/>
    <s v="Infaq Collection Imron"/>
    <x v="2"/>
  </r>
  <r>
    <n v="425000"/>
    <m/>
    <m/>
    <x v="3"/>
    <n v="122863899"/>
    <s v="Collection FEE Imron"/>
    <x v="18"/>
  </r>
  <r>
    <n v="2006000"/>
    <m/>
    <m/>
    <x v="3"/>
    <n v="120857899"/>
    <s v="Voucher Listrik"/>
    <x v="7"/>
  </r>
  <r>
    <m/>
    <n v="1819000"/>
    <m/>
    <x v="1"/>
    <n v="120857899"/>
    <s v="SETOR IMRON ROSADI"/>
    <x v="4"/>
  </r>
  <r>
    <m/>
    <m/>
    <n v="25000"/>
    <x v="3"/>
    <n v="120882899"/>
    <s v="INFAQ FADEL MUHAMMAD IKHWAN"/>
    <x v="2"/>
  </r>
  <r>
    <m/>
    <m/>
    <n v="50000"/>
    <x v="3"/>
    <n v="120932899"/>
    <s v="INFAQ QRIS"/>
    <x v="2"/>
  </r>
  <r>
    <m/>
    <m/>
    <n v="200000"/>
    <x v="3"/>
    <n v="121132899"/>
    <s v="INFAQ QRIS"/>
    <x v="2"/>
  </r>
  <r>
    <m/>
    <m/>
    <n v="25000"/>
    <x v="3"/>
    <n v="121157899"/>
    <s v="INFAQ QRIS"/>
    <x v="2"/>
  </r>
  <r>
    <m/>
    <m/>
    <n v="100000"/>
    <x v="3"/>
    <n v="121257899"/>
    <s v="INFAQ QRIS"/>
    <x v="2"/>
  </r>
  <r>
    <m/>
    <m/>
    <n v="100000"/>
    <x v="3"/>
    <n v="121357899"/>
    <s v="INFAQ QRIS"/>
    <x v="2"/>
  </r>
  <r>
    <m/>
    <m/>
    <n v="10000"/>
    <x v="3"/>
    <n v="121367899"/>
    <s v="INFAQ QRIS"/>
    <x v="2"/>
  </r>
  <r>
    <m/>
    <m/>
    <n v="25000"/>
    <x v="3"/>
    <n v="121392899"/>
    <s v="INFAQ QRIS"/>
    <x v="2"/>
  </r>
  <r>
    <m/>
    <m/>
    <n v="50000"/>
    <x v="3"/>
    <n v="121442899"/>
    <s v="INFAQ QRIS"/>
    <x v="2"/>
  </r>
  <r>
    <m/>
    <m/>
    <n v="10000"/>
    <x v="3"/>
    <n v="121452899"/>
    <s v="INFAQ QRIS"/>
    <x v="2"/>
  </r>
  <r>
    <m/>
    <m/>
    <n v="100000"/>
    <x v="3"/>
    <n v="121552899"/>
    <s v="INFAQ QRIS"/>
    <x v="2"/>
  </r>
  <r>
    <m/>
    <m/>
    <n v="10000"/>
    <x v="3"/>
    <n v="121562899"/>
    <s v="INFAQ QRIS"/>
    <x v="2"/>
  </r>
  <r>
    <m/>
    <m/>
    <n v="1000000"/>
    <x v="3"/>
    <n v="122562899"/>
    <s v="INFAQ DARI ANGGONO IRIAWAN"/>
    <x v="2"/>
  </r>
  <r>
    <n v="7000"/>
    <m/>
    <m/>
    <x v="3"/>
    <n v="122555899"/>
    <s v="BIAYA PAYROLL "/>
    <x v="1"/>
  </r>
  <r>
    <m/>
    <m/>
    <n v="100000"/>
    <x v="3"/>
    <n v="122655899"/>
    <s v="INFAQ SURJATI SUTARJA"/>
    <x v="2"/>
  </r>
  <r>
    <m/>
    <m/>
    <n v="50000"/>
    <x v="3"/>
    <n v="122705899"/>
    <s v="INFAQ QRIS"/>
    <x v="2"/>
  </r>
  <r>
    <m/>
    <m/>
    <n v="100000"/>
    <x v="3"/>
    <n v="122805899"/>
    <s v="INFAQ QRIS"/>
    <x v="2"/>
  </r>
  <r>
    <m/>
    <m/>
    <n v="25000"/>
    <x v="3"/>
    <n v="122830899"/>
    <s v="INFAQ QRIS"/>
    <x v="2"/>
  </r>
  <r>
    <m/>
    <m/>
    <n v="100000"/>
    <x v="3"/>
    <n v="122930899"/>
    <s v="INFAQ QRIS"/>
    <x v="2"/>
  </r>
  <r>
    <m/>
    <m/>
    <n v="1000010"/>
    <x v="3"/>
    <n v="123930909"/>
    <s v="ZAKAT MAL ELLIYAS"/>
    <x v="16"/>
  </r>
  <r>
    <m/>
    <m/>
    <n v="25000"/>
    <x v="3"/>
    <n v="123955909"/>
    <s v="INFAQ QRIS"/>
    <x v="2"/>
  </r>
  <r>
    <m/>
    <m/>
    <n v="10000"/>
    <x v="3"/>
    <n v="123965909"/>
    <s v="INFAQ QRIS"/>
    <x v="2"/>
  </r>
  <r>
    <m/>
    <m/>
    <n v="50000"/>
    <x v="3"/>
    <n v="124015909"/>
    <s v="INFAQ QRIS"/>
    <x v="2"/>
  </r>
  <r>
    <m/>
    <m/>
    <n v="10000"/>
    <x v="3"/>
    <n v="124025909"/>
    <s v="INFAQ QRIS"/>
    <x v="2"/>
  </r>
  <r>
    <m/>
    <m/>
    <n v="100000"/>
    <x v="3"/>
    <n v="124125909"/>
    <s v="INFAQ QRIS"/>
    <x v="2"/>
  </r>
  <r>
    <m/>
    <m/>
    <n v="20000"/>
    <x v="3"/>
    <n v="124145909"/>
    <s v="INFAQ QRIS"/>
    <x v="2"/>
  </r>
  <r>
    <m/>
    <m/>
    <n v="48000"/>
    <x v="3"/>
    <n v="124193909"/>
    <s v="INFAQ QRIS"/>
    <x v="2"/>
  </r>
  <r>
    <m/>
    <m/>
    <n v="100000"/>
    <x v="3"/>
    <n v="124293909"/>
    <s v="INFAQ QRIS"/>
    <x v="2"/>
  </r>
  <r>
    <m/>
    <m/>
    <n v="300000"/>
    <x v="3"/>
    <n v="124593909"/>
    <s v="INFAQ QRIS"/>
    <x v="2"/>
  </r>
  <r>
    <m/>
    <m/>
    <n v="20000"/>
    <x v="3"/>
    <n v="124613909"/>
    <s v="INFAQ QRIS"/>
    <x v="2"/>
  </r>
  <r>
    <m/>
    <m/>
    <n v="1474"/>
    <x v="3"/>
    <n v="124615383"/>
    <s v="INFAQ QRIS"/>
    <x v="2"/>
  </r>
  <r>
    <m/>
    <m/>
    <n v="5000"/>
    <x v="3"/>
    <n v="124620383"/>
    <s v="INFAQ QRIS"/>
    <x v="2"/>
  </r>
  <r>
    <m/>
    <m/>
    <n v="20000"/>
    <x v="3"/>
    <n v="124640383"/>
    <s v="INFAQ QRIS"/>
    <x v="2"/>
  </r>
  <r>
    <m/>
    <m/>
    <n v="2000000"/>
    <x v="3"/>
    <n v="126640383"/>
    <s v="INFAQ RIZKYHIDAYATSL"/>
    <x v="2"/>
  </r>
  <r>
    <m/>
    <m/>
    <n v="1500000"/>
    <x v="3"/>
    <n v="128140383"/>
    <s v="ZAKAT MAL Budi Tursilo"/>
    <x v="16"/>
  </r>
  <r>
    <m/>
    <m/>
    <n v="25000"/>
    <x v="3"/>
    <n v="128165383"/>
    <s v="INFAQ FADEL MUHAMMAD IKHWAN"/>
    <x v="2"/>
  </r>
  <r>
    <m/>
    <m/>
    <n v="50000"/>
    <x v="3"/>
    <n v="128215383"/>
    <s v="INFAQ QRIS"/>
    <x v="2"/>
  </r>
  <r>
    <m/>
    <m/>
    <n v="100000"/>
    <x v="3"/>
    <n v="128315383"/>
    <s v="INFAQ QRIS"/>
    <x v="2"/>
  </r>
  <r>
    <m/>
    <m/>
    <n v="100000"/>
    <x v="3"/>
    <n v="128415383"/>
    <s v="INFAQ QRIS"/>
    <x v="2"/>
  </r>
  <r>
    <m/>
    <m/>
    <n v="100000"/>
    <x v="3"/>
    <n v="128515383"/>
    <s v="INFAQ QRIS"/>
    <x v="2"/>
  </r>
  <r>
    <m/>
    <m/>
    <n v="10000"/>
    <x v="3"/>
    <n v="128525383"/>
    <s v="INFAQ QRIS"/>
    <x v="2"/>
  </r>
  <r>
    <m/>
    <m/>
    <n v="10000"/>
    <x v="3"/>
    <n v="128535383"/>
    <s v="INFAQ QRIS"/>
    <x v="2"/>
  </r>
  <r>
    <m/>
    <m/>
    <n v="10000"/>
    <x v="3"/>
    <n v="128545383"/>
    <s v="INFAQ QRIS"/>
    <x v="2"/>
  </r>
  <r>
    <m/>
    <m/>
    <n v="25000"/>
    <x v="3"/>
    <n v="128570383"/>
    <s v="INFAQ QRIS"/>
    <x v="2"/>
  </r>
  <r>
    <m/>
    <m/>
    <n v="100000"/>
    <x v="3"/>
    <n v="128670383"/>
    <s v="INFAQ QRIS"/>
    <x v="2"/>
  </r>
  <r>
    <m/>
    <m/>
    <n v="25000"/>
    <x v="3"/>
    <n v="128695383"/>
    <s v="INFAQ QRIS"/>
    <x v="2"/>
  </r>
  <r>
    <m/>
    <m/>
    <n v="50000"/>
    <x v="3"/>
    <n v="128745383"/>
    <s v="INFAQ QRIS"/>
    <x v="2"/>
  </r>
  <r>
    <m/>
    <m/>
    <n v="20000"/>
    <x v="3"/>
    <n v="128765383"/>
    <s v="INFAQ QRIS"/>
    <x v="2"/>
  </r>
  <r>
    <m/>
    <m/>
    <n v="1000000"/>
    <x v="3"/>
    <n v="129765383"/>
    <s v="INFAQ DARI DION"/>
    <x v="2"/>
  </r>
  <r>
    <m/>
    <m/>
    <n v="4000000"/>
    <x v="3"/>
    <n v="133765383"/>
    <s v="ZAKAT MAL DARI DION"/>
    <x v="16"/>
  </r>
  <r>
    <m/>
    <m/>
    <n v="300000"/>
    <x v="3"/>
    <n v="134065383"/>
    <s v="INFAQ Bp. Injon"/>
    <x v="2"/>
  </r>
  <r>
    <m/>
    <m/>
    <n v="5000000"/>
    <x v="3"/>
    <n v="139065383"/>
    <s v="ZAKAT MAL DHIDIK TRI WIBOWO"/>
    <x v="16"/>
  </r>
  <r>
    <m/>
    <m/>
    <n v="20000"/>
    <x v="3"/>
    <n v="139085383"/>
    <s v="INFAQ QRIS"/>
    <x v="2"/>
  </r>
  <r>
    <m/>
    <m/>
    <n v="50000"/>
    <x v="3"/>
    <n v="139135383"/>
    <s v="INFAQ QRIS"/>
    <x v="2"/>
  </r>
  <r>
    <m/>
    <m/>
    <n v="25000"/>
    <x v="3"/>
    <n v="139160383"/>
    <s v="INFAQ QRIS"/>
    <x v="2"/>
  </r>
  <r>
    <m/>
    <m/>
    <n v="100000"/>
    <x v="3"/>
    <n v="139260383"/>
    <s v="INFAQ QRIS"/>
    <x v="2"/>
  </r>
  <r>
    <m/>
    <m/>
    <n v="5000"/>
    <x v="3"/>
    <n v="139265383"/>
    <s v="INFAQ QRIS"/>
    <x v="2"/>
  </r>
  <r>
    <m/>
    <m/>
    <n v="1000000"/>
    <x v="3"/>
    <n v="140265383"/>
    <s v="INFAQ DARI WAHYU ROMADHONI"/>
    <x v="2"/>
  </r>
  <r>
    <m/>
    <m/>
    <n v="100000"/>
    <x v="3"/>
    <n v="140365383"/>
    <s v="INFAQ QRIS"/>
    <x v="2"/>
  </r>
  <r>
    <m/>
    <m/>
    <n v="9000"/>
    <x v="3"/>
    <n v="140374383"/>
    <s v="INFAQ QRIS"/>
    <x v="2"/>
  </r>
  <r>
    <m/>
    <m/>
    <n v="10000"/>
    <x v="3"/>
    <n v="140384383"/>
    <s v="INFAQ QRIS"/>
    <x v="2"/>
  </r>
  <r>
    <m/>
    <m/>
    <n v="50000"/>
    <x v="3"/>
    <n v="140434383"/>
    <s v="INFAQ QRIS"/>
    <x v="2"/>
  </r>
  <r>
    <m/>
    <m/>
    <n v="10000"/>
    <x v="3"/>
    <n v="140444383"/>
    <s v="INFAQ QRIS"/>
    <x v="2"/>
  </r>
  <r>
    <m/>
    <m/>
    <n v="25000"/>
    <x v="3"/>
    <n v="140469383"/>
    <s v="INFAQ QRIS"/>
    <x v="2"/>
  </r>
  <r>
    <m/>
    <m/>
    <n v="25000"/>
    <x v="3"/>
    <n v="140494383"/>
    <s v="INFAQ QRIS"/>
    <x v="2"/>
  </r>
  <r>
    <m/>
    <m/>
    <n v="5000"/>
    <x v="3"/>
    <n v="140499383"/>
    <s v="INFAQ QRIS"/>
    <x v="2"/>
  </r>
  <r>
    <m/>
    <m/>
    <n v="20000"/>
    <x v="3"/>
    <n v="140519383"/>
    <s v="INFAQ QRIS"/>
    <x v="2"/>
  </r>
  <r>
    <m/>
    <m/>
    <n v="10000"/>
    <x v="3"/>
    <n v="140529383"/>
    <s v="INFAQ QRIS"/>
    <x v="2"/>
  </r>
  <r>
    <m/>
    <m/>
    <n v="5252"/>
    <x v="3"/>
    <n v="140534635"/>
    <s v="INFAQ QRIS"/>
    <x v="2"/>
  </r>
  <r>
    <m/>
    <m/>
    <n v="401"/>
    <x v="3"/>
    <n v="140535036"/>
    <s v="INFAQ QRIS"/>
    <x v="2"/>
  </r>
  <r>
    <m/>
    <m/>
    <n v="50000"/>
    <x v="3"/>
    <n v="140585036"/>
    <s v="INFAQ QRIS"/>
    <x v="2"/>
  </r>
  <r>
    <m/>
    <m/>
    <n v="1000000"/>
    <x v="3"/>
    <n v="141585036"/>
    <s v="ZAKAT MAL DARI YADI ABDULLAH"/>
    <x v="16"/>
  </r>
  <r>
    <m/>
    <m/>
    <n v="50000"/>
    <x v="3"/>
    <n v="141635036"/>
    <s v="INFAQ QRIS"/>
    <x v="2"/>
  </r>
  <r>
    <m/>
    <m/>
    <n v="100000"/>
    <x v="3"/>
    <n v="141735036"/>
    <s v="INFAQ QRIS"/>
    <x v="2"/>
  </r>
  <r>
    <m/>
    <m/>
    <n v="100000"/>
    <x v="3"/>
    <n v="141835036"/>
    <s v="INFAQ QRIS"/>
    <x v="2"/>
  </r>
  <r>
    <m/>
    <m/>
    <n v="25000"/>
    <x v="3"/>
    <n v="141860036"/>
    <s v="INFAQ QRIS"/>
    <x v="2"/>
  </r>
  <r>
    <m/>
    <m/>
    <n v="10000"/>
    <x v="3"/>
    <n v="141870036"/>
    <s v="INFAQ QRIS"/>
    <x v="2"/>
  </r>
  <r>
    <m/>
    <m/>
    <n v="10000"/>
    <x v="3"/>
    <n v="141880036"/>
    <s v="INFAQ QRIS"/>
    <x v="2"/>
  </r>
  <r>
    <m/>
    <m/>
    <n v="100000"/>
    <x v="3"/>
    <n v="141980036"/>
    <s v="INFAQ QRIS"/>
    <x v="2"/>
  </r>
  <r>
    <m/>
    <m/>
    <n v="10000"/>
    <x v="3"/>
    <n v="141990036"/>
    <s v="INFAQ QRIS"/>
    <x v="2"/>
  </r>
  <r>
    <m/>
    <m/>
    <n v="20000"/>
    <x v="3"/>
    <n v="142010036"/>
    <s v="INFAQ QRIS"/>
    <x v="2"/>
  </r>
  <r>
    <m/>
    <m/>
    <n v="25000"/>
    <x v="3"/>
    <n v="142035036"/>
    <s v="INFAQ QRIS"/>
    <x v="2"/>
  </r>
  <r>
    <m/>
    <m/>
    <n v="4415000"/>
    <x v="3"/>
    <n v="146450036"/>
    <s v="Akun Yatim &amp; Sosial"/>
    <x v="12"/>
  </r>
  <r>
    <m/>
    <m/>
    <n v="2046000"/>
    <x v="3"/>
    <n v="148496036"/>
    <s v="Operasional (Infaq &amp; Sodaqoh)"/>
    <x v="2"/>
  </r>
  <r>
    <m/>
    <m/>
    <n v="5026000"/>
    <x v="3"/>
    <n v="153522036"/>
    <s v="Infaq Taraweh"/>
    <x v="2"/>
  </r>
  <r>
    <m/>
    <n v="11487000"/>
    <m/>
    <x v="1"/>
    <n v="153522036"/>
    <s v="SETOR IMRON"/>
    <x v="4"/>
  </r>
  <r>
    <m/>
    <m/>
    <n v="20000"/>
    <x v="3"/>
    <n v="153542036"/>
    <s v="INFAQ DARI FADEL MUHAMMAD IKHWAN"/>
    <x v="2"/>
  </r>
  <r>
    <m/>
    <m/>
    <n v="50000"/>
    <x v="3"/>
    <n v="153592036"/>
    <s v="INFAQ QRIS"/>
    <x v="2"/>
  </r>
  <r>
    <m/>
    <m/>
    <n v="50000"/>
    <x v="3"/>
    <n v="153642036"/>
    <s v="INFAQ QRIS"/>
    <x v="2"/>
  </r>
  <r>
    <m/>
    <m/>
    <n v="50000"/>
    <x v="3"/>
    <n v="153692036"/>
    <s v="INFAQ QRIS"/>
    <x v="2"/>
  </r>
  <r>
    <m/>
    <m/>
    <n v="100000"/>
    <x v="3"/>
    <n v="153792036"/>
    <s v="INFAQ QRIS"/>
    <x v="2"/>
  </r>
  <r>
    <m/>
    <m/>
    <n v="25000"/>
    <x v="3"/>
    <n v="153817036"/>
    <s v="INFAQ QRIS"/>
    <x v="2"/>
  </r>
  <r>
    <m/>
    <m/>
    <n v="10000"/>
    <x v="3"/>
    <n v="153827036"/>
    <s v="INFAQ QRIS"/>
    <x v="2"/>
  </r>
  <r>
    <m/>
    <m/>
    <n v="10000"/>
    <x v="3"/>
    <n v="153837036"/>
    <s v="INFAQ QRIS"/>
    <x v="2"/>
  </r>
  <r>
    <m/>
    <m/>
    <n v="100000"/>
    <x v="3"/>
    <n v="153937036"/>
    <s v="INFAQ QRIS"/>
    <x v="2"/>
  </r>
  <r>
    <m/>
    <m/>
    <n v="50000"/>
    <x v="3"/>
    <n v="153987036"/>
    <s v="INFAQ QRIS"/>
    <x v="2"/>
  </r>
  <r>
    <m/>
    <m/>
    <n v="25000"/>
    <x v="3"/>
    <n v="154012036"/>
    <s v="INFAQ QRIS"/>
    <x v="2"/>
  </r>
  <r>
    <m/>
    <m/>
    <n v="5000"/>
    <x v="3"/>
    <n v="154017036"/>
    <s v="INFAQ QRIS"/>
    <x v="2"/>
  </r>
  <r>
    <m/>
    <m/>
    <n v="100000"/>
    <x v="3"/>
    <n v="154117036"/>
    <s v="INFAQ QRIS"/>
    <x v="2"/>
  </r>
  <r>
    <m/>
    <m/>
    <n v="50000"/>
    <x v="3"/>
    <n v="154167036"/>
    <s v="INFAQ DARI FADEL MUHAMMAD IKHWAN"/>
    <x v="2"/>
  </r>
  <r>
    <m/>
    <m/>
    <n v="40000"/>
    <x v="3"/>
    <n v="154207036"/>
    <s v="INFAQ QRIS"/>
    <x v="2"/>
  </r>
  <r>
    <m/>
    <m/>
    <n v="50000"/>
    <x v="3"/>
    <n v="154257036"/>
    <s v="INFAQ QRIS"/>
    <x v="2"/>
  </r>
  <r>
    <m/>
    <m/>
    <n v="4000000"/>
    <x v="3"/>
    <n v="158257036"/>
    <s v="ZAKAT MAL DARI Muhammad Irfan GS DA 15"/>
    <x v="16"/>
  </r>
  <r>
    <m/>
    <m/>
    <n v="50000"/>
    <x v="3"/>
    <n v="158307036"/>
    <s v="INFAQ QRIS"/>
    <x v="2"/>
  </r>
  <r>
    <m/>
    <m/>
    <n v="10000"/>
    <x v="3"/>
    <n v="158317036"/>
    <s v="INFAQ QRIS"/>
    <x v="2"/>
  </r>
  <r>
    <m/>
    <m/>
    <n v="10000"/>
    <x v="3"/>
    <n v="158327036"/>
    <s v="INFAQ QRIS"/>
    <x v="2"/>
  </r>
  <r>
    <m/>
    <m/>
    <n v="50000"/>
    <x v="3"/>
    <n v="158377036"/>
    <s v="INFAQ QRIS"/>
    <x v="2"/>
  </r>
  <r>
    <m/>
    <m/>
    <n v="100000"/>
    <x v="3"/>
    <n v="158477036"/>
    <s v="INFAQ QRIS"/>
    <x v="2"/>
  </r>
  <r>
    <n v="4000000"/>
    <m/>
    <m/>
    <x v="3"/>
    <n v="154477036"/>
    <s v="BIAYA PERAWATAN SANTRI MARET 2025"/>
    <x v="14"/>
  </r>
  <r>
    <n v="2500"/>
    <m/>
    <m/>
    <x v="3"/>
    <n v="154474536"/>
    <s v="BIAYA PERAWATAN SANTRI MARET 2025"/>
    <x v="14"/>
  </r>
  <r>
    <n v="5400000"/>
    <m/>
    <m/>
    <x v="3"/>
    <n v="149074536"/>
    <s v="HONOR BAYU"/>
    <x v="14"/>
  </r>
  <r>
    <n v="6500"/>
    <m/>
    <m/>
    <x v="3"/>
    <n v="149068036"/>
    <s v="HONOR BAYU"/>
    <x v="14"/>
  </r>
  <r>
    <n v="6500000"/>
    <m/>
    <m/>
    <x v="3"/>
    <n v="142568036"/>
    <s v="HONOR NANANG "/>
    <x v="13"/>
  </r>
  <r>
    <n v="6500"/>
    <m/>
    <m/>
    <x v="3"/>
    <n v="142561536"/>
    <s v="HONOR NANANG "/>
    <x v="13"/>
  </r>
  <r>
    <n v="5000000"/>
    <m/>
    <m/>
    <x v="3"/>
    <n v="137561536"/>
    <s v="HONOR AZIZ"/>
    <x v="13"/>
  </r>
  <r>
    <n v="6500"/>
    <m/>
    <m/>
    <x v="3"/>
    <n v="137555036"/>
    <s v="HONOR AZIZ"/>
    <x v="13"/>
  </r>
  <r>
    <n v="3000000"/>
    <m/>
    <m/>
    <x v="3"/>
    <n v="134555036"/>
    <s v="HONOR ILHAM"/>
    <x v="13"/>
  </r>
  <r>
    <n v="6500"/>
    <m/>
    <m/>
    <x v="3"/>
    <n v="134548536"/>
    <s v="HONOR ILHAM"/>
    <x v="13"/>
  </r>
  <r>
    <n v="4000000"/>
    <m/>
    <m/>
    <x v="3"/>
    <n v="130548536"/>
    <s v="HONOR YANA"/>
    <x v="13"/>
  </r>
  <r>
    <n v="6500"/>
    <m/>
    <m/>
    <x v="3"/>
    <n v="130542036"/>
    <s v="HONOR YANA"/>
    <x v="13"/>
  </r>
  <r>
    <n v="4000000"/>
    <m/>
    <m/>
    <x v="3"/>
    <n v="126542036"/>
    <s v="HONOR IMRON"/>
    <x v="13"/>
  </r>
  <r>
    <n v="6500"/>
    <m/>
    <m/>
    <x v="3"/>
    <n v="126535536"/>
    <s v="HONOR IMRON"/>
    <x v="13"/>
  </r>
  <r>
    <n v="5000000"/>
    <m/>
    <m/>
    <x v="3"/>
    <n v="121535536"/>
    <s v="HONOR SURYADI"/>
    <x v="13"/>
  </r>
  <r>
    <m/>
    <m/>
    <n v="100000"/>
    <x v="3"/>
    <n v="121635536"/>
    <s v="INFAQ QRIS"/>
    <x v="2"/>
  </r>
  <r>
    <m/>
    <m/>
    <n v="50000"/>
    <x v="3"/>
    <n v="121685536"/>
    <s v="INFAQ QRIS"/>
    <x v="2"/>
  </r>
  <r>
    <m/>
    <m/>
    <n v="50000"/>
    <x v="3"/>
    <n v="121735536"/>
    <s v="INFAQ QRIS"/>
    <x v="2"/>
  </r>
  <r>
    <m/>
    <m/>
    <n v="100000"/>
    <x v="3"/>
    <n v="121835536"/>
    <s v="INFAQ QRIS"/>
    <x v="2"/>
  </r>
  <r>
    <m/>
    <m/>
    <n v="24000"/>
    <x v="3"/>
    <n v="121859536"/>
    <s v="INFAQ QRIS"/>
    <x v="2"/>
  </r>
  <r>
    <m/>
    <m/>
    <n v="100000"/>
    <x v="3"/>
    <n v="121959536"/>
    <s v="INFAQ QRIS"/>
    <x v="2"/>
  </r>
  <r>
    <m/>
    <m/>
    <n v="25000"/>
    <x v="3"/>
    <n v="121984536"/>
    <s v="INFAQ QRIS"/>
    <x v="2"/>
  </r>
  <r>
    <m/>
    <m/>
    <n v="50000"/>
    <x v="3"/>
    <n v="122034536"/>
    <s v="INFAQ QRIS"/>
    <x v="2"/>
  </r>
  <r>
    <m/>
    <m/>
    <n v="15000"/>
    <x v="3"/>
    <n v="122049536"/>
    <s v="INFAQ QRIS"/>
    <x v="2"/>
  </r>
  <r>
    <m/>
    <m/>
    <n v="1000000"/>
    <x v="3"/>
    <n v="123049536"/>
    <s v="ZAKAT MAL DIKI FIRMANSYAH"/>
    <x v="16"/>
  </r>
  <r>
    <m/>
    <m/>
    <n v="10000"/>
    <x v="3"/>
    <n v="123059536"/>
    <s v="INFAQ QRIS"/>
    <x v="2"/>
  </r>
  <r>
    <m/>
    <m/>
    <n v="100000"/>
    <x v="3"/>
    <n v="123159536"/>
    <s v="INFAQ QRIS"/>
    <x v="2"/>
  </r>
  <r>
    <m/>
    <m/>
    <n v="100000"/>
    <x v="3"/>
    <n v="123259536"/>
    <s v="INFAQ QRIS"/>
    <x v="2"/>
  </r>
  <r>
    <m/>
    <m/>
    <n v="50000"/>
    <x v="3"/>
    <n v="123309536"/>
    <s v="INFAQ QRIS"/>
    <x v="2"/>
  </r>
  <r>
    <m/>
    <m/>
    <n v="100000"/>
    <x v="3"/>
    <n v="123409536"/>
    <s v="INFAQ QRIS"/>
    <x v="2"/>
  </r>
  <r>
    <m/>
    <m/>
    <n v="25000"/>
    <x v="3"/>
    <n v="123434536"/>
    <s v="INFAQ QRIS"/>
    <x v="2"/>
  </r>
  <r>
    <m/>
    <m/>
    <n v="200000"/>
    <x v="3"/>
    <n v="123634536"/>
    <s v="INFAQ QRIS"/>
    <x v="2"/>
  </r>
  <r>
    <m/>
    <m/>
    <n v="20000"/>
    <x v="3"/>
    <n v="123654536"/>
    <s v="INFAQ QRIS"/>
    <x v="2"/>
  </r>
  <r>
    <m/>
    <m/>
    <n v="30000"/>
    <x v="3"/>
    <n v="123684536"/>
    <s v="INFAQ QRIS"/>
    <x v="2"/>
  </r>
  <r>
    <m/>
    <m/>
    <n v="10000"/>
    <x v="3"/>
    <n v="123694536"/>
    <s v="INFAQ QRIS"/>
    <x v="2"/>
  </r>
  <r>
    <m/>
    <m/>
    <n v="20000"/>
    <x v="3"/>
    <n v="123714536"/>
    <s v="INFAQ QRIS"/>
    <x v="2"/>
  </r>
  <r>
    <m/>
    <m/>
    <n v="20000"/>
    <x v="3"/>
    <n v="123734536"/>
    <s v="INFAQ QRIS"/>
    <x v="2"/>
  </r>
  <r>
    <m/>
    <m/>
    <n v="10000"/>
    <x v="3"/>
    <n v="123744536"/>
    <s v="INFAQ QRIS"/>
    <x v="2"/>
  </r>
  <r>
    <m/>
    <m/>
    <n v="20000"/>
    <x v="3"/>
    <n v="123764536"/>
    <s v="INFAQ QRIS"/>
    <x v="2"/>
  </r>
  <r>
    <m/>
    <m/>
    <n v="1000000"/>
    <x v="3"/>
    <n v="124764536"/>
    <s v="Zakat mal a.n yustitia wahidin"/>
    <x v="16"/>
  </r>
  <r>
    <n v="53150000"/>
    <m/>
    <m/>
    <x v="3"/>
    <n v="71614536"/>
    <s v="PEMBAGIAN ZAKAT FITRAH 1446H "/>
    <x v="14"/>
  </r>
  <r>
    <n v="2500"/>
    <m/>
    <m/>
    <x v="3"/>
    <n v="71612036"/>
    <s v="PEMBAGIAN ZAKAT FITRAH 1446H "/>
    <x v="14"/>
  </r>
  <r>
    <m/>
    <m/>
    <n v="1000000"/>
    <x v="3"/>
    <n v="72612036"/>
    <s v="Infaq an Ramadhan"/>
    <x v="2"/>
  </r>
  <r>
    <m/>
    <m/>
    <n v="50000"/>
    <x v="3"/>
    <n v="72662036"/>
    <s v="INFAQ QRIS"/>
    <x v="2"/>
  </r>
  <r>
    <m/>
    <m/>
    <n v="20000"/>
    <x v="3"/>
    <n v="72682036"/>
    <s v="INFAQ QRIS"/>
    <x v="2"/>
  </r>
  <r>
    <m/>
    <m/>
    <n v="200000"/>
    <x v="3"/>
    <n v="72882036"/>
    <s v="INFAQ QRIS"/>
    <x v="2"/>
  </r>
  <r>
    <m/>
    <m/>
    <n v="50000"/>
    <x v="3"/>
    <n v="72932036"/>
    <s v="INFAQ QRIS"/>
    <x v="2"/>
  </r>
  <r>
    <m/>
    <m/>
    <n v="100000"/>
    <x v="3"/>
    <n v="73032036"/>
    <s v="INFAQ QRIS"/>
    <x v="2"/>
  </r>
  <r>
    <m/>
    <m/>
    <n v="2000000"/>
    <x v="3"/>
    <n v="75032036"/>
    <s v="INFAQ DARI ARIEF TAUFIQURRAHMAN"/>
    <x v="2"/>
  </r>
  <r>
    <m/>
    <m/>
    <n v="100000"/>
    <x v="3"/>
    <n v="75132036"/>
    <s v="INFAQ QRIS"/>
    <x v="2"/>
  </r>
  <r>
    <m/>
    <m/>
    <n v="50000"/>
    <x v="3"/>
    <n v="75182036"/>
    <s v="INFAQ QRIS"/>
    <x v="2"/>
  </r>
  <r>
    <m/>
    <m/>
    <n v="10000"/>
    <x v="3"/>
    <n v="75192036"/>
    <s v="INFAQ QRIS"/>
    <x v="2"/>
  </r>
  <r>
    <m/>
    <m/>
    <n v="30000"/>
    <x v="3"/>
    <n v="75222036"/>
    <s v="INFAQ QRIS"/>
    <x v="2"/>
  </r>
  <r>
    <m/>
    <m/>
    <n v="3475000"/>
    <x v="3"/>
    <n v="78697036"/>
    <s v="ZAKAT MAL ???"/>
    <x v="16"/>
  </r>
  <r>
    <m/>
    <m/>
    <n v="50000"/>
    <x v="3"/>
    <n v="78747036"/>
    <s v="INFAQ QRIS"/>
    <x v="2"/>
  </r>
  <r>
    <m/>
    <m/>
    <n v="3000000"/>
    <x v="3"/>
    <n v="81747036"/>
    <s v="ZAKAT MAL ???"/>
    <x v="16"/>
  </r>
  <r>
    <m/>
    <m/>
    <n v="100000"/>
    <x v="3"/>
    <n v="81847036"/>
    <s v="INFAQ QRIS"/>
    <x v="2"/>
  </r>
  <r>
    <m/>
    <m/>
    <n v="25000"/>
    <x v="3"/>
    <n v="81872036"/>
    <s v="INFAQ QRIS"/>
    <x v="2"/>
  </r>
  <r>
    <m/>
    <m/>
    <n v="50000"/>
    <x v="3"/>
    <n v="81922036"/>
    <s v="INFAQ QRIS"/>
    <x v="2"/>
  </r>
  <r>
    <m/>
    <m/>
    <n v="200000"/>
    <x v="3"/>
    <n v="82122036"/>
    <s v="INFAQ QRIS"/>
    <x v="2"/>
  </r>
  <r>
    <m/>
    <m/>
    <n v="30000"/>
    <x v="3"/>
    <n v="82152036"/>
    <s v="INFAQ QRIS"/>
    <x v="2"/>
  </r>
  <r>
    <m/>
    <m/>
    <n v="20000"/>
    <x v="3"/>
    <n v="82172036"/>
    <s v="INFAQ QRIS"/>
    <x v="2"/>
  </r>
  <r>
    <m/>
    <m/>
    <n v="150000"/>
    <x v="3"/>
    <n v="82322036"/>
    <s v="INFAQ QRIS"/>
    <x v="2"/>
  </r>
  <r>
    <m/>
    <m/>
    <n v="10000"/>
    <x v="3"/>
    <n v="82332036"/>
    <s v="INFAQ QRIS"/>
    <x v="2"/>
  </r>
  <r>
    <m/>
    <m/>
    <n v="1000000"/>
    <x v="3"/>
    <n v="83332036"/>
    <s v="INFAQ QRIS"/>
    <x v="2"/>
  </r>
  <r>
    <m/>
    <m/>
    <n v="50000"/>
    <x v="3"/>
    <n v="83382036"/>
    <s v="INFAQ QRIS"/>
    <x v="2"/>
  </r>
  <r>
    <m/>
    <m/>
    <n v="6000"/>
    <x v="3"/>
    <n v="83388036"/>
    <s v="INFAQ QRIS"/>
    <x v="2"/>
  </r>
  <r>
    <m/>
    <m/>
    <n v="20000"/>
    <x v="3"/>
    <n v="83408036"/>
    <s v="INFAQ QRIS"/>
    <x v="2"/>
  </r>
  <r>
    <m/>
    <m/>
    <n v="150000"/>
    <x v="3"/>
    <n v="83558036"/>
    <s v="INFAQ QRIS"/>
    <x v="2"/>
  </r>
  <r>
    <m/>
    <m/>
    <n v="6570000"/>
    <x v="3"/>
    <n v="90128036"/>
    <s v="ZAKAT MAL ???"/>
    <x v="16"/>
  </r>
  <r>
    <m/>
    <m/>
    <n v="50000"/>
    <x v="3"/>
    <n v="90178036"/>
    <s v="INFAQ QRIS"/>
    <x v="2"/>
  </r>
  <r>
    <m/>
    <m/>
    <n v="5000"/>
    <x v="3"/>
    <n v="90183036"/>
    <s v="INFAQ QRIS"/>
    <x v="2"/>
  </r>
  <r>
    <m/>
    <m/>
    <n v="5000"/>
    <x v="3"/>
    <n v="90188036"/>
    <s v="INFAQ QRIS"/>
    <x v="2"/>
  </r>
  <r>
    <m/>
    <m/>
    <n v="50000"/>
    <x v="4"/>
    <n v="90238036"/>
    <s v="INFAQ QRIS"/>
    <x v="2"/>
  </r>
  <r>
    <m/>
    <m/>
    <n v="50000"/>
    <x v="4"/>
    <n v="90288036"/>
    <s v="INFAQ QRIS"/>
    <x v="2"/>
  </r>
  <r>
    <m/>
    <m/>
    <n v="100000"/>
    <x v="4"/>
    <n v="90388036"/>
    <s v="INFAQ QRIS"/>
    <x v="2"/>
  </r>
  <r>
    <m/>
    <m/>
    <n v="10000"/>
    <x v="4"/>
    <n v="90398036"/>
    <s v="INFAQ QRIS"/>
    <x v="2"/>
  </r>
  <r>
    <m/>
    <m/>
    <n v="100000"/>
    <x v="4"/>
    <n v="90498036"/>
    <s v="INFAQ QRIS"/>
    <x v="2"/>
  </r>
  <r>
    <m/>
    <m/>
    <n v="300000"/>
    <x v="4"/>
    <n v="90798036"/>
    <s v="INFAQ QRIS"/>
    <x v="2"/>
  </r>
  <r>
    <m/>
    <m/>
    <n v="5000000"/>
    <x v="4"/>
    <n v="95798036"/>
    <s v="ZAKAT MAL ZULFIKAR MANGGAU"/>
    <x v="16"/>
  </r>
  <r>
    <m/>
    <m/>
    <n v="50000"/>
    <x v="4"/>
    <n v="95848036"/>
    <s v="INFAQ QRIS"/>
    <x v="2"/>
  </r>
  <r>
    <m/>
    <m/>
    <n v="50000"/>
    <x v="4"/>
    <n v="95898036"/>
    <s v="INFAQ QRIS"/>
    <x v="2"/>
  </r>
  <r>
    <m/>
    <m/>
    <n v="100000"/>
    <x v="4"/>
    <n v="95998036"/>
    <s v="INFAQ QRIS"/>
    <x v="2"/>
  </r>
  <r>
    <m/>
    <m/>
    <n v="25000"/>
    <x v="4"/>
    <n v="96023036"/>
    <s v="INFAQ QRIS"/>
    <x v="2"/>
  </r>
  <r>
    <m/>
    <m/>
    <n v="18000"/>
    <x v="4"/>
    <n v="96041036"/>
    <s v="INFAQ QRIS"/>
    <x v="2"/>
  </r>
  <r>
    <m/>
    <m/>
    <n v="30000"/>
    <x v="4"/>
    <n v="96071036"/>
    <s v="INFAQ QRIS"/>
    <x v="2"/>
  </r>
  <r>
    <m/>
    <m/>
    <n v="20000"/>
    <x v="4"/>
    <n v="96091036"/>
    <s v="INFAQ QRIS"/>
    <x v="2"/>
  </r>
  <r>
    <m/>
    <m/>
    <n v="1000000"/>
    <x v="4"/>
    <n v="97091036"/>
    <s v="INFAQ QRIS"/>
    <x v="2"/>
  </r>
  <r>
    <m/>
    <m/>
    <n v="10000"/>
    <x v="4"/>
    <n v="97101036"/>
    <s v="INFAQ QRIS"/>
    <x v="2"/>
  </r>
  <r>
    <m/>
    <m/>
    <n v="620000"/>
    <x v="4"/>
    <n v="97721036"/>
    <s v="ZAKAT MAL YAYAN"/>
    <x v="16"/>
  </r>
  <r>
    <m/>
    <m/>
    <n v="50000"/>
    <x v="4"/>
    <n v="97771036"/>
    <s v="INFAQ QRIS"/>
    <x v="2"/>
  </r>
  <r>
    <m/>
    <m/>
    <n v="25000"/>
    <x v="4"/>
    <n v="97796036"/>
    <s v="INFAQ QRIS"/>
    <x v="2"/>
  </r>
  <r>
    <m/>
    <m/>
    <n v="150000"/>
    <x v="4"/>
    <n v="97946036"/>
    <s v="INFAQ QRIS"/>
    <x v="2"/>
  </r>
  <r>
    <m/>
    <m/>
    <n v="30000"/>
    <x v="4"/>
    <n v="97976036"/>
    <s v="INFAQ QRIS"/>
    <x v="2"/>
  </r>
  <r>
    <m/>
    <m/>
    <n v="10000"/>
    <x v="4"/>
    <n v="97986036"/>
    <s v="INFAQ QRIS"/>
    <x v="2"/>
  </r>
  <r>
    <m/>
    <m/>
    <n v="6000"/>
    <x v="4"/>
    <n v="97992036"/>
    <s v="INFAQ QRIS"/>
    <x v="2"/>
  </r>
  <r>
    <m/>
    <m/>
    <n v="50000"/>
    <x v="4"/>
    <n v="98042036"/>
    <s v="INFAQ QRIS"/>
    <x v="2"/>
  </r>
  <r>
    <m/>
    <m/>
    <n v="24000000"/>
    <x v="4"/>
    <n v="122042036"/>
    <m/>
    <x v="16"/>
  </r>
  <r>
    <m/>
    <m/>
    <n v="2040000"/>
    <x v="4"/>
    <n v="124082036"/>
    <m/>
    <x v="2"/>
  </r>
  <r>
    <m/>
    <n v="26040000"/>
    <m/>
    <x v="1"/>
    <n v="124082036"/>
    <s v="SETOR CASH IMRON"/>
    <x v="4"/>
  </r>
  <r>
    <m/>
    <m/>
    <n v="20000000"/>
    <x v="4"/>
    <n v="144082036"/>
    <s v="ZAKAT MAL INDRA EDI SANTOSO"/>
    <x v="16"/>
  </r>
  <r>
    <m/>
    <m/>
    <n v="500000"/>
    <x v="4"/>
    <n v="144582036"/>
    <s v="INFAQ QRIS"/>
    <x v="2"/>
  </r>
  <r>
    <m/>
    <m/>
    <n v="10000"/>
    <x v="4"/>
    <n v="144592036"/>
    <s v="INFAQ QRIS"/>
    <x v="2"/>
  </r>
  <r>
    <m/>
    <m/>
    <n v="10000"/>
    <x v="4"/>
    <n v="144602036"/>
    <s v="INFAQ QRIS"/>
    <x v="2"/>
  </r>
  <r>
    <m/>
    <m/>
    <n v="50000"/>
    <x v="4"/>
    <n v="144652036"/>
    <s v="INFAQ QRIS"/>
    <x v="2"/>
  </r>
  <r>
    <m/>
    <m/>
    <n v="50000"/>
    <x v="4"/>
    <n v="144702036"/>
    <s v="INFAQ QRIS"/>
    <x v="2"/>
  </r>
  <r>
    <m/>
    <m/>
    <n v="100000"/>
    <x v="4"/>
    <n v="144802036"/>
    <s v="INFAQ QRIS"/>
    <x v="2"/>
  </r>
  <r>
    <m/>
    <m/>
    <n v="20000"/>
    <x v="4"/>
    <n v="144822036"/>
    <s v="INFAQ QRIS"/>
    <x v="2"/>
  </r>
  <r>
    <m/>
    <m/>
    <n v="20000"/>
    <x v="4"/>
    <n v="144842036"/>
    <s v="INFAQ QRIS"/>
    <x v="2"/>
  </r>
  <r>
    <m/>
    <m/>
    <n v="10000"/>
    <x v="4"/>
    <n v="144852036"/>
    <s v="INFAQ QRIS"/>
    <x v="2"/>
  </r>
  <r>
    <m/>
    <m/>
    <n v="10000000"/>
    <x v="4"/>
    <n v="154852036"/>
    <s v="ZAKAT MAL NURMANSYAH SYARIEF"/>
    <x v="16"/>
  </r>
  <r>
    <m/>
    <m/>
    <n v="250000"/>
    <x v="4"/>
    <n v="155102036"/>
    <s v="INFAQ QRIS"/>
    <x v="2"/>
  </r>
  <r>
    <m/>
    <m/>
    <n v="50000"/>
    <x v="4"/>
    <n v="155152036"/>
    <s v="INFAQ QRIS"/>
    <x v="2"/>
  </r>
  <r>
    <m/>
    <m/>
    <n v="10000"/>
    <x v="4"/>
    <n v="155162036"/>
    <s v="INFAQ QRIS"/>
    <x v="2"/>
  </r>
  <r>
    <m/>
    <m/>
    <n v="20000"/>
    <x v="4"/>
    <n v="155182036"/>
    <s v="INFAQ QRIS"/>
    <x v="2"/>
  </r>
  <r>
    <m/>
    <m/>
    <n v="50000"/>
    <x v="4"/>
    <n v="155232036"/>
    <s v="INFAQ QRIS"/>
    <x v="2"/>
  </r>
  <r>
    <m/>
    <m/>
    <n v="5000"/>
    <x v="4"/>
    <n v="155237036"/>
    <s v="INFAQ QRIS"/>
    <x v="2"/>
  </r>
  <r>
    <m/>
    <m/>
    <n v="10000"/>
    <x v="4"/>
    <n v="155247036"/>
    <s v="INFAQ QRIS"/>
    <x v="2"/>
  </r>
  <r>
    <m/>
    <m/>
    <n v="10000"/>
    <x v="4"/>
    <n v="155257036"/>
    <s v="INFAQ QRIS"/>
    <x v="2"/>
  </r>
  <r>
    <m/>
    <m/>
    <n v="200000"/>
    <x v="4"/>
    <n v="155457036"/>
    <s v="INFAQ QRIS"/>
    <x v="2"/>
  </r>
  <r>
    <m/>
    <m/>
    <n v="200000"/>
    <x v="4"/>
    <n v="155657036"/>
    <s v="INFAQ QRIS"/>
    <x v="2"/>
  </r>
  <r>
    <m/>
    <m/>
    <n v="10000"/>
    <x v="4"/>
    <n v="155667036"/>
    <s v="INFAQ QRIS"/>
    <x v="2"/>
  </r>
  <r>
    <m/>
    <m/>
    <n v="20000"/>
    <x v="4"/>
    <n v="155687036"/>
    <s v="INFAQ QRIS"/>
    <x v="2"/>
  </r>
  <r>
    <m/>
    <m/>
    <n v="5700"/>
    <x v="4"/>
    <n v="155692736"/>
    <s v="INFAQ QRIS"/>
    <x v="2"/>
  </r>
  <r>
    <m/>
    <m/>
    <n v="400000"/>
    <x v="4"/>
    <n v="156092736"/>
    <s v="INFAQ PUTIE AMBUN SURI / RIVENDRA"/>
    <x v="2"/>
  </r>
  <r>
    <m/>
    <m/>
    <n v="20000"/>
    <x v="4"/>
    <n v="156112736"/>
    <s v="INFAQ QRIS"/>
    <x v="2"/>
  </r>
  <r>
    <m/>
    <m/>
    <n v="5700"/>
    <x v="4"/>
    <n v="156118436"/>
    <s v="INFAQ QRIS"/>
    <x v="2"/>
  </r>
  <r>
    <m/>
    <m/>
    <n v="100000"/>
    <x v="4"/>
    <n v="156218436"/>
    <s v="Infaq april25 yud"/>
    <x v="2"/>
  </r>
  <r>
    <m/>
    <m/>
    <n v="150000"/>
    <x v="4"/>
    <n v="156368436"/>
    <s v="INFAQ DWI LISTYOWATI"/>
    <x v="2"/>
  </r>
  <r>
    <m/>
    <m/>
    <n v="4816"/>
    <x v="4"/>
    <n v="156373252"/>
    <s v="INFAQ QRIS"/>
    <x v="2"/>
  </r>
  <r>
    <m/>
    <m/>
    <n v="10000"/>
    <x v="4"/>
    <n v="156383252"/>
    <s v="INFAQ QRIS"/>
    <x v="2"/>
  </r>
  <r>
    <m/>
    <m/>
    <n v="2308"/>
    <x v="4"/>
    <n v="156385560"/>
    <s v="INFAQ QRIS"/>
    <x v="2"/>
  </r>
  <r>
    <n v="20000"/>
    <m/>
    <m/>
    <x v="4"/>
    <n v="156365560"/>
    <s v="INFAQ QRIS"/>
    <x v="1"/>
  </r>
  <r>
    <n v="5700"/>
    <m/>
    <m/>
    <x v="4"/>
    <n v="156359860"/>
    <s v="INFAQ QRIS"/>
    <x v="1"/>
  </r>
  <r>
    <m/>
    <m/>
    <n v="25000"/>
    <x v="4"/>
    <n v="156384860"/>
    <s v="INFAQ QRIS"/>
    <x v="2"/>
  </r>
  <r>
    <m/>
    <m/>
    <n v="10000"/>
    <x v="4"/>
    <n v="156394860"/>
    <s v="INFAQ QRIS"/>
    <x v="2"/>
  </r>
  <r>
    <m/>
    <m/>
    <n v="20000"/>
    <x v="4"/>
    <n v="156414860"/>
    <s v="INFAQ QRIS"/>
    <x v="2"/>
  </r>
  <r>
    <m/>
    <m/>
    <n v="25000"/>
    <x v="4"/>
    <n v="156439860"/>
    <s v="INFAQ QRIS"/>
    <x v="2"/>
  </r>
  <r>
    <m/>
    <m/>
    <n v="100000"/>
    <x v="4"/>
    <n v="156539860"/>
    <s v="INFAQ QRIS"/>
    <x v="2"/>
  </r>
  <r>
    <m/>
    <m/>
    <n v="22000"/>
    <x v="4"/>
    <n v="156561860"/>
    <s v="INFAQ QRIS"/>
    <x v="2"/>
  </r>
  <r>
    <n v="2000000"/>
    <m/>
    <m/>
    <x v="4"/>
    <n v="154561860"/>
    <s v="PENGAJIAN IBU-IBU APRIL VIA LINA HERLINA"/>
    <x v="11"/>
  </r>
  <r>
    <n v="2900"/>
    <m/>
    <m/>
    <x v="4"/>
    <n v="154558960"/>
    <s v="BIAYA PENGAJIAN IBU-IBU APRIL VIA LINA HERLINA"/>
    <x v="11"/>
  </r>
  <r>
    <m/>
    <m/>
    <n v="17785500"/>
    <x v="4"/>
    <n v="172344460"/>
    <s v="INFAQ SHOLAT IDUL FITRI 1446 H"/>
    <x v="2"/>
  </r>
  <r>
    <m/>
    <m/>
    <n v="100000"/>
    <x v="4"/>
    <n v="172444460"/>
    <s v="INFAQ QRIS"/>
    <x v="2"/>
  </r>
  <r>
    <m/>
    <m/>
    <n v="2000000"/>
    <x v="4"/>
    <n v="174444460"/>
    <s v="INFAQ RIZKY HIDAYAT"/>
    <x v="2"/>
  </r>
  <r>
    <n v="5250000"/>
    <m/>
    <m/>
    <x v="4"/>
    <n v="169194460"/>
    <s v="Biaya Perbaikan 3 Pintu MAJ  SKN OUT TRF CMS "/>
    <x v="8"/>
  </r>
  <r>
    <n v="2900"/>
    <m/>
    <m/>
    <x v="4"/>
    <n v="169191560"/>
    <s v="Adm Biaya Perbaikan 3 Pintu MAJ  SKN OUT TRF CMS "/>
    <x v="8"/>
  </r>
  <r>
    <m/>
    <m/>
    <n v="1000000"/>
    <x v="4"/>
    <n v="170191560"/>
    <s v="INFAQ ANIS "/>
    <x v="2"/>
  </r>
  <r>
    <m/>
    <m/>
    <n v="66500"/>
    <x v="4"/>
    <n v="170258060"/>
    <s v="FEE MUAMALAT"/>
    <x v="2"/>
  </r>
  <r>
    <m/>
    <m/>
    <n v="25000"/>
    <x v="4"/>
    <n v="170283060"/>
    <s v="INFAQ QRIS"/>
    <x v="2"/>
  </r>
  <r>
    <m/>
    <m/>
    <n v="100000"/>
    <x v="4"/>
    <n v="170383060"/>
    <s v="INFAQ QRIS"/>
    <x v="2"/>
  </r>
  <r>
    <m/>
    <m/>
    <n v="25000"/>
    <x v="4"/>
    <n v="170408060"/>
    <s v="INFAQ QRIS"/>
    <x v="2"/>
  </r>
  <r>
    <m/>
    <m/>
    <n v="50000"/>
    <x v="4"/>
    <n v="170458060"/>
    <s v="INFAQ QRIS"/>
    <x v="2"/>
  </r>
  <r>
    <m/>
    <m/>
    <n v="10000"/>
    <x v="4"/>
    <n v="170468060"/>
    <s v="INFAQ QRIS"/>
    <x v="2"/>
  </r>
  <r>
    <m/>
    <m/>
    <n v="10000"/>
    <x v="4"/>
    <n v="170478060"/>
    <s v="INFAQ QRIS"/>
    <x v="2"/>
  </r>
  <r>
    <m/>
    <m/>
    <n v="20000"/>
    <x v="4"/>
    <n v="170498060"/>
    <s v="INFAQ QRIS"/>
    <x v="2"/>
  </r>
  <r>
    <m/>
    <m/>
    <n v="10000"/>
    <x v="4"/>
    <n v="170508060"/>
    <s v="INFAQ QRIS"/>
    <x v="2"/>
  </r>
  <r>
    <m/>
    <m/>
    <n v="5000"/>
    <x v="4"/>
    <n v="170513060"/>
    <s v="INFAQ QRIS"/>
    <x v="2"/>
  </r>
  <r>
    <m/>
    <m/>
    <n v="6661"/>
    <x v="4"/>
    <n v="170519721"/>
    <s v="INFAQ QRIS"/>
    <x v="2"/>
  </r>
  <r>
    <n v="4105500"/>
    <m/>
    <m/>
    <x v="4"/>
    <n v="166414221"/>
    <s v="PERAWATAN MAJ-MAHMUD MADJID"/>
    <x v="8"/>
  </r>
  <r>
    <n v="6500"/>
    <m/>
    <m/>
    <x v="4"/>
    <n v="166407721"/>
    <s v="BIAYA PERAWATAN MAJ-MAHMUD MADJID"/>
    <x v="8"/>
  </r>
  <r>
    <n v="750000"/>
    <m/>
    <m/>
    <x v="4"/>
    <n v="165657721"/>
    <s v="HONOR UST DARWIS MAJ "/>
    <x v="11"/>
  </r>
  <r>
    <m/>
    <m/>
    <n v="10000"/>
    <x v="4"/>
    <n v="165667721"/>
    <s v="INFAQ QRIS"/>
    <x v="2"/>
  </r>
  <r>
    <m/>
    <m/>
    <n v="25000"/>
    <x v="4"/>
    <n v="165692721"/>
    <s v="INFAQ QRIS"/>
    <x v="2"/>
  </r>
  <r>
    <m/>
    <m/>
    <n v="200000"/>
    <x v="4"/>
    <n v="165892721"/>
    <s v="INFAQ WUSONO PRIHADI SANTO"/>
    <x v="2"/>
  </r>
  <r>
    <m/>
    <m/>
    <n v="41800000"/>
    <x v="4"/>
    <n v="207692721"/>
    <s v="Zakat Mal"/>
    <x v="16"/>
  </r>
  <r>
    <m/>
    <m/>
    <n v="3042000"/>
    <x v="4"/>
    <n v="210734721"/>
    <s v="Infaq Ramadhan"/>
    <x v="2"/>
  </r>
  <r>
    <m/>
    <m/>
    <n v="10195000"/>
    <x v="4"/>
    <n v="220929721"/>
    <s v="Yatim dan Sosial"/>
    <x v="12"/>
  </r>
  <r>
    <m/>
    <m/>
    <n v="9155000"/>
    <x v="4"/>
    <n v="230084721"/>
    <s v="Tromol Jumat"/>
    <x v="2"/>
  </r>
  <r>
    <m/>
    <n v="64192000"/>
    <m/>
    <x v="1"/>
    <n v="230084721"/>
    <s v="SETOR IMRON"/>
    <x v="4"/>
  </r>
  <r>
    <n v="600000"/>
    <m/>
    <m/>
    <x v="4"/>
    <n v="229484721"/>
    <s v="Perbaikan Kipas Angin MAJ"/>
    <x v="8"/>
  </r>
  <r>
    <n v="2900"/>
    <m/>
    <m/>
    <x v="4"/>
    <n v="229481821"/>
    <s v="Biaya Adm Perbaikan Kipas Angin MAJ"/>
    <x v="8"/>
  </r>
  <r>
    <m/>
    <m/>
    <n v="50000"/>
    <x v="4"/>
    <n v="229531821"/>
    <s v="INFAQ QRIS"/>
    <x v="2"/>
  </r>
  <r>
    <m/>
    <m/>
    <n v="10000"/>
    <x v="4"/>
    <n v="229541821"/>
    <s v="INFAQ QRIS"/>
    <x v="2"/>
  </r>
  <r>
    <m/>
    <m/>
    <n v="500000"/>
    <x v="4"/>
    <n v="230041821"/>
    <s v="INFAQ INDRA EDI SANTOSO"/>
    <x v="2"/>
  </r>
  <r>
    <n v="850000"/>
    <m/>
    <m/>
    <x v="4"/>
    <n v="229191821"/>
    <s v="Perbaikan Kipas Angin MAJ"/>
    <x v="8"/>
  </r>
  <r>
    <n v="2900"/>
    <m/>
    <m/>
    <x v="4"/>
    <n v="229188921"/>
    <s v="Biaya Adm Perbaikan Kipas Angin MAJ"/>
    <x v="8"/>
  </r>
  <r>
    <m/>
    <m/>
    <n v="50000"/>
    <x v="4"/>
    <n v="229238921"/>
    <s v="INFAQ QRIS"/>
    <x v="2"/>
  </r>
  <r>
    <m/>
    <m/>
    <n v="100000"/>
    <x v="4"/>
    <n v="229338921"/>
    <s v="INFAQ QRIS"/>
    <x v="2"/>
  </r>
  <r>
    <m/>
    <m/>
    <n v="10000"/>
    <x v="4"/>
    <n v="229348921"/>
    <s v="INFAQ QRIS"/>
    <x v="2"/>
  </r>
  <r>
    <m/>
    <m/>
    <n v="10000"/>
    <x v="4"/>
    <n v="229358921"/>
    <s v="INFAQ QRIS"/>
    <x v="2"/>
  </r>
  <r>
    <n v="7705000"/>
    <m/>
    <m/>
    <x v="4"/>
    <n v="221653921"/>
    <s v="PERBAIKAN DAK PIPA-MAHMUD MADJID"/>
    <x v="8"/>
  </r>
  <r>
    <n v="6500"/>
    <m/>
    <m/>
    <x v="4"/>
    <n v="221647421"/>
    <s v="ADM PERBAIKAN DAK PIPA-MAHMUD MADJID"/>
    <x v="8"/>
  </r>
  <r>
    <m/>
    <m/>
    <n v="50000"/>
    <x v="4"/>
    <n v="221697421"/>
    <s v="INFAQ QRIS"/>
    <x v="2"/>
  </r>
  <r>
    <m/>
    <m/>
    <n v="10000"/>
    <x v="4"/>
    <n v="221707421"/>
    <s v="INFAQ QRIS"/>
    <x v="2"/>
  </r>
  <r>
    <m/>
    <m/>
    <n v="50000"/>
    <x v="4"/>
    <n v="221757421"/>
    <s v="INFAQ QRIS"/>
    <x v="2"/>
  </r>
  <r>
    <m/>
    <m/>
    <n v="200000"/>
    <x v="4"/>
    <n v="221957421"/>
    <s v="INFAQ QRIS"/>
    <x v="2"/>
  </r>
  <r>
    <m/>
    <m/>
    <n v="8000"/>
    <x v="4"/>
    <n v="221965421"/>
    <s v="INFAQ QRIS"/>
    <x v="2"/>
  </r>
  <r>
    <m/>
    <m/>
    <n v="25000"/>
    <x v="4"/>
    <n v="221990421"/>
    <s v="INFAQ QRIS"/>
    <x v="2"/>
  </r>
  <r>
    <m/>
    <m/>
    <n v="100000"/>
    <x v="4"/>
    <n v="222090421"/>
    <s v="INFAQ QRIS"/>
    <x v="2"/>
  </r>
  <r>
    <m/>
    <m/>
    <n v="50000"/>
    <x v="4"/>
    <n v="222140421"/>
    <s v="INFAQ QRIS"/>
    <x v="2"/>
  </r>
  <r>
    <m/>
    <m/>
    <n v="75000"/>
    <x v="4"/>
    <n v="222215421"/>
    <s v="INFAQ QRIS"/>
    <x v="2"/>
  </r>
  <r>
    <m/>
    <m/>
    <n v="20000"/>
    <x v="4"/>
    <n v="222235421"/>
    <s v="INFAQ QRIS"/>
    <x v="2"/>
  </r>
  <r>
    <n v="5657000"/>
    <m/>
    <m/>
    <x v="4"/>
    <n v="216578421"/>
    <s v="Perbaikan Plafon MAJ"/>
    <x v="8"/>
  </r>
  <r>
    <n v="6500"/>
    <m/>
    <m/>
    <x v="4"/>
    <n v="216571921"/>
    <s v="Biaya Trf Perbaikan Plafon MAJ"/>
    <x v="8"/>
  </r>
  <r>
    <n v="750000"/>
    <m/>
    <m/>
    <x v="4"/>
    <n v="215821921"/>
    <s v="Honor Ustadz Hasan Mubarok"/>
    <x v="11"/>
  </r>
  <r>
    <n v="6500"/>
    <m/>
    <m/>
    <x v="4"/>
    <n v="215815421"/>
    <s v="Biaya Trf Honor Ustadz Hasan Mubarok"/>
    <x v="11"/>
  </r>
  <r>
    <m/>
    <m/>
    <n v="50000"/>
    <x v="4"/>
    <n v="215865421"/>
    <s v="INFAQ QRIS"/>
    <x v="2"/>
  </r>
  <r>
    <m/>
    <m/>
    <n v="50000"/>
    <x v="4"/>
    <n v="215915421"/>
    <s v="INFAQ QRIS"/>
    <x v="2"/>
  </r>
  <r>
    <m/>
    <m/>
    <n v="10000"/>
    <x v="4"/>
    <n v="215925421"/>
    <s v="INFAQ QRIS"/>
    <x v="2"/>
  </r>
  <r>
    <m/>
    <m/>
    <n v="5000"/>
    <x v="4"/>
    <n v="215930421"/>
    <s v="INFAQ QRIS"/>
    <x v="2"/>
  </r>
  <r>
    <m/>
    <m/>
    <n v="25000"/>
    <x v="4"/>
    <n v="215955421"/>
    <s v="INFAQ QRIS"/>
    <x v="2"/>
  </r>
  <r>
    <m/>
    <m/>
    <n v="5000"/>
    <x v="4"/>
    <n v="215960421"/>
    <s v="INFAQ QRIS"/>
    <x v="2"/>
  </r>
  <r>
    <m/>
    <m/>
    <n v="10000"/>
    <x v="4"/>
    <n v="215970421"/>
    <s v="INFAQ QRIS"/>
    <x v="2"/>
  </r>
  <r>
    <m/>
    <m/>
    <n v="4358000"/>
    <x v="4"/>
    <n v="220328421"/>
    <s v="Akun Yatim &amp; Sosial"/>
    <x v="12"/>
  </r>
  <r>
    <m/>
    <m/>
    <n v="2722000"/>
    <x v="4"/>
    <n v="223050421"/>
    <s v="Operasional (Infaq &amp; Sodaqoh)"/>
    <x v="2"/>
  </r>
  <r>
    <m/>
    <n v="7080000"/>
    <m/>
    <x v="1"/>
    <n v="223050421"/>
    <s v="Setor Imron"/>
    <x v="4"/>
  </r>
  <r>
    <n v="7000"/>
    <m/>
    <m/>
    <x v="4"/>
    <n v="223043421"/>
    <s v="Biaya Adm Payroll Muamalat"/>
    <x v="1"/>
  </r>
  <r>
    <m/>
    <m/>
    <n v="10000"/>
    <x v="4"/>
    <n v="223053421"/>
    <s v="INFAQ QRIS"/>
    <x v="2"/>
  </r>
  <r>
    <n v="2000000"/>
    <m/>
    <m/>
    <x v="4"/>
    <n v="221053421"/>
    <s v="Honor Guru TPQ"/>
    <x v="19"/>
  </r>
  <r>
    <n v="2900"/>
    <m/>
    <m/>
    <x v="4"/>
    <n v="221050521"/>
    <s v="Biaya Trf Honor Guru TPQ"/>
    <x v="19"/>
  </r>
  <r>
    <m/>
    <m/>
    <n v="10000"/>
    <x v="4"/>
    <n v="221060521"/>
    <s v="INFAQ QRIS"/>
    <x v="2"/>
  </r>
  <r>
    <m/>
    <m/>
    <n v="10000"/>
    <x v="4"/>
    <n v="221070521"/>
    <s v="INFAQ QRIS"/>
    <x v="2"/>
  </r>
  <r>
    <m/>
    <m/>
    <n v="200000"/>
    <x v="4"/>
    <n v="221270521"/>
    <s v="INFAQ TPQ RIVENDRA"/>
    <x v="10"/>
  </r>
  <r>
    <m/>
    <m/>
    <n v="1000000"/>
    <x v="4"/>
    <n v="222270521"/>
    <s v="INFAQ ANGGONO IRIAWAN"/>
    <x v="2"/>
  </r>
  <r>
    <n v="750000"/>
    <m/>
    <m/>
    <x v="4"/>
    <n v="221520521"/>
    <s v="HONOR UST-KHOERUL MAKTUM"/>
    <x v="11"/>
  </r>
  <r>
    <n v="6500"/>
    <m/>
    <m/>
    <x v="4"/>
    <n v="221514021"/>
    <s v="ADM HONOR UST-KHOERUL MAKTUM"/>
    <x v="11"/>
  </r>
  <r>
    <m/>
    <m/>
    <n v="10000"/>
    <x v="4"/>
    <n v="221524021"/>
    <s v="INFAQ QRIS"/>
    <x v="2"/>
  </r>
  <r>
    <m/>
    <m/>
    <n v="5000"/>
    <x v="4"/>
    <n v="221529021"/>
    <s v="INFAQ QRIS"/>
    <x v="2"/>
  </r>
  <r>
    <m/>
    <m/>
    <n v="10000"/>
    <x v="4"/>
    <n v="221539021"/>
    <s v="INFAQ QRIS"/>
    <x v="2"/>
  </r>
  <r>
    <m/>
    <m/>
    <n v="100000"/>
    <x v="4"/>
    <n v="221639021"/>
    <s v="INFAQ SURJATI SUTARJA"/>
    <x v="2"/>
  </r>
  <r>
    <m/>
    <m/>
    <n v="10000"/>
    <x v="4"/>
    <n v="221649021"/>
    <s v="INFAQ QRIS"/>
    <x v="2"/>
  </r>
  <r>
    <m/>
    <m/>
    <n v="10000"/>
    <x v="4"/>
    <n v="221659021"/>
    <s v="INFAQ QRIS"/>
    <x v="2"/>
  </r>
  <r>
    <m/>
    <m/>
    <n v="25000"/>
    <x v="4"/>
    <n v="221684021"/>
    <s v="INFAQ QRIS"/>
    <x v="2"/>
  </r>
  <r>
    <n v="1500000"/>
    <m/>
    <m/>
    <x v="4"/>
    <n v="220184021"/>
    <s v="HONOR-MUHAMMAD ILHAM"/>
    <x v="13"/>
  </r>
  <r>
    <n v="6500"/>
    <m/>
    <m/>
    <x v="4"/>
    <n v="220177521"/>
    <s v="ADM HONOR-MUHAMMAD ILHAM"/>
    <x v="13"/>
  </r>
  <r>
    <n v="2000000"/>
    <m/>
    <m/>
    <x v="4"/>
    <n v="218177521"/>
    <s v="HONOR A IMRON ROSADI "/>
    <x v="13"/>
  </r>
  <r>
    <n v="6500"/>
    <m/>
    <m/>
    <x v="4"/>
    <n v="218171021"/>
    <s v="ADM HONOR A IMRON ROSADI "/>
    <x v="13"/>
  </r>
  <r>
    <n v="2000000"/>
    <m/>
    <m/>
    <x v="4"/>
    <n v="216171021"/>
    <s v="HONOR-YANA SIGIT ISMATULLAH"/>
    <x v="13"/>
  </r>
  <r>
    <n v="6500"/>
    <m/>
    <m/>
    <x v="4"/>
    <n v="216164521"/>
    <s v="ADM HONOR-YANA SIGIT ISMATULLAH"/>
    <x v="13"/>
  </r>
  <r>
    <n v="3250000"/>
    <m/>
    <m/>
    <x v="4"/>
    <n v="212914521"/>
    <s v="HONOR-NANANG SUBAEDI"/>
    <x v="13"/>
  </r>
  <r>
    <n v="6500"/>
    <m/>
    <m/>
    <x v="4"/>
    <n v="212908021"/>
    <s v="ADM HONOR-NANANG SUBAEDI"/>
    <x v="13"/>
  </r>
  <r>
    <n v="2700000"/>
    <m/>
    <m/>
    <x v="4"/>
    <n v="210208021"/>
    <s v="HONOR-M BAYU CANDRA"/>
    <x v="14"/>
  </r>
  <r>
    <n v="6500"/>
    <m/>
    <m/>
    <x v="4"/>
    <n v="210201521"/>
    <s v="ADM HONOR-M BAYU CANDRA"/>
    <x v="14"/>
  </r>
  <r>
    <n v="2500000"/>
    <m/>
    <m/>
    <x v="4"/>
    <n v="207701521"/>
    <s v="HONOR SURYADI"/>
    <x v="13"/>
  </r>
  <r>
    <n v="1000000"/>
    <m/>
    <m/>
    <x v="4"/>
    <n v="206701521"/>
    <s v="HONNOR Ustad Wahid Rahman"/>
    <x v="11"/>
  </r>
  <r>
    <n v="4000000"/>
    <m/>
    <m/>
    <x v="4"/>
    <n v="202701521"/>
    <s v="PERAWATAN SANTRI VIA BAYU CANDRA-M BAYU CANDRA"/>
    <x v="14"/>
  </r>
  <r>
    <n v="6500"/>
    <m/>
    <m/>
    <x v="4"/>
    <n v="202695021"/>
    <s v="ADM PERAWATAN SANTRI VIA BAYU CANDRA-M BAYU CANDRA"/>
    <x v="14"/>
  </r>
  <r>
    <m/>
    <m/>
    <n v="600000"/>
    <x v="4"/>
    <n v="203295021"/>
    <s v="INFAQ TPQ IMRON ROSADI"/>
    <x v="10"/>
  </r>
  <r>
    <m/>
    <m/>
    <n v="300000"/>
    <x v="4"/>
    <n v="203595021"/>
    <s v="INFAQ FADJAR SATYANI"/>
    <x v="2"/>
  </r>
  <r>
    <m/>
    <m/>
    <n v="50000"/>
    <x v="4"/>
    <n v="203645021"/>
    <s v="INFAQ QRIS"/>
    <x v="2"/>
  </r>
  <r>
    <m/>
    <m/>
    <n v="50000"/>
    <x v="4"/>
    <n v="203695021"/>
    <s v="INFAQ QRIS"/>
    <x v="2"/>
  </r>
  <r>
    <m/>
    <m/>
    <n v="2477000"/>
    <x v="4"/>
    <n v="206172021"/>
    <s v="Laba ALJABAR Store"/>
    <x v="20"/>
  </r>
  <r>
    <m/>
    <m/>
    <n v="3667000"/>
    <x v="4"/>
    <n v="209839021"/>
    <m/>
    <x v="12"/>
  </r>
  <r>
    <m/>
    <m/>
    <n v="5927000"/>
    <x v="4"/>
    <n v="215766021"/>
    <m/>
    <x v="2"/>
  </r>
  <r>
    <m/>
    <n v="9594000"/>
    <m/>
    <x v="1"/>
    <n v="215766021"/>
    <s v="SETOR IMRON"/>
    <x v="4"/>
  </r>
  <r>
    <m/>
    <m/>
    <n v="50000"/>
    <x v="4"/>
    <n v="215816021"/>
    <s v="INFAQ QRIS"/>
    <x v="2"/>
  </r>
  <r>
    <m/>
    <m/>
    <n v="10000"/>
    <x v="4"/>
    <n v="215826021"/>
    <s v="INFAQ QRIS"/>
    <x v="2"/>
  </r>
  <r>
    <m/>
    <m/>
    <n v="10000"/>
    <x v="5"/>
    <n v="215836021"/>
    <s v="INFAQ QRIS"/>
    <x v="2"/>
  </r>
  <r>
    <m/>
    <m/>
    <n v="200000"/>
    <x v="5"/>
    <n v="216036021"/>
    <s v="INFAQ UMI HAMIDAH"/>
    <x v="2"/>
  </r>
  <r>
    <m/>
    <m/>
    <n v="500000"/>
    <x v="5"/>
    <n v="216536021"/>
    <s v="INFAQ DRS SARWONO"/>
    <x v="2"/>
  </r>
  <r>
    <m/>
    <m/>
    <n v="50000"/>
    <x v="5"/>
    <n v="216586021"/>
    <s v="INFAQ QRIS"/>
    <x v="2"/>
  </r>
  <r>
    <m/>
    <m/>
    <n v="10000"/>
    <x v="5"/>
    <n v="216596021"/>
    <s v="INFAQ QRIS"/>
    <x v="2"/>
  </r>
  <r>
    <m/>
    <m/>
    <n v="2000000"/>
    <x v="5"/>
    <n v="218596021"/>
    <s v="INFAQ RIZKY HIDAYAT"/>
    <x v="2"/>
  </r>
  <r>
    <m/>
    <m/>
    <n v="200000"/>
    <x v="5"/>
    <n v="218796021"/>
    <s v="INFAQ DEDEN TP"/>
    <x v="2"/>
  </r>
  <r>
    <n v="4500000"/>
    <m/>
    <m/>
    <x v="5"/>
    <n v="214296021"/>
    <s v="HONOR AZIS"/>
    <x v="13"/>
  </r>
  <r>
    <n v="6500"/>
    <m/>
    <m/>
    <x v="5"/>
    <n v="214289521"/>
    <s v="ADM HONOR AZIS"/>
    <x v="13"/>
  </r>
  <r>
    <n v="2500000"/>
    <m/>
    <m/>
    <x v="5"/>
    <n v="211789521"/>
    <s v="HONOR YANA"/>
    <x v="13"/>
  </r>
  <r>
    <n v="6500"/>
    <m/>
    <m/>
    <x v="5"/>
    <n v="211783021"/>
    <s v="ADM HONOR YANA"/>
    <x v="13"/>
  </r>
  <r>
    <m/>
    <m/>
    <n v="50000"/>
    <x v="5"/>
    <n v="211833021"/>
    <s v="INFAQ QRIS"/>
    <x v="2"/>
  </r>
  <r>
    <m/>
    <m/>
    <n v="50000"/>
    <x v="5"/>
    <n v="211883021"/>
    <s v="INFAQ QRIS"/>
    <x v="2"/>
  </r>
  <r>
    <m/>
    <m/>
    <n v="25000"/>
    <x v="5"/>
    <n v="211908021"/>
    <s v="INFAQ QRIS"/>
    <x v="2"/>
  </r>
  <r>
    <m/>
    <m/>
    <n v="10000"/>
    <x v="5"/>
    <n v="211918021"/>
    <s v="INFAQ QRIS"/>
    <x v="2"/>
  </r>
  <r>
    <m/>
    <m/>
    <n v="10000"/>
    <x v="5"/>
    <n v="211928021"/>
    <s v="INFAQ QRIS"/>
    <x v="2"/>
  </r>
  <r>
    <n v="750000"/>
    <m/>
    <m/>
    <x v="5"/>
    <n v="211178021"/>
    <s v="HONOR-MOHAMMAD SHODIQ"/>
    <x v="11"/>
  </r>
  <r>
    <n v="6500"/>
    <m/>
    <m/>
    <x v="5"/>
    <n v="211171521"/>
    <s v="ADM HONOR-MOHAMMAD SHODIQ"/>
    <x v="11"/>
  </r>
  <r>
    <n v="750000"/>
    <m/>
    <m/>
    <x v="5"/>
    <n v="210421521"/>
    <s v="HONOR UST.UMAR"/>
    <x v="11"/>
  </r>
  <r>
    <n v="6500"/>
    <m/>
    <m/>
    <x v="5"/>
    <n v="210415021"/>
    <s v="ADM HONOR UST.UMAR"/>
    <x v="11"/>
  </r>
  <r>
    <m/>
    <m/>
    <n v="5000"/>
    <x v="5"/>
    <n v="210420021"/>
    <s v="INFAQ QRIS"/>
    <x v="2"/>
  </r>
  <r>
    <m/>
    <m/>
    <n v="10000"/>
    <x v="5"/>
    <n v="210430021"/>
    <s v="INFAQ QRIS"/>
    <x v="2"/>
  </r>
  <r>
    <m/>
    <m/>
    <n v="400000"/>
    <x v="5"/>
    <n v="210830021"/>
    <s v="INFAQ PUTIE AMBUN SURI/RIVENDRA"/>
    <x v="2"/>
  </r>
  <r>
    <n v="75000"/>
    <m/>
    <m/>
    <x v="5"/>
    <n v="210755021"/>
    <s v="CETAK STIKER MAJ"/>
    <x v="1"/>
  </r>
  <r>
    <n v="6500"/>
    <m/>
    <m/>
    <x v="5"/>
    <n v="210748521"/>
    <s v="ADM CETAK STIKER MAJ"/>
    <x v="1"/>
  </r>
  <r>
    <m/>
    <m/>
    <n v="150000"/>
    <x v="5"/>
    <n v="210898521"/>
    <s v="INFAQ DWI LISTYOWATI DRA"/>
    <x v="2"/>
  </r>
  <r>
    <m/>
    <m/>
    <n v="100000"/>
    <x v="5"/>
    <n v="210998521"/>
    <s v="INFAQ QRIS"/>
    <x v="2"/>
  </r>
  <r>
    <m/>
    <m/>
    <n v="5000000"/>
    <x v="5"/>
    <n v="215998521"/>
    <s v="QURBAN YOYOK SUBIYANTO SAKIDI"/>
    <x v="21"/>
  </r>
  <r>
    <m/>
    <m/>
    <n v="50000"/>
    <x v="5"/>
    <n v="216048521"/>
    <s v="INFAQ QRIS"/>
    <x v="2"/>
  </r>
  <r>
    <m/>
    <m/>
    <n v="25000"/>
    <x v="5"/>
    <n v="216073521"/>
    <s v="INFAQ QRIS"/>
    <x v="2"/>
  </r>
  <r>
    <m/>
    <m/>
    <n v="10000"/>
    <x v="5"/>
    <n v="216083521"/>
    <s v="INFAQ QRIS"/>
    <x v="2"/>
  </r>
  <r>
    <m/>
    <m/>
    <n v="2"/>
    <x v="5"/>
    <n v="216083523"/>
    <s v="INFAQ QRIS"/>
    <x v="2"/>
  </r>
  <r>
    <m/>
    <m/>
    <n v="3203000"/>
    <x v="5"/>
    <n v="219286523"/>
    <m/>
    <x v="12"/>
  </r>
  <r>
    <m/>
    <m/>
    <n v="1683000"/>
    <x v="5"/>
    <n v="220969523"/>
    <m/>
    <x v="2"/>
  </r>
  <r>
    <m/>
    <n v="4886000"/>
    <m/>
    <x v="5"/>
    <n v="220969523"/>
    <s v="SETOR IMRON"/>
    <x v="4"/>
  </r>
  <r>
    <m/>
    <m/>
    <n v="3500000"/>
    <x v="5"/>
    <n v="224469523"/>
    <s v="QURBAN IBU SRI MAULATI A F"/>
    <x v="21"/>
  </r>
  <r>
    <m/>
    <m/>
    <n v="600000"/>
    <x v="5"/>
    <n v="225069523"/>
    <s v="INFAQ IBU SRI MAULATI A F"/>
    <x v="2"/>
  </r>
  <r>
    <n v="2000000"/>
    <m/>
    <m/>
    <x v="5"/>
    <n v="223069523"/>
    <s v="BIAYA PENGAJIAN IBU-IBU"/>
    <x v="11"/>
  </r>
  <r>
    <n v="6500"/>
    <m/>
    <m/>
    <x v="5"/>
    <n v="223063023"/>
    <s v="ADM BIAYA PENGAJIAN IBU-IBU"/>
    <x v="11"/>
  </r>
  <r>
    <m/>
    <m/>
    <n v="200000"/>
    <x v="5"/>
    <n v="223263023"/>
    <s v="INFAQ WUSONO PRIHADI SANTO"/>
    <x v="2"/>
  </r>
  <r>
    <m/>
    <m/>
    <n v="10000"/>
    <x v="5"/>
    <n v="223273023"/>
    <s v="INFAQ QRIS"/>
    <x v="2"/>
  </r>
  <r>
    <m/>
    <m/>
    <n v="1000000"/>
    <x v="5"/>
    <n v="224273023"/>
    <s v="INFAQ RAMADHAN NIENDRAPUTRA"/>
    <x v="2"/>
  </r>
  <r>
    <m/>
    <m/>
    <n v="800000"/>
    <x v="5"/>
    <n v="225073023"/>
    <s v="INFAQ TPQ"/>
    <x v="2"/>
  </r>
  <r>
    <m/>
    <m/>
    <n v="4000000"/>
    <x v="5"/>
    <n v="229073023"/>
    <s v="QURBAN SAFONI MAWARDI"/>
    <x v="21"/>
  </r>
  <r>
    <m/>
    <m/>
    <n v="4000000"/>
    <x v="5"/>
    <n v="233073023"/>
    <s v="QURBAN YADI ABDULLAH"/>
    <x v="21"/>
  </r>
  <r>
    <m/>
    <m/>
    <n v="10000"/>
    <x v="5"/>
    <n v="233083023"/>
    <s v="INFAQ QRIS"/>
    <x v="2"/>
  </r>
  <r>
    <m/>
    <m/>
    <n v="50000"/>
    <x v="5"/>
    <n v="233133023"/>
    <s v="INFAQ QRIS"/>
    <x v="2"/>
  </r>
  <r>
    <m/>
    <m/>
    <n v="10000"/>
    <x v="5"/>
    <n v="233143023"/>
    <s v="INFAQ QRIS"/>
    <x v="2"/>
  </r>
  <r>
    <m/>
    <m/>
    <n v="10000000"/>
    <x v="5"/>
    <n v="243143023"/>
    <s v="QURBAN"/>
    <x v="22"/>
  </r>
  <r>
    <n v="750000"/>
    <m/>
    <m/>
    <x v="5"/>
    <n v="242393023"/>
    <s v="HONOR UST ABDUL HAMID"/>
    <x v="11"/>
  </r>
  <r>
    <n v="6500"/>
    <m/>
    <m/>
    <x v="5"/>
    <n v="242386523"/>
    <s v="ADM HONOR UST ABDUL HAMID"/>
    <x v="11"/>
  </r>
  <r>
    <m/>
    <m/>
    <n v="25000"/>
    <x v="5"/>
    <n v="242411523"/>
    <s v="INFAQ QRIS"/>
    <x v="2"/>
  </r>
  <r>
    <m/>
    <m/>
    <n v="10000"/>
    <x v="5"/>
    <n v="242421523"/>
    <s v="INFAQ QRIS"/>
    <x v="2"/>
  </r>
  <r>
    <m/>
    <m/>
    <n v="100000"/>
    <x v="5"/>
    <n v="242521523"/>
    <s v="INFAQ QRIS"/>
    <x v="2"/>
  </r>
  <r>
    <m/>
    <m/>
    <n v="10000"/>
    <x v="5"/>
    <n v="242531523"/>
    <s v="INFAQ QRIS"/>
    <x v="2"/>
  </r>
  <r>
    <m/>
    <m/>
    <n v="50000"/>
    <x v="5"/>
    <n v="242581523"/>
    <s v="INFAQ QRIS"/>
    <x v="2"/>
  </r>
  <r>
    <m/>
    <m/>
    <n v="40000"/>
    <x v="5"/>
    <n v="242621523"/>
    <s v="INFAQ QRIS"/>
    <x v="2"/>
  </r>
  <r>
    <m/>
    <m/>
    <n v="250000"/>
    <x v="5"/>
    <n v="242871523"/>
    <s v="INFAQ QRIS"/>
    <x v="2"/>
  </r>
  <r>
    <m/>
    <m/>
    <n v="5000000"/>
    <x v="5"/>
    <n v="247871523"/>
    <s v="QURBAN"/>
    <x v="22"/>
  </r>
  <r>
    <n v="1000000"/>
    <m/>
    <m/>
    <x v="5"/>
    <n v="246871523"/>
    <s v="APRESIASI USTADZ MAJ"/>
    <x v="11"/>
  </r>
  <r>
    <n v="6500"/>
    <m/>
    <m/>
    <x v="5"/>
    <n v="246865023"/>
    <s v="ADM APRESIASI USTADZ MAJ"/>
    <x v="11"/>
  </r>
  <r>
    <n v="1003000"/>
    <m/>
    <m/>
    <x v="5"/>
    <n v="245862023"/>
    <s v="APRESIASI USTADZ MAJ"/>
    <x v="11"/>
  </r>
  <r>
    <n v="6500"/>
    <m/>
    <m/>
    <x v="5"/>
    <n v="245855523"/>
    <s v="ADM APRESIASI USTADZ MAJ"/>
    <x v="11"/>
  </r>
  <r>
    <n v="750000"/>
    <m/>
    <m/>
    <x v="5"/>
    <n v="245105523"/>
    <s v="APRESIASI USTADZ MAJ"/>
    <x v="11"/>
  </r>
  <r>
    <n v="6500"/>
    <m/>
    <m/>
    <x v="5"/>
    <n v="245099023"/>
    <s v="ADM APRESIASI USTADZ MAJ"/>
    <x v="11"/>
  </r>
  <r>
    <n v="750000"/>
    <m/>
    <m/>
    <x v="5"/>
    <n v="244349023"/>
    <s v="APRESIASI USTADZ MAJ"/>
    <x v="11"/>
  </r>
  <r>
    <n v="6500"/>
    <m/>
    <m/>
    <x v="5"/>
    <n v="244342523"/>
    <s v="ADM APRESIASI USTADZ MAJ"/>
    <x v="11"/>
  </r>
  <r>
    <m/>
    <m/>
    <n v="5000000"/>
    <x v="5"/>
    <n v="249342523"/>
    <s v="QURBAN"/>
    <x v="22"/>
  </r>
  <r>
    <m/>
    <m/>
    <n v="5000000"/>
    <x v="5"/>
    <n v="254342523"/>
    <s v="QURBAN"/>
    <x v="22"/>
  </r>
  <r>
    <m/>
    <m/>
    <n v="5000000"/>
    <x v="5"/>
    <n v="259342523"/>
    <s v="QURBAN"/>
    <x v="22"/>
  </r>
  <r>
    <m/>
    <m/>
    <n v="5000000"/>
    <x v="5"/>
    <n v="264342523"/>
    <s v="QURBAN"/>
    <x v="22"/>
  </r>
  <r>
    <n v="750000"/>
    <m/>
    <m/>
    <x v="5"/>
    <n v="263592523"/>
    <s v="HONOR UST DARWIS"/>
    <x v="11"/>
  </r>
  <r>
    <m/>
    <m/>
    <n v="10000"/>
    <x v="5"/>
    <n v="263602523"/>
    <s v="INFAQ QRIS"/>
    <x v="2"/>
  </r>
  <r>
    <m/>
    <m/>
    <n v="10000"/>
    <x v="5"/>
    <n v="263612523"/>
    <s v="INFAQ QRIS"/>
    <x v="2"/>
  </r>
  <r>
    <m/>
    <m/>
    <n v="20000"/>
    <x v="5"/>
    <n v="263632523"/>
    <s v="INFAQ QRIS"/>
    <x v="2"/>
  </r>
  <r>
    <m/>
    <m/>
    <n v="4500000"/>
    <x v="5"/>
    <n v="268132523"/>
    <s v="QURBAN"/>
    <x v="22"/>
  </r>
  <r>
    <m/>
    <m/>
    <n v="20000000"/>
    <x v="5"/>
    <n v="288132523"/>
    <s v="QURBAN"/>
    <x v="22"/>
  </r>
  <r>
    <m/>
    <m/>
    <n v="8500000"/>
    <x v="5"/>
    <n v="296632523"/>
    <s v="QURBAN"/>
    <x v="22"/>
  </r>
  <r>
    <m/>
    <m/>
    <n v="5000000"/>
    <x v="5"/>
    <n v="301632523"/>
    <s v="QURBAN"/>
    <x v="22"/>
  </r>
  <r>
    <m/>
    <m/>
    <n v="5000000"/>
    <x v="5"/>
    <n v="306632523"/>
    <s v="QURBAN"/>
    <x v="22"/>
  </r>
  <r>
    <m/>
    <m/>
    <n v="25000"/>
    <x v="5"/>
    <n v="306657523"/>
    <s v="INFAQ QRIS"/>
    <x v="2"/>
  </r>
  <r>
    <m/>
    <m/>
    <n v="5000000"/>
    <x v="5"/>
    <n v="311657523"/>
    <s v="QURBAN"/>
    <x v="22"/>
  </r>
  <r>
    <m/>
    <m/>
    <n v="1750000"/>
    <x v="5"/>
    <n v="313407523"/>
    <s v="QURBAN"/>
    <x v="22"/>
  </r>
  <r>
    <m/>
    <m/>
    <n v="10500000"/>
    <x v="5"/>
    <n v="323907523"/>
    <s v="QURBAN"/>
    <x v="22"/>
  </r>
  <r>
    <m/>
    <m/>
    <n v="5000000"/>
    <x v="5"/>
    <n v="328907523"/>
    <s v="QURBAN"/>
    <x v="22"/>
  </r>
  <r>
    <m/>
    <m/>
    <n v="500000"/>
    <x v="5"/>
    <n v="329407523"/>
    <s v="INFAQ QRIS"/>
    <x v="2"/>
  </r>
  <r>
    <m/>
    <m/>
    <n v="3500000"/>
    <x v="5"/>
    <n v="332907523"/>
    <s v="QURBAN"/>
    <x v="22"/>
  </r>
  <r>
    <m/>
    <m/>
    <n v="5000000"/>
    <x v="5"/>
    <n v="337907523"/>
    <s v="QURBAN"/>
    <x v="22"/>
  </r>
  <r>
    <m/>
    <m/>
    <n v="4000000"/>
    <x v="5"/>
    <n v="341907523"/>
    <s v="QURBAN"/>
    <x v="22"/>
  </r>
  <r>
    <m/>
    <m/>
    <n v="4500000"/>
    <x v="5"/>
    <n v="346407523"/>
    <s v="QURBAN"/>
    <x v="22"/>
  </r>
  <r>
    <m/>
    <m/>
    <n v="350000"/>
    <x v="5"/>
    <n v="346757523"/>
    <s v="INFAQ QRIS"/>
    <x v="2"/>
  </r>
  <r>
    <m/>
    <m/>
    <n v="28000000"/>
    <x v="5"/>
    <n v="374757523"/>
    <s v="QURBAN"/>
    <x v="22"/>
  </r>
  <r>
    <m/>
    <m/>
    <n v="3162000"/>
    <x v="5"/>
    <n v="377919523"/>
    <m/>
    <x v="12"/>
  </r>
  <r>
    <m/>
    <m/>
    <n v="569000"/>
    <x v="5"/>
    <n v="378488523"/>
    <m/>
    <x v="2"/>
  </r>
  <r>
    <m/>
    <n v="3731000"/>
    <m/>
    <x v="1"/>
    <n v="378488523"/>
    <s v=" 001113827620 INFAQ  SETOR TUNAI "/>
    <x v="4"/>
  </r>
  <r>
    <m/>
    <m/>
    <n v="4500000"/>
    <x v="5"/>
    <n v="382988523"/>
    <s v="QURBAN"/>
    <x v="22"/>
  </r>
  <r>
    <m/>
    <m/>
    <n v="4000000"/>
    <x v="5"/>
    <n v="386988523"/>
    <s v="QURBAN"/>
    <x v="22"/>
  </r>
  <r>
    <m/>
    <m/>
    <n v="3500000"/>
    <x v="5"/>
    <n v="390488523"/>
    <s v="QURBAN"/>
    <x v="22"/>
  </r>
  <r>
    <m/>
    <m/>
    <n v="4000000"/>
    <x v="5"/>
    <n v="394488523"/>
    <s v="QURBAN"/>
    <x v="22"/>
  </r>
  <r>
    <m/>
    <m/>
    <n v="50000"/>
    <x v="5"/>
    <n v="394538523"/>
    <s v="INFAQ QRIS"/>
    <x v="2"/>
  </r>
  <r>
    <m/>
    <m/>
    <n v="10000"/>
    <x v="5"/>
    <n v="394548523"/>
    <s v="INFAQ QRIS"/>
    <x v="2"/>
  </r>
  <r>
    <m/>
    <m/>
    <n v="10000"/>
    <x v="5"/>
    <n v="394558523"/>
    <s v="INFAQ QRIS"/>
    <x v="2"/>
  </r>
  <r>
    <m/>
    <m/>
    <n v="4000000"/>
    <x v="5"/>
    <n v="398558523"/>
    <s v="QURBAN"/>
    <x v="22"/>
  </r>
  <r>
    <m/>
    <m/>
    <n v="8500000"/>
    <x v="5"/>
    <n v="407058523"/>
    <s v="QURBAN"/>
    <x v="22"/>
  </r>
  <r>
    <m/>
    <m/>
    <n v="10000"/>
    <x v="5"/>
    <n v="407068523"/>
    <s v="INFAQ QRIS"/>
    <x v="2"/>
  </r>
  <r>
    <m/>
    <m/>
    <n v="10000"/>
    <x v="5"/>
    <n v="407078523"/>
    <s v="INFAQ QRIS"/>
    <x v="2"/>
  </r>
  <r>
    <m/>
    <m/>
    <n v="35000"/>
    <x v="5"/>
    <n v="407113523"/>
    <s v="INFAQ QRIS"/>
    <x v="2"/>
  </r>
  <r>
    <n v="30000000"/>
    <m/>
    <m/>
    <x v="5"/>
    <n v="377113523"/>
    <s v="Persekot Biaya Qurban MAJ 1446 H"/>
    <x v="23"/>
  </r>
  <r>
    <n v="2900"/>
    <m/>
    <m/>
    <x v="5"/>
    <n v="377110623"/>
    <s v="Adm Persekot Biaya Qurban MAJ 1446 H"/>
    <x v="23"/>
  </r>
  <r>
    <n v="6000"/>
    <m/>
    <m/>
    <x v="5"/>
    <n v="377104623"/>
    <s v="BIAYA PAYROLL MUAMALAT"/>
    <x v="1"/>
  </r>
  <r>
    <m/>
    <m/>
    <n v="5000000"/>
    <x v="5"/>
    <n v="382104623"/>
    <s v="SETOR QURBAN"/>
    <x v="22"/>
  </r>
  <r>
    <n v="750000"/>
    <m/>
    <m/>
    <x v="5"/>
    <n v="381354623"/>
    <s v="HONOR UST. FAISAL"/>
    <x v="11"/>
  </r>
  <r>
    <m/>
    <m/>
    <n v="7500000"/>
    <x v="5"/>
    <n v="388854623"/>
    <s v="SETOR QURBAN"/>
    <x v="22"/>
  </r>
  <r>
    <m/>
    <m/>
    <n v="100000"/>
    <x v="5"/>
    <n v="388954623"/>
    <s v="INFAQ QRIS"/>
    <x v="2"/>
  </r>
  <r>
    <m/>
    <m/>
    <n v="25000"/>
    <x v="5"/>
    <n v="388979623"/>
    <s v="INFAQ QRIS"/>
    <x v="2"/>
  </r>
  <r>
    <m/>
    <m/>
    <n v="10000"/>
    <x v="5"/>
    <n v="388989623"/>
    <s v="INFAQ QRIS"/>
    <x v="2"/>
  </r>
  <r>
    <m/>
    <m/>
    <n v="5000"/>
    <x v="5"/>
    <n v="388994623"/>
    <s v="INFAQ QRIS"/>
    <x v="2"/>
  </r>
  <r>
    <m/>
    <m/>
    <n v="20000"/>
    <x v="5"/>
    <n v="389014623"/>
    <s v="INFAQ QRIS"/>
    <x v="2"/>
  </r>
  <r>
    <m/>
    <m/>
    <n v="2000"/>
    <x v="5"/>
    <n v="389016623"/>
    <s v="INFAQ QRIS"/>
    <x v="2"/>
  </r>
  <r>
    <m/>
    <m/>
    <n v="4000000"/>
    <x v="5"/>
    <n v="393016623"/>
    <s v="SETOR QURBAN"/>
    <x v="22"/>
  </r>
  <r>
    <m/>
    <m/>
    <n v="3500000"/>
    <x v="5"/>
    <n v="396516623"/>
    <s v="SETOR QURBAN"/>
    <x v="22"/>
  </r>
  <r>
    <n v="750000"/>
    <m/>
    <m/>
    <x v="5"/>
    <n v="395766623"/>
    <s v="HONOR UST. HASAN"/>
    <x v="11"/>
  </r>
  <r>
    <n v="6500"/>
    <m/>
    <m/>
    <x v="5"/>
    <n v="395760123"/>
    <s v="ADM HONOR UST. HASAN"/>
    <x v="11"/>
  </r>
  <r>
    <m/>
    <m/>
    <n v="10000"/>
    <x v="5"/>
    <n v="395770123"/>
    <s v="INFAQ QRIS"/>
    <x v="2"/>
  </r>
  <r>
    <m/>
    <m/>
    <n v="10000"/>
    <x v="5"/>
    <n v="395780123"/>
    <s v="INFAQ QRIS"/>
    <x v="2"/>
  </r>
  <r>
    <n v="5000000"/>
    <m/>
    <m/>
    <x v="5"/>
    <n v="390780123"/>
    <s v="PENGAJIAN IBU-IBU MAJ"/>
    <x v="11"/>
  </r>
  <r>
    <n v="6500"/>
    <m/>
    <m/>
    <x v="5"/>
    <n v="390773623"/>
    <s v="ADM PENGAJIAN IBU-IBU MAJ"/>
    <x v="11"/>
  </r>
  <r>
    <m/>
    <m/>
    <n v="3500000"/>
    <x v="5"/>
    <n v="394273623"/>
    <s v="SETOR QURBAN"/>
    <x v="22"/>
  </r>
  <r>
    <m/>
    <m/>
    <n v="7500000"/>
    <x v="5"/>
    <n v="401773623"/>
    <s v="SETOR QURBAN"/>
    <x v="22"/>
  </r>
  <r>
    <m/>
    <m/>
    <n v="4000000"/>
    <x v="5"/>
    <n v="405773623"/>
    <s v="SETOR QURBAN"/>
    <x v="22"/>
  </r>
  <r>
    <m/>
    <m/>
    <n v="7000000"/>
    <x v="5"/>
    <n v="412773623"/>
    <s v="SETOR QURBAN"/>
    <x v="22"/>
  </r>
  <r>
    <m/>
    <m/>
    <n v="3633000"/>
    <x v="5"/>
    <n v="416406623"/>
    <m/>
    <x v="12"/>
  </r>
  <r>
    <m/>
    <m/>
    <n v="3637000"/>
    <x v="5"/>
    <n v="420043623"/>
    <m/>
    <x v="2"/>
  </r>
  <r>
    <m/>
    <n v="7270000"/>
    <m/>
    <x v="1"/>
    <n v="420043623"/>
    <s v=" 001113894255 INFAQ  SETOR TUNAI "/>
    <x v="4"/>
  </r>
  <r>
    <m/>
    <m/>
    <n v="4000000"/>
    <x v="5"/>
    <n v="424043623"/>
    <s v="SETOR QURBAN"/>
    <x v="22"/>
  </r>
  <r>
    <m/>
    <m/>
    <n v="11000000"/>
    <x v="5"/>
    <n v="435043623"/>
    <s v="SETOR QURBAN"/>
    <x v="22"/>
  </r>
  <r>
    <m/>
    <m/>
    <n v="4000000"/>
    <x v="5"/>
    <n v="439043623"/>
    <s v="SETOR QURBAN"/>
    <x v="22"/>
  </r>
  <r>
    <m/>
    <m/>
    <n v="4000000"/>
    <x v="5"/>
    <n v="443043623"/>
    <s v="SETOR QURBAN"/>
    <x v="22"/>
  </r>
  <r>
    <m/>
    <m/>
    <n v="3500000"/>
    <x v="5"/>
    <n v="446543623"/>
    <s v="SETOR QURBAN"/>
    <x v="22"/>
  </r>
  <r>
    <m/>
    <m/>
    <n v="10000"/>
    <x v="5"/>
    <n v="446553623"/>
    <s v="INFAQ QRIS"/>
    <x v="2"/>
  </r>
  <r>
    <m/>
    <m/>
    <n v="3500000"/>
    <x v="5"/>
    <n v="450053623"/>
    <s v="SETOR QURBAN"/>
    <x v="22"/>
  </r>
  <r>
    <m/>
    <m/>
    <n v="5000000"/>
    <x v="5"/>
    <n v="455053623"/>
    <s v="SETOR QURBAN"/>
    <x v="22"/>
  </r>
  <r>
    <m/>
    <m/>
    <n v="10000"/>
    <x v="5"/>
    <n v="455063623"/>
    <s v="INFAQ QRIS"/>
    <x v="2"/>
  </r>
  <r>
    <m/>
    <m/>
    <n v="4500000"/>
    <x v="5"/>
    <n v="459563623"/>
    <s v="SETOR QURBAN"/>
    <x v="22"/>
  </r>
  <r>
    <m/>
    <m/>
    <n v="4500000"/>
    <x v="5"/>
    <n v="464063623"/>
    <s v="SETOR QURBAN"/>
    <x v="22"/>
  </r>
  <r>
    <m/>
    <m/>
    <n v="4500000"/>
    <x v="5"/>
    <n v="468563623"/>
    <s v="SETOR QURBAN"/>
    <x v="22"/>
  </r>
  <r>
    <m/>
    <m/>
    <n v="50000"/>
    <x v="5"/>
    <n v="468613623"/>
    <s v="INFAQ QRIS"/>
    <x v="2"/>
  </r>
  <r>
    <m/>
    <m/>
    <n v="100000"/>
    <x v="5"/>
    <n v="468713623"/>
    <s v="INFAQ QRIS"/>
    <x v="2"/>
  </r>
  <r>
    <m/>
    <m/>
    <n v="10000"/>
    <x v="5"/>
    <n v="468723623"/>
    <s v="INFAQ QRIS"/>
    <x v="2"/>
  </r>
  <r>
    <m/>
    <m/>
    <n v="3735000"/>
    <x v="5"/>
    <n v="472458623"/>
    <s v="SETOR QURBAN"/>
    <x v="22"/>
  </r>
  <r>
    <m/>
    <m/>
    <n v="11500000"/>
    <x v="5"/>
    <n v="483958623"/>
    <s v="SETOR QURBAN"/>
    <x v="22"/>
  </r>
  <r>
    <m/>
    <m/>
    <n v="8500000"/>
    <x v="5"/>
    <n v="492458623"/>
    <s v="SETOR QURBAN"/>
    <x v="22"/>
  </r>
  <r>
    <m/>
    <m/>
    <n v="50000"/>
    <x v="5"/>
    <n v="492508623"/>
    <s v="INFAQ QRIS"/>
    <x v="2"/>
  </r>
  <r>
    <m/>
    <m/>
    <n v="50000"/>
    <x v="5"/>
    <n v="492558623"/>
    <s v="INFAQ QRIS"/>
    <x v="2"/>
  </r>
  <r>
    <m/>
    <m/>
    <n v="100000"/>
    <x v="5"/>
    <n v="492658623"/>
    <s v="INFAQ QRIS"/>
    <x v="2"/>
  </r>
  <r>
    <m/>
    <m/>
    <n v="20000"/>
    <x v="5"/>
    <n v="492678623"/>
    <s v="INFAQ QRIS"/>
    <x v="2"/>
  </r>
  <r>
    <m/>
    <m/>
    <n v="100000"/>
    <x v="5"/>
    <n v="492778623"/>
    <s v="INFAQ QRIS"/>
    <x v="2"/>
  </r>
  <r>
    <m/>
    <m/>
    <n v="50000"/>
    <x v="5"/>
    <n v="492828623"/>
    <s v="INFAQ QRIS"/>
    <x v="2"/>
  </r>
  <r>
    <m/>
    <m/>
    <n v="100000"/>
    <x v="5"/>
    <n v="492928623"/>
    <s v="INFAQ QRIS"/>
    <x v="2"/>
  </r>
  <r>
    <m/>
    <m/>
    <n v="50000"/>
    <x v="5"/>
    <n v="492978623"/>
    <s v="INFAQ QRIS"/>
    <x v="2"/>
  </r>
  <r>
    <m/>
    <m/>
    <n v="20000"/>
    <x v="5"/>
    <n v="492998623"/>
    <s v="INFAQ QRIS"/>
    <x v="2"/>
  </r>
  <r>
    <m/>
    <m/>
    <n v="10000"/>
    <x v="5"/>
    <n v="493008623"/>
    <s v="INFAQ QRIS"/>
    <x v="2"/>
  </r>
  <r>
    <m/>
    <m/>
    <n v="4000000"/>
    <x v="5"/>
    <n v="497008623"/>
    <s v="SETOR QURBAN"/>
    <x v="22"/>
  </r>
  <r>
    <m/>
    <m/>
    <n v="50000"/>
    <x v="5"/>
    <n v="497058623"/>
    <s v="INFAQ QRIS"/>
    <x v="2"/>
  </r>
  <r>
    <m/>
    <m/>
    <n v="1000"/>
    <x v="5"/>
    <n v="497059623"/>
    <s v="INFAQ QRIS"/>
    <x v="2"/>
  </r>
  <r>
    <m/>
    <m/>
    <n v="2000000"/>
    <x v="5"/>
    <n v="499059623"/>
    <s v="INFAQ RAMADHAN NIENDRAPUTRA"/>
    <x v="2"/>
  </r>
  <r>
    <m/>
    <m/>
    <n v="4000000"/>
    <x v="5"/>
    <n v="503059623"/>
    <s v="SETOR QURBAN"/>
    <x v="22"/>
  </r>
  <r>
    <m/>
    <m/>
    <n v="100000"/>
    <x v="5"/>
    <n v="503159623"/>
    <s v="INFAQ QRIS"/>
    <x v="2"/>
  </r>
  <r>
    <m/>
    <m/>
    <n v="25000"/>
    <x v="5"/>
    <n v="503184623"/>
    <s v="INFAQ QRIS"/>
    <x v="2"/>
  </r>
  <r>
    <m/>
    <m/>
    <n v="50000"/>
    <x v="5"/>
    <n v="503234623"/>
    <s v="INFAQ QRIS"/>
    <x v="2"/>
  </r>
  <r>
    <m/>
    <m/>
    <n v="50000"/>
    <x v="5"/>
    <n v="503284623"/>
    <s v="INFAQ QRIS"/>
    <x v="2"/>
  </r>
  <r>
    <m/>
    <m/>
    <n v="10000"/>
    <x v="5"/>
    <n v="503294623"/>
    <s v="INFAQ QRIS"/>
    <x v="2"/>
  </r>
  <r>
    <m/>
    <m/>
    <n v="20000"/>
    <x v="5"/>
    <n v="503314623"/>
    <s v="INFAQ QRIS"/>
    <x v="2"/>
  </r>
  <r>
    <m/>
    <m/>
    <n v="50000"/>
    <x v="5"/>
    <n v="503364623"/>
    <s v="INFAQ QRIS"/>
    <x v="2"/>
  </r>
  <r>
    <m/>
    <m/>
    <n v="10000"/>
    <x v="5"/>
    <n v="503374623"/>
    <s v="INFAQ QRIS"/>
    <x v="2"/>
  </r>
  <r>
    <m/>
    <m/>
    <n v="1750000"/>
    <x v="5"/>
    <n v="505124623"/>
    <s v="SETOR QURBAN"/>
    <x v="22"/>
  </r>
  <r>
    <m/>
    <m/>
    <n v="7000000"/>
    <x v="5"/>
    <n v="512124623"/>
    <s v="SETOR QURBAN"/>
    <x v="22"/>
  </r>
  <r>
    <m/>
    <m/>
    <n v="3500000"/>
    <x v="5"/>
    <n v="515624623"/>
    <s v="SETOR QURBAN"/>
    <x v="22"/>
  </r>
  <r>
    <n v="750000"/>
    <m/>
    <m/>
    <x v="5"/>
    <n v="514874623"/>
    <s v="HONOR USTADZ"/>
    <x v="11"/>
  </r>
  <r>
    <n v="6500"/>
    <m/>
    <m/>
    <x v="5"/>
    <n v="514868123"/>
    <s v="ADM HONOR USTADZ"/>
    <x v="11"/>
  </r>
  <r>
    <m/>
    <m/>
    <n v="5000000"/>
    <x v="5"/>
    <n v="519868123"/>
    <s v="SETOR QURBAN"/>
    <x v="22"/>
  </r>
  <r>
    <m/>
    <m/>
    <n v="8000000"/>
    <x v="5"/>
    <n v="527868123"/>
    <s v="SETOR QURBAN"/>
    <x v="22"/>
  </r>
  <r>
    <m/>
    <m/>
    <n v="24500000"/>
    <x v="5"/>
    <n v="552368123"/>
    <s v="SETOR QURBAN"/>
    <x v="22"/>
  </r>
  <r>
    <m/>
    <m/>
    <n v="24500000"/>
    <x v="5"/>
    <n v="576868123"/>
    <s v="SETOR QURBAN"/>
    <x v="22"/>
  </r>
  <r>
    <m/>
    <m/>
    <n v="200000"/>
    <x v="5"/>
    <n v="577068123"/>
    <s v="INFAQ TPQ RIVENDRA"/>
    <x v="10"/>
  </r>
  <r>
    <m/>
    <m/>
    <n v="4000000"/>
    <x v="5"/>
    <n v="581068123"/>
    <s v="SETOR QURBAN"/>
    <x v="22"/>
  </r>
  <r>
    <m/>
    <m/>
    <n v="10000"/>
    <x v="5"/>
    <n v="581078123"/>
    <s v="INFAQ QRIS"/>
    <x v="2"/>
  </r>
  <r>
    <m/>
    <m/>
    <n v="20000"/>
    <x v="5"/>
    <n v="581098123"/>
    <s v="INFAQ QRIS"/>
    <x v="2"/>
  </r>
  <r>
    <m/>
    <m/>
    <n v="3709000"/>
    <x v="5"/>
    <n v="584807123"/>
    <m/>
    <x v="12"/>
  </r>
  <r>
    <m/>
    <m/>
    <n v="2039000"/>
    <x v="5"/>
    <n v="586846123"/>
    <m/>
    <x v="2"/>
  </r>
  <r>
    <m/>
    <n v="5748000"/>
    <m/>
    <x v="1"/>
    <n v="586846123"/>
    <s v="SETOR IMRON"/>
    <x v="4"/>
  </r>
  <r>
    <m/>
    <m/>
    <n v="4000000"/>
    <x v="5"/>
    <n v="590846123"/>
    <s v="SETOR QURBAN"/>
    <x v="22"/>
  </r>
  <r>
    <n v="2000000"/>
    <m/>
    <m/>
    <x v="5"/>
    <n v="588846123"/>
    <s v="PULSA LISTRIK MAJ"/>
    <x v="7"/>
  </r>
  <r>
    <n v="6500"/>
    <m/>
    <m/>
    <x v="5"/>
    <n v="588839623"/>
    <s v="ADM PULSA LISTRIK MAJ"/>
    <x v="7"/>
  </r>
  <r>
    <m/>
    <m/>
    <n v="50000"/>
    <x v="5"/>
    <n v="588889623"/>
    <s v="INFAQ QRIS"/>
    <x v="2"/>
  </r>
  <r>
    <m/>
    <m/>
    <n v="10000"/>
    <x v="5"/>
    <n v="588899623"/>
    <s v="INFAQ QRIS"/>
    <x v="2"/>
  </r>
  <r>
    <m/>
    <m/>
    <n v="50000"/>
    <x v="5"/>
    <n v="588949623"/>
    <s v="INFAQ QRIS"/>
    <x v="2"/>
  </r>
  <r>
    <n v="2500000"/>
    <m/>
    <m/>
    <x v="5"/>
    <n v="586449623"/>
    <s v="HONOR MARBOT"/>
    <x v="13"/>
  </r>
  <r>
    <n v="6500"/>
    <m/>
    <m/>
    <x v="5"/>
    <n v="586443123"/>
    <s v="HONOR MARBOT"/>
    <x v="13"/>
  </r>
  <r>
    <n v="1000000"/>
    <m/>
    <m/>
    <x v="5"/>
    <n v="585443123"/>
    <s v="HONOR MARBOT"/>
    <x v="13"/>
  </r>
  <r>
    <n v="6500"/>
    <m/>
    <m/>
    <x v="5"/>
    <n v="585436623"/>
    <s v="HONOR MARBOT"/>
    <x v="13"/>
  </r>
  <r>
    <n v="2700000"/>
    <m/>
    <m/>
    <x v="5"/>
    <n v="582736623"/>
    <s v="HONOR MUSHRIF"/>
    <x v="14"/>
  </r>
  <r>
    <n v="6500"/>
    <m/>
    <m/>
    <x v="5"/>
    <n v="582730123"/>
    <s v="ADM HONOR MUSHRIF"/>
    <x v="14"/>
  </r>
  <r>
    <n v="550000"/>
    <m/>
    <m/>
    <x v="5"/>
    <n v="582180123"/>
    <s v="HONOR MARBOT"/>
    <x v="13"/>
  </r>
  <r>
    <n v="6500"/>
    <m/>
    <m/>
    <x v="5"/>
    <n v="582173623"/>
    <s v="HONOR MARBOT"/>
    <x v="13"/>
  </r>
  <r>
    <n v="3500000"/>
    <m/>
    <m/>
    <x v="5"/>
    <n v="578673623"/>
    <s v="HONOR MARBOT"/>
    <x v="13"/>
  </r>
  <r>
    <n v="6500"/>
    <m/>
    <m/>
    <x v="5"/>
    <n v="578667123"/>
    <s v="HONOR MARBOT"/>
    <x v="13"/>
  </r>
  <r>
    <n v="4000000"/>
    <m/>
    <m/>
    <x v="5"/>
    <n v="574667123"/>
    <s v="PERAWATAN SANTRI"/>
    <x v="14"/>
  </r>
  <r>
    <n v="6500"/>
    <m/>
    <m/>
    <x v="5"/>
    <n v="574660623"/>
    <s v="ADM PERAWATAN SANTRI"/>
    <x v="14"/>
  </r>
  <r>
    <n v="2250000"/>
    <m/>
    <m/>
    <x v="5"/>
    <n v="572410623"/>
    <s v="HONOR MARBOT"/>
    <x v="13"/>
  </r>
  <r>
    <n v="6500"/>
    <m/>
    <m/>
    <x v="5"/>
    <n v="572404123"/>
    <s v="HONOR MARBOT"/>
    <x v="13"/>
  </r>
  <r>
    <n v="2750000"/>
    <m/>
    <m/>
    <x v="5"/>
    <n v="569654123"/>
    <s v="HONOR MARBOT"/>
    <x v="13"/>
  </r>
  <r>
    <m/>
    <m/>
    <n v="3500000"/>
    <x v="5"/>
    <n v="573154123"/>
    <s v="SETOR QURBAN"/>
    <x v="22"/>
  </r>
  <r>
    <m/>
    <m/>
    <n v="1750000"/>
    <x v="5"/>
    <n v="574904123"/>
    <s v="SETOR QURBAN"/>
    <x v="22"/>
  </r>
  <r>
    <m/>
    <m/>
    <n v="4000000"/>
    <x v="5"/>
    <n v="578904123"/>
    <s v="SETOR QURBAN"/>
    <x v="22"/>
  </r>
  <r>
    <m/>
    <m/>
    <n v="31500000"/>
    <x v="5"/>
    <n v="610404123"/>
    <s v="SETOR QURBAN"/>
    <x v="22"/>
  </r>
  <r>
    <m/>
    <m/>
    <n v="10000"/>
    <x v="5"/>
    <n v="610414123"/>
    <s v="INFAQ QRIS"/>
    <x v="2"/>
  </r>
  <r>
    <m/>
    <m/>
    <n v="4000000"/>
    <x v="5"/>
    <n v="614414123"/>
    <s v="SETOR QURBAN"/>
    <x v="22"/>
  </r>
  <r>
    <m/>
    <m/>
    <n v="3500000"/>
    <x v="5"/>
    <n v="617914123"/>
    <s v="SETOR QURBAN"/>
    <x v="22"/>
  </r>
  <r>
    <n v="30000000"/>
    <m/>
    <m/>
    <x v="5"/>
    <n v="587914123"/>
    <s v="BAYAR QURBAN"/>
    <x v="23"/>
  </r>
  <r>
    <n v="6500"/>
    <m/>
    <m/>
    <x v="5"/>
    <n v="587907623"/>
    <s v="ADM BAYAR QURBAN"/>
    <x v="23"/>
  </r>
  <r>
    <n v="20000000"/>
    <m/>
    <m/>
    <x v="5"/>
    <n v="567907623"/>
    <s v="BAYAR QURBAN"/>
    <x v="23"/>
  </r>
  <r>
    <n v="45000000"/>
    <m/>
    <m/>
    <x v="5"/>
    <n v="522907623"/>
    <s v="BAYAR QURBAN"/>
    <x v="23"/>
  </r>
  <r>
    <m/>
    <m/>
    <n v="7500000"/>
    <x v="5"/>
    <n v="530407623"/>
    <s v="SETOR QURBAN"/>
    <x v="22"/>
  </r>
  <r>
    <m/>
    <m/>
    <n v="3500000"/>
    <x v="5"/>
    <n v="533907623"/>
    <s v="SETOR QURBAN"/>
    <x v="22"/>
  </r>
  <r>
    <m/>
    <m/>
    <n v="250000"/>
    <x v="5"/>
    <n v="534157623"/>
    <s v="SETOR QURBAN"/>
    <x v="22"/>
  </r>
  <r>
    <m/>
    <m/>
    <n v="4000000"/>
    <x v="5"/>
    <n v="538157623"/>
    <s v="SETOR QURBAN"/>
    <x v="22"/>
  </r>
  <r>
    <m/>
    <m/>
    <n v="300000"/>
    <x v="5"/>
    <n v="538457623"/>
    <s v="INFAQ FADJAR SATYANI"/>
    <x v="2"/>
  </r>
  <r>
    <n v="500000"/>
    <m/>
    <m/>
    <x v="5"/>
    <n v="537957623"/>
    <s v="PENGEMBALIAN SETOR QURBAN"/>
    <x v="23"/>
  </r>
  <r>
    <n v="6500"/>
    <m/>
    <m/>
    <x v="5"/>
    <n v="537951123"/>
    <s v="ADM PENGEMBALIAN SETOR QURBAN"/>
    <x v="23"/>
  </r>
  <r>
    <m/>
    <m/>
    <n v="5000000"/>
    <x v="5"/>
    <n v="542951123"/>
    <s v="SETOR QURBAN"/>
    <x v="22"/>
  </r>
  <r>
    <n v="15000000"/>
    <m/>
    <m/>
    <x v="5"/>
    <n v="527951123"/>
    <s v="BAYAR QURBAN"/>
    <x v="23"/>
  </r>
  <r>
    <n v="6500"/>
    <m/>
    <m/>
    <x v="5"/>
    <n v="527944623"/>
    <s v="ADM BAYAR QURBAN"/>
    <x v="23"/>
  </r>
  <r>
    <m/>
    <m/>
    <n v="10000"/>
    <x v="5"/>
    <n v="527954623"/>
    <s v="INFAQ QRIS"/>
    <x v="2"/>
  </r>
  <r>
    <m/>
    <m/>
    <n v="3500000"/>
    <x v="5"/>
    <n v="531454623"/>
    <s v="SETOR QURBAN"/>
    <x v="22"/>
  </r>
  <r>
    <m/>
    <m/>
    <n v="3500000"/>
    <x v="5"/>
    <n v="534954623"/>
    <s v="SETOR QURBAN"/>
    <x v="22"/>
  </r>
  <r>
    <m/>
    <m/>
    <n v="4000000"/>
    <x v="5"/>
    <n v="538954623"/>
    <s v="SETOR QURBAN"/>
    <x v="22"/>
  </r>
  <r>
    <m/>
    <m/>
    <n v="100000"/>
    <x v="5"/>
    <n v="539054623"/>
    <s v="INFAQ SURJATI SUTARJA"/>
    <x v="2"/>
  </r>
  <r>
    <m/>
    <m/>
    <n v="5000000"/>
    <x v="5"/>
    <n v="544054623"/>
    <s v="SETOR QURBAN"/>
    <x v="22"/>
  </r>
  <r>
    <n v="15000000"/>
    <m/>
    <m/>
    <x v="5"/>
    <n v="529054623"/>
    <s v="ASROFI DP-Sapi Amran Anwar"/>
    <x v="23"/>
  </r>
  <r>
    <n v="6500"/>
    <m/>
    <m/>
    <x v="5"/>
    <n v="529048123"/>
    <s v="Adm ASROFI-DP Sapi Amran Anwar"/>
    <x v="23"/>
  </r>
  <r>
    <m/>
    <m/>
    <n v="10000"/>
    <x v="5"/>
    <n v="529058123"/>
    <s v="INFAQ QRIS"/>
    <x v="2"/>
  </r>
  <r>
    <m/>
    <m/>
    <n v="3500000"/>
    <x v="5"/>
    <n v="532558123"/>
    <s v="SETOR QURBAN"/>
    <x v="22"/>
  </r>
  <r>
    <m/>
    <m/>
    <n v="3500000"/>
    <x v="5"/>
    <n v="536058123"/>
    <s v="SETOR QURBAN"/>
    <x v="22"/>
  </r>
  <r>
    <m/>
    <m/>
    <n v="11500000"/>
    <x v="5"/>
    <n v="547558123"/>
    <s v="SETOR QURBAN"/>
    <x v="22"/>
  </r>
  <r>
    <m/>
    <m/>
    <n v="3500000"/>
    <x v="5"/>
    <n v="551058123"/>
    <s v="SETOR QURBAN"/>
    <x v="22"/>
  </r>
  <r>
    <m/>
    <m/>
    <n v="24500000"/>
    <x v="5"/>
    <n v="575558123"/>
    <s v="SETOR QURBAN"/>
    <x v="22"/>
  </r>
  <r>
    <m/>
    <m/>
    <n v="7000000"/>
    <x v="5"/>
    <n v="582558123"/>
    <s v="SETOR QURBAN"/>
    <x v="22"/>
  </r>
  <r>
    <m/>
    <m/>
    <n v="50000"/>
    <x v="5"/>
    <n v="582608123"/>
    <s v="INFAQ QRIS"/>
    <x v="2"/>
  </r>
  <r>
    <m/>
    <m/>
    <n v="100000"/>
    <x v="5"/>
    <n v="582708123"/>
    <s v="INFAQ QRIS"/>
    <x v="2"/>
  </r>
  <r>
    <m/>
    <m/>
    <n v="50000"/>
    <x v="5"/>
    <n v="582758123"/>
    <s v="INFAQ QRIS"/>
    <x v="2"/>
  </r>
  <r>
    <m/>
    <m/>
    <n v="50000"/>
    <x v="5"/>
    <n v="582808123"/>
    <s v="INFAQ QRIS"/>
    <x v="2"/>
  </r>
  <r>
    <m/>
    <m/>
    <n v="50000"/>
    <x v="5"/>
    <n v="582858123"/>
    <s v="INFAQ QRIS"/>
    <x v="2"/>
  </r>
  <r>
    <m/>
    <m/>
    <n v="20000"/>
    <x v="5"/>
    <n v="582878123"/>
    <s v="INFAQ QRIS"/>
    <x v="2"/>
  </r>
  <r>
    <m/>
    <m/>
    <n v="50000"/>
    <x v="5"/>
    <n v="582928123"/>
    <s v="INFAQ QRIS"/>
    <x v="2"/>
  </r>
  <r>
    <m/>
    <m/>
    <n v="10000"/>
    <x v="5"/>
    <n v="582938123"/>
    <s v="INFAQ QRIS"/>
    <x v="2"/>
  </r>
  <r>
    <m/>
    <m/>
    <n v="50000"/>
    <x v="5"/>
    <n v="582988123"/>
    <s v="INFAQ QRIS"/>
    <x v="2"/>
  </r>
  <r>
    <m/>
    <m/>
    <n v="43000"/>
    <x v="5"/>
    <n v="583031123"/>
    <s v="INFAQ QRIS"/>
    <x v="2"/>
  </r>
  <r>
    <m/>
    <m/>
    <n v="50000"/>
    <x v="5"/>
    <n v="583081123"/>
    <s v="INFAQ QRIS"/>
    <x v="2"/>
  </r>
  <r>
    <m/>
    <m/>
    <n v="50000"/>
    <x v="5"/>
    <n v="583131123"/>
    <s v="INFAQ QRIS"/>
    <x v="2"/>
  </r>
  <r>
    <m/>
    <m/>
    <n v="5011"/>
    <x v="5"/>
    <n v="583136134"/>
    <s v="INFAQ QRIS"/>
    <x v="2"/>
  </r>
  <r>
    <m/>
    <m/>
    <n v="10000"/>
    <x v="5"/>
    <n v="583146134"/>
    <s v="INFAQ QRIS"/>
    <x v="2"/>
  </r>
  <r>
    <m/>
    <m/>
    <n v="5000"/>
    <x v="5"/>
    <n v="583151134"/>
    <s v="INFAQ QRIS"/>
    <x v="2"/>
  </r>
  <r>
    <m/>
    <m/>
    <n v="100000"/>
    <x v="5"/>
    <n v="583251134"/>
    <s v="INFAQ QRIS"/>
    <x v="2"/>
  </r>
  <r>
    <n v="730000"/>
    <m/>
    <m/>
    <x v="5"/>
    <n v="582521134"/>
    <s v="IBU MARWAH  ZULKIFLI PO Konsumsi Panitia Qurban MAJ 310525"/>
    <x v="23"/>
  </r>
  <r>
    <n v="6500"/>
    <m/>
    <m/>
    <x v="5"/>
    <n v="582514634"/>
    <s v="IBU MARWAH  ZULKIFLI PO Konsumsi Panitia Qurban MAJ 310525"/>
    <x v="23"/>
  </r>
  <r>
    <n v="750000"/>
    <m/>
    <m/>
    <x v="5"/>
    <n v="581764634"/>
    <s v="Honor-MOH SUKRON Hadiah Kajian MAJ 310525"/>
    <x v="11"/>
  </r>
  <r>
    <n v="6500"/>
    <m/>
    <m/>
    <x v="5"/>
    <n v="581758134"/>
    <s v="Honor-MOH SUKRON Hadiah Kajian MAJ 310525"/>
    <x v="11"/>
  </r>
  <r>
    <m/>
    <m/>
    <n v="1750000"/>
    <x v="5"/>
    <n v="583508134"/>
    <s v="SETOR QURBAN"/>
    <x v="22"/>
  </r>
  <r>
    <m/>
    <m/>
    <n v="3500000"/>
    <x v="5"/>
    <n v="587008134"/>
    <s v="SETOR QURBAN"/>
    <x v="22"/>
  </r>
  <r>
    <n v="500000"/>
    <m/>
    <m/>
    <x v="5"/>
    <n v="586508134"/>
    <s v="DWIYANTO RACHMAD Pengembalian Dana Qurban"/>
    <x v="23"/>
  </r>
  <r>
    <n v="6500"/>
    <m/>
    <m/>
    <x v="5"/>
    <n v="586501634"/>
    <s v="Adm DWIYANTO RACHMAD Pengembalian Dana Qurban"/>
    <x v="23"/>
  </r>
  <r>
    <m/>
    <m/>
    <n v="3500000"/>
    <x v="5"/>
    <n v="590001634"/>
    <s v="SETOR QURBAN"/>
    <x v="22"/>
  </r>
  <r>
    <m/>
    <m/>
    <n v="3500000"/>
    <x v="6"/>
    <n v="593501634"/>
    <s v="SETOR QURBAN"/>
    <x v="22"/>
  </r>
  <r>
    <n v="750000"/>
    <m/>
    <m/>
    <x v="6"/>
    <n v="592751634"/>
    <s v="HONOR USTADZ UMAR"/>
    <x v="11"/>
  </r>
  <r>
    <n v="6500"/>
    <m/>
    <m/>
    <x v="6"/>
    <n v="592745134"/>
    <s v="ADM HONOR USTADZ UMAR"/>
    <x v="11"/>
  </r>
  <r>
    <m/>
    <m/>
    <n v="3500000"/>
    <x v="6"/>
    <n v="596245134"/>
    <s v="SETOR QURBAN"/>
    <x v="22"/>
  </r>
  <r>
    <m/>
    <m/>
    <n v="50000"/>
    <x v="6"/>
    <n v="596295134"/>
    <s v="INFAQ QRIS"/>
    <x v="2"/>
  </r>
  <r>
    <m/>
    <m/>
    <n v="10000"/>
    <x v="6"/>
    <n v="596305134"/>
    <s v="INFAQ QRIS"/>
    <x v="2"/>
  </r>
  <r>
    <n v="30000000"/>
    <m/>
    <m/>
    <x v="6"/>
    <n v="566305134"/>
    <s v="BAYAR QURBAN"/>
    <x v="23"/>
  </r>
  <r>
    <n v="6500"/>
    <m/>
    <m/>
    <x v="6"/>
    <n v="566298634"/>
    <s v="ADM BAYAR QURBAN"/>
    <x v="23"/>
  </r>
  <r>
    <m/>
    <m/>
    <n v="200000"/>
    <x v="6"/>
    <n v="566498634"/>
    <s v="INFAQ UMI HAMIDAH DRA"/>
    <x v="2"/>
  </r>
  <r>
    <m/>
    <m/>
    <n v="4000000"/>
    <x v="6"/>
    <n v="570498634"/>
    <s v="SETOR QURBAN"/>
    <x v="22"/>
  </r>
  <r>
    <m/>
    <m/>
    <n v="3500000"/>
    <x v="6"/>
    <n v="573998634"/>
    <s v="SETOR QURBAN"/>
    <x v="22"/>
  </r>
  <r>
    <m/>
    <m/>
    <n v="4000000"/>
    <x v="6"/>
    <n v="577998634"/>
    <s v="SETOR QURBAN"/>
    <x v="22"/>
  </r>
  <r>
    <m/>
    <m/>
    <n v="3500000"/>
    <x v="6"/>
    <n v="581498634"/>
    <s v="SETOR QURBAN"/>
    <x v="22"/>
  </r>
  <r>
    <m/>
    <m/>
    <n v="500000"/>
    <x v="6"/>
    <n v="581998634"/>
    <s v="INFAQ INDRAEDISANTOSO"/>
    <x v="2"/>
  </r>
  <r>
    <m/>
    <m/>
    <n v="10000"/>
    <x v="6"/>
    <n v="582008634"/>
    <s v="INFAQ RIS"/>
    <x v="2"/>
  </r>
  <r>
    <m/>
    <m/>
    <n v="5000"/>
    <x v="6"/>
    <n v="582013634"/>
    <s v="INFAQ RIS"/>
    <x v="2"/>
  </r>
  <r>
    <m/>
    <m/>
    <n v="5000"/>
    <x v="6"/>
    <n v="582018634"/>
    <s v="INFAQ RIS"/>
    <x v="2"/>
  </r>
  <r>
    <n v="75000000"/>
    <m/>
    <m/>
    <x v="6"/>
    <n v="507018634"/>
    <s v="BAYAR QURBAN"/>
    <x v="23"/>
  </r>
  <r>
    <n v="2900"/>
    <m/>
    <m/>
    <x v="6"/>
    <n v="507015734"/>
    <s v="ADM BAYAR QURBAN"/>
    <x v="23"/>
  </r>
  <r>
    <m/>
    <m/>
    <n v="7000000"/>
    <x v="6"/>
    <n v="514015734"/>
    <s v="SETOR QURBAN"/>
    <x v="22"/>
  </r>
  <r>
    <m/>
    <m/>
    <n v="500000"/>
    <x v="6"/>
    <n v="514515734"/>
    <s v="INFAQ DRS SARWONO"/>
    <x v="2"/>
  </r>
  <r>
    <m/>
    <m/>
    <n v="250000"/>
    <x v="6"/>
    <n v="514765734"/>
    <s v="SETOR QURBAN HAMELDA"/>
    <x v="22"/>
  </r>
  <r>
    <m/>
    <m/>
    <n v="35000000"/>
    <x v="6"/>
    <n v="549765734"/>
    <s v="SETOR QURBAN"/>
    <x v="22"/>
  </r>
  <r>
    <m/>
    <m/>
    <n v="200000"/>
    <x v="6"/>
    <n v="549965734"/>
    <s v="INFAQ DEDEN TP PERDIANSYAH"/>
    <x v="2"/>
  </r>
  <r>
    <n v="45000000"/>
    <m/>
    <m/>
    <x v="6"/>
    <n v="504965734"/>
    <s v="BAYAR QURBAN"/>
    <x v="23"/>
  </r>
  <r>
    <n v="6500"/>
    <m/>
    <m/>
    <x v="6"/>
    <n v="504959234"/>
    <s v="ADM BAYAR QURBAN"/>
    <x v="23"/>
  </r>
  <r>
    <m/>
    <m/>
    <n v="250000"/>
    <x v="6"/>
    <n v="505209234"/>
    <s v="SETOR QURBAN NAZILA ANJANI"/>
    <x v="22"/>
  </r>
  <r>
    <m/>
    <m/>
    <n v="10000"/>
    <x v="6"/>
    <n v="505219234"/>
    <s v="INFAQ QRIS"/>
    <x v="2"/>
  </r>
  <r>
    <m/>
    <m/>
    <n v="25000"/>
    <x v="6"/>
    <n v="505244234"/>
    <s v="INFAQ QRIS"/>
    <x v="2"/>
  </r>
  <r>
    <n v="24000000"/>
    <m/>
    <m/>
    <x v="6"/>
    <n v="481244234"/>
    <s v="Biaya Operasional Qurban MAJ 1446H"/>
    <x v="23"/>
  </r>
  <r>
    <n v="2900"/>
    <m/>
    <m/>
    <x v="6"/>
    <n v="481241334"/>
    <s v="Adm Biaya Operasional Qurban MAJ 1446H"/>
    <x v="23"/>
  </r>
  <r>
    <m/>
    <m/>
    <n v="3695000"/>
    <x v="6"/>
    <n v="484936334"/>
    <m/>
    <x v="12"/>
  </r>
  <r>
    <m/>
    <m/>
    <n v="1962000"/>
    <x v="6"/>
    <n v="486898334"/>
    <m/>
    <x v="2"/>
  </r>
  <r>
    <m/>
    <m/>
    <n v="1080000"/>
    <x v="6"/>
    <n v="487978334"/>
    <s v="Kotak Amal Buka Puasa dan Beras"/>
    <x v="2"/>
  </r>
  <r>
    <m/>
    <n v="6737000"/>
    <m/>
    <x v="1"/>
    <n v="487978334"/>
    <s v="SETOR IMRON"/>
    <x v="4"/>
  </r>
  <r>
    <m/>
    <m/>
    <n v="1750000"/>
    <x v="6"/>
    <n v="489728334"/>
    <s v="SETOR QURBAN"/>
    <x v="22"/>
  </r>
  <r>
    <m/>
    <m/>
    <n v="500000"/>
    <x v="6"/>
    <n v="490228334"/>
    <s v="SETOR QURBAN"/>
    <x v="22"/>
  </r>
  <r>
    <m/>
    <m/>
    <n v="500000"/>
    <x v="6"/>
    <n v="490728334"/>
    <s v="INFAQ FIERMANSYAH CHANIAGO"/>
    <x v="2"/>
  </r>
  <r>
    <m/>
    <m/>
    <n v="400000"/>
    <x v="6"/>
    <n v="491128334"/>
    <s v="INFAQ PUTIE AMBUN SURI/RIVENDRA"/>
    <x v="2"/>
  </r>
  <r>
    <m/>
    <m/>
    <n v="5000"/>
    <x v="6"/>
    <n v="491133334"/>
    <s v="INFAQ QRIS"/>
    <x v="2"/>
  </r>
  <r>
    <n v="13000000"/>
    <m/>
    <m/>
    <x v="6"/>
    <n v="478133334"/>
    <s v="BAYAR QURBAN"/>
    <x v="23"/>
  </r>
  <r>
    <n v="2900"/>
    <m/>
    <m/>
    <x v="6"/>
    <n v="478130434"/>
    <s v="ADM BAYAR QURBAN"/>
    <x v="23"/>
  </r>
  <r>
    <n v="30000000"/>
    <m/>
    <m/>
    <x v="6"/>
    <n v="448130434"/>
    <s v="BAYAR QURBAN"/>
    <x v="23"/>
  </r>
  <r>
    <n v="2900"/>
    <m/>
    <m/>
    <x v="6"/>
    <n v="448127534"/>
    <s v="ADM BAYAR QURBAN"/>
    <x v="23"/>
  </r>
  <r>
    <n v="7196500"/>
    <m/>
    <m/>
    <x v="6"/>
    <n v="440931034"/>
    <s v="Tenda Qurban MAJ via Imron"/>
    <x v="23"/>
  </r>
  <r>
    <n v="2900"/>
    <m/>
    <m/>
    <x v="6"/>
    <n v="440928134"/>
    <s v="Adm Tenda Qurban MAJ via Imron"/>
    <x v="23"/>
  </r>
  <r>
    <m/>
    <m/>
    <n v="4000000"/>
    <x v="6"/>
    <n v="444928134"/>
    <s v="SETOR QURBAN WAWAN SETIAWAN"/>
    <x v="22"/>
  </r>
  <r>
    <m/>
    <m/>
    <n v="250000"/>
    <x v="6"/>
    <n v="445178134"/>
    <s v="INFAQ WAWAN SETIAWAN"/>
    <x v="2"/>
  </r>
  <r>
    <n v="2000000"/>
    <m/>
    <m/>
    <x v="6"/>
    <n v="443178134"/>
    <s v="BIAYA PENGAJIAN IBU-IBU"/>
    <x v="11"/>
  </r>
  <r>
    <n v="6500"/>
    <m/>
    <m/>
    <x v="6"/>
    <n v="443171634"/>
    <s v="ADM BIAYA PENGAJIAN IBU-IBU"/>
    <x v="11"/>
  </r>
  <r>
    <m/>
    <m/>
    <n v="3500000"/>
    <x v="6"/>
    <n v="446671634"/>
    <s v="SETOR QURBAN"/>
    <x v="22"/>
  </r>
  <r>
    <n v="1500000"/>
    <m/>
    <m/>
    <x v="6"/>
    <n v="445171634"/>
    <s v="Operasional Qurban"/>
    <x v="23"/>
  </r>
  <r>
    <n v="6500"/>
    <m/>
    <m/>
    <x v="6"/>
    <n v="445165134"/>
    <s v="Adm Operasional Qurban"/>
    <x v="23"/>
  </r>
  <r>
    <n v="3750000"/>
    <m/>
    <m/>
    <x v="6"/>
    <n v="441415134"/>
    <s v="BAYAR QURBAN"/>
    <x v="23"/>
  </r>
  <r>
    <n v="6500"/>
    <m/>
    <m/>
    <x v="6"/>
    <n v="441408634"/>
    <s v="Adm BAYAR QURBAN"/>
    <x v="23"/>
  </r>
  <r>
    <m/>
    <m/>
    <n v="10000"/>
    <x v="6"/>
    <n v="441418634"/>
    <s v="INFAQ QRIS"/>
    <x v="2"/>
  </r>
  <r>
    <m/>
    <m/>
    <n v="10000"/>
    <x v="6"/>
    <n v="441428634"/>
    <s v="INFAQ QRIS"/>
    <x v="2"/>
  </r>
  <r>
    <m/>
    <m/>
    <n v="1750000"/>
    <x v="6"/>
    <n v="443178634"/>
    <s v="SETOR QURBAN"/>
    <x v="22"/>
  </r>
  <r>
    <n v="61250000"/>
    <m/>
    <m/>
    <x v="6"/>
    <n v="381928634"/>
    <s v="BAYAR QURBAN"/>
    <x v="23"/>
  </r>
  <r>
    <n v="2900"/>
    <m/>
    <m/>
    <x v="6"/>
    <n v="381925734"/>
    <s v="ADM BAYAR QURBAN"/>
    <x v="23"/>
  </r>
  <r>
    <n v="104750000"/>
    <m/>
    <m/>
    <x v="6"/>
    <n v="277175734"/>
    <s v="BAYAR QURBAN"/>
    <x v="23"/>
  </r>
  <r>
    <n v="2900"/>
    <m/>
    <m/>
    <x v="6"/>
    <n v="277172834"/>
    <s v="ADM BAYAR QURBAN"/>
    <x v="23"/>
  </r>
  <r>
    <m/>
    <m/>
    <n v="250000"/>
    <x v="6"/>
    <n v="277422834"/>
    <s v="SETOR QURBAN BENNY EKABANA"/>
    <x v="22"/>
  </r>
  <r>
    <m/>
    <m/>
    <n v="500000"/>
    <x v="6"/>
    <n v="277922834"/>
    <s v="SETOR QURBAN Bella Sabina"/>
    <x v="22"/>
  </r>
  <r>
    <n v="75000000"/>
    <m/>
    <m/>
    <x v="6"/>
    <n v="202922834"/>
    <s v="AHMAD RENANDA RIZKA PUTRA PO 3 Sapi 10 Kambing Qurban"/>
    <x v="23"/>
  </r>
  <r>
    <m/>
    <m/>
    <n v="100000"/>
    <x v="6"/>
    <n v="203022834"/>
    <s v="INFAQ QRIS"/>
    <x v="2"/>
  </r>
  <r>
    <m/>
    <m/>
    <n v="10000"/>
    <x v="6"/>
    <n v="203032834"/>
    <s v="INFAQ QRIS"/>
    <x v="2"/>
  </r>
  <r>
    <m/>
    <m/>
    <n v="10000"/>
    <x v="6"/>
    <n v="203042834"/>
    <s v="INFAQ QRIS"/>
    <x v="2"/>
  </r>
  <r>
    <m/>
    <m/>
    <n v="5000"/>
    <x v="6"/>
    <n v="203047834"/>
    <s v="INFAQ QRIS"/>
    <x v="2"/>
  </r>
  <r>
    <m/>
    <m/>
    <n v="1000000"/>
    <x v="6"/>
    <n v="204047834"/>
    <s v="INFAQ ANGGONO IRIAWAN"/>
    <x v="2"/>
  </r>
  <r>
    <n v="750000"/>
    <m/>
    <m/>
    <x v="6"/>
    <n v="203297834"/>
    <s v="HONOR USTADZ SHODIQ"/>
    <x v="11"/>
  </r>
  <r>
    <n v="6500"/>
    <m/>
    <m/>
    <x v="6"/>
    <n v="203291334"/>
    <s v="ADM HONOR USTADZ SHODIQ"/>
    <x v="11"/>
  </r>
  <r>
    <m/>
    <m/>
    <n v="50000"/>
    <x v="6"/>
    <n v="203341334"/>
    <s v="INFAQ QRIS"/>
    <x v="2"/>
  </r>
  <r>
    <m/>
    <m/>
    <n v="10000"/>
    <x v="6"/>
    <n v="203351334"/>
    <s v="INFAQ QRIS"/>
    <x v="2"/>
  </r>
  <r>
    <m/>
    <m/>
    <n v="50000"/>
    <x v="6"/>
    <n v="203401334"/>
    <s v="INFAQ QRIS"/>
    <x v="2"/>
  </r>
  <r>
    <m/>
    <m/>
    <n v="100000"/>
    <x v="6"/>
    <n v="203501334"/>
    <s v="INFAQ QRIS"/>
    <x v="2"/>
  </r>
  <r>
    <m/>
    <m/>
    <n v="10000"/>
    <x v="6"/>
    <n v="203511334"/>
    <s v="INFAQ QRIS"/>
    <x v="2"/>
  </r>
  <r>
    <m/>
    <m/>
    <n v="110000"/>
    <x v="6"/>
    <n v="203621334"/>
    <s v="INFAQ QRIS"/>
    <x v="2"/>
  </r>
  <r>
    <m/>
    <m/>
    <n v="10000"/>
    <x v="6"/>
    <n v="203631334"/>
    <s v="INFAQ QRIS"/>
    <x v="2"/>
  </r>
  <r>
    <m/>
    <m/>
    <n v="4250000"/>
    <x v="6"/>
    <n v="207881334"/>
    <s v="PENGEMBALIAN OPERASIONAL QURBAN dari IR.DARMAWAN "/>
    <x v="22"/>
  </r>
  <r>
    <n v="750000"/>
    <m/>
    <m/>
    <x v="6"/>
    <n v="207131334"/>
    <s v="HONOR USTADZ DARWIS"/>
    <x v="11"/>
  </r>
  <r>
    <m/>
    <m/>
    <n v="200000"/>
    <x v="6"/>
    <n v="207331334"/>
    <s v="INFAQ WUSONO PRIHADI SANTO"/>
    <x v="2"/>
  </r>
  <r>
    <m/>
    <m/>
    <n v="10000"/>
    <x v="6"/>
    <n v="207341334"/>
    <s v="INFAQ QRIS"/>
    <x v="2"/>
  </r>
  <r>
    <m/>
    <m/>
    <n v="25000"/>
    <x v="6"/>
    <n v="207366334"/>
    <s v="INFAQ QRIS"/>
    <x v="2"/>
  </r>
  <r>
    <m/>
    <m/>
    <n v="10000"/>
    <x v="6"/>
    <n v="207376334"/>
    <s v="INFAQ QRIS"/>
    <x v="2"/>
  </r>
  <r>
    <m/>
    <m/>
    <n v="25000"/>
    <x v="6"/>
    <n v="207401334"/>
    <s v="INFAQ QRIS"/>
    <x v="2"/>
  </r>
  <r>
    <m/>
    <m/>
    <n v="7900900"/>
    <x v="6"/>
    <n v="215302234"/>
    <s v="SETOR INFAQ IDUL ADHA"/>
    <x v="2"/>
  </r>
  <r>
    <m/>
    <m/>
    <n v="4645100"/>
    <x v="6"/>
    <n v="219947334"/>
    <s v="SETOR INFAQ IDUL ADHA"/>
    <x v="22"/>
  </r>
  <r>
    <m/>
    <n v="12546000"/>
    <m/>
    <x v="1"/>
    <n v="219947334"/>
    <s v="SETOR INFAQ IDUL ADHA"/>
    <x v="4"/>
  </r>
  <r>
    <m/>
    <m/>
    <n v="10000"/>
    <x v="6"/>
    <n v="219957334"/>
    <s v="INFAQ QRIS"/>
    <x v="2"/>
  </r>
  <r>
    <m/>
    <m/>
    <n v="10000"/>
    <x v="6"/>
    <n v="219967334"/>
    <s v="INFAQ QRIS"/>
    <x v="2"/>
  </r>
  <r>
    <m/>
    <m/>
    <n v="10000"/>
    <x v="6"/>
    <n v="219977334"/>
    <s v="INFAQ QRIS"/>
    <x v="2"/>
  </r>
  <r>
    <n v="4150000"/>
    <m/>
    <m/>
    <x v="6"/>
    <n v="215827334"/>
    <s v="Pembelian Kulkas Santri via Pak Mahmud"/>
    <x v="24"/>
  </r>
  <r>
    <n v="2900"/>
    <m/>
    <m/>
    <x v="6"/>
    <n v="215824434"/>
    <s v="Adm Pembelian Kulkas Santri via Pak Mahmud"/>
    <x v="24"/>
  </r>
  <r>
    <m/>
    <m/>
    <n v="4215000"/>
    <x v="6"/>
    <n v="220039434"/>
    <s v="Yatim"/>
    <x v="12"/>
  </r>
  <r>
    <m/>
    <m/>
    <n v="720000"/>
    <x v="6"/>
    <n v="220759434"/>
    <s v="Op"/>
    <x v="2"/>
  </r>
  <r>
    <m/>
    <n v="4935000"/>
    <m/>
    <x v="1"/>
    <n v="220759434"/>
    <s v="SETOR IMRON"/>
    <x v="4"/>
  </r>
  <r>
    <m/>
    <m/>
    <n v="150000"/>
    <x v="6"/>
    <n v="220909434"/>
    <s v="INFAQ DWI LISTYOWATI DRA"/>
    <x v="2"/>
  </r>
  <r>
    <n v="2000000"/>
    <m/>
    <m/>
    <x v="6"/>
    <n v="218909434"/>
    <s v="Perbaikan Pintu Kaca MAJ dan Aksesoris"/>
    <x v="8"/>
  </r>
  <r>
    <n v="6500"/>
    <m/>
    <m/>
    <x v="6"/>
    <n v="218902934"/>
    <s v="Adm Perbaikan Pintu Kaca MAJ dan Aksesoris"/>
    <x v="8"/>
  </r>
  <r>
    <m/>
    <m/>
    <n v="10000"/>
    <x v="6"/>
    <n v="218912934"/>
    <s v="INFAQ QRIS"/>
    <x v="2"/>
  </r>
  <r>
    <m/>
    <m/>
    <n v="1184200"/>
    <x v="6"/>
    <n v="220097134"/>
    <s v="PENGEMBALIAN OPERASIONAL QURBAN VIA SAFONI MAWARDI"/>
    <x v="21"/>
  </r>
  <r>
    <m/>
    <m/>
    <n v="500000"/>
    <x v="6"/>
    <n v="220597134"/>
    <s v="SETOR QURBAN (Ongkos Potong via Safoni)"/>
    <x v="21"/>
  </r>
  <r>
    <m/>
    <m/>
    <n v="2000000"/>
    <x v="6"/>
    <n v="222597134"/>
    <s v="INFAQ DARI RIZKYHIDAYATSL"/>
    <x v="2"/>
  </r>
  <r>
    <m/>
    <m/>
    <n v="5000"/>
    <x v="6"/>
    <n v="222602134"/>
    <s v="INFAQ QRIS"/>
    <x v="2"/>
  </r>
  <r>
    <m/>
    <m/>
    <n v="10000"/>
    <x v="6"/>
    <n v="222612134"/>
    <s v="INFAQ QRIS"/>
    <x v="2"/>
  </r>
  <r>
    <n v="750000"/>
    <m/>
    <m/>
    <x v="6"/>
    <n v="221862134"/>
    <s v="HONOR UST ABDUL HAMID"/>
    <x v="11"/>
  </r>
  <r>
    <n v="6500"/>
    <m/>
    <m/>
    <x v="6"/>
    <n v="221855634"/>
    <s v="ADM HONOR UST ABDUL HAMID"/>
    <x v="11"/>
  </r>
  <r>
    <m/>
    <m/>
    <n v="50000"/>
    <x v="6"/>
    <n v="221905634"/>
    <s v="INFAQ QRIS"/>
    <x v="2"/>
  </r>
  <r>
    <m/>
    <m/>
    <n v="50000"/>
    <x v="6"/>
    <n v="221955634"/>
    <s v="INFAQ QRIS"/>
    <x v="2"/>
  </r>
  <r>
    <m/>
    <m/>
    <n v="25000"/>
    <x v="6"/>
    <n v="221980634"/>
    <s v="INFAQ QRIS"/>
    <x v="2"/>
  </r>
  <r>
    <m/>
    <m/>
    <n v="50000"/>
    <x v="6"/>
    <n v="222030634"/>
    <s v="INFAQ QRIS"/>
    <x v="2"/>
  </r>
  <r>
    <m/>
    <m/>
    <n v="20000"/>
    <x v="6"/>
    <n v="222050634"/>
    <s v="INFAQ QRIS"/>
    <x v="2"/>
  </r>
  <r>
    <m/>
    <m/>
    <n v="10000"/>
    <x v="6"/>
    <n v="222060634"/>
    <s v="INFAQ QRIS"/>
    <x v="2"/>
  </r>
  <r>
    <m/>
    <m/>
    <n v="1011"/>
    <x v="6"/>
    <n v="222061645"/>
    <s v="INFAQ QRIS"/>
    <x v="2"/>
  </r>
  <r>
    <m/>
    <m/>
    <n v="10000"/>
    <x v="6"/>
    <n v="222071645"/>
    <s v="INFAQ QRIS"/>
    <x v="2"/>
  </r>
  <r>
    <m/>
    <m/>
    <n v="10000"/>
    <x v="6"/>
    <n v="222081645"/>
    <s v="INFAQ QRIS"/>
    <x v="2"/>
  </r>
  <r>
    <m/>
    <m/>
    <n v="50000"/>
    <x v="6"/>
    <n v="222131645"/>
    <s v="INFAQ QRIS"/>
    <x v="2"/>
  </r>
  <r>
    <m/>
    <m/>
    <n v="20000"/>
    <x v="6"/>
    <n v="222151645"/>
    <s v="INFAQ QRIS"/>
    <x v="2"/>
  </r>
  <r>
    <m/>
    <m/>
    <n v="10000"/>
    <x v="6"/>
    <n v="222161645"/>
    <s v="INFAQ QRIS"/>
    <x v="2"/>
  </r>
  <r>
    <n v="750000"/>
    <m/>
    <m/>
    <x v="6"/>
    <n v="221411645"/>
    <s v="HONOR UST HASAN MUBAROK"/>
    <x v="11"/>
  </r>
  <r>
    <n v="6500"/>
    <m/>
    <m/>
    <x v="6"/>
    <n v="221405145"/>
    <s v="ADM HONOR UST HASAN MUBAROK"/>
    <x v="11"/>
  </r>
  <r>
    <m/>
    <m/>
    <n v="800000"/>
    <x v="6"/>
    <n v="222205145"/>
    <s v="INFAQ TPQ"/>
    <x v="10"/>
  </r>
  <r>
    <m/>
    <m/>
    <n v="20000"/>
    <x v="6"/>
    <n v="222225145"/>
    <s v="INFAQ QRIS"/>
    <x v="2"/>
  </r>
  <r>
    <m/>
    <m/>
    <n v="10000"/>
    <x v="6"/>
    <n v="222235145"/>
    <s v="INFAQ QRIS"/>
    <x v="2"/>
  </r>
  <r>
    <m/>
    <m/>
    <n v="4119000"/>
    <x v="6"/>
    <n v="226354145"/>
    <m/>
    <x v="12"/>
  </r>
  <r>
    <m/>
    <m/>
    <n v="4231000"/>
    <x v="6"/>
    <n v="230585145"/>
    <m/>
    <x v="2"/>
  </r>
  <r>
    <m/>
    <n v="8350000"/>
    <m/>
    <x v="1"/>
    <n v="230585145"/>
    <s v="INFAQ JUMAT"/>
    <x v="4"/>
  </r>
  <r>
    <m/>
    <m/>
    <n v="100000"/>
    <x v="6"/>
    <n v="230685145"/>
    <s v="INFAQ FENTYHERLIANA"/>
    <x v="2"/>
  </r>
  <r>
    <m/>
    <m/>
    <n v="50000"/>
    <x v="6"/>
    <n v="230735145"/>
    <s v="INFAQ QRIS"/>
    <x v="2"/>
  </r>
  <r>
    <m/>
    <m/>
    <n v="50000"/>
    <x v="6"/>
    <n v="230785145"/>
    <s v="INFAQ QRIS"/>
    <x v="2"/>
  </r>
  <r>
    <m/>
    <m/>
    <n v="20000"/>
    <x v="6"/>
    <n v="230805145"/>
    <s v="INFAQ QRIS"/>
    <x v="2"/>
  </r>
  <r>
    <n v="1180700"/>
    <m/>
    <m/>
    <x v="6"/>
    <n v="229624445"/>
    <s v="Penggantian Operasional Panitia Qurban"/>
    <x v="23"/>
  </r>
  <r>
    <n v="2900"/>
    <m/>
    <m/>
    <x v="6"/>
    <n v="229621545"/>
    <s v="Adm Penggantian Operasional Panitia Qurban"/>
    <x v="23"/>
  </r>
  <r>
    <m/>
    <m/>
    <n v="20000"/>
    <x v="6"/>
    <n v="229641545"/>
    <s v="INFAQ QRIS"/>
    <x v="2"/>
  </r>
  <r>
    <m/>
    <m/>
    <n v="5000"/>
    <x v="6"/>
    <n v="229646545"/>
    <s v="INFAQ QRIS"/>
    <x v="2"/>
  </r>
  <r>
    <m/>
    <m/>
    <n v="10000"/>
    <x v="6"/>
    <n v="229656545"/>
    <s v="INFAQ QRIS"/>
    <x v="2"/>
  </r>
  <r>
    <m/>
    <m/>
    <n v="20000"/>
    <x v="6"/>
    <n v="229676545"/>
    <s v="INFAQ QRIS"/>
    <x v="2"/>
  </r>
  <r>
    <m/>
    <m/>
    <n v="100000"/>
    <x v="6"/>
    <n v="229776545"/>
    <s v="INFAQ QRIS"/>
    <x v="2"/>
  </r>
  <r>
    <m/>
    <m/>
    <n v="20000"/>
    <x v="6"/>
    <n v="229796545"/>
    <s v="INFAQ QRIS"/>
    <x v="2"/>
  </r>
  <r>
    <n v="750000"/>
    <m/>
    <m/>
    <x v="6"/>
    <n v="229046545"/>
    <s v="Honor Ustadz FAISAL"/>
    <x v="11"/>
  </r>
  <r>
    <m/>
    <m/>
    <n v="10000"/>
    <x v="6"/>
    <n v="229056545"/>
    <s v="INFAQ QRIS"/>
    <x v="2"/>
  </r>
  <r>
    <m/>
    <m/>
    <n v="50000"/>
    <x v="6"/>
    <n v="229106545"/>
    <s v="INFAQ QRIS"/>
    <x v="2"/>
  </r>
  <r>
    <m/>
    <m/>
    <n v="50000"/>
    <x v="6"/>
    <n v="229156545"/>
    <s v="INFAQ QRIS"/>
    <x v="2"/>
  </r>
  <r>
    <m/>
    <m/>
    <n v="20000"/>
    <x v="6"/>
    <n v="229176545"/>
    <s v="INFAQ QRIS"/>
    <x v="2"/>
  </r>
  <r>
    <m/>
    <m/>
    <n v="50000"/>
    <x v="6"/>
    <n v="229226545"/>
    <s v="INFAQ QRIS"/>
    <x v="2"/>
  </r>
  <r>
    <m/>
    <m/>
    <n v="5000"/>
    <x v="6"/>
    <n v="229231545"/>
    <s v="INFAQ QRIS"/>
    <x v="2"/>
  </r>
  <r>
    <n v="1000000"/>
    <m/>
    <m/>
    <x v="6"/>
    <n v="228231545"/>
    <s v="Honor Ustadz Wahid"/>
    <x v="11"/>
  </r>
  <r>
    <n v="6500"/>
    <m/>
    <m/>
    <x v="6"/>
    <n v="228225045"/>
    <s v="Adm Honor Ustadz Wahid"/>
    <x v="11"/>
  </r>
  <r>
    <m/>
    <m/>
    <n v="20000"/>
    <x v="6"/>
    <n v="228245045"/>
    <s v="INFAQ QRIS"/>
    <x v="2"/>
  </r>
  <r>
    <m/>
    <m/>
    <n v="2970000"/>
    <x v="6"/>
    <n v="231215045"/>
    <s v="INFAQ COLLECTIVE IMRON"/>
    <x v="2"/>
  </r>
  <r>
    <m/>
    <m/>
    <n v="20000"/>
    <x v="6"/>
    <n v="231235045"/>
    <s v="INFAQ QRIS"/>
    <x v="2"/>
  </r>
  <r>
    <m/>
    <m/>
    <n v="2910000"/>
    <x v="6"/>
    <n v="234145045"/>
    <m/>
    <x v="12"/>
  </r>
  <r>
    <m/>
    <m/>
    <n v="2476000"/>
    <x v="6"/>
    <n v="236621045"/>
    <m/>
    <x v="2"/>
  </r>
  <r>
    <m/>
    <n v="5386000"/>
    <m/>
    <x v="6"/>
    <n v="236621045"/>
    <s v=" 001114385559 UANG INFAQ  SETOR TUNAI "/>
    <x v="4"/>
  </r>
  <r>
    <n v="8000"/>
    <m/>
    <m/>
    <x v="6"/>
    <n v="236613045"/>
    <s v="Fee Payroll Mei 2025"/>
    <x v="1"/>
  </r>
  <r>
    <m/>
    <m/>
    <n v="200000"/>
    <x v="6"/>
    <n v="236813045"/>
    <s v="Infaq TPQ Rivendra"/>
    <x v="10"/>
  </r>
  <r>
    <m/>
    <m/>
    <n v="10000"/>
    <x v="6"/>
    <n v="236823045"/>
    <s v="INFAQ QRIS"/>
    <x v="2"/>
  </r>
  <r>
    <m/>
    <m/>
    <n v="20000"/>
    <x v="6"/>
    <n v="236843045"/>
    <s v="INFAQ QRIS"/>
    <x v="2"/>
  </r>
  <r>
    <m/>
    <m/>
    <n v="300000"/>
    <x v="6"/>
    <n v="237143045"/>
    <s v="INFAQ DJOKO SULISTIYONO"/>
    <x v="2"/>
  </r>
  <r>
    <m/>
    <m/>
    <n v="50000"/>
    <x v="6"/>
    <n v="237193045"/>
    <s v="INFAQ QRIS"/>
    <x v="2"/>
  </r>
  <r>
    <m/>
    <m/>
    <n v="20000"/>
    <x v="6"/>
    <n v="237213045"/>
    <s v="INFAQ QRIS"/>
    <x v="2"/>
  </r>
  <r>
    <n v="1003000"/>
    <m/>
    <m/>
    <x v="7"/>
    <n v="236210045"/>
    <s v="Pulsa Listrik"/>
    <x v="7"/>
  </r>
  <r>
    <n v="2900"/>
    <m/>
    <m/>
    <x v="7"/>
    <n v="236207145"/>
    <s v="Pulsa Listrik"/>
    <x v="7"/>
  </r>
  <r>
    <n v="4000000"/>
    <m/>
    <m/>
    <x v="7"/>
    <n v="232207145"/>
    <s v="Biaya Perawatan Santri Juni 2025"/>
    <x v="14"/>
  </r>
  <r>
    <n v="6500"/>
    <m/>
    <m/>
    <x v="7"/>
    <n v="232200645"/>
    <s v="Biaya Perawatan Santri Juni 2025"/>
    <x v="14"/>
  </r>
  <r>
    <n v="1000000"/>
    <m/>
    <m/>
    <x v="7"/>
    <n v="231200645"/>
    <s v="Honor Imam Marbot"/>
    <x v="13"/>
  </r>
  <r>
    <n v="6500"/>
    <m/>
    <m/>
    <x v="7"/>
    <n v="231194145"/>
    <s v="Honor Imam Marbot"/>
    <x v="13"/>
  </r>
  <r>
    <n v="2500000"/>
    <m/>
    <m/>
    <x v="7"/>
    <n v="228694145"/>
    <s v="Honor Imam Marbot"/>
    <x v="13"/>
  </r>
  <r>
    <n v="6500"/>
    <m/>
    <m/>
    <x v="7"/>
    <n v="228687645"/>
    <s v="Honor Imam Marbot"/>
    <x v="13"/>
  </r>
  <r>
    <n v="2000000"/>
    <m/>
    <m/>
    <x v="7"/>
    <n v="226687645"/>
    <s v="Biaya Adm Pengajian Ibu-Ibu MAJ Juli"/>
    <x v="11"/>
  </r>
  <r>
    <n v="6500"/>
    <m/>
    <m/>
    <x v="7"/>
    <n v="226681145"/>
    <s v="Biaya Adm Pengajian Ibu-Ibu MAJ Juli"/>
    <x v="11"/>
  </r>
  <r>
    <n v="550000"/>
    <m/>
    <m/>
    <x v="7"/>
    <n v="226131145"/>
    <s v="Honor Imam Marbot"/>
    <x v="13"/>
  </r>
  <r>
    <n v="6500"/>
    <m/>
    <m/>
    <x v="7"/>
    <n v="226124645"/>
    <s v="Honor Imam Marbot"/>
    <x v="13"/>
  </r>
  <r>
    <n v="3500000"/>
    <m/>
    <m/>
    <x v="7"/>
    <n v="222624645"/>
    <s v="Honor Imam Marbot"/>
    <x v="13"/>
  </r>
  <r>
    <n v="6500"/>
    <m/>
    <m/>
    <x v="7"/>
    <n v="222618145"/>
    <s v="Honor Imam Marbot"/>
    <x v="13"/>
  </r>
  <r>
    <n v="2250000"/>
    <m/>
    <m/>
    <x v="7"/>
    <n v="220368145"/>
    <s v="Honor Imam Marbot"/>
    <x v="13"/>
  </r>
  <r>
    <n v="6500"/>
    <m/>
    <m/>
    <x v="7"/>
    <n v="220361645"/>
    <s v="Honor Imam Marbot"/>
    <x v="13"/>
  </r>
  <r>
    <n v="2700000"/>
    <m/>
    <m/>
    <x v="7"/>
    <n v="217661645"/>
    <s v="Honor Mushrif Juni 2025"/>
    <x v="14"/>
  </r>
  <r>
    <n v="6500"/>
    <m/>
    <m/>
    <x v="7"/>
    <n v="217655145"/>
    <s v="Honor Mushrif Juni 2025"/>
    <x v="14"/>
  </r>
  <r>
    <n v="2750000"/>
    <m/>
    <m/>
    <x v="7"/>
    <n v="214905145"/>
    <s v="Honor Imam Marbot"/>
    <x v="13"/>
  </r>
  <r>
    <m/>
    <m/>
    <n v="50000"/>
    <x v="7"/>
    <n v="214955145"/>
    <s v="INFAQ QRIS"/>
    <x v="2"/>
  </r>
  <r>
    <m/>
    <m/>
    <n v="50000"/>
    <x v="7"/>
    <n v="215005145"/>
    <s v="INFAQ QRIS"/>
    <x v="2"/>
  </r>
  <r>
    <m/>
    <m/>
    <n v="20000"/>
    <x v="7"/>
    <n v="215025145"/>
    <s v="INFAQ QRIS"/>
    <x v="2"/>
  </r>
  <r>
    <m/>
    <m/>
    <n v="1000000"/>
    <x v="7"/>
    <n v="216025145"/>
    <s v="INFAQ ANGGONO IRIAWAN"/>
    <x v="2"/>
  </r>
  <r>
    <m/>
    <m/>
    <n v="100000"/>
    <x v="7"/>
    <n v="216125145"/>
    <s v="INFAQ SURJATI SUTARJA"/>
    <x v="2"/>
  </r>
  <r>
    <m/>
    <m/>
    <n v="1000000"/>
    <x v="7"/>
    <n v="217125145"/>
    <s v="INFAQ RAMADHAN NIENDRAPUTRA"/>
    <x v="2"/>
  </r>
  <r>
    <n v="750000"/>
    <m/>
    <m/>
    <x v="7"/>
    <n v="216375145"/>
    <s v="Honor Ustadz"/>
    <x v="11"/>
  </r>
  <r>
    <n v="6500"/>
    <m/>
    <m/>
    <x v="7"/>
    <n v="216368645"/>
    <s v="Honor Ustadz"/>
    <x v="11"/>
  </r>
  <r>
    <m/>
    <m/>
    <n v="61124"/>
    <x v="7"/>
    <n v="216429769"/>
    <s v="INFAQ QRIS"/>
    <x v="2"/>
  </r>
  <r>
    <m/>
    <m/>
    <n v="20000"/>
    <x v="7"/>
    <n v="216449769"/>
    <s v="INFAQ QRIS"/>
    <x v="2"/>
  </r>
  <r>
    <m/>
    <m/>
    <n v="20000"/>
    <x v="7"/>
    <n v="216469769"/>
    <s v="INFAQ QRIS"/>
    <x v="2"/>
  </r>
  <r>
    <m/>
    <m/>
    <n v="150000"/>
    <x v="7"/>
    <n v="216619769"/>
    <s v="INFAQ QRIS"/>
    <x v="2"/>
  </r>
  <r>
    <m/>
    <m/>
    <n v="50000"/>
    <x v="7"/>
    <n v="216669769"/>
    <s v="INFAQ QRIS"/>
    <x v="2"/>
  </r>
  <r>
    <m/>
    <m/>
    <n v="25000"/>
    <x v="7"/>
    <n v="216694769"/>
    <s v="INFAQ QRIS"/>
    <x v="2"/>
  </r>
  <r>
    <m/>
    <m/>
    <n v="10000"/>
    <x v="7"/>
    <n v="216704769"/>
    <s v="INFAQ QRIS"/>
    <x v="2"/>
  </r>
  <r>
    <m/>
    <m/>
    <n v="5000"/>
    <x v="7"/>
    <n v="216709769"/>
    <s v="INFAQ QRIS"/>
    <x v="2"/>
  </r>
  <r>
    <m/>
    <m/>
    <n v="50000"/>
    <x v="7"/>
    <n v="216759769"/>
    <s v="INFAQ QRIS"/>
    <x v="2"/>
  </r>
  <r>
    <m/>
    <m/>
    <n v="20000"/>
    <x v="7"/>
    <n v="216779769"/>
    <s v="INFAQ QRIS"/>
    <x v="2"/>
  </r>
  <r>
    <m/>
    <m/>
    <n v="100000"/>
    <x v="7"/>
    <n v="216879769"/>
    <s v="INFAQ QRIS"/>
    <x v="2"/>
  </r>
  <r>
    <m/>
    <m/>
    <n v="50000"/>
    <x v="7"/>
    <n v="216929769"/>
    <s v="INFAQ QRIS"/>
    <x v="2"/>
  </r>
  <r>
    <m/>
    <m/>
    <n v="20000"/>
    <x v="7"/>
    <n v="216949769"/>
    <s v="INFAQ QRIS"/>
    <x v="2"/>
  </r>
  <r>
    <m/>
    <m/>
    <n v="10000"/>
    <x v="7"/>
    <n v="216959769"/>
    <s v="INFAQ QRIS"/>
    <x v="2"/>
  </r>
  <r>
    <m/>
    <m/>
    <n v="10000"/>
    <x v="7"/>
    <n v="216969769"/>
    <s v="INFAQ QRIS"/>
    <x v="2"/>
  </r>
  <r>
    <m/>
    <m/>
    <n v="2000"/>
    <x v="7"/>
    <n v="216971769"/>
    <s v="INFAQ QRIS"/>
    <x v="2"/>
  </r>
  <r>
    <m/>
    <m/>
    <n v="10000"/>
    <x v="7"/>
    <n v="216981769"/>
    <s v="INFAQ QRIS"/>
    <x v="2"/>
  </r>
  <r>
    <m/>
    <m/>
    <n v="20000"/>
    <x v="7"/>
    <n v="217001769"/>
    <s v="INFAQ QRIS"/>
    <x v="2"/>
  </r>
  <r>
    <m/>
    <m/>
    <n v="25000"/>
    <x v="7"/>
    <n v="217026769"/>
    <s v="INFAQ QRIS"/>
    <x v="2"/>
  </r>
  <r>
    <n v="500000"/>
    <m/>
    <m/>
    <x v="7"/>
    <n v="216526769"/>
    <s v="Honor Ustadz"/>
    <x v="11"/>
  </r>
  <r>
    <n v="6500"/>
    <m/>
    <m/>
    <x v="7"/>
    <n v="216520269"/>
    <s v="Honor Ustadz"/>
    <x v="11"/>
  </r>
  <r>
    <n v="750000"/>
    <m/>
    <m/>
    <x v="7"/>
    <n v="215770269"/>
    <s v="Honor Ustadz"/>
    <x v="11"/>
  </r>
  <r>
    <n v="6500"/>
    <m/>
    <m/>
    <x v="7"/>
    <n v="215763769"/>
    <s v="Honor Ustadz"/>
    <x v="11"/>
  </r>
  <r>
    <m/>
    <m/>
    <n v="350000"/>
    <x v="7"/>
    <n v="216113769"/>
    <s v="INFAQ DESYANA SE"/>
    <x v="2"/>
  </r>
  <r>
    <m/>
    <m/>
    <n v="20000"/>
    <x v="7"/>
    <n v="216133769"/>
    <s v="INFAQ QRIS"/>
    <x v="2"/>
  </r>
  <r>
    <m/>
    <m/>
    <n v="75000"/>
    <x v="7"/>
    <n v="216208769"/>
    <s v="INFAQ QRIS"/>
    <x v="2"/>
  </r>
  <r>
    <m/>
    <m/>
    <n v="25000"/>
    <x v="7"/>
    <n v="216233769"/>
    <s v="INFAQ QRIS"/>
    <x v="2"/>
  </r>
  <r>
    <m/>
    <m/>
    <n v="40000"/>
    <x v="7"/>
    <n v="216273769"/>
    <s v="INFAQ QRIS"/>
    <x v="2"/>
  </r>
  <r>
    <m/>
    <m/>
    <n v="2784000"/>
    <x v="7"/>
    <n v="219057769"/>
    <m/>
    <x v="12"/>
  </r>
  <r>
    <m/>
    <m/>
    <n v="3526000"/>
    <x v="7"/>
    <n v="222583769"/>
    <m/>
    <x v="2"/>
  </r>
  <r>
    <m/>
    <n v="6310000"/>
    <m/>
    <x v="1"/>
    <n v="222583769"/>
    <s v=" 001114450332 INFAQ  SETOR TUNAI "/>
    <x v="4"/>
  </r>
  <r>
    <m/>
    <m/>
    <n v="10000"/>
    <x v="8"/>
    <n v="222593769"/>
    <s v="INFAQ QRIS"/>
    <x v="2"/>
  </r>
  <r>
    <m/>
    <m/>
    <n v="20000"/>
    <x v="8"/>
    <n v="222613769"/>
    <s v="INFAQ QRIS"/>
    <x v="2"/>
  </r>
  <r>
    <m/>
    <m/>
    <n v="200000"/>
    <x v="8"/>
    <n v="222813769"/>
    <s v="INFAQ UMI HAMIDAH DRA"/>
    <x v="2"/>
  </r>
  <r>
    <m/>
    <m/>
    <n v="10000"/>
    <x v="8"/>
    <n v="222823769"/>
    <s v="INFAQ QRIS"/>
    <x v="2"/>
  </r>
  <r>
    <m/>
    <m/>
    <n v="500000"/>
    <x v="8"/>
    <n v="223323769"/>
    <s v="INFAQ DRS SARWONO"/>
    <x v="2"/>
  </r>
  <r>
    <m/>
    <m/>
    <n v="200000"/>
    <x v="8"/>
    <n v="223523769"/>
    <s v="INFAQ DEDEN TP PERDIANSYAH"/>
    <x v="2"/>
  </r>
  <r>
    <m/>
    <m/>
    <n v="400000"/>
    <x v="9"/>
    <n v="223923769"/>
    <s v="INFAQ PUTIE AMBUN SURI / RIVENDRA"/>
    <x v="2"/>
  </r>
  <r>
    <m/>
    <m/>
    <n v="20000"/>
    <x v="9"/>
    <n v="223943769"/>
    <s v="INFAQ QRIS"/>
    <x v="2"/>
  </r>
  <r>
    <m/>
    <m/>
    <n v="50000"/>
    <x v="9"/>
    <n v="223993769"/>
    <s v="INFAQ QRIS"/>
    <x v="2"/>
  </r>
  <r>
    <m/>
    <m/>
    <n v="2000000"/>
    <x v="9"/>
    <n v="225993769"/>
    <s v="INFAQ RIZKYHIDAYATSL  "/>
    <x v="2"/>
  </r>
  <r>
    <n v="750000"/>
    <m/>
    <m/>
    <x v="9"/>
    <n v="225243769"/>
    <s v="HONOR USTADZ-MOHAMMAD SHODIQ"/>
    <x v="11"/>
  </r>
  <r>
    <n v="6500"/>
    <m/>
    <m/>
    <x v="9"/>
    <n v="225237269"/>
    <s v="HONOR USTADZ-MOHAMMAD SHODIQ"/>
    <x v="11"/>
  </r>
  <r>
    <m/>
    <m/>
    <n v="20000"/>
    <x v="9"/>
    <n v="225257269"/>
    <s v="INFAQ QRIS"/>
    <x v="2"/>
  </r>
  <r>
    <m/>
    <m/>
    <n v="100000"/>
    <x v="9"/>
    <n v="225357269"/>
    <s v="INFAQ QRIS"/>
    <x v="2"/>
  </r>
  <r>
    <m/>
    <m/>
    <n v="30000"/>
    <x v="9"/>
    <n v="225387269"/>
    <s v="INFAQ QRIS"/>
    <x v="2"/>
  </r>
  <r>
    <m/>
    <m/>
    <n v="100000"/>
    <x v="9"/>
    <n v="225487269"/>
    <s v="INFAQ QRIS"/>
    <x v="2"/>
  </r>
  <r>
    <m/>
    <m/>
    <n v="50000"/>
    <x v="9"/>
    <n v="225537269"/>
    <s v="INFAQ QRIS"/>
    <x v="2"/>
  </r>
  <r>
    <m/>
    <m/>
    <n v="5000"/>
    <x v="9"/>
    <n v="225542269"/>
    <s v="INFAQ QRIS"/>
    <x v="2"/>
  </r>
  <r>
    <m/>
    <m/>
    <n v="10000"/>
    <x v="9"/>
    <n v="225552269"/>
    <s v="INFAQ QRIS"/>
    <x v="2"/>
  </r>
  <r>
    <m/>
    <m/>
    <n v="20000"/>
    <x v="9"/>
    <n v="225572269"/>
    <s v="INFAQ QRIS"/>
    <x v="2"/>
  </r>
  <r>
    <m/>
    <m/>
    <n v="10000"/>
    <x v="9"/>
    <n v="225582269"/>
    <s v="INFAQ QRIS"/>
    <x v="2"/>
  </r>
  <r>
    <m/>
    <m/>
    <n v="4000"/>
    <x v="9"/>
    <n v="225586269"/>
    <s v="INFAQ QRIS"/>
    <x v="2"/>
  </r>
  <r>
    <m/>
    <m/>
    <n v="150000"/>
    <x v="9"/>
    <n v="225736269"/>
    <s v="INFAQ DWI LISTYOWATI DRA"/>
    <x v="2"/>
  </r>
  <r>
    <n v="750000"/>
    <m/>
    <m/>
    <x v="9"/>
    <n v="224986269"/>
    <s v="HONOR USTADZ-ZULFA SYAHIDAH"/>
    <x v="11"/>
  </r>
  <r>
    <n v="6500"/>
    <m/>
    <m/>
    <x v="9"/>
    <n v="224979769"/>
    <s v="HONOR USTADZ-ZULFA SYAHIDAH"/>
    <x v="11"/>
  </r>
  <r>
    <m/>
    <m/>
    <n v="20000"/>
    <x v="9"/>
    <n v="224999769"/>
    <s v="INFAQ QRIS"/>
    <x v="2"/>
  </r>
  <r>
    <m/>
    <m/>
    <n v="25000"/>
    <x v="9"/>
    <n v="225024769"/>
    <s v="INFAQ QRIS"/>
    <x v="2"/>
  </r>
  <r>
    <m/>
    <m/>
    <n v="200000"/>
    <x v="9"/>
    <n v="225224769"/>
    <s v="INFAQ WUSONO PRIHADI SANTO"/>
    <x v="2"/>
  </r>
  <r>
    <m/>
    <m/>
    <n v="50000"/>
    <x v="9"/>
    <n v="225274769"/>
    <s v="INFAQ QRIS"/>
    <x v="2"/>
  </r>
  <r>
    <m/>
    <m/>
    <n v="10000"/>
    <x v="9"/>
    <n v="225284769"/>
    <s v="INFAQ QRIS"/>
    <x v="2"/>
  </r>
  <r>
    <n v="575000"/>
    <m/>
    <m/>
    <x v="9"/>
    <n v="224709769"/>
    <s v="Service Pompa Air MAJ"/>
    <x v="8"/>
  </r>
  <r>
    <n v="2900"/>
    <m/>
    <m/>
    <x v="9"/>
    <n v="224706869"/>
    <s v="Service Pompa Air MAJ"/>
    <x v="8"/>
  </r>
  <r>
    <m/>
    <m/>
    <n v="2044000"/>
    <x v="9"/>
    <n v="226750869"/>
    <m/>
    <x v="12"/>
  </r>
  <r>
    <m/>
    <m/>
    <n v="3860000"/>
    <x v="9"/>
    <n v="230610869"/>
    <m/>
    <x v="2"/>
  </r>
  <r>
    <m/>
    <n v="5904000"/>
    <m/>
    <x v="1"/>
    <n v="230610869"/>
    <s v=" 001114575484 INFAQ  SETOR TUNAI "/>
    <x v="4"/>
  </r>
  <r>
    <m/>
    <m/>
    <n v="50000"/>
    <x v="9"/>
    <n v="230660869"/>
    <s v="INFAQ QRIS"/>
    <x v="2"/>
  </r>
  <r>
    <m/>
    <m/>
    <n v="20000"/>
    <x v="9"/>
    <n v="230680869"/>
    <s v="INFAQ QRIS"/>
    <x v="2"/>
  </r>
  <r>
    <m/>
    <m/>
    <n v="250000"/>
    <x v="9"/>
    <n v="230930869"/>
    <s v="INFAQ QRIS"/>
    <x v="2"/>
  </r>
  <r>
    <m/>
    <m/>
    <n v="10000"/>
    <x v="9"/>
    <n v="230940869"/>
    <s v="INFAQ QRIS"/>
    <x v="2"/>
  </r>
  <r>
    <m/>
    <m/>
    <n v="20000"/>
    <x v="9"/>
    <n v="230960869"/>
    <s v="INFAQ QRIS"/>
    <x v="2"/>
  </r>
  <r>
    <m/>
    <m/>
    <n v="20000"/>
    <x v="9"/>
    <n v="230980869"/>
    <s v="INFAQ QRIS"/>
    <x v="2"/>
  </r>
  <r>
    <m/>
    <m/>
    <n v="68147"/>
    <x v="10"/>
    <n v="231049016"/>
    <s v="INFAQ QRIS"/>
    <x v="2"/>
  </r>
  <r>
    <m/>
    <m/>
    <n v="20000"/>
    <x v="10"/>
    <n v="231069016"/>
    <s v="INFAQ QRIS"/>
    <x v="2"/>
  </r>
  <r>
    <m/>
    <m/>
    <n v="4000"/>
    <x v="10"/>
    <n v="231073016"/>
    <s v="INFAQ QRIS"/>
    <x v="2"/>
  </r>
  <r>
    <m/>
    <m/>
    <n v="4000"/>
    <x v="10"/>
    <n v="231077016"/>
    <s v="INFAQ QRIS"/>
    <x v="2"/>
  </r>
  <r>
    <m/>
    <m/>
    <n v="4000"/>
    <x v="10"/>
    <n v="231081016"/>
    <s v="INFAQ QRIS"/>
    <x v="2"/>
  </r>
  <r>
    <m/>
    <m/>
    <n v="4000"/>
    <x v="10"/>
    <n v="231085016"/>
    <s v="INFAQ QRIS"/>
    <x v="2"/>
  </r>
  <r>
    <m/>
    <m/>
    <n v="4000"/>
    <x v="10"/>
    <n v="231089016"/>
    <s v="INFAQ QRIS"/>
    <x v="2"/>
  </r>
  <r>
    <m/>
    <m/>
    <n v="4000"/>
    <x v="10"/>
    <n v="231093016"/>
    <s v="INFAQ QRIS"/>
    <x v="2"/>
  </r>
  <r>
    <m/>
    <m/>
    <n v="4000"/>
    <x v="10"/>
    <n v="231097016"/>
    <s v="INFAQ QRIS"/>
    <x v="2"/>
  </r>
  <r>
    <m/>
    <m/>
    <n v="4000"/>
    <x v="10"/>
    <n v="231101016"/>
    <s v="INFAQ QRIS"/>
    <x v="2"/>
  </r>
  <r>
    <m/>
    <m/>
    <n v="4000"/>
    <x v="10"/>
    <n v="231105016"/>
    <s v="INFAQ QRIS"/>
    <x v="2"/>
  </r>
  <r>
    <m/>
    <m/>
    <n v="4000"/>
    <x v="10"/>
    <n v="231109016"/>
    <s v="INFAQ QRIS"/>
    <x v="2"/>
  </r>
  <r>
    <m/>
    <m/>
    <n v="4000"/>
    <x v="10"/>
    <n v="231113016"/>
    <s v="INFAQ QRIS"/>
    <x v="2"/>
  </r>
  <r>
    <n v="750000"/>
    <m/>
    <m/>
    <x v="10"/>
    <n v="230363016"/>
    <s v="HONOR USTADZ ABDUL HAMID"/>
    <x v="11"/>
  </r>
  <r>
    <n v="6500"/>
    <m/>
    <m/>
    <x v="10"/>
    <n v="230356516"/>
    <s v="HONOR USTADZ ABDUL HAMID"/>
    <x v="11"/>
  </r>
  <r>
    <m/>
    <m/>
    <n v="50000"/>
    <x v="10"/>
    <n v="230406516"/>
    <s v="INFAQ QRIS"/>
    <x v="2"/>
  </r>
  <r>
    <m/>
    <m/>
    <n v="20000"/>
    <x v="10"/>
    <n v="230426516"/>
    <s v="INFAQ QRIS"/>
    <x v="2"/>
  </r>
  <r>
    <m/>
    <m/>
    <n v="100000"/>
    <x v="10"/>
    <n v="230526516"/>
    <s v="INFAQ QRIS"/>
    <x v="2"/>
  </r>
  <r>
    <m/>
    <m/>
    <n v="20000"/>
    <x v="10"/>
    <n v="230546516"/>
    <s v="INFAQ QRIS"/>
    <x v="2"/>
  </r>
  <r>
    <m/>
    <m/>
    <n v="20000"/>
    <x v="10"/>
    <n v="230566516"/>
    <s v="INFAQ QRIS"/>
    <x v="2"/>
  </r>
  <r>
    <m/>
    <m/>
    <n v="10000"/>
    <x v="10"/>
    <n v="230576516"/>
    <s v="INFAQ QRIS"/>
    <x v="2"/>
  </r>
  <r>
    <m/>
    <m/>
    <n v="50000"/>
    <x v="10"/>
    <n v="230626516"/>
    <s v="INFAQ QRIS"/>
    <x v="2"/>
  </r>
  <r>
    <m/>
    <m/>
    <n v="20000"/>
    <x v="10"/>
    <n v="230646516"/>
    <s v="INFAQ QRIS"/>
    <x v="2"/>
  </r>
  <r>
    <m/>
    <m/>
    <n v="10000"/>
    <x v="10"/>
    <n v="230656516"/>
    <s v="INFAQ QRIS"/>
    <x v="2"/>
  </r>
  <r>
    <m/>
    <m/>
    <n v="5000"/>
    <x v="10"/>
    <n v="230661516"/>
    <s v="INFAQ QRIS"/>
    <x v="2"/>
  </r>
  <r>
    <n v="60000"/>
    <m/>
    <m/>
    <x v="10"/>
    <n v="230601516"/>
    <s v="CETAK LAPORAN CASHFLOW MAJ"/>
    <x v="1"/>
  </r>
  <r>
    <n v="6500"/>
    <m/>
    <m/>
    <x v="10"/>
    <n v="230595016"/>
    <s v="CETAK LAPORAN CASHFLOW MAJ"/>
    <x v="1"/>
  </r>
  <r>
    <n v="750000"/>
    <m/>
    <m/>
    <x v="10"/>
    <n v="229845016"/>
    <s v="HONOR USTADZ DARWIS"/>
    <x v="11"/>
  </r>
  <r>
    <m/>
    <m/>
    <n v="50000"/>
    <x v="10"/>
    <n v="229895016"/>
    <s v="INFAQ QRIS"/>
    <x v="2"/>
  </r>
  <r>
    <m/>
    <m/>
    <n v="2900"/>
    <x v="10"/>
    <n v="229897916"/>
    <s v="INFAQ TPQ RIVENDRA"/>
    <x v="10"/>
  </r>
  <r>
    <n v="2000000"/>
    <m/>
    <m/>
    <x v="10"/>
    <n v="227897916"/>
    <s v="HONOR PENGAJAR TPQ"/>
    <x v="19"/>
  </r>
  <r>
    <n v="6500"/>
    <m/>
    <m/>
    <x v="10"/>
    <n v="227891416"/>
    <s v="HONOR PENGAJAR TPQ"/>
    <x v="19"/>
  </r>
  <r>
    <m/>
    <m/>
    <n v="20000"/>
    <x v="10"/>
    <n v="227911416"/>
    <s v="INFAQ QRIS"/>
    <x v="2"/>
  </r>
  <r>
    <m/>
    <m/>
    <n v="20000"/>
    <x v="10"/>
    <n v="227931416"/>
    <s v="INFAQ QRIS"/>
    <x v="2"/>
  </r>
  <r>
    <m/>
    <m/>
    <n v="25000"/>
    <x v="10"/>
    <n v="227956416"/>
    <s v="INFAQ QRIS"/>
    <x v="2"/>
  </r>
  <r>
    <m/>
    <m/>
    <n v="2247000"/>
    <x v="10"/>
    <n v="230203416"/>
    <m/>
    <x v="12"/>
  </r>
  <r>
    <m/>
    <m/>
    <n v="1323000"/>
    <x v="10"/>
    <n v="231526416"/>
    <m/>
    <x v="2"/>
  </r>
  <r>
    <m/>
    <n v="3570000"/>
    <m/>
    <x v="1"/>
    <n v="231526416"/>
    <s v=" 001114670508   SETOR TUNAI "/>
    <x v="4"/>
  </r>
  <r>
    <m/>
    <m/>
    <n v="10000"/>
    <x v="10"/>
    <n v="231536416"/>
    <s v="INFAQ QRIS"/>
    <x v="2"/>
  </r>
  <r>
    <m/>
    <m/>
    <n v="20000"/>
    <x v="10"/>
    <n v="231556416"/>
    <s v="INFAQ QRIS"/>
    <x v="2"/>
  </r>
  <r>
    <m/>
    <m/>
    <n v="10000"/>
    <x v="10"/>
    <n v="231566416"/>
    <s v="INFAQ QRIS"/>
    <x v="2"/>
  </r>
  <r>
    <m/>
    <m/>
    <n v="200000"/>
    <x v="10"/>
    <n v="231766416"/>
    <s v="INFAQ QRIS"/>
    <x v="2"/>
  </r>
  <r>
    <m/>
    <m/>
    <n v="20000"/>
    <x v="10"/>
    <n v="231786416"/>
    <s v="INFAQ QRIS"/>
    <x v="2"/>
  </r>
  <r>
    <m/>
    <m/>
    <n v="10000"/>
    <x v="10"/>
    <n v="231796416"/>
    <s v="INFAQ QRIS"/>
    <x v="2"/>
  </r>
  <r>
    <m/>
    <m/>
    <n v="20000"/>
    <x v="10"/>
    <n v="231816416"/>
    <s v="INFAQ QRIS"/>
    <x v="2"/>
  </r>
  <r>
    <m/>
    <m/>
    <n v="1600000"/>
    <x v="11"/>
    <n v="233416416"/>
    <s v="INFAQ QRIS"/>
    <x v="2"/>
  </r>
  <r>
    <m/>
    <m/>
    <n v="10000"/>
    <x v="11"/>
    <n v="233426416"/>
    <s v="INFAQ QRIS"/>
    <x v="2"/>
  </r>
  <r>
    <m/>
    <m/>
    <n v="50000"/>
    <x v="11"/>
    <n v="233476416"/>
    <s v="INFAQ QRIS"/>
    <x v="2"/>
  </r>
  <r>
    <m/>
    <m/>
    <n v="20000"/>
    <x v="11"/>
    <n v="233496416"/>
    <s v="INFAQ QRIS"/>
    <x v="2"/>
  </r>
  <r>
    <n v="750000"/>
    <m/>
    <m/>
    <x v="11"/>
    <n v="232746416"/>
    <s v="Honor Ustadz FAISAL"/>
    <x v="11"/>
  </r>
  <r>
    <m/>
    <m/>
    <n v="100000"/>
    <x v="11"/>
    <n v="232846416"/>
    <s v="INFAQ QRIS"/>
    <x v="2"/>
  </r>
  <r>
    <m/>
    <m/>
    <n v="10000"/>
    <x v="11"/>
    <n v="232856416"/>
    <s v="INFAQ QRIS"/>
    <x v="2"/>
  </r>
  <r>
    <m/>
    <m/>
    <n v="20000"/>
    <x v="11"/>
    <n v="232876416"/>
    <s v="INFAQ QRIS"/>
    <x v="2"/>
  </r>
  <r>
    <m/>
    <m/>
    <n v="100000"/>
    <x v="11"/>
    <n v="232976416"/>
    <s v="INFAQ QRIS"/>
    <x v="2"/>
  </r>
  <r>
    <m/>
    <m/>
    <n v="50000"/>
    <x v="11"/>
    <n v="233026416"/>
    <s v="INFAQ QRIS"/>
    <x v="2"/>
  </r>
  <r>
    <m/>
    <m/>
    <n v="50000"/>
    <x v="11"/>
    <n v="233076416"/>
    <s v="INFAQ QRIS"/>
    <x v="2"/>
  </r>
  <r>
    <m/>
    <m/>
    <n v="10000"/>
    <x v="11"/>
    <n v="233086416"/>
    <s v="INFAQ QRIS"/>
    <x v="2"/>
  </r>
  <r>
    <m/>
    <m/>
    <n v="20000"/>
    <x v="11"/>
    <n v="233106416"/>
    <s v="INFAQ QRIS"/>
    <x v="2"/>
  </r>
  <r>
    <m/>
    <m/>
    <n v="50000"/>
    <x v="11"/>
    <n v="233156416"/>
    <s v="INFAQ QRIS"/>
    <x v="2"/>
  </r>
  <r>
    <m/>
    <m/>
    <n v="50000"/>
    <x v="11"/>
    <n v="233206416"/>
    <s v="INFAQ QRIS"/>
    <x v="2"/>
  </r>
  <r>
    <n v="750000"/>
    <m/>
    <m/>
    <x v="11"/>
    <n v="232456416"/>
    <s v="Honor Ustadz Hasan Mubarok"/>
    <x v="11"/>
  </r>
  <r>
    <n v="6500"/>
    <m/>
    <m/>
    <x v="11"/>
    <n v="232449916"/>
    <s v="Honor Ustadz Hasan Mubarok"/>
    <x v="11"/>
  </r>
  <r>
    <m/>
    <m/>
    <n v="50000"/>
    <x v="11"/>
    <n v="232499916"/>
    <s v="INFAQ QRIS"/>
    <x v="2"/>
  </r>
  <r>
    <m/>
    <m/>
    <n v="10000"/>
    <x v="11"/>
    <n v="232509916"/>
    <s v="INFAQ QRIS"/>
    <x v="2"/>
  </r>
  <r>
    <m/>
    <m/>
    <n v="100000"/>
    <x v="11"/>
    <n v="232609916"/>
    <s v="INFAQ QRIS"/>
    <x v="2"/>
  </r>
  <r>
    <m/>
    <m/>
    <n v="20000"/>
    <x v="11"/>
    <n v="232629916"/>
    <s v="INFAQ QRIS"/>
    <x v="2"/>
  </r>
  <r>
    <m/>
    <m/>
    <n v="25000"/>
    <x v="11"/>
    <n v="232654916"/>
    <s v="INFAQ QRIS"/>
    <x v="2"/>
  </r>
  <r>
    <m/>
    <m/>
    <n v="10000"/>
    <x v="11"/>
    <n v="232664916"/>
    <s v="INFAQ QRIS"/>
    <x v="2"/>
  </r>
  <r>
    <m/>
    <m/>
    <n v="25000"/>
    <x v="11"/>
    <n v="232689916"/>
    <s v="INFAQ QRIS"/>
    <x v="2"/>
  </r>
  <r>
    <m/>
    <m/>
    <n v="2184000"/>
    <x v="11"/>
    <n v="234873916"/>
    <m/>
    <x v="12"/>
  </r>
  <r>
    <m/>
    <m/>
    <n v="1256000"/>
    <x v="11"/>
    <n v="236129916"/>
    <m/>
    <x v="2"/>
  </r>
  <r>
    <m/>
    <n v="3440000"/>
    <m/>
    <x v="1"/>
    <n v="236129916"/>
    <s v=" 001114766954 INFAQ MASJID  SETOR TUNAI "/>
    <x v="4"/>
  </r>
  <r>
    <m/>
    <m/>
    <n v="20000"/>
    <x v="11"/>
    <n v="236149916"/>
    <s v="INFAQ QRIS"/>
    <x v="2"/>
  </r>
  <r>
    <m/>
    <m/>
    <n v="2655000"/>
    <x v="11"/>
    <n v="238804916"/>
    <s v="INFAQ COLLECTIVE A IMRON ROSADI"/>
    <x v="2"/>
  </r>
  <r>
    <m/>
    <m/>
    <n v="20000"/>
    <x v="11"/>
    <n v="238824916"/>
    <s v="INFAQ QRIS"/>
    <x v="2"/>
  </r>
  <r>
    <m/>
    <m/>
    <n v="20000"/>
    <x v="11"/>
    <n v="238844916"/>
    <s v="INFAQ QRIS"/>
    <x v="2"/>
  </r>
  <r>
    <n v="9000"/>
    <m/>
    <m/>
    <x v="11"/>
    <n v="238835916"/>
    <s v="  713 3200028199 Fee Payroll Juni 2025 CMS BIAYA PAYROLL "/>
    <x v="1"/>
  </r>
  <r>
    <m/>
    <m/>
    <n v="50000"/>
    <x v="11"/>
    <n v="238885916"/>
    <s v="INFAQ QRIS"/>
    <x v="2"/>
  </r>
  <r>
    <m/>
    <m/>
    <n v="10000"/>
    <x v="11"/>
    <n v="238895916"/>
    <s v="INFAQ QRIS"/>
    <x v="2"/>
  </r>
  <r>
    <m/>
    <m/>
    <n v="20000"/>
    <x v="11"/>
    <n v="238915916"/>
    <s v="INFAQ QRIS"/>
    <x v="2"/>
  </r>
  <r>
    <n v="20000000"/>
    <m/>
    <m/>
    <x v="11"/>
    <n v="218915916"/>
    <s v="Beasiswa Anak Binaan MAJ"/>
    <x v="14"/>
  </r>
  <r>
    <n v="6500"/>
    <m/>
    <m/>
    <x v="11"/>
    <n v="218909416"/>
    <s v="Beasiswa Anak Binaan MAJ"/>
    <x v="14"/>
  </r>
  <r>
    <m/>
    <m/>
    <n v="20000"/>
    <x v="12"/>
    <n v="218929416"/>
    <s v="INFAQ QRIS"/>
    <x v="2"/>
  </r>
  <r>
    <m/>
    <m/>
    <n v="1000000"/>
    <x v="12"/>
    <n v="219929416"/>
    <s v="INFAQ RAMADHAN NIENDRAPUTRA"/>
    <x v="2"/>
  </r>
  <r>
    <m/>
    <m/>
    <n v="1000000"/>
    <x v="12"/>
    <n v="220929416"/>
    <s v="INFAQ ANGGONO IRIAWAN"/>
    <x v="2"/>
  </r>
  <r>
    <n v="750000"/>
    <m/>
    <m/>
    <x v="12"/>
    <n v="220179416"/>
    <s v="HONOR USTADZ-IMAM MUSLIH"/>
    <x v="11"/>
  </r>
  <r>
    <n v="6500"/>
    <m/>
    <m/>
    <x v="12"/>
    <n v="220172916"/>
    <s v="HONOR USTADZ-IMAM MUSLIH"/>
    <x v="11"/>
  </r>
  <r>
    <m/>
    <m/>
    <n v="2000"/>
    <x v="12"/>
    <n v="220174916"/>
    <s v="INFAQ QRIS"/>
    <x v="2"/>
  </r>
  <r>
    <m/>
    <m/>
    <n v="50000"/>
    <x v="12"/>
    <n v="220224916"/>
    <s v="INFAQ QRIS"/>
    <x v="2"/>
  </r>
  <r>
    <m/>
    <m/>
    <n v="20000"/>
    <x v="12"/>
    <n v="220244916"/>
    <s v="INFAQ QRIS"/>
    <x v="2"/>
  </r>
  <r>
    <m/>
    <m/>
    <n v="100000"/>
    <x v="12"/>
    <n v="220344916"/>
    <s v="INFAQ QRIS"/>
    <x v="2"/>
  </r>
  <r>
    <m/>
    <m/>
    <n v="50000"/>
    <x v="12"/>
    <n v="220394916"/>
    <s v="INFAQ QRIS"/>
    <x v="2"/>
  </r>
  <r>
    <m/>
    <m/>
    <n v="20000"/>
    <x v="12"/>
    <n v="220414916"/>
    <s v="INFAQ QRIS"/>
    <x v="2"/>
  </r>
  <r>
    <m/>
    <m/>
    <n v="20000"/>
    <x v="12"/>
    <n v="220434916"/>
    <s v="INFAQ QRIS"/>
    <x v="2"/>
  </r>
  <r>
    <m/>
    <m/>
    <n v="3500"/>
    <x v="12"/>
    <n v="220438416"/>
    <s v="INFAQ QRIS"/>
    <x v="2"/>
  </r>
  <r>
    <n v="1000000"/>
    <m/>
    <m/>
    <x v="12"/>
    <n v="219438416"/>
    <s v="HONOR UST-WAHID RAHMAN"/>
    <x v="11"/>
  </r>
  <r>
    <n v="6500"/>
    <m/>
    <m/>
    <x v="12"/>
    <n v="219431916"/>
    <s v="HONOR UST-WAHID RAHMAN"/>
    <x v="11"/>
  </r>
  <r>
    <m/>
    <m/>
    <n v="40000"/>
    <x v="12"/>
    <n v="219471916"/>
    <s v="INFAQ QRIS"/>
    <x v="2"/>
  </r>
  <r>
    <m/>
    <m/>
    <n v="50000"/>
    <x v="12"/>
    <n v="219521916"/>
    <s v="INFAQ QRIS"/>
    <x v="2"/>
  </r>
  <r>
    <m/>
    <m/>
    <n v="20000"/>
    <x v="12"/>
    <n v="219541916"/>
    <s v="INFAQ QRIS"/>
    <x v="2"/>
  </r>
  <r>
    <m/>
    <m/>
    <n v="2000"/>
    <x v="12"/>
    <n v="219543916"/>
    <s v="INFAQ QRIS"/>
    <x v="2"/>
  </r>
  <r>
    <n v="1000000"/>
    <m/>
    <m/>
    <x v="12"/>
    <n v="218543916"/>
    <s v="AHMAD IMAM SAMUDRA MAJ Honor Juli 2025"/>
    <x v="13"/>
  </r>
  <r>
    <n v="6500"/>
    <m/>
    <m/>
    <x v="12"/>
    <n v="218537416"/>
    <s v="AHMAD IMAM SAMUDRA MAJ Honor Juli 2025"/>
    <x v="13"/>
  </r>
  <r>
    <n v="2250000"/>
    <m/>
    <m/>
    <x v="12"/>
    <n v="216287416"/>
    <s v=" A IMRON ROSADI MAJ Honor Juli 2025"/>
    <x v="13"/>
  </r>
  <r>
    <n v="6500"/>
    <m/>
    <m/>
    <x v="12"/>
    <n v="216280916"/>
    <s v=" A IMRON ROSADI MAJ Honor Juli 2025"/>
    <x v="13"/>
  </r>
  <r>
    <n v="2500000"/>
    <m/>
    <m/>
    <x v="12"/>
    <n v="213780916"/>
    <s v="MUHAMMAD ILHAM MAJ Honor Juli 2025"/>
    <x v="13"/>
  </r>
  <r>
    <n v="6500"/>
    <m/>
    <m/>
    <x v="12"/>
    <n v="213774416"/>
    <s v="MUHAMMAD ILHAM MAJ Honor Juli 2025"/>
    <x v="13"/>
  </r>
  <r>
    <n v="2700000"/>
    <m/>
    <m/>
    <x v="12"/>
    <n v="211074416"/>
    <s v="M BAYU CANDRA MAJ Honor Mushrif Juli 2025"/>
    <x v="14"/>
  </r>
  <r>
    <n v="6500"/>
    <m/>
    <m/>
    <x v="12"/>
    <n v="211067916"/>
    <s v="M BAYU CANDRA MAJ Honor Mushrif Juli 2025"/>
    <x v="14"/>
  </r>
  <r>
    <n v="2000000"/>
    <m/>
    <m/>
    <x v="12"/>
    <n v="209067916"/>
    <s v="LINA HERLINA Biaya Adm Pengajian Ibu-Ibu MAJ Agustus"/>
    <x v="11"/>
  </r>
  <r>
    <n v="6500"/>
    <m/>
    <m/>
    <x v="12"/>
    <n v="209061416"/>
    <s v="LINA HERLINA Biaya Adm Pengajian Ibu-Ibu MAJ Agustus"/>
    <x v="11"/>
  </r>
  <r>
    <n v="4000000"/>
    <m/>
    <m/>
    <x v="12"/>
    <n v="205061416"/>
    <s v="M BAYU CANDRA MAJ Biaya Perawatan Santri Juli 2025"/>
    <x v="14"/>
  </r>
  <r>
    <n v="6500"/>
    <m/>
    <m/>
    <x v="12"/>
    <n v="205054916"/>
    <s v="M BAYU CANDRA MAJ Biaya Perawatan Santri Juli 2025"/>
    <x v="14"/>
  </r>
  <r>
    <n v="550000"/>
    <m/>
    <m/>
    <x v="12"/>
    <n v="204504916"/>
    <s v="M BAYU CANDRA MAJ Honor Juli 2025"/>
    <x v="13"/>
  </r>
  <r>
    <n v="6500"/>
    <m/>
    <m/>
    <x v="12"/>
    <n v="204498416"/>
    <s v="M BAYU CANDRA MAJ Honor Juli 2025"/>
    <x v="13"/>
  </r>
  <r>
    <n v="3500000"/>
    <m/>
    <m/>
    <x v="12"/>
    <n v="200998416"/>
    <s v="NANANG SUBAEDI MAJ Honor Juli 2025"/>
    <x v="13"/>
  </r>
  <r>
    <n v="6500"/>
    <m/>
    <m/>
    <x v="12"/>
    <n v="200991916"/>
    <s v="NANANG SUBAEDI MAJ Honor Juli 2025"/>
    <x v="13"/>
  </r>
  <r>
    <n v="2750000"/>
    <m/>
    <m/>
    <x v="12"/>
    <n v="198241916"/>
    <s v="HONOR USTADZ SURYADI"/>
    <x v="13"/>
  </r>
  <r>
    <n v="250000"/>
    <m/>
    <m/>
    <x v="12"/>
    <n v="197991916"/>
    <s v="M BAYU CANDRA Keperluan Santri MAJ"/>
    <x v="14"/>
  </r>
  <r>
    <n v="6500"/>
    <m/>
    <m/>
    <x v="12"/>
    <n v="197985416"/>
    <s v="M BAYU CANDRA Keperluan Santri MAJ"/>
    <x v="14"/>
  </r>
  <r>
    <m/>
    <m/>
    <n v="20000"/>
    <x v="12"/>
    <n v="198005416"/>
    <s v="INFAQ QRIS"/>
    <x v="2"/>
  </r>
  <r>
    <m/>
    <m/>
    <n v="1500"/>
    <x v="12"/>
    <n v="198006916"/>
    <s v="INFAQ QRIS"/>
    <x v="2"/>
  </r>
  <r>
    <m/>
    <m/>
    <n v="25000"/>
    <x v="12"/>
    <n v="198031916"/>
    <s v="INFAQ QRIS"/>
    <x v="2"/>
  </r>
  <r>
    <m/>
    <m/>
    <n v="1510000"/>
    <x v="12"/>
    <n v="199541916"/>
    <m/>
    <x v="12"/>
  </r>
  <r>
    <m/>
    <m/>
    <n v="3932000"/>
    <x v="12"/>
    <n v="203473916"/>
    <m/>
    <x v="2"/>
  </r>
  <r>
    <m/>
    <n v="5442000"/>
    <m/>
    <x v="1"/>
    <n v="203473916"/>
    <s v=" 001114877976   SETOR TUNAI "/>
    <x v="4"/>
  </r>
  <r>
    <m/>
    <m/>
    <n v="20000"/>
    <x v="12"/>
    <n v="203493916"/>
    <s v="INFAQ QRIS"/>
    <x v="2"/>
  </r>
  <r>
    <m/>
    <m/>
    <n v="20000"/>
    <x v="12"/>
    <n v="203513916"/>
    <s v="INFAQ QRIS"/>
    <x v="2"/>
  </r>
  <r>
    <m/>
    <m/>
    <n v="50000"/>
    <x v="12"/>
    <n v="203563916"/>
    <s v="INFAQ QRIS"/>
    <x v="2"/>
  </r>
  <r>
    <m/>
    <m/>
    <n v="1500"/>
    <x v="12"/>
    <n v="203565416"/>
    <s v="INFAQ QRIS"/>
    <x v="2"/>
  </r>
  <r>
    <m/>
    <m/>
    <n v="10000"/>
    <x v="12"/>
    <n v="203575416"/>
    <s v="INFAQ QRIS"/>
    <x v="2"/>
  </r>
  <r>
    <m/>
    <m/>
    <n v="20000"/>
    <x v="12"/>
    <n v="203595416"/>
    <s v="INFAQ QRIS"/>
    <x v="2"/>
  </r>
  <r>
    <m/>
    <m/>
    <n v="7650"/>
    <x v="12"/>
    <n v="203603066"/>
    <s v="INFAQ QRIS"/>
    <x v="2"/>
  </r>
  <r>
    <n v="3500000"/>
    <m/>
    <m/>
    <x v="12"/>
    <n v="200103066"/>
    <s v="Paket Ambulance dan Tenda Takziah"/>
    <x v="15"/>
  </r>
  <r>
    <n v="6500"/>
    <m/>
    <m/>
    <x v="12"/>
    <n v="200096566"/>
    <s v="Paket Ambulance dan Tenda Takziah"/>
    <x v="15"/>
  </r>
  <r>
    <m/>
    <m/>
    <n v="350000"/>
    <x v="12"/>
    <n v="200446566"/>
    <s v="INFAQ DESYANA SE "/>
    <x v="2"/>
  </r>
  <r>
    <m/>
    <m/>
    <n v="200000"/>
    <x v="12"/>
    <n v="200646566"/>
    <s v="Infaq TPQ RIVENDRA u Fatih"/>
    <x v="2"/>
  </r>
  <r>
    <m/>
    <m/>
    <n v="20000"/>
    <x v="12"/>
    <n v="200666566"/>
    <s v="INFAQ QRIS"/>
    <x v="2"/>
  </r>
  <r>
    <m/>
    <m/>
    <n v="10000"/>
    <x v="12"/>
    <n v="200676566"/>
    <s v="INFAQ QRIS"/>
    <x v="2"/>
  </r>
  <r>
    <m/>
    <m/>
    <n v="1000"/>
    <x v="12"/>
    <n v="200677566"/>
    <s v="INFAQ QRIS"/>
    <x v="2"/>
  </r>
  <r>
    <m/>
    <m/>
    <n v="20000"/>
    <x v="13"/>
    <n v="200697566"/>
    <s v="INFAQ QRIS"/>
    <x v="2"/>
  </r>
  <r>
    <m/>
    <m/>
    <n v="1000"/>
    <x v="13"/>
    <n v="200698566"/>
    <s v="INFAQ QRIS"/>
    <x v="2"/>
  </r>
  <r>
    <m/>
    <m/>
    <n v="200000"/>
    <x v="13"/>
    <n v="200898566"/>
    <s v="INFAQ UMI HAMIDAH DRA"/>
    <x v="2"/>
  </r>
  <r>
    <m/>
    <m/>
    <n v="200000"/>
    <x v="13"/>
    <n v="201098566"/>
    <s v="INFAQ WUSONO PRIHADI SANTO"/>
    <x v="2"/>
  </r>
  <r>
    <m/>
    <m/>
    <n v="500000"/>
    <x v="13"/>
    <n v="201598566"/>
    <s v="INFAQ DRS SARWONO"/>
    <x v="2"/>
  </r>
  <r>
    <m/>
    <m/>
    <n v="300000"/>
    <x v="13"/>
    <n v="201898566"/>
    <s v="INFAQ FADJAR SATYANI"/>
    <x v="2"/>
  </r>
  <r>
    <n v="750000"/>
    <m/>
    <m/>
    <x v="13"/>
    <n v="201148566"/>
    <s v="HONOR USTADZ-IMAM MUSLIH Hadiah Kajian MAJ 020825"/>
    <x v="11"/>
  </r>
  <r>
    <n v="6500"/>
    <m/>
    <m/>
    <x v="13"/>
    <n v="201142066"/>
    <s v="HONOR USTADZ-IMAM MUSLIH Hadiah Kajian MAJ 020825"/>
    <x v="11"/>
  </r>
  <r>
    <m/>
    <m/>
    <n v="50000"/>
    <x v="13"/>
    <n v="201192066"/>
    <s v="INFAQ QRIS"/>
    <x v="2"/>
  </r>
  <r>
    <m/>
    <m/>
    <n v="100000"/>
    <x v="13"/>
    <n v="201292066"/>
    <s v="INFAQ QRIS"/>
    <x v="2"/>
  </r>
  <r>
    <m/>
    <m/>
    <n v="10000"/>
    <x v="13"/>
    <n v="201302066"/>
    <s v="INFAQ QRIS"/>
    <x v="2"/>
  </r>
  <r>
    <m/>
    <m/>
    <n v="50000"/>
    <x v="13"/>
    <n v="201352066"/>
    <s v="INFAQ QRIS"/>
    <x v="2"/>
  </r>
  <r>
    <m/>
    <m/>
    <n v="20000"/>
    <x v="13"/>
    <n v="201372066"/>
    <s v="INFAQ QRIS"/>
    <x v="2"/>
  </r>
  <r>
    <m/>
    <m/>
    <n v="20000"/>
    <x v="13"/>
    <n v="201392066"/>
    <s v="INFAQ QRIS"/>
    <x v="2"/>
  </r>
  <r>
    <m/>
    <m/>
    <n v="20000"/>
    <x v="13"/>
    <n v="201412066"/>
    <s v="INFAQ QRIS"/>
    <x v="2"/>
  </r>
  <r>
    <m/>
    <m/>
    <n v="50000"/>
    <x v="13"/>
    <n v="201462066"/>
    <s v="INFAQ QRIS"/>
    <x v="2"/>
  </r>
  <r>
    <m/>
    <m/>
    <n v="1138"/>
    <x v="13"/>
    <n v="201463204"/>
    <s v="INFAQ QRIS"/>
    <x v="2"/>
  </r>
  <r>
    <m/>
    <m/>
    <n v="5000"/>
    <x v="13"/>
    <n v="201468204"/>
    <s v="INFAQ QRIS"/>
    <x v="2"/>
  </r>
  <r>
    <m/>
    <m/>
    <n v="5000"/>
    <x v="13"/>
    <n v="201473204"/>
    <s v="INFAQ QRIS"/>
    <x v="2"/>
  </r>
  <r>
    <m/>
    <m/>
    <n v="200000"/>
    <x v="13"/>
    <n v="201673204"/>
    <s v="INFAQ SURJATI SUTARJA"/>
    <x v="2"/>
  </r>
  <r>
    <m/>
    <m/>
    <n v="200000"/>
    <x v="13"/>
    <n v="201873204"/>
    <s v="INFAQ DEDEN TP PERDIANSYAH"/>
    <x v="2"/>
  </r>
  <r>
    <n v="750000"/>
    <m/>
    <m/>
    <x v="13"/>
    <n v="201123204"/>
    <s v="HONOR USTADZ UMAR-ZULFA SYAHIDAH "/>
    <x v="11"/>
  </r>
  <r>
    <n v="6500"/>
    <m/>
    <m/>
    <x v="13"/>
    <n v="201116704"/>
    <s v="HONOR USTADZ UMAR-ZULFA SYAHIDAH "/>
    <x v="11"/>
  </r>
  <r>
    <m/>
    <m/>
    <n v="20000"/>
    <x v="13"/>
    <n v="201136704"/>
    <s v="INFAQ QRIS"/>
    <x v="2"/>
  </r>
  <r>
    <m/>
    <m/>
    <n v="10000"/>
    <x v="13"/>
    <n v="201146704"/>
    <s v="INFAQ QRIS"/>
    <x v="2"/>
  </r>
  <r>
    <m/>
    <m/>
    <n v="1000"/>
    <x v="13"/>
    <n v="201147704"/>
    <s v="INFAQ QRIS"/>
    <x v="2"/>
  </r>
  <r>
    <m/>
    <m/>
    <n v="100000"/>
    <x v="13"/>
    <n v="201247704"/>
    <s v="INFAQ HADIANTI DELLIANA"/>
    <x v="2"/>
  </r>
  <r>
    <n v="3009000"/>
    <m/>
    <m/>
    <x v="13"/>
    <n v="198238704"/>
    <s v="Beli Voucher Listrik MAJ"/>
    <x v="7"/>
  </r>
  <r>
    <n v="6500"/>
    <m/>
    <m/>
    <x v="13"/>
    <n v="198232204"/>
    <s v="Beli Voucher Listrik MAJ"/>
    <x v="7"/>
  </r>
  <r>
    <m/>
    <m/>
    <n v="2000"/>
    <x v="13"/>
    <n v="198234204"/>
    <s v="INFAQ QRIS"/>
    <x v="2"/>
  </r>
  <r>
    <m/>
    <m/>
    <n v="25000"/>
    <x v="13"/>
    <n v="198259204"/>
    <s v="INFAQ QRIS"/>
    <x v="2"/>
  </r>
  <r>
    <m/>
    <m/>
    <n v="2095000"/>
    <x v="13"/>
    <n v="200354204"/>
    <m/>
    <x v="12"/>
  </r>
  <r>
    <m/>
    <m/>
    <n v="2612000"/>
    <x v="13"/>
    <n v="202966204"/>
    <m/>
    <x v="2"/>
  </r>
  <r>
    <m/>
    <n v="4707000"/>
    <m/>
    <x v="1"/>
    <n v="202966204"/>
    <s v=" 001114980380 INFAQ  SETOR TUNAI "/>
    <x v="4"/>
  </r>
  <r>
    <m/>
    <m/>
    <n v="20000"/>
    <x v="13"/>
    <n v="202986204"/>
    <s v="INFAQ QRIS"/>
    <x v="2"/>
  </r>
  <r>
    <m/>
    <m/>
    <n v="1000"/>
    <x v="13"/>
    <n v="202987204"/>
    <s v="INFAQ QRIS"/>
    <x v="2"/>
  </r>
  <r>
    <m/>
    <m/>
    <n v="500000"/>
    <x v="13"/>
    <n v="203487204"/>
    <s v="INFAQ INDRAEDISANTOSO"/>
    <x v="2"/>
  </r>
  <r>
    <m/>
    <m/>
    <n v="10000"/>
    <x v="13"/>
    <n v="203497204"/>
    <s v="INFAQ QRIS"/>
    <x v="2"/>
  </r>
  <r>
    <m/>
    <m/>
    <n v="20000"/>
    <x v="13"/>
    <n v="203517204"/>
    <s v="INFAQ QRIS"/>
    <x v="2"/>
  </r>
  <r>
    <m/>
    <m/>
    <n v="1000"/>
    <x v="13"/>
    <n v="203518204"/>
    <s v="INFAQ QRIS"/>
    <x v="2"/>
  </r>
  <r>
    <m/>
    <m/>
    <n v="400000"/>
    <x v="13"/>
    <n v="203918204"/>
    <s v="INFAQ PUTIE AMBUN SURI/RIVENDRA"/>
    <x v="2"/>
  </r>
  <r>
    <m/>
    <m/>
    <n v="800000"/>
    <x v="13"/>
    <n v="204718204"/>
    <s v="INFAQ TPQ A IMRON ROSADI"/>
    <x v="10"/>
  </r>
  <r>
    <m/>
    <m/>
    <n v="150000"/>
    <x v="13"/>
    <n v="204868204"/>
    <s v="INFAQ DWI LISTYOWATI DRA"/>
    <x v="2"/>
  </r>
  <r>
    <m/>
    <m/>
    <n v="20000"/>
    <x v="13"/>
    <n v="204888204"/>
    <s v="INFAQ QRIS"/>
    <x v="2"/>
  </r>
  <r>
    <m/>
    <m/>
    <n v="1000"/>
    <x v="13"/>
    <n v="204889204"/>
    <s v="INFAQ QRIS"/>
    <x v="2"/>
  </r>
  <r>
    <n v="675000"/>
    <m/>
    <m/>
    <x v="14"/>
    <n v="204214204"/>
    <s v="A IMRON ROSADI Service AC 9 Unit MAJ"/>
    <x v="8"/>
  </r>
  <r>
    <n v="6500"/>
    <m/>
    <m/>
    <x v="14"/>
    <n v="204207704"/>
    <s v="A IMRON ROSADI Service AC 9 Unit MAJ"/>
    <x v="8"/>
  </r>
  <r>
    <m/>
    <m/>
    <n v="2000000"/>
    <x v="14"/>
    <n v="206207704"/>
    <s v="INFAQ RIZKYHIDAYATSL"/>
    <x v="2"/>
  </r>
  <r>
    <m/>
    <m/>
    <n v="50000"/>
    <x v="14"/>
    <n v="206257704"/>
    <s v="INFAQ QRIS"/>
    <x v="2"/>
  </r>
  <r>
    <m/>
    <m/>
    <n v="10000"/>
    <x v="14"/>
    <n v="206267704"/>
    <s v="INFAQ QRIS"/>
    <x v="2"/>
  </r>
  <r>
    <m/>
    <m/>
    <n v="20000"/>
    <x v="14"/>
    <n v="206287704"/>
    <s v="INFAQ QRIS"/>
    <x v="2"/>
  </r>
  <r>
    <m/>
    <m/>
    <n v="1000"/>
    <x v="14"/>
    <n v="206288704"/>
    <s v="INFAQ QRIS"/>
    <x v="2"/>
  </r>
  <r>
    <n v="750000"/>
    <m/>
    <m/>
    <x v="14"/>
    <n v="205538704"/>
    <s v="HONOR UST-ABDUL HAMID"/>
    <x v="11"/>
  </r>
  <r>
    <n v="6500"/>
    <m/>
    <m/>
    <x v="14"/>
    <n v="205532204"/>
    <s v="HONOR UST-ABDUL HAMID"/>
    <x v="11"/>
  </r>
  <r>
    <m/>
    <m/>
    <n v="50000"/>
    <x v="14"/>
    <n v="205582204"/>
    <s v="INFAQ QRIS"/>
    <x v="2"/>
  </r>
  <r>
    <m/>
    <m/>
    <n v="100000"/>
    <x v="14"/>
    <n v="205682204"/>
    <s v="INFAQ QRIS"/>
    <x v="2"/>
  </r>
  <r>
    <m/>
    <m/>
    <n v="10000"/>
    <x v="14"/>
    <n v="205692204"/>
    <s v="INFAQ QRIS"/>
    <x v="2"/>
  </r>
  <r>
    <m/>
    <m/>
    <n v="10000"/>
    <x v="14"/>
    <n v="205702204"/>
    <s v="INFAQ QRIS"/>
    <x v="2"/>
  </r>
  <r>
    <m/>
    <m/>
    <n v="50000"/>
    <x v="14"/>
    <n v="205752204"/>
    <s v="INFAQ QRIS"/>
    <x v="2"/>
  </r>
  <r>
    <m/>
    <m/>
    <n v="50000"/>
    <x v="14"/>
    <n v="205802204"/>
    <s v="INFAQ QRIS"/>
    <x v="2"/>
  </r>
  <r>
    <m/>
    <m/>
    <n v="20000"/>
    <x v="14"/>
    <n v="205822204"/>
    <s v="INFAQ QRIS"/>
    <x v="2"/>
  </r>
  <r>
    <m/>
    <m/>
    <n v="20000"/>
    <x v="14"/>
    <n v="205842204"/>
    <s v="INFAQ QRIS"/>
    <x v="2"/>
  </r>
  <r>
    <m/>
    <m/>
    <n v="50000"/>
    <x v="14"/>
    <n v="205892204"/>
    <s v="INFAQ QRIS"/>
    <x v="2"/>
  </r>
  <r>
    <m/>
    <m/>
    <n v="1000"/>
    <x v="14"/>
    <n v="205893204"/>
    <s v="INFAQ QRIS"/>
    <x v="2"/>
  </r>
  <r>
    <m/>
    <m/>
    <n v="5000"/>
    <x v="14"/>
    <n v="205898204"/>
    <s v="INFAQ QRIS"/>
    <x v="2"/>
  </r>
  <r>
    <n v="750000"/>
    <m/>
    <m/>
    <x v="14"/>
    <n v="205148204"/>
    <s v="HONOR UST. DARWIS"/>
    <x v="11"/>
  </r>
  <r>
    <m/>
    <m/>
    <n v="20000"/>
    <x v="14"/>
    <n v="205168204"/>
    <s v="INFAQ QRIS"/>
    <x v="2"/>
  </r>
  <r>
    <m/>
    <m/>
    <n v="10000"/>
    <x v="14"/>
    <n v="205178204"/>
    <s v="INFAQ QRIS"/>
    <x v="2"/>
  </r>
  <r>
    <m/>
    <m/>
    <n v="1000"/>
    <x v="14"/>
    <n v="205179204"/>
    <s v="INFAQ QRIS"/>
    <x v="2"/>
  </r>
  <r>
    <m/>
    <m/>
    <n v="20000"/>
    <x v="14"/>
    <n v="205199204"/>
    <s v="INFAQ QRIS"/>
    <x v="2"/>
  </r>
  <r>
    <m/>
    <m/>
    <n v="1000"/>
    <x v="14"/>
    <n v="205200204"/>
    <s v="INFAQ QRIS"/>
    <x v="2"/>
  </r>
  <r>
    <m/>
    <m/>
    <n v="25000"/>
    <x v="14"/>
    <n v="205225204"/>
    <s v="INFAQ QRIS"/>
    <x v="2"/>
  </r>
  <r>
    <m/>
    <m/>
    <n v="4008000"/>
    <x v="14"/>
    <n v="209233204"/>
    <m/>
    <x v="12"/>
  </r>
  <r>
    <m/>
    <m/>
    <n v="2145000"/>
    <x v="14"/>
    <n v="211378204"/>
    <m/>
    <x v="2"/>
  </r>
  <r>
    <m/>
    <n v="6153000"/>
    <m/>
    <x v="1"/>
    <n v="211378204"/>
    <s v=" 001115104714   SETOR TUNAI "/>
    <x v="4"/>
  </r>
  <r>
    <m/>
    <m/>
    <n v="100000"/>
    <x v="14"/>
    <n v="211478204"/>
    <s v="INFAQ QRIS"/>
    <x v="2"/>
  </r>
  <r>
    <m/>
    <m/>
    <n v="20000"/>
    <x v="14"/>
    <n v="211498204"/>
    <s v="INFAQ QRIS"/>
    <x v="2"/>
  </r>
  <r>
    <m/>
    <m/>
    <n v="20000"/>
    <x v="14"/>
    <n v="211518204"/>
    <s v="INFAQ QRIS"/>
    <x v="2"/>
  </r>
  <r>
    <m/>
    <m/>
    <n v="3000"/>
    <x v="14"/>
    <n v="211521204"/>
    <s v="INFAQ QRIS"/>
    <x v="2"/>
  </r>
  <r>
    <m/>
    <m/>
    <n v="10000"/>
    <x v="14"/>
    <n v="211531204"/>
    <s v="INFAQ QRIS"/>
    <x v="2"/>
  </r>
  <r>
    <m/>
    <m/>
    <n v="20000"/>
    <x v="14"/>
    <n v="211551204"/>
    <s v="INFAQ QRIS"/>
    <x v="2"/>
  </r>
  <r>
    <m/>
    <m/>
    <n v="1000"/>
    <x v="14"/>
    <n v="211552204"/>
    <s v="INFAQ QRIS"/>
    <x v="2"/>
  </r>
  <r>
    <m/>
    <m/>
    <n v="10000"/>
    <x v="14"/>
    <n v="211562204"/>
    <s v="INFAQ QRIS"/>
    <x v="2"/>
  </r>
  <r>
    <m/>
    <m/>
    <n v="20000"/>
    <x v="14"/>
    <n v="211582204"/>
    <s v="INFAQ QRIS"/>
    <x v="2"/>
  </r>
  <r>
    <m/>
    <m/>
    <n v="1500"/>
    <x v="14"/>
    <n v="211583704"/>
    <s v="INFAQ QRIS"/>
    <x v="2"/>
  </r>
  <r>
    <m/>
    <m/>
    <n v="100000"/>
    <x v="15"/>
    <n v="211683704"/>
    <s v="INFAQ FENTYHERLIANA"/>
    <x v="2"/>
  </r>
  <r>
    <m/>
    <m/>
    <n v="30000"/>
    <x v="15"/>
    <n v="211713704"/>
    <s v="INFAQ QRIS"/>
    <x v="2"/>
  </r>
  <r>
    <m/>
    <m/>
    <n v="100000"/>
    <x v="15"/>
    <n v="211813704"/>
    <s v="INFAQ QRIS"/>
    <x v="2"/>
  </r>
  <r>
    <m/>
    <m/>
    <n v="100000"/>
    <x v="15"/>
    <n v="211913704"/>
    <s v="INFAQ QRIS"/>
    <x v="2"/>
  </r>
  <r>
    <m/>
    <m/>
    <n v="10000"/>
    <x v="15"/>
    <n v="211923704"/>
    <s v="INFAQ QRIS"/>
    <x v="2"/>
  </r>
  <r>
    <m/>
    <m/>
    <n v="20000"/>
    <x v="15"/>
    <n v="211943704"/>
    <s v="INFAQ QRIS"/>
    <x v="2"/>
  </r>
  <r>
    <m/>
    <m/>
    <n v="2000"/>
    <x v="15"/>
    <n v="211945704"/>
    <s v="INFAQ QRIS"/>
    <x v="2"/>
  </r>
  <r>
    <n v="750000"/>
    <m/>
    <m/>
    <x v="15"/>
    <n v="211195704"/>
    <s v="HONOR UST. FAISAL "/>
    <x v="11"/>
  </r>
  <r>
    <m/>
    <m/>
    <n v="50000"/>
    <x v="15"/>
    <n v="211245704"/>
    <s v="INFAQ QRIS"/>
    <x v="2"/>
  </r>
  <r>
    <m/>
    <m/>
    <n v="25000"/>
    <x v="15"/>
    <n v="211270704"/>
    <s v="INFAQ QRIS"/>
    <x v="2"/>
  </r>
  <r>
    <m/>
    <m/>
    <n v="3000"/>
    <x v="15"/>
    <n v="211273704"/>
    <s v="INFAQ QRIS"/>
    <x v="2"/>
  </r>
  <r>
    <m/>
    <m/>
    <n v="5000"/>
    <x v="15"/>
    <n v="211278704"/>
    <s v="INFAQ QRIS"/>
    <x v="2"/>
  </r>
  <r>
    <m/>
    <m/>
    <n v="10000"/>
    <x v="15"/>
    <n v="211288704"/>
    <s v="INFAQ QRIS"/>
    <x v="2"/>
  </r>
  <r>
    <m/>
    <m/>
    <n v="10000"/>
    <x v="15"/>
    <n v="211298704"/>
    <s v="INFAQ QRIS"/>
    <x v="2"/>
  </r>
  <r>
    <m/>
    <m/>
    <n v="20000"/>
    <x v="15"/>
    <n v="211318704"/>
    <s v="INFAQ QRIS"/>
    <x v="2"/>
  </r>
  <r>
    <n v="750000"/>
    <m/>
    <m/>
    <x v="15"/>
    <n v="210568704"/>
    <s v="HONOR UST. HASAN MUBAROK"/>
    <x v="11"/>
  </r>
  <r>
    <n v="6500"/>
    <m/>
    <m/>
    <x v="15"/>
    <n v="210562204"/>
    <s v="HONOR UST. HASAN MUBAROK"/>
    <x v="11"/>
  </r>
  <r>
    <m/>
    <m/>
    <n v="10000"/>
    <x v="15"/>
    <n v="210572204"/>
    <s v="INFAQ QRIS"/>
    <x v="2"/>
  </r>
  <r>
    <m/>
    <m/>
    <n v="20000"/>
    <x v="15"/>
    <n v="210592204"/>
    <s v="INFAQ QRIS"/>
    <x v="2"/>
  </r>
  <r>
    <m/>
    <m/>
    <n v="25000"/>
    <x v="15"/>
    <n v="210617204"/>
    <s v="INFAQ QRIS"/>
    <x v="2"/>
  </r>
  <r>
    <m/>
    <m/>
    <n v="50000"/>
    <x v="15"/>
    <n v="210667204"/>
    <s v="INFAQ QRIS"/>
    <x v="2"/>
  </r>
  <r>
    <m/>
    <m/>
    <n v="20000"/>
    <x v="15"/>
    <n v="210687204"/>
    <s v="INFAQ QRIS"/>
    <x v="2"/>
  </r>
  <r>
    <m/>
    <m/>
    <n v="1000"/>
    <x v="15"/>
    <n v="210688204"/>
    <s v="INFAQ QRIS"/>
    <x v="2"/>
  </r>
  <r>
    <m/>
    <m/>
    <n v="25000"/>
    <x v="15"/>
    <n v="210713204"/>
    <s v="INFAQ QRIS"/>
    <x v="2"/>
  </r>
  <r>
    <m/>
    <m/>
    <n v="3000"/>
    <x v="15"/>
    <n v="210716204"/>
    <s v="INFAQ QRIS"/>
    <x v="2"/>
  </r>
  <r>
    <m/>
    <m/>
    <n v="3000"/>
    <x v="15"/>
    <n v="210719204"/>
    <s v="INFAQ QRIS"/>
    <x v="2"/>
  </r>
  <r>
    <m/>
    <m/>
    <n v="6000"/>
    <x v="15"/>
    <n v="210725204"/>
    <s v="INFAQ QRIS"/>
    <x v="2"/>
  </r>
  <r>
    <m/>
    <m/>
    <n v="1000"/>
    <x v="15"/>
    <n v="210726204"/>
    <s v="INFAQ QRIS"/>
    <x v="2"/>
  </r>
  <r>
    <m/>
    <m/>
    <n v="10000"/>
    <x v="15"/>
    <n v="210736204"/>
    <s v="INFAQ QRIS"/>
    <x v="2"/>
  </r>
  <r>
    <m/>
    <m/>
    <n v="20000"/>
    <x v="15"/>
    <n v="210756204"/>
    <s v="INFAQ QRIS"/>
    <x v="2"/>
  </r>
  <r>
    <m/>
    <m/>
    <n v="25000"/>
    <x v="15"/>
    <n v="210781204"/>
    <s v="INFAQ QRIS"/>
    <x v="2"/>
  </r>
  <r>
    <m/>
    <m/>
    <n v="100000"/>
    <x v="15"/>
    <n v="210881204"/>
    <s v="INFAQ QRIS"/>
    <x v="2"/>
  </r>
  <r>
    <m/>
    <m/>
    <n v="1000"/>
    <x v="15"/>
    <n v="210882204"/>
    <s v="INFAQ QRIS"/>
    <x v="2"/>
  </r>
  <r>
    <m/>
    <m/>
    <n v="20000"/>
    <x v="15"/>
    <n v="210902204"/>
    <s v="INFAQ QRIS"/>
    <x v="2"/>
  </r>
  <r>
    <m/>
    <m/>
    <n v="1866000"/>
    <x v="15"/>
    <n v="212768204"/>
    <m/>
    <x v="12"/>
  </r>
  <r>
    <m/>
    <m/>
    <n v="2718000"/>
    <x v="15"/>
    <n v="215486204"/>
    <m/>
    <x v="2"/>
  </r>
  <r>
    <m/>
    <n v="4584000"/>
    <m/>
    <x v="1"/>
    <n v="215486204"/>
    <s v=" 001115222657   SETOR TUNAI "/>
    <x v="4"/>
  </r>
  <r>
    <m/>
    <m/>
    <n v="1000"/>
    <x v="15"/>
    <n v="215487204"/>
    <s v="INFAQ QRIS"/>
    <x v="2"/>
  </r>
  <r>
    <m/>
    <m/>
    <n v="20000"/>
    <x v="15"/>
    <n v="215507204"/>
    <s v="INFAQ QRIS"/>
    <x v="2"/>
  </r>
  <r>
    <m/>
    <m/>
    <n v="20000"/>
    <x v="16"/>
    <n v="215527204"/>
    <s v="INFAQ QRIS"/>
    <x v="2"/>
  </r>
  <r>
    <m/>
    <m/>
    <n v="3150000"/>
    <x v="16"/>
    <n v="218677204"/>
    <s v="INFAQ COLLECTIVE A IMRON ROSADI"/>
    <x v="2"/>
  </r>
  <r>
    <n v="750000"/>
    <m/>
    <m/>
    <x v="16"/>
    <n v="217927204"/>
    <s v="HONOR UST.IMAM MUSLIH"/>
    <x v="11"/>
  </r>
  <r>
    <n v="6500"/>
    <m/>
    <m/>
    <x v="16"/>
    <n v="217920704"/>
    <s v="HONOR UST.IMAM MUSLIH"/>
    <x v="11"/>
  </r>
  <r>
    <m/>
    <m/>
    <n v="50000"/>
    <x v="16"/>
    <n v="217970704"/>
    <s v="INFAQ QRIS"/>
    <x v="2"/>
  </r>
  <r>
    <m/>
    <m/>
    <n v="50000"/>
    <x v="16"/>
    <n v="218020704"/>
    <s v="INFAQ QRIS"/>
    <x v="2"/>
  </r>
  <r>
    <m/>
    <m/>
    <n v="10000"/>
    <x v="16"/>
    <n v="218030704"/>
    <s v="INFAQ QRIS"/>
    <x v="2"/>
  </r>
  <r>
    <m/>
    <m/>
    <n v="10000"/>
    <x v="16"/>
    <n v="218040704"/>
    <s v="INFAQ QRIS"/>
    <x v="2"/>
  </r>
  <r>
    <m/>
    <m/>
    <n v="100000"/>
    <x v="16"/>
    <n v="218140704"/>
    <s v="INFAQ QRIS"/>
    <x v="2"/>
  </r>
  <r>
    <m/>
    <m/>
    <n v="20000"/>
    <x v="16"/>
    <n v="218160704"/>
    <s v="INFAQ QRIS"/>
    <x v="2"/>
  </r>
  <r>
    <m/>
    <m/>
    <n v="15000"/>
    <x v="16"/>
    <n v="218175704"/>
    <s v="INFAQ QRIS"/>
    <x v="2"/>
  </r>
  <r>
    <m/>
    <m/>
    <n v="20000"/>
    <x v="16"/>
    <n v="218195704"/>
    <s v="INFAQ QRIS"/>
    <x v="2"/>
  </r>
  <r>
    <m/>
    <m/>
    <n v="1000"/>
    <x v="16"/>
    <n v="218196704"/>
    <s v="INFAQ QRIS"/>
    <x v="2"/>
  </r>
  <r>
    <n v="1000000"/>
    <m/>
    <m/>
    <x v="16"/>
    <n v="217196704"/>
    <s v="HONOR UST.WAHID RAHMAN"/>
    <x v="11"/>
  </r>
  <r>
    <n v="6500"/>
    <m/>
    <m/>
    <x v="16"/>
    <n v="217190204"/>
    <s v="HONOR UST.WAHID RAHMAN"/>
    <x v="11"/>
  </r>
  <r>
    <m/>
    <m/>
    <n v="20000"/>
    <x v="16"/>
    <n v="217210204"/>
    <s v="INFAQ QRIS"/>
    <x v="2"/>
  </r>
  <r>
    <m/>
    <m/>
    <n v="1000"/>
    <x v="16"/>
    <n v="217211204"/>
    <s v="INFAQ QRIS"/>
    <x v="2"/>
  </r>
  <r>
    <m/>
    <m/>
    <n v="25000"/>
    <x v="16"/>
    <n v="217236204"/>
    <s v="INFAQ QRIS"/>
    <x v="2"/>
  </r>
  <r>
    <m/>
    <m/>
    <n v="200000"/>
    <x v="16"/>
    <n v="217436204"/>
    <s v="INFAQ TPQ FATIH RIVENDRA"/>
    <x v="2"/>
  </r>
  <r>
    <m/>
    <m/>
    <n v="1000"/>
    <x v="16"/>
    <n v="217437204"/>
    <s v="INFAQ QRIS"/>
    <x v="2"/>
  </r>
  <r>
    <m/>
    <m/>
    <n v="25"/>
    <x v="16"/>
    <n v="217437229"/>
    <s v="INFAQ QRIS"/>
    <x v="2"/>
  </r>
  <r>
    <m/>
    <m/>
    <n v="25000"/>
    <x v="16"/>
    <n v="217462229"/>
    <s v="INFAQ QRIS"/>
    <x v="2"/>
  </r>
  <r>
    <m/>
    <m/>
    <n v="1000000"/>
    <x v="16"/>
    <n v="218462229"/>
    <s v="INFAQ RAMADHAN NIENDRAPUTRA"/>
    <x v="2"/>
  </r>
  <r>
    <m/>
    <m/>
    <n v="1000"/>
    <x v="16"/>
    <n v="218463229"/>
    <s v="INFAQ QRIS"/>
    <x v="2"/>
  </r>
  <r>
    <m/>
    <m/>
    <n v="20000"/>
    <x v="16"/>
    <n v="218483229"/>
    <s v="INFAQ QRIS"/>
    <x v="2"/>
  </r>
  <r>
    <m/>
    <m/>
    <n v="10000"/>
    <x v="16"/>
    <n v="218493229"/>
    <s v="INFAQ QRIS"/>
    <x v="2"/>
  </r>
  <r>
    <n v="1000000"/>
    <m/>
    <m/>
    <x v="16"/>
    <n v="217493229"/>
    <s v="GAJI MARBOT &amp; IMAM"/>
    <x v="13"/>
  </r>
  <r>
    <n v="6500"/>
    <m/>
    <m/>
    <x v="16"/>
    <n v="217486729"/>
    <s v="GAJI MARBOT &amp; IMAM"/>
    <x v="13"/>
  </r>
  <r>
    <n v="3500000"/>
    <m/>
    <m/>
    <x v="16"/>
    <n v="213986729"/>
    <s v="GAJI MARBOT &amp; IMAM"/>
    <x v="13"/>
  </r>
  <r>
    <n v="6500"/>
    <m/>
    <m/>
    <x v="16"/>
    <n v="213980229"/>
    <s v="GAJI MARBOT &amp; IMAM"/>
    <x v="13"/>
  </r>
  <r>
    <n v="2500000"/>
    <m/>
    <m/>
    <x v="16"/>
    <n v="211480229"/>
    <s v="GAJI MARBOT &amp; IMAM"/>
    <x v="13"/>
  </r>
  <r>
    <n v="6500"/>
    <m/>
    <m/>
    <x v="16"/>
    <n v="211473729"/>
    <s v="GAJI MARBOT &amp; IMAM"/>
    <x v="13"/>
  </r>
  <r>
    <n v="4000000"/>
    <m/>
    <m/>
    <x v="16"/>
    <n v="207473729"/>
    <s v="Biaya Perawatan Santri Agustus 2025"/>
    <x v="14"/>
  </r>
  <r>
    <n v="6500"/>
    <m/>
    <m/>
    <x v="16"/>
    <n v="207467229"/>
    <s v="Biaya Perawatan Santri Agustus 2025"/>
    <x v="14"/>
  </r>
  <r>
    <n v="2000000"/>
    <m/>
    <m/>
    <x v="16"/>
    <n v="205467229"/>
    <s v="Biaya Pengajian Ibu-Ibu MAJ September"/>
    <x v="11"/>
  </r>
  <r>
    <n v="6500"/>
    <m/>
    <m/>
    <x v="16"/>
    <n v="205460729"/>
    <s v="Biaya Pengajian Ibu-Ibu MAJ September"/>
    <x v="11"/>
  </r>
  <r>
    <n v="2250000"/>
    <m/>
    <m/>
    <x v="16"/>
    <n v="203210729"/>
    <s v="GAJI MARBOT &amp; IMAM"/>
    <x v="13"/>
  </r>
  <r>
    <n v="6500"/>
    <m/>
    <m/>
    <x v="16"/>
    <n v="203204229"/>
    <s v="GAJI MARBOT &amp; IMAM"/>
    <x v="13"/>
  </r>
  <r>
    <n v="550000"/>
    <m/>
    <m/>
    <x v="16"/>
    <n v="202654229"/>
    <s v="GAJI MARBOT &amp; IMAM"/>
    <x v="13"/>
  </r>
  <r>
    <n v="6500"/>
    <m/>
    <m/>
    <x v="16"/>
    <n v="202647729"/>
    <s v="GAJI MARBOT &amp; IMAM"/>
    <x v="13"/>
  </r>
  <r>
    <n v="2700000"/>
    <m/>
    <m/>
    <x v="16"/>
    <n v="199947729"/>
    <s v="Honor Mushrif Agustus 2025"/>
    <x v="14"/>
  </r>
  <r>
    <n v="6500"/>
    <m/>
    <m/>
    <x v="16"/>
    <n v="199941229"/>
    <s v="Honor Mushrif Agustus 2025"/>
    <x v="14"/>
  </r>
  <r>
    <n v="2750000"/>
    <m/>
    <m/>
    <x v="16"/>
    <n v="197191229"/>
    <s v="GAJI MARBOT &amp; IMAM"/>
    <x v="13"/>
  </r>
  <r>
    <m/>
    <m/>
    <n v="20000"/>
    <x v="16"/>
    <n v="197211229"/>
    <s v="INFAQ QRIS"/>
    <x v="2"/>
  </r>
  <r>
    <m/>
    <m/>
    <n v="20000"/>
    <x v="16"/>
    <n v="197231229"/>
    <s v="INFAQ QRIS"/>
    <x v="2"/>
  </r>
  <r>
    <n v="3500000"/>
    <m/>
    <m/>
    <x v="16"/>
    <n v="193731229"/>
    <s v="Perbaikan Toilet Pria"/>
    <x v="8"/>
  </r>
  <r>
    <n v="6500"/>
    <m/>
    <m/>
    <x v="16"/>
    <n v="193724729"/>
    <s v="Perbaikan Toilet Pria"/>
    <x v="8"/>
  </r>
  <r>
    <n v="2210000"/>
    <m/>
    <m/>
    <x v="16"/>
    <n v="191514729"/>
    <s v="Perbaikan Atap Utara"/>
    <x v="8"/>
  </r>
  <r>
    <n v="6500"/>
    <m/>
    <m/>
    <x v="16"/>
    <n v="191508229"/>
    <s v="Perbaikan Atap Utara"/>
    <x v="8"/>
  </r>
  <r>
    <m/>
    <m/>
    <n v="1000000"/>
    <x v="17"/>
    <n v="192508229"/>
    <s v="INFAQ ANGGONO IRIAWAN"/>
    <x v="2"/>
  </r>
  <r>
    <m/>
    <m/>
    <n v="20000"/>
    <x v="17"/>
    <n v="192528229"/>
    <s v="INFAQ QRIS"/>
    <x v="2"/>
  </r>
  <r>
    <n v="9000"/>
    <m/>
    <m/>
    <x v="17"/>
    <n v="192519229"/>
    <s v="Fee Payroll Juli 2025"/>
    <x v="1"/>
  </r>
  <r>
    <n v="750000"/>
    <m/>
    <m/>
    <x v="17"/>
    <n v="191769229"/>
    <s v="HONOR UST-MOHAMMAD SHODIQ"/>
    <x v="11"/>
  </r>
  <r>
    <n v="6500"/>
    <m/>
    <m/>
    <x v="17"/>
    <n v="191762729"/>
    <s v="HONOR UST-MOHAMMAD SHODIQ"/>
    <x v="11"/>
  </r>
  <r>
    <m/>
    <m/>
    <n v="50000"/>
    <x v="17"/>
    <n v="191812729"/>
    <s v="INFAQ QRIS"/>
    <x v="2"/>
  </r>
  <r>
    <m/>
    <m/>
    <n v="20000"/>
    <x v="17"/>
    <n v="191832729"/>
    <s v="INFAQ QRIS"/>
    <x v="2"/>
  </r>
  <r>
    <m/>
    <m/>
    <n v="10000"/>
    <x v="17"/>
    <n v="191842729"/>
    <s v="INFAQ QRIS"/>
    <x v="2"/>
  </r>
  <r>
    <m/>
    <m/>
    <n v="25000"/>
    <x v="17"/>
    <n v="191867729"/>
    <s v="INFAQ QRIS"/>
    <x v="2"/>
  </r>
  <r>
    <m/>
    <m/>
    <n v="100000"/>
    <x v="17"/>
    <n v="191967729"/>
    <s v="INFAQ QRIS"/>
    <x v="2"/>
  </r>
  <r>
    <m/>
    <m/>
    <n v="50000"/>
    <x v="17"/>
    <n v="192017729"/>
    <s v="INFAQ QRIS"/>
    <x v="2"/>
  </r>
  <r>
    <m/>
    <m/>
    <n v="200000"/>
    <x v="17"/>
    <n v="192217729"/>
    <s v="INFAQ QRIS"/>
    <x v="2"/>
  </r>
  <r>
    <n v="750000"/>
    <m/>
    <m/>
    <x v="17"/>
    <n v="191467729"/>
    <s v="HONOR UST-SAIFUL BAHRI"/>
    <x v="11"/>
  </r>
  <r>
    <n v="6500"/>
    <m/>
    <m/>
    <x v="17"/>
    <n v="191461229"/>
    <s v="HONOR UST-SAIFUL BAHRI"/>
    <x v="11"/>
  </r>
  <r>
    <m/>
    <m/>
    <n v="10000"/>
    <x v="17"/>
    <n v="191471229"/>
    <s v="INFAQ QRIS"/>
    <x v="2"/>
  </r>
  <r>
    <m/>
    <m/>
    <n v="25000"/>
    <x v="17"/>
    <n v="191496229"/>
    <s v="INFAQ QRIS"/>
    <x v="2"/>
  </r>
  <r>
    <m/>
    <m/>
    <n v="20000"/>
    <x v="17"/>
    <n v="191516229"/>
    <s v="INFAQ QRIS"/>
    <x v="2"/>
  </r>
  <r>
    <m/>
    <m/>
    <n v="500000"/>
    <x v="17"/>
    <n v="192016229"/>
    <s v="INFAQ DRS SARWONO"/>
    <x v="2"/>
  </r>
  <r>
    <m/>
    <m/>
    <n v="25000"/>
    <x v="17"/>
    <n v="192041229"/>
    <s v="INFAQ QRIS"/>
    <x v="2"/>
  </r>
  <r>
    <m/>
    <m/>
    <n v="10000"/>
    <x v="17"/>
    <n v="192051229"/>
    <s v="INFAQ QRIS"/>
    <x v="2"/>
  </r>
  <r>
    <m/>
    <m/>
    <n v="20000"/>
    <x v="17"/>
    <n v="192071229"/>
    <s v="INFAQ QRIS"/>
    <x v="2"/>
  </r>
  <r>
    <m/>
    <m/>
    <n v="200000"/>
    <x v="17"/>
    <n v="192271229"/>
    <s v="INFAQ UMI HAMIDAH DRA"/>
    <x v="2"/>
  </r>
  <r>
    <m/>
    <m/>
    <n v="350000"/>
    <x v="17"/>
    <n v="192621229"/>
    <s v="INFAQ DESYANA SE"/>
    <x v="2"/>
  </r>
  <r>
    <m/>
    <m/>
    <n v="750000"/>
    <x v="17"/>
    <n v="193371229"/>
    <s v="INFAQ YADI ABDULLAH "/>
    <x v="2"/>
  </r>
  <r>
    <m/>
    <m/>
    <n v="20000"/>
    <x v="17"/>
    <n v="193391229"/>
    <s v="INFAQ QRIS"/>
    <x v="2"/>
  </r>
  <r>
    <m/>
    <m/>
    <n v="3879000"/>
    <x v="17"/>
    <n v="197270229"/>
    <m/>
    <x v="12"/>
  </r>
  <r>
    <m/>
    <m/>
    <n v="4524000"/>
    <x v="17"/>
    <n v="201794229"/>
    <m/>
    <x v="2"/>
  </r>
  <r>
    <m/>
    <n v="8403000"/>
    <m/>
    <x v="1"/>
    <n v="201794229"/>
    <s v=" 001115417690   SETOR TUNAI "/>
    <x v="4"/>
  </r>
  <r>
    <m/>
    <m/>
    <n v="200000"/>
    <x v="17"/>
    <n v="201994229"/>
    <s v="INFAQ DEDEN TP PERDIANSYAH"/>
    <x v="2"/>
  </r>
  <r>
    <m/>
    <m/>
    <n v="10000"/>
    <x v="17"/>
    <n v="202004229"/>
    <s v="INFAQ QRIS"/>
    <x v="2"/>
  </r>
  <r>
    <m/>
    <m/>
    <n v="20000"/>
    <x v="17"/>
    <n v="202024229"/>
    <s v="INFAQ QRIS"/>
    <x v="2"/>
  </r>
  <r>
    <m/>
    <m/>
    <n v="300000"/>
    <x v="17"/>
    <n v="202324229"/>
    <s v="INFAQ FADJAR SATYANI"/>
    <x v="2"/>
  </r>
  <r>
    <m/>
    <m/>
    <n v="150000"/>
    <x v="17"/>
    <n v="202474229"/>
    <s v="INFAQ DWI LISTYOWATI DRA"/>
    <x v="2"/>
  </r>
  <r>
    <m/>
    <m/>
    <n v="200000"/>
    <x v="17"/>
    <n v="202674229"/>
    <s v="INFAQ WUSONO PRIHADI SANTO"/>
    <x v="2"/>
  </r>
  <r>
    <m/>
    <m/>
    <n v="10000"/>
    <x v="17"/>
    <n v="202684229"/>
    <s v="INFAQ QRIS"/>
    <x v="2"/>
  </r>
  <r>
    <m/>
    <m/>
    <n v="20000"/>
    <x v="17"/>
    <n v="202704229"/>
    <s v="INFAQ QRIS"/>
    <x v="2"/>
  </r>
  <r>
    <m/>
    <m/>
    <n v="30000"/>
    <x v="17"/>
    <n v="202734229"/>
    <s v="INFAQ QRIS"/>
    <x v="2"/>
  </r>
  <r>
    <m/>
    <m/>
    <n v="20000"/>
    <x v="18"/>
    <n v="202754229"/>
    <s v="INFAQ QRIS"/>
    <x v="2"/>
  </r>
  <r>
    <m/>
    <m/>
    <n v="50000"/>
    <x v="18"/>
    <n v="202804229"/>
    <s v="INFAQ QRIS"/>
    <x v="2"/>
  </r>
  <r>
    <m/>
    <m/>
    <n v="2000000"/>
    <x v="18"/>
    <n v="204804229"/>
    <s v="INFAQ RIZKYHIDAYATSL  "/>
    <x v="2"/>
  </r>
  <r>
    <n v="750000"/>
    <m/>
    <m/>
    <x v="18"/>
    <n v="204054229"/>
    <s v="HONOR UST-MOHAMMAD SHODIQ"/>
    <x v="11"/>
  </r>
  <r>
    <n v="6500"/>
    <m/>
    <m/>
    <x v="18"/>
    <n v="204047729"/>
    <s v="HONOR UST-MOHAMMAD SHODIQ"/>
    <x v="11"/>
  </r>
  <r>
    <m/>
    <m/>
    <n v="20000"/>
    <x v="18"/>
    <n v="204067729"/>
    <s v="INFAQ QRIS"/>
    <x v="2"/>
  </r>
  <r>
    <m/>
    <m/>
    <n v="50000"/>
    <x v="18"/>
    <n v="204117729"/>
    <s v="INFAQ QRIS"/>
    <x v="2"/>
  </r>
  <r>
    <m/>
    <m/>
    <n v="45000"/>
    <x v="18"/>
    <n v="204162729"/>
    <s v="INFAQ QRIS"/>
    <x v="2"/>
  </r>
  <r>
    <m/>
    <m/>
    <n v="50000"/>
    <x v="18"/>
    <n v="204212729"/>
    <s v="INFAQ QRIS"/>
    <x v="2"/>
  </r>
  <r>
    <m/>
    <m/>
    <n v="100000"/>
    <x v="18"/>
    <n v="204312729"/>
    <s v="INFAQ QRIS"/>
    <x v="2"/>
  </r>
  <r>
    <m/>
    <m/>
    <n v="5000"/>
    <x v="18"/>
    <n v="204317729"/>
    <s v="INFAQ QRIS"/>
    <x v="2"/>
  </r>
  <r>
    <m/>
    <m/>
    <n v="20000"/>
    <x v="18"/>
    <n v="204337729"/>
    <s v="INFAQ QRIS"/>
    <x v="2"/>
  </r>
  <r>
    <m/>
    <m/>
    <n v="99999"/>
    <x v="18"/>
    <n v="204437728"/>
    <s v="INFAQ QRIS"/>
    <x v="2"/>
  </r>
  <r>
    <m/>
    <m/>
    <n v="200000"/>
    <x v="18"/>
    <n v="204637728"/>
    <s v="INFAQ QRIS"/>
    <x v="2"/>
  </r>
  <r>
    <m/>
    <m/>
    <n v="700000"/>
    <x v="18"/>
    <n v="205337728"/>
    <s v="INFAQ WIWI WIDIAWATI "/>
    <x v="2"/>
  </r>
  <r>
    <n v="750000"/>
    <m/>
    <m/>
    <x v="18"/>
    <n v="204587728"/>
    <s v="HONOR UST UMAR-ZULFA SYAHIDAH"/>
    <x v="11"/>
  </r>
  <r>
    <n v="6500"/>
    <m/>
    <m/>
    <x v="18"/>
    <n v="204581228"/>
    <s v="HONOR UST UMAR-ZULFA SYAHIDAH"/>
    <x v="11"/>
  </r>
  <r>
    <m/>
    <m/>
    <n v="25000"/>
    <x v="18"/>
    <n v="204606228"/>
    <s v="INFAQ QRIS"/>
    <x v="2"/>
  </r>
  <r>
    <m/>
    <m/>
    <n v="20000"/>
    <x v="18"/>
    <n v="204626228"/>
    <s v="INFAQ QRIS"/>
    <x v="2"/>
  </r>
  <r>
    <m/>
    <m/>
    <n v="25000"/>
    <x v="18"/>
    <n v="204651228"/>
    <s v="INFAQ QRIS"/>
    <x v="2"/>
  </r>
  <r>
    <m/>
    <m/>
    <n v="20000"/>
    <x v="18"/>
    <n v="204671228"/>
    <s v="INFAQ QRIS"/>
    <x v="2"/>
  </r>
  <r>
    <m/>
    <m/>
    <n v="20000"/>
    <x v="18"/>
    <n v="204691228"/>
    <s v="INFAQ QRIS"/>
    <x v="2"/>
  </r>
  <r>
    <m/>
    <m/>
    <n v="2909000"/>
    <x v="18"/>
    <n v="207600228"/>
    <m/>
    <x v="12"/>
  </r>
  <r>
    <m/>
    <m/>
    <n v="3699000"/>
    <x v="18"/>
    <n v="211299228"/>
    <m/>
    <x v="2"/>
  </r>
  <r>
    <m/>
    <n v="6608000"/>
    <m/>
    <x v="1"/>
    <n v="211299228"/>
    <s v=" 001115515442   SETOR TUNAI "/>
    <x v="4"/>
  </r>
  <r>
    <m/>
    <m/>
    <n v="10000"/>
    <x v="18"/>
    <n v="211309228"/>
    <s v="INFAQ QRIS"/>
    <x v="2"/>
  </r>
  <r>
    <m/>
    <m/>
    <n v="400000"/>
    <x v="18"/>
    <n v="211709228"/>
    <s v="INFAQ PUTIE AMBUN SURI/RIVENDRA"/>
    <x v="2"/>
  </r>
  <r>
    <m/>
    <m/>
    <n v="10000"/>
    <x v="18"/>
    <n v="211719228"/>
    <s v="INFAQ QRIS"/>
    <x v="2"/>
  </r>
  <r>
    <m/>
    <m/>
    <n v="20000"/>
    <x v="18"/>
    <n v="211739228"/>
    <s v="INFAQ QRIS"/>
    <x v="2"/>
  </r>
  <r>
    <m/>
    <m/>
    <n v="100000"/>
    <x v="18"/>
    <n v="211839228"/>
    <s v="INFAQ QRIS"/>
    <x v="2"/>
  </r>
  <r>
    <m/>
    <m/>
    <n v="500000"/>
    <x v="18"/>
    <n v="212339228"/>
    <s v="INFAQ M FIERMANSYAH CHANIAGO"/>
    <x v="2"/>
  </r>
  <r>
    <m/>
    <m/>
    <n v="500000"/>
    <x v="18"/>
    <n v="212839228"/>
    <s v="INFAQ INDRAEDISANTOSO"/>
    <x v="2"/>
  </r>
  <r>
    <m/>
    <m/>
    <n v="1000"/>
    <x v="18"/>
    <n v="212840228"/>
    <s v="INFAQ QRIS"/>
    <x v="2"/>
  </r>
  <r>
    <m/>
    <m/>
    <n v="50000"/>
    <x v="18"/>
    <n v="212890228"/>
    <s v="INFAQ QRIS"/>
    <x v="2"/>
  </r>
  <r>
    <m/>
    <m/>
    <n v="10000"/>
    <x v="18"/>
    <n v="212900228"/>
    <s v="INFAQ QRIS"/>
    <x v="2"/>
  </r>
  <r>
    <m/>
    <m/>
    <n v="50000"/>
    <x v="18"/>
    <n v="212950228"/>
    <s v="INFAQ QRIS"/>
    <x v="2"/>
  </r>
  <r>
    <m/>
    <m/>
    <n v="20000"/>
    <x v="18"/>
    <n v="212970228"/>
    <s v="INFAQ QRIS"/>
    <x v="2"/>
  </r>
  <r>
    <m/>
    <m/>
    <n v="10000"/>
    <x v="19"/>
    <n v="212980228"/>
    <s v="INFAQ QRIS"/>
    <x v="2"/>
  </r>
  <r>
    <m/>
    <m/>
    <n v="101101"/>
    <x v="19"/>
    <n v="213081329"/>
    <s v="INFAQ QRIS"/>
    <x v="2"/>
  </r>
  <r>
    <m/>
    <m/>
    <n v="50000"/>
    <x v="19"/>
    <n v="213131329"/>
    <s v="INFAQ QRIS"/>
    <x v="2"/>
  </r>
  <r>
    <m/>
    <m/>
    <n v="50000"/>
    <x v="19"/>
    <n v="213181329"/>
    <s v="INFAQ QRIS"/>
    <x v="2"/>
  </r>
  <r>
    <m/>
    <m/>
    <n v="50000"/>
    <x v="19"/>
    <n v="213231329"/>
    <s v="INFAQ QRIS"/>
    <x v="2"/>
  </r>
  <r>
    <m/>
    <m/>
    <n v="50000"/>
    <x v="19"/>
    <n v="213281329"/>
    <s v="INFAQ QRIS"/>
    <x v="2"/>
  </r>
  <r>
    <m/>
    <m/>
    <n v="9000"/>
    <x v="19"/>
    <n v="213290329"/>
    <s v="INFAQ QRIS"/>
    <x v="2"/>
  </r>
  <r>
    <m/>
    <m/>
    <n v="20000"/>
    <x v="19"/>
    <n v="213310329"/>
    <s v="INFAQ QRIS"/>
    <x v="2"/>
  </r>
  <r>
    <m/>
    <m/>
    <n v="20000"/>
    <x v="19"/>
    <n v="213330329"/>
    <s v="INFAQ QRIS"/>
    <x v="2"/>
  </r>
  <r>
    <n v="750000"/>
    <m/>
    <m/>
    <x v="19"/>
    <n v="212580329"/>
    <s v="HONOR USTAD DARWIS"/>
    <x v="11"/>
  </r>
  <r>
    <m/>
    <m/>
    <n v="25000"/>
    <x v="19"/>
    <n v="212605329"/>
    <s v="INFAQ QRIS"/>
    <x v="2"/>
  </r>
  <r>
    <m/>
    <m/>
    <n v="20000"/>
    <x v="19"/>
    <n v="212625329"/>
    <s v="INFAQ QRIS"/>
    <x v="2"/>
  </r>
  <r>
    <m/>
    <m/>
    <n v="25000"/>
    <x v="19"/>
    <n v="212650329"/>
    <s v="INFAQ QRIS"/>
    <x v="2"/>
  </r>
  <r>
    <m/>
    <m/>
    <n v="10000"/>
    <x v="19"/>
    <n v="212660329"/>
    <s v="INFAQ QRIS"/>
    <x v="2"/>
  </r>
  <r>
    <m/>
    <m/>
    <n v="20000"/>
    <x v="19"/>
    <n v="212680329"/>
    <s v="INFAQ QRIS"/>
    <x v="2"/>
  </r>
  <r>
    <n v="20000000"/>
    <m/>
    <m/>
    <x v="19"/>
    <n v="192680329"/>
    <s v="Thp2 siswa binaan"/>
    <x v="14"/>
  </r>
  <r>
    <n v="3500000"/>
    <m/>
    <m/>
    <x v="19"/>
    <n v="189180329"/>
    <s v="Cuci karpet, urinoir"/>
    <x v="8"/>
  </r>
  <r>
    <n v="6500"/>
    <m/>
    <m/>
    <x v="19"/>
    <n v="189173829"/>
    <s v="Cuci karpet, urinoir"/>
    <x v="8"/>
  </r>
  <r>
    <m/>
    <m/>
    <n v="20000"/>
    <x v="19"/>
    <n v="189193829"/>
    <s v="INFAQ QRIS"/>
    <x v="2"/>
  </r>
  <r>
    <m/>
    <m/>
    <n v="10000"/>
    <x v="19"/>
    <n v="189203829"/>
    <s v="INFAQ QRIS"/>
    <x v="2"/>
  </r>
  <r>
    <m/>
    <m/>
    <n v="100000"/>
    <x v="19"/>
    <n v="189303829"/>
    <s v="INFAQ FENTYHERLIANA"/>
    <x v="2"/>
  </r>
  <r>
    <m/>
    <m/>
    <n v="20000"/>
    <x v="19"/>
    <n v="189323829"/>
    <s v="INFAQ QRIS"/>
    <x v="2"/>
  </r>
  <r>
    <m/>
    <m/>
    <n v="10000"/>
    <x v="19"/>
    <n v="189333829"/>
    <s v="INFAQ QRIS"/>
    <x v="2"/>
  </r>
  <r>
    <n v="700000"/>
    <m/>
    <m/>
    <x v="20"/>
    <n v="188633829"/>
    <s v="Pengerjaan closed berdiri"/>
    <x v="8"/>
  </r>
  <r>
    <n v="6500"/>
    <m/>
    <m/>
    <x v="20"/>
    <n v="188627329"/>
    <s v="Pengerjaan closed berdiri"/>
    <x v="8"/>
  </r>
  <r>
    <m/>
    <m/>
    <n v="20000"/>
    <x v="20"/>
    <n v="188647329"/>
    <s v="INFAQ QRIS"/>
    <x v="2"/>
  </r>
  <r>
    <m/>
    <m/>
    <n v="50000"/>
    <x v="20"/>
    <n v="188697329"/>
    <s v="INFAQ QRIS"/>
    <x v="2"/>
  </r>
  <r>
    <m/>
    <m/>
    <n v="20000"/>
    <x v="20"/>
    <n v="188717329"/>
    <s v="INFAQ QRIS"/>
    <x v="2"/>
  </r>
  <r>
    <m/>
    <m/>
    <n v="100000"/>
    <x v="20"/>
    <n v="188817329"/>
    <s v="INFAQ QRIS"/>
    <x v="2"/>
  </r>
  <r>
    <m/>
    <m/>
    <n v="100000"/>
    <x v="20"/>
    <n v="188917329"/>
    <s v="INFAQ QRIS"/>
    <x v="2"/>
  </r>
  <r>
    <m/>
    <m/>
    <n v="40000"/>
    <x v="20"/>
    <n v="188957329"/>
    <s v="INFAQ QRIS"/>
    <x v="2"/>
  </r>
  <r>
    <n v="750000"/>
    <m/>
    <m/>
    <x v="20"/>
    <n v="188207329"/>
    <s v="HONOR UST FAISAL "/>
    <x v="11"/>
  </r>
  <r>
    <m/>
    <m/>
    <n v="4700"/>
    <x v="20"/>
    <n v="188212029"/>
    <s v="INFAQ QRIS"/>
    <x v="2"/>
  </r>
  <r>
    <m/>
    <m/>
    <n v="100000"/>
    <x v="20"/>
    <n v="188312029"/>
    <s v="INFAQ QRIS"/>
    <x v="2"/>
  </r>
  <r>
    <m/>
    <m/>
    <n v="50000"/>
    <x v="20"/>
    <n v="188362029"/>
    <s v="INFAQ QRIS"/>
    <x v="2"/>
  </r>
  <r>
    <m/>
    <m/>
    <n v="5000"/>
    <x v="20"/>
    <n v="188367029"/>
    <s v="INFAQ QRIS"/>
    <x v="2"/>
  </r>
  <r>
    <m/>
    <m/>
    <n v="20000"/>
    <x v="20"/>
    <n v="188387029"/>
    <s v="INFAQ QRIS"/>
    <x v="2"/>
  </r>
  <r>
    <m/>
    <m/>
    <n v="20000"/>
    <x v="20"/>
    <n v="188407029"/>
    <s v="INFAQ QRIS"/>
    <x v="2"/>
  </r>
  <r>
    <m/>
    <m/>
    <n v="8700"/>
    <x v="20"/>
    <n v="188415729"/>
    <s v="INFAQ QRIS"/>
    <x v="2"/>
  </r>
  <r>
    <m/>
    <m/>
    <n v="20000"/>
    <x v="20"/>
    <n v="188435729"/>
    <s v="INFAQ QRIS"/>
    <x v="2"/>
  </r>
  <r>
    <m/>
    <m/>
    <n v="20000"/>
    <x v="20"/>
    <n v="188455729"/>
    <s v="INFAQ QRIS"/>
    <x v="2"/>
  </r>
  <r>
    <m/>
    <m/>
    <n v="2992000"/>
    <x v="1"/>
    <n v="191447729"/>
    <m/>
    <x v="12"/>
  </r>
  <r>
    <m/>
    <m/>
    <n v="818000"/>
    <x v="1"/>
    <n v="192265729"/>
    <m/>
    <x v="2"/>
  </r>
  <r>
    <m/>
    <n v="3810000"/>
    <m/>
    <x v="20"/>
    <n v="192265729"/>
    <s v=" 001115715795 setoran mingguan  SETOR TUNAI "/>
    <x v="2"/>
  </r>
  <r>
    <m/>
    <m/>
    <n v="20000"/>
    <x v="20"/>
    <n v="192285729"/>
    <s v="INFAQ QRIS"/>
    <x v="2"/>
  </r>
  <r>
    <m/>
    <m/>
    <n v="200000"/>
    <x v="20"/>
    <n v="192485729"/>
    <s v="INFA TPQ Fatih Rivendra"/>
    <x v="10"/>
  </r>
  <r>
    <m/>
    <m/>
    <n v="20000"/>
    <x v="20"/>
    <n v="192505729"/>
    <s v="INFAQ QRIS"/>
    <x v="2"/>
  </r>
  <r>
    <m/>
    <m/>
    <n v="1000000"/>
    <x v="20"/>
    <n v="193505729"/>
    <s v="INFAQ RAMADHAN NIENDRAPUTRA"/>
    <x v="2"/>
  </r>
  <r>
    <m/>
    <m/>
    <n v="100000"/>
    <x v="21"/>
    <n v="193605729"/>
    <s v="INFAQ SURJATI SUTARJA"/>
    <x v="2"/>
  </r>
  <r>
    <m/>
    <m/>
    <n v="1000000"/>
    <x v="21"/>
    <n v="194605729"/>
    <s v="INFAQ ANGGONO IRIAWAN"/>
    <x v="2"/>
  </r>
  <r>
    <m/>
    <m/>
    <n v="20000"/>
    <x v="21"/>
    <n v="194625729"/>
    <s v="INFAQ QRIS"/>
    <x v="2"/>
  </r>
  <r>
    <m/>
    <m/>
    <n v="1011"/>
    <x v="21"/>
    <n v="194626740"/>
    <s v="INFAQ QRIS"/>
    <x v="2"/>
  </r>
  <r>
    <m/>
    <m/>
    <n v="5000000"/>
    <x v="21"/>
    <n v="199626740"/>
    <m/>
    <x v="16"/>
  </r>
  <r>
    <m/>
    <m/>
    <n v="5000000"/>
    <x v="21"/>
    <n v="204626740"/>
    <m/>
    <x v="2"/>
  </r>
  <r>
    <m/>
    <n v="10000000"/>
    <m/>
    <x v="1"/>
    <n v="204626740"/>
    <s v="ALI BADARUDDIN"/>
    <x v="4"/>
  </r>
  <r>
    <n v="750000"/>
    <m/>
    <m/>
    <x v="21"/>
    <n v="203876740"/>
    <s v="Lahirnya Putra Ust Bayu"/>
    <x v="15"/>
  </r>
  <r>
    <n v="6500"/>
    <m/>
    <m/>
    <x v="21"/>
    <n v="203870240"/>
    <s v="Lahirnya Putra Ust Bayu"/>
    <x v="15"/>
  </r>
  <r>
    <n v="750000"/>
    <m/>
    <m/>
    <x v="21"/>
    <n v="203120240"/>
    <s v="HONOR-IMAM MUSLIH"/>
    <x v="11"/>
  </r>
  <r>
    <n v="6500"/>
    <m/>
    <m/>
    <x v="21"/>
    <n v="203113740"/>
    <s v="HONOR-IMAM MUSLIH"/>
    <x v="11"/>
  </r>
  <r>
    <m/>
    <m/>
    <n v="50000"/>
    <x v="21"/>
    <n v="203163740"/>
    <s v="INFAQ QRIS"/>
    <x v="2"/>
  </r>
  <r>
    <m/>
    <m/>
    <n v="100000"/>
    <x v="21"/>
    <n v="203263740"/>
    <s v="INFAQ QRIS"/>
    <x v="2"/>
  </r>
  <r>
    <m/>
    <m/>
    <n v="5000"/>
    <x v="21"/>
    <n v="203268740"/>
    <s v="INFAQ QRIS"/>
    <x v="2"/>
  </r>
  <r>
    <m/>
    <m/>
    <n v="4000"/>
    <x v="21"/>
    <n v="203272740"/>
    <s v="INFAQ QRIS"/>
    <x v="2"/>
  </r>
  <r>
    <m/>
    <m/>
    <n v="100000"/>
    <x v="21"/>
    <n v="203372740"/>
    <s v="INFAQ QRIS"/>
    <x v="2"/>
  </r>
  <r>
    <m/>
    <m/>
    <n v="20000"/>
    <x v="21"/>
    <n v="203392740"/>
    <s v="INFAQ QRIS"/>
    <x v="2"/>
  </r>
  <r>
    <m/>
    <m/>
    <n v="20000"/>
    <x v="21"/>
    <n v="203412740"/>
    <s v="INFAQ QRIS"/>
    <x v="2"/>
  </r>
  <r>
    <m/>
    <m/>
    <n v="20000"/>
    <x v="21"/>
    <n v="203432740"/>
    <s v="INFAQ QRIS"/>
    <x v="2"/>
  </r>
  <r>
    <n v="1000000"/>
    <m/>
    <m/>
    <x v="21"/>
    <n v="202432740"/>
    <s v="HONOR-AHMAD IMAM SAMUDRA MAJ"/>
    <x v="13"/>
  </r>
  <r>
    <n v="6500"/>
    <m/>
    <m/>
    <x v="21"/>
    <n v="202426240"/>
    <s v="HONOR-AHMAD IMAM SAMUDRA MAJ"/>
    <x v="13"/>
  </r>
  <r>
    <n v="2000000"/>
    <m/>
    <m/>
    <x v="21"/>
    <n v="200426240"/>
    <s v="LINA HERLINA Biaya Adm Pengajian Ibu-Ibu MAJ"/>
    <x v="11"/>
  </r>
  <r>
    <n v="6500"/>
    <m/>
    <m/>
    <x v="21"/>
    <n v="200419740"/>
    <s v="LINA HERLINA Biaya Adm Pengajian Ibu-Ibu MAJ"/>
    <x v="11"/>
  </r>
  <r>
    <n v="550000"/>
    <m/>
    <m/>
    <x v="21"/>
    <n v="199869740"/>
    <s v="M BAYU CANDRA MAJ Honor "/>
    <x v="13"/>
  </r>
  <r>
    <n v="6500"/>
    <m/>
    <m/>
    <x v="21"/>
    <n v="199863240"/>
    <s v="M BAYU CANDRA MAJ Honor "/>
    <x v="13"/>
  </r>
  <r>
    <n v="2700000"/>
    <m/>
    <m/>
    <x v="21"/>
    <n v="197163240"/>
    <s v="M BAYU CANDRA MAJ Honor Mushrif"/>
    <x v="14"/>
  </r>
  <r>
    <n v="6500"/>
    <m/>
    <m/>
    <x v="21"/>
    <n v="197156740"/>
    <s v="M BAYU CANDRA MAJ Honor Mushrif"/>
    <x v="14"/>
  </r>
  <r>
    <n v="2250000"/>
    <m/>
    <m/>
    <x v="21"/>
    <n v="194906740"/>
    <s v="HONOR IMRON ROSADI MAJ Honor"/>
    <x v="13"/>
  </r>
  <r>
    <n v="6500"/>
    <m/>
    <m/>
    <x v="21"/>
    <n v="194900240"/>
    <s v="HONOR IMRON ROSADI MAJ Honor"/>
    <x v="13"/>
  </r>
  <r>
    <n v="4000000"/>
    <m/>
    <m/>
    <x v="21"/>
    <n v="190900240"/>
    <s v="Biaya Perawatan Santri September 202"/>
    <x v="14"/>
  </r>
  <r>
    <n v="6500"/>
    <m/>
    <m/>
    <x v="21"/>
    <n v="190893740"/>
    <s v="Biaya Perawatan Santri September 202"/>
    <x v="14"/>
  </r>
  <r>
    <n v="2500000"/>
    <m/>
    <m/>
    <x v="21"/>
    <n v="188393740"/>
    <s v="HONOR-MUHAMMAD ILHAM MAJ Honor"/>
    <x v="13"/>
  </r>
  <r>
    <n v="6500"/>
    <m/>
    <m/>
    <x v="21"/>
    <n v="188387240"/>
    <s v="HONOR-MUHAMMAD ILHAM MAJ Honor"/>
    <x v="13"/>
  </r>
  <r>
    <n v="3500000"/>
    <m/>
    <m/>
    <x v="21"/>
    <n v="184887240"/>
    <s v="HONOR-NANANG SUBAEDI MAJ Honor"/>
    <x v="13"/>
  </r>
  <r>
    <n v="6500"/>
    <m/>
    <m/>
    <x v="21"/>
    <n v="184880740"/>
    <s v="HONOR-NANANG SUBAEDI MAJ Honor"/>
    <x v="13"/>
  </r>
  <r>
    <n v="2750000"/>
    <m/>
    <m/>
    <x v="21"/>
    <n v="182130740"/>
    <s v="HONOR UST SUPRIYADI"/>
    <x v="13"/>
  </r>
  <r>
    <n v="1000000"/>
    <m/>
    <m/>
    <x v="21"/>
    <n v="181130740"/>
    <s v="HONOR-WAHID RAHMAN "/>
    <x v="11"/>
  </r>
  <r>
    <n v="6500"/>
    <m/>
    <m/>
    <x v="21"/>
    <n v="181124240"/>
    <s v="HONOR-WAHID RAHMAN "/>
    <x v="11"/>
  </r>
  <r>
    <m/>
    <m/>
    <n v="25000"/>
    <x v="21"/>
    <n v="181149240"/>
    <s v="INFAQ QRIS"/>
    <x v="2"/>
  </r>
  <r>
    <m/>
    <m/>
    <n v="20000"/>
    <x v="21"/>
    <n v="181169240"/>
    <s v="INFAQ QRIS"/>
    <x v="2"/>
  </r>
  <r>
    <m/>
    <m/>
    <n v="25000"/>
    <x v="21"/>
    <n v="181194240"/>
    <s v="INFAQ QRIS"/>
    <x v="2"/>
  </r>
  <r>
    <m/>
    <m/>
    <n v="10000"/>
    <x v="21"/>
    <n v="181204240"/>
    <s v="INFAQ QRIS"/>
    <x v="2"/>
  </r>
  <r>
    <m/>
    <m/>
    <n v="30000"/>
    <x v="21"/>
    <n v="181234240"/>
    <s v="INFAQ QRIS"/>
    <x v="2"/>
  </r>
  <r>
    <m/>
    <m/>
    <n v="1011"/>
    <x v="21"/>
    <n v="181235251"/>
    <s v="INFAQ QRIS"/>
    <x v="2"/>
  </r>
  <r>
    <m/>
    <m/>
    <n v="20000"/>
    <x v="21"/>
    <n v="181255251"/>
    <s v="INFAQ QRIS"/>
    <x v="2"/>
  </r>
  <r>
    <m/>
    <m/>
    <n v="2813000"/>
    <x v="21"/>
    <n v="184068251"/>
    <m/>
    <x v="12"/>
  </r>
  <r>
    <m/>
    <m/>
    <n v="757000"/>
    <x v="21"/>
    <n v="184825251"/>
    <m/>
    <x v="2"/>
  </r>
  <r>
    <m/>
    <n v="3570000"/>
    <m/>
    <x v="1"/>
    <n v="184825251"/>
    <s v=" 001115813746   SETOR TUNAI "/>
    <x v="4"/>
  </r>
  <r>
    <m/>
    <m/>
    <n v="300000"/>
    <x v="21"/>
    <n v="185125251"/>
    <s v="INFAQ FADJAR SATYANI "/>
    <x v="2"/>
  </r>
  <r>
    <m/>
    <m/>
    <n v="500000"/>
    <x v="21"/>
    <n v="185625251"/>
    <s v="INFAQ DRS SARWONO"/>
    <x v="2"/>
  </r>
  <r>
    <m/>
    <m/>
    <n v="20000"/>
    <x v="21"/>
    <n v="185645251"/>
    <s v="INFAQ QRIS"/>
    <x v="2"/>
  </r>
  <r>
    <m/>
    <m/>
    <n v="200000"/>
    <x v="21"/>
    <n v="185845251"/>
    <s v="INFAQ UMIHAMIDAH"/>
    <x v="2"/>
  </r>
  <r>
    <m/>
    <m/>
    <n v="350000"/>
    <x v="21"/>
    <n v="186195251"/>
    <s v="INFAQ DESYANA SE"/>
    <x v="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4">
  <r>
    <m/>
    <m/>
    <n v="5000000"/>
    <x v="0"/>
    <n v="5000000"/>
    <s v="SALDO DARI AGUNG PRAMONO"/>
    <x v="0"/>
  </r>
  <r>
    <n v="200000"/>
    <m/>
    <m/>
    <x v="0"/>
    <n v="4800000"/>
    <s v="ADM FEE HARD TOKEN CMS "/>
    <x v="1"/>
  </r>
  <r>
    <m/>
    <m/>
    <n v="500000"/>
    <x v="0"/>
    <n v="5300000"/>
    <s v="INFAQ DARI INDRA EDI SANTOSO"/>
    <x v="2"/>
  </r>
  <r>
    <m/>
    <m/>
    <n v="1800000"/>
    <x v="0"/>
    <n v="7100000"/>
    <s v="INFAQ DARI DASA SUKARSIWI, SE / DR. FANANI"/>
    <x v="2"/>
  </r>
  <r>
    <m/>
    <m/>
    <n v="2000000"/>
    <x v="0"/>
    <n v="9100000"/>
    <s v="INFAQ DARI RIZKY HIDAYAT SL"/>
    <x v="2"/>
  </r>
  <r>
    <m/>
    <m/>
    <n v="400000"/>
    <x v="0"/>
    <n v="9500000"/>
    <s v="INFAQ DARI PUTIE AMBUN SURI / RIVENDRA"/>
    <x v="2"/>
  </r>
  <r>
    <m/>
    <m/>
    <n v="44196050"/>
    <x v="0"/>
    <n v="53696050"/>
    <s v="Baitul Mal"/>
    <x v="0"/>
  </r>
  <r>
    <m/>
    <m/>
    <n v="33983823"/>
    <x v="0"/>
    <n v="87679873"/>
    <s v="Pembangunan"/>
    <x v="3"/>
  </r>
  <r>
    <m/>
    <n v="78179873"/>
    <m/>
    <x v="1"/>
    <n v="87679873"/>
    <s v="SALDO DARI AGUNG PRAMONO"/>
    <x v="4"/>
  </r>
  <r>
    <m/>
    <m/>
    <n v="5594227"/>
    <x v="0"/>
    <n v="93274100"/>
    <s v="Pembangunan"/>
    <x v="3"/>
  </r>
  <r>
    <m/>
    <m/>
    <n v="39840773"/>
    <x v="0"/>
    <n v="133114873"/>
    <s v="Akun Yatim &amp; Sosial"/>
    <x v="5"/>
  </r>
  <r>
    <m/>
    <n v="45435000"/>
    <m/>
    <x v="1"/>
    <n v="133114873"/>
    <s v="SALDO DARI IMRON ROSADI"/>
    <x v="4"/>
  </r>
  <r>
    <m/>
    <m/>
    <n v="1000000"/>
    <x v="0"/>
    <n v="134114873"/>
    <s v="JUMAT BERKAH DARI LAELASARI / AMINUDIN"/>
    <x v="6"/>
  </r>
  <r>
    <m/>
    <m/>
    <n v="300000"/>
    <x v="0"/>
    <n v="134414873"/>
    <s v="JUMAT BERKAH DARI NITA ROSITA"/>
    <x v="6"/>
  </r>
  <r>
    <m/>
    <m/>
    <n v="600000"/>
    <x v="0"/>
    <n v="135014873"/>
    <s v="JUMAT BERKAH DARI AMRAN ANWAR"/>
    <x v="6"/>
  </r>
  <r>
    <n v="1250000"/>
    <m/>
    <m/>
    <x v="0"/>
    <n v="133764873"/>
    <s v="OP - A IMRON ROSADI OPERASI-REIMBURSE VOUCHER LISTRIK &amp; PAJAK MOTOR MASJID  "/>
    <x v="7"/>
  </r>
  <r>
    <n v="2500"/>
    <m/>
    <m/>
    <x v="0"/>
    <n v="133762373"/>
    <s v="OP - BIAYA TRANSFER A IMRON ROSADI OPERASI-REIMBURSE VOUCHER LISTRIK &amp; PAJAK MOTOR MASJID  "/>
    <x v="7"/>
  </r>
  <r>
    <m/>
    <m/>
    <n v="600000"/>
    <x v="0"/>
    <n v="134362373"/>
    <s v="JUMAT BERKAH DARI DARWIN ALI"/>
    <x v="6"/>
  </r>
  <r>
    <m/>
    <m/>
    <n v="300000"/>
    <x v="0"/>
    <n v="134662373"/>
    <s v="JUMAT BERKAH DARI AGUNG SANTOSO"/>
    <x v="6"/>
  </r>
  <r>
    <m/>
    <m/>
    <n v="300000"/>
    <x v="0"/>
    <n v="134962373"/>
    <s v="JUMAT BERKAH DARI DRS. SARWONO"/>
    <x v="6"/>
  </r>
  <r>
    <m/>
    <m/>
    <n v="300000"/>
    <x v="0"/>
    <n v="135262373"/>
    <s v="JUMAT BERKAH DARI SAFONI MAWARDI"/>
    <x v="6"/>
  </r>
  <r>
    <m/>
    <m/>
    <n v="300000"/>
    <x v="0"/>
    <n v="135562373"/>
    <s v="JUMAT BERKAH DARI ENICA AGUSTINA"/>
    <x v="6"/>
  </r>
  <r>
    <n v="500000"/>
    <m/>
    <m/>
    <x v="0"/>
    <n v="135062373"/>
    <s v="OP - SUGENG PRIYONO OP-SERVIS AC REIMBURSE PAK SUGENG PRIYONO"/>
    <x v="8"/>
  </r>
  <r>
    <n v="2000000"/>
    <m/>
    <m/>
    <x v="0"/>
    <n v="133062373"/>
    <s v="JUMAT BERKAH WATTIA NETI PEMBAYARAN DP REKENING JUMAT BAROKAH ALJABAR"/>
    <x v="9"/>
  </r>
  <r>
    <n v="2500"/>
    <m/>
    <m/>
    <x v="0"/>
    <n v="133059873"/>
    <s v="JUMAT BERKAH WATTIA NETI BIAYA TRANSFER DP REKENING JUMAT BAROKAH ALJABAR"/>
    <x v="9"/>
  </r>
  <r>
    <m/>
    <m/>
    <n v="504000"/>
    <x v="0"/>
    <n v="133563873"/>
    <s v="JUMAT BERKAH DARI ACHMAD FANANI ,DR."/>
    <x v="6"/>
  </r>
  <r>
    <m/>
    <m/>
    <n v="100000"/>
    <x v="0"/>
    <n v="133663873"/>
    <s v="JUMAT BERKAH DARI SHINTA NUR DEWANTI"/>
    <x v="6"/>
  </r>
  <r>
    <m/>
    <m/>
    <n v="400000"/>
    <x v="0"/>
    <n v="134063873"/>
    <s v="OP-INFAQ TPQ"/>
    <x v="10"/>
  </r>
  <r>
    <m/>
    <m/>
    <n v="300000"/>
    <x v="0"/>
    <n v="134363873"/>
    <s v="JUMAT BERKAH DARI AGUNG PRAMONO"/>
    <x v="6"/>
  </r>
  <r>
    <m/>
    <m/>
    <n v="300000"/>
    <x v="0"/>
    <n v="134663873"/>
    <s v="JUMAT BERKAH DARI RIZKI HIDAYAT"/>
    <x v="6"/>
  </r>
  <r>
    <m/>
    <m/>
    <n v="600000"/>
    <x v="0"/>
    <n v="135263873"/>
    <s v="JUMAT BERKAH DARI YUANITA"/>
    <x v="6"/>
  </r>
  <r>
    <m/>
    <m/>
    <n v="350000"/>
    <x v="0"/>
    <n v="135613873"/>
    <s v="JUMAT BERKAH DARI HAMZAH PATANGARIH"/>
    <x v="6"/>
  </r>
  <r>
    <n v="1600000"/>
    <m/>
    <m/>
    <x v="0"/>
    <n v="134013873"/>
    <s v="PELUNASAN CATERING JUMAT BERKAH"/>
    <x v="9"/>
  </r>
  <r>
    <n v="2500"/>
    <m/>
    <m/>
    <x v="0"/>
    <n v="134011373"/>
    <s v="BIAYA ADMPELUNASAN CATERING JUMAT BERKAH"/>
    <x v="9"/>
  </r>
  <r>
    <n v="750000"/>
    <m/>
    <m/>
    <x v="0"/>
    <n v="133261373"/>
    <s v="HONOR USTADZ ABDUL HAMID"/>
    <x v="11"/>
  </r>
  <r>
    <n v="2500"/>
    <m/>
    <m/>
    <x v="0"/>
    <n v="133258873"/>
    <s v="BIAYA ADM HONOR USTADZ ABDUL HAMID"/>
    <x v="11"/>
  </r>
  <r>
    <m/>
    <m/>
    <n v="300000"/>
    <x v="0"/>
    <n v="133558873"/>
    <s v="OP-INFAQ DJOKO SULISTIYONO"/>
    <x v="2"/>
  </r>
  <r>
    <m/>
    <m/>
    <n v="50000"/>
    <x v="0"/>
    <n v="133608873"/>
    <s v="INFAQ DARI PUTIE AMBUN SURI / RIVENDRA"/>
    <x v="2"/>
  </r>
  <r>
    <m/>
    <m/>
    <n v="100000"/>
    <x v="0"/>
    <n v="133708873"/>
    <s v="INFAQ DARI HASNANTO"/>
    <x v="2"/>
  </r>
  <r>
    <m/>
    <m/>
    <n v="3000000"/>
    <x v="0"/>
    <n v="136708873"/>
    <s v="INFAQ DARI ISTANTO / IDAWATI"/>
    <x v="2"/>
  </r>
  <r>
    <m/>
    <m/>
    <n v="2773000"/>
    <x v="0"/>
    <n v="139481873"/>
    <s v="Akun Yatim &amp; Sosial"/>
    <x v="12"/>
  </r>
  <r>
    <m/>
    <m/>
    <n v="1977000"/>
    <x v="0"/>
    <n v="141458873"/>
    <s v="Operasional (Infaq &amp; Sodaqoh)"/>
    <x v="2"/>
  </r>
  <r>
    <n v="200000"/>
    <m/>
    <m/>
    <x v="0"/>
    <n v="141258873"/>
    <s v="Selisih hitung setor bank"/>
    <x v="1"/>
  </r>
  <r>
    <m/>
    <n v="4550000"/>
    <m/>
    <x v="1"/>
    <n v="141258873"/>
    <s v="SETOR IMRON ROSADI"/>
    <x v="4"/>
  </r>
  <r>
    <m/>
    <m/>
    <n v="100000"/>
    <x v="0"/>
    <n v="141358873"/>
    <s v="INFAQ DARI MAHMUD"/>
    <x v="2"/>
  </r>
  <r>
    <m/>
    <m/>
    <n v="7000"/>
    <x v="0"/>
    <n v="141365873"/>
    <s v="INFAQ DARI MUHAMMAD UBAIDILLAH"/>
    <x v="2"/>
  </r>
  <r>
    <m/>
    <m/>
    <n v="1000000"/>
    <x v="0"/>
    <n v="142365873"/>
    <s v="INFAQ DARI ARWINDO"/>
    <x v="2"/>
  </r>
  <r>
    <m/>
    <m/>
    <n v="600000"/>
    <x v="0"/>
    <n v="142965873"/>
    <s v="INFAQ DARI TPQ"/>
    <x v="10"/>
  </r>
  <r>
    <m/>
    <m/>
    <n v="250000"/>
    <x v="0"/>
    <n v="143215873"/>
    <s v="JUMAT BERKAH DARI AMRAN ANWAR"/>
    <x v="6"/>
  </r>
  <r>
    <n v="2500000"/>
    <m/>
    <m/>
    <x v="0"/>
    <n v="140715873"/>
    <s v="PO CATERING JUMAT BAROKAH"/>
    <x v="9"/>
  </r>
  <r>
    <m/>
    <m/>
    <n v="50000"/>
    <x v="0"/>
    <n v="140765873"/>
    <s v="INFAQ DARI MUHAMMAD AKMAL HAKIM"/>
    <x v="2"/>
  </r>
  <r>
    <m/>
    <m/>
    <n v="5000"/>
    <x v="0"/>
    <n v="140770873"/>
    <s v="INFAQ DARI GOPAY"/>
    <x v="2"/>
  </r>
  <r>
    <m/>
    <m/>
    <n v="4044000"/>
    <x v="0"/>
    <n v="144814873"/>
    <s v="Akun Yatim &amp; Sosial"/>
    <x v="12"/>
  </r>
  <r>
    <m/>
    <m/>
    <n v="-33000"/>
    <x v="0"/>
    <n v="144781873"/>
    <s v="Operasional (Infaq &amp; Sodaqoh)"/>
    <x v="2"/>
  </r>
  <r>
    <n v="20000"/>
    <m/>
    <m/>
    <x v="0"/>
    <n v="144761873"/>
    <s v="Selisih hitung setor bank"/>
    <x v="1"/>
  </r>
  <r>
    <m/>
    <n v="3991000"/>
    <m/>
    <x v="1"/>
    <n v="144761873"/>
    <s v="SETOR IMRON ROSADI"/>
    <x v="4"/>
  </r>
  <r>
    <m/>
    <n v="6850000"/>
    <m/>
    <x v="1"/>
    <n v="144761873"/>
    <s v="Pengumpulan infaq oleh Ustad Imron"/>
    <x v="4"/>
  </r>
  <r>
    <m/>
    <n v="-1000000"/>
    <m/>
    <x v="1"/>
    <n v="144761873"/>
    <s v="Infaq disetor langsung ke rekening masjid "/>
    <x v="4"/>
  </r>
  <r>
    <m/>
    <n v="-685000"/>
    <m/>
    <x v="1"/>
    <n v="144761873"/>
    <s v="Honor collector ustadz Imron"/>
    <x v="4"/>
  </r>
  <r>
    <m/>
    <m/>
    <n v="5165000"/>
    <x v="0"/>
    <n v="149926873"/>
    <s v="SETOR IMRON ROSADI"/>
    <x v="2"/>
  </r>
  <r>
    <m/>
    <m/>
    <n v="10000"/>
    <x v="0"/>
    <n v="149936873"/>
    <s v="INFAQ DARI GOPAY"/>
    <x v="2"/>
  </r>
  <r>
    <m/>
    <m/>
    <n v="10000"/>
    <x v="0"/>
    <n v="149946873"/>
    <s v="INFAQ DARI YOYOK SUBIANTO"/>
    <x v="2"/>
  </r>
  <r>
    <n v="750000"/>
    <m/>
    <m/>
    <x v="0"/>
    <n v="149196873"/>
    <s v="Reimburse ke Rivendra Hadiah Kajian Sabtu Ust. Affan"/>
    <x v="11"/>
  </r>
  <r>
    <n v="2500"/>
    <m/>
    <m/>
    <x v="0"/>
    <n v="149194373"/>
    <s v="Biaya transfer Reimburse Hadiah Kajian Sabtu Ust. Affan"/>
    <x v="11"/>
  </r>
  <r>
    <n v="756500"/>
    <m/>
    <m/>
    <x v="0"/>
    <n v="148437873"/>
    <s v="Reimburse ke Rivendra Hadiah Kajian Ahad Ust. Hasan"/>
    <x v="11"/>
  </r>
  <r>
    <n v="2500"/>
    <m/>
    <m/>
    <x v="0"/>
    <n v="148435373"/>
    <s v="Biaya transfer Reimburse Hadiah Kajian Ahad Ust. Hasan"/>
    <x v="11"/>
  </r>
  <r>
    <m/>
    <m/>
    <n v="10000"/>
    <x v="0"/>
    <n v="148445373"/>
    <s v="INFAQ DARI YOYOK SUBIANTO"/>
    <x v="2"/>
  </r>
  <r>
    <m/>
    <m/>
    <n v="1200000"/>
    <x v="0"/>
    <n v="149645373"/>
    <s v="INFAQ DARI HASNANTO WAHYUDI"/>
    <x v="2"/>
  </r>
  <r>
    <m/>
    <m/>
    <n v="500000"/>
    <x v="0"/>
    <n v="150145373"/>
    <s v="JUMAT BERKAH DARI H.ROPI"/>
    <x v="6"/>
  </r>
  <r>
    <m/>
    <m/>
    <n v="10000"/>
    <x v="0"/>
    <n v="150155373"/>
    <s v="INFAQ DARI JAMAAH"/>
    <x v="2"/>
  </r>
  <r>
    <m/>
    <m/>
    <n v="300000"/>
    <x v="0"/>
    <n v="150455373"/>
    <s v="JUMAT BERKAH DARI EDI NURHADI"/>
    <x v="6"/>
  </r>
  <r>
    <m/>
    <m/>
    <n v="300000"/>
    <x v="0"/>
    <n v="150755373"/>
    <s v="JUMAT BERKAH DARI AMRAN ANWAR"/>
    <x v="6"/>
  </r>
  <r>
    <m/>
    <m/>
    <n v="150000"/>
    <x v="0"/>
    <n v="150905373"/>
    <s v="INFAQ DARI SURJATI SUTARJA"/>
    <x v="2"/>
  </r>
  <r>
    <m/>
    <m/>
    <n v="10000"/>
    <x v="0"/>
    <n v="150915373"/>
    <s v="INFAQ DARI WARGA"/>
    <x v="2"/>
  </r>
  <r>
    <m/>
    <m/>
    <n v="300000"/>
    <x v="0"/>
    <n v="151215373"/>
    <s v="JUMAT BERKAH DARI AGUNG PRAMONO"/>
    <x v="6"/>
  </r>
  <r>
    <m/>
    <m/>
    <n v="300000"/>
    <x v="0"/>
    <n v="151515373"/>
    <s v="INFAQ DARI WARGA"/>
    <x v="2"/>
  </r>
  <r>
    <n v="1400000"/>
    <m/>
    <m/>
    <x v="0"/>
    <n v="150115373"/>
    <s v="PEMBELIAN JUMAT BERKAH"/>
    <x v="9"/>
  </r>
  <r>
    <m/>
    <m/>
    <n v="100000"/>
    <x v="0"/>
    <n v="150215373"/>
    <s v="INFAQ DARI WARGA"/>
    <x v="2"/>
  </r>
  <r>
    <m/>
    <m/>
    <n v="10000"/>
    <x v="0"/>
    <n v="150225373"/>
    <s v="INFAQ DARI WARGA"/>
    <x v="2"/>
  </r>
  <r>
    <n v="750000"/>
    <m/>
    <m/>
    <x v="0"/>
    <n v="149475373"/>
    <s v="HONOR USTADZ KHOERUL MAKTUM"/>
    <x v="11"/>
  </r>
  <r>
    <n v="2500"/>
    <m/>
    <m/>
    <x v="0"/>
    <n v="149472873"/>
    <s v="BIAYA ADM HONOR USTADZ KHOERUL MAKTUM"/>
    <x v="11"/>
  </r>
  <r>
    <m/>
    <m/>
    <n v="100000"/>
    <x v="0"/>
    <n v="149572873"/>
    <s v="INFAQ DARI WARGA FENTY HERLIANA"/>
    <x v="2"/>
  </r>
  <r>
    <m/>
    <m/>
    <n v="200000"/>
    <x v="0"/>
    <n v="149772873"/>
    <s v="INFAQ DARI TPQ RIVENDRA"/>
    <x v="10"/>
  </r>
  <r>
    <m/>
    <m/>
    <n v="300000"/>
    <x v="0"/>
    <n v="150072873"/>
    <s v="INFAQ DARI WARGA BENY PRIYATNA KUSUMA"/>
    <x v="2"/>
  </r>
  <r>
    <n v="1000000"/>
    <m/>
    <m/>
    <x v="0"/>
    <n v="149072873"/>
    <s v="HONOR USTADZ WAHID RAHMAN"/>
    <x v="11"/>
  </r>
  <r>
    <n v="2500"/>
    <m/>
    <m/>
    <x v="0"/>
    <n v="149070373"/>
    <s v="BIAYA ADM HONOR USTADZ WAHID RAHMAN"/>
    <x v="11"/>
  </r>
  <r>
    <m/>
    <m/>
    <n v="10000"/>
    <x v="0"/>
    <n v="149080373"/>
    <s v="INFAQ DARI WARGA"/>
    <x v="2"/>
  </r>
  <r>
    <m/>
    <m/>
    <n v="5000"/>
    <x v="0"/>
    <n v="149085373"/>
    <s v="INFAQ DARI WARGA"/>
    <x v="2"/>
  </r>
  <r>
    <m/>
    <m/>
    <n v="200000"/>
    <x v="0"/>
    <n v="149285373"/>
    <s v="INFAQ DARI MOHAMMADIANTORO PURNAWAN A.N ALM M.HASAN"/>
    <x v="2"/>
  </r>
  <r>
    <m/>
    <m/>
    <n v="10000"/>
    <x v="0"/>
    <n v="149295373"/>
    <s v="INFAQ DARI WARGA"/>
    <x v="2"/>
  </r>
  <r>
    <n v="3250000"/>
    <m/>
    <m/>
    <x v="0"/>
    <n v="146045373"/>
    <s v="HONOR NANANG SUBAEDI"/>
    <x v="13"/>
  </r>
  <r>
    <n v="6500"/>
    <m/>
    <m/>
    <x v="0"/>
    <n v="146038873"/>
    <s v="BIAYA ADM HONOR NANANG SUBAEDI"/>
    <x v="13"/>
  </r>
  <r>
    <n v="2000000"/>
    <m/>
    <m/>
    <x v="0"/>
    <n v="144038873"/>
    <s v="HONOR YANA SIGIT ISMATULLAH"/>
    <x v="13"/>
  </r>
  <r>
    <n v="6500"/>
    <m/>
    <m/>
    <x v="0"/>
    <n v="144032373"/>
    <s v="BIAYA ADM HONOR YANA SIGIT ISMATULLAH"/>
    <x v="13"/>
  </r>
  <r>
    <n v="2500000"/>
    <m/>
    <m/>
    <x v="0"/>
    <n v="141532373"/>
    <s v="HONOR NANANG AZIS / ISTANTO"/>
    <x v="13"/>
  </r>
  <r>
    <n v="6500"/>
    <m/>
    <m/>
    <x v="0"/>
    <n v="141525873"/>
    <s v="BIAYA ADM HONOR AZIS / ISTANTO"/>
    <x v="13"/>
  </r>
  <r>
    <n v="2700000"/>
    <m/>
    <m/>
    <x v="0"/>
    <n v="138825873"/>
    <s v="HONOR M BAYU CANDRA"/>
    <x v="14"/>
  </r>
  <r>
    <n v="6500"/>
    <m/>
    <m/>
    <x v="0"/>
    <n v="138819373"/>
    <s v="BIAYA ADM HONOR M BAYU CANDRA"/>
    <x v="14"/>
  </r>
  <r>
    <n v="2000000"/>
    <m/>
    <m/>
    <x v="0"/>
    <n v="136819373"/>
    <s v="HONOR A IMRON ROSADI"/>
    <x v="13"/>
  </r>
  <r>
    <n v="6500"/>
    <m/>
    <m/>
    <x v="0"/>
    <n v="136812873"/>
    <s v="BIAYA ADM HONOR A IMRON ROSADI"/>
    <x v="13"/>
  </r>
  <r>
    <n v="1500000"/>
    <m/>
    <m/>
    <x v="0"/>
    <n v="135312873"/>
    <s v="HONOR MUHAMMAD ILHAM"/>
    <x v="13"/>
  </r>
  <r>
    <n v="6500"/>
    <m/>
    <m/>
    <x v="0"/>
    <n v="135306373"/>
    <s v="BIAYA ADM HONOR MUHAMMAD ILHAM"/>
    <x v="13"/>
  </r>
  <r>
    <n v="2500000"/>
    <m/>
    <m/>
    <x v="0"/>
    <n v="132806373"/>
    <s v="HONOR SURYADI"/>
    <x v="13"/>
  </r>
  <r>
    <m/>
    <m/>
    <n v="6000000"/>
    <x v="0"/>
    <n v="138806373"/>
    <s v="INFAQ DARI HARMEN"/>
    <x v="2"/>
  </r>
  <r>
    <m/>
    <m/>
    <n v="10000"/>
    <x v="0"/>
    <n v="138816373"/>
    <s v="INFAQ DARI WARGA"/>
    <x v="2"/>
  </r>
  <r>
    <n v="3000000"/>
    <m/>
    <m/>
    <x v="0"/>
    <n v="135816373"/>
    <s v="PENGGANTIAN BIAYA RAWAT SANTRI KE UST. BAMBANG"/>
    <x v="15"/>
  </r>
  <r>
    <n v="2000000"/>
    <m/>
    <m/>
    <x v="0"/>
    <n v="133816373"/>
    <s v="LINA HERLINA BIAYA MAJ BIAYA PENGAJIAN IBU-IBU"/>
    <x v="11"/>
  </r>
  <r>
    <n v="2500"/>
    <m/>
    <m/>
    <x v="0"/>
    <n v="133813873"/>
    <s v="BIAYA ADM LINA HERLINA BIAYA MAJ BIAYA PENGAJIAN IBU-IBU"/>
    <x v="11"/>
  </r>
  <r>
    <m/>
    <m/>
    <n v="1000"/>
    <x v="0"/>
    <n v="133814873"/>
    <s v="JUMAT BERKAH DARI RIVENDRA"/>
    <x v="6"/>
  </r>
  <r>
    <m/>
    <m/>
    <n v="750000"/>
    <x v="0"/>
    <n v="134564873"/>
    <s v="INFAQ DARI WARGA AGUSTANI Biaya Tebang Pohon"/>
    <x v="2"/>
  </r>
  <r>
    <m/>
    <m/>
    <n v="10000"/>
    <x v="0"/>
    <n v="134574873"/>
    <s v="INFAQ DARI WARGA"/>
    <x v="2"/>
  </r>
  <r>
    <m/>
    <m/>
    <m/>
    <x v="0"/>
    <n v="134574873"/>
    <s v="INFAQ DARI WARGA"/>
    <x v="2"/>
  </r>
  <r>
    <m/>
    <m/>
    <m/>
    <x v="0"/>
    <n v="134574873"/>
    <s v="INFAQ DARI WARGA"/>
    <x v="2"/>
  </r>
  <r>
    <m/>
    <m/>
    <n v="2643000"/>
    <x v="0"/>
    <n v="137217873"/>
    <s v="Akun Yatim &amp; Sosial"/>
    <x v="12"/>
  </r>
  <r>
    <m/>
    <m/>
    <n v="2823000"/>
    <x v="0"/>
    <n v="140040873"/>
    <s v="Operasional (Infaq &amp; Sodaqoh)"/>
    <x v="2"/>
  </r>
  <r>
    <n v="50000"/>
    <m/>
    <m/>
    <x v="0"/>
    <n v="139990873"/>
    <s v="Selisih hitung setor bank"/>
    <x v="1"/>
  </r>
  <r>
    <m/>
    <n v="5416000"/>
    <m/>
    <x v="1"/>
    <n v="139990873"/>
    <s v="SETOR IMRON ROSADI"/>
    <x v="4"/>
  </r>
  <r>
    <n v="4613000"/>
    <m/>
    <m/>
    <x v="0"/>
    <n v="135377873"/>
    <s v="PENGGANTIAN SISA BIAYA RAWAT SANTRI KE UST. BAMBANG"/>
    <x v="15"/>
  </r>
  <r>
    <n v="2500"/>
    <m/>
    <m/>
    <x v="0"/>
    <n v="135375373"/>
    <s v="BIAYA ADM PENGGANTIAN BIAYA RAWAT SANTRI KE UST. BAMBANG"/>
    <x v="15"/>
  </r>
  <r>
    <n v="4000000"/>
    <m/>
    <m/>
    <x v="0"/>
    <n v="131375373"/>
    <s v="MAJ BIAYA PERAWATAN SANTRI JANUARI VIA REK UST.BAYU"/>
    <x v="14"/>
  </r>
  <r>
    <n v="2500"/>
    <m/>
    <m/>
    <x v="0"/>
    <n v="131372873"/>
    <s v="BIAYA ADM MAJ BIAYA PERAWATAN SANTRI JANUARI VIA REK UST.BAYU"/>
    <x v="14"/>
  </r>
  <r>
    <n v="4950000"/>
    <m/>
    <m/>
    <x v="0"/>
    <n v="126422873"/>
    <s v="BIAYA PERAWATAN MASJID (PANGKAS SAWIT, BAMBU &amp; LAMPU)"/>
    <x v="8"/>
  </r>
  <r>
    <m/>
    <m/>
    <n v="100000"/>
    <x v="0"/>
    <n v="126522873"/>
    <s v="ZAKAT DARI MOH RESAWAN HAKIM"/>
    <x v="16"/>
  </r>
  <r>
    <n v="1000000"/>
    <m/>
    <m/>
    <x v="2"/>
    <n v="125522873"/>
    <s v="HONOR USTADZ AZHAR KHALID"/>
    <x v="11"/>
  </r>
  <r>
    <n v="2500"/>
    <m/>
    <m/>
    <x v="2"/>
    <n v="125520373"/>
    <s v="BIAYA ADM HONOR USTADZ AZHAR KHALID"/>
    <x v="11"/>
  </r>
  <r>
    <m/>
    <m/>
    <n v="1000"/>
    <x v="2"/>
    <n v="125521373"/>
    <s v="INFAQ DARI YOYOK SUBIANTO"/>
    <x v="2"/>
  </r>
  <r>
    <m/>
    <m/>
    <n v="75000"/>
    <x v="2"/>
    <n v="125596373"/>
    <s v="INFAQ DARI WIDHIYAKSA SAVEEDRA"/>
    <x v="2"/>
  </r>
  <r>
    <m/>
    <m/>
    <n v="500000"/>
    <x v="2"/>
    <n v="126096373"/>
    <s v="INFAQ DARI DRS SARWONO"/>
    <x v="2"/>
  </r>
  <r>
    <m/>
    <m/>
    <n v="200000"/>
    <x v="2"/>
    <n v="126296373"/>
    <s v="INFAQ DARI DEDEN TP PERDIANSYAH"/>
    <x v="2"/>
  </r>
  <r>
    <m/>
    <m/>
    <n v="15000"/>
    <x v="2"/>
    <n v="126311373"/>
    <s v="INFAQ DARI RIZKIVITA AGNES "/>
    <x v="2"/>
  </r>
  <r>
    <m/>
    <m/>
    <n v="300000"/>
    <x v="2"/>
    <n v="126611373"/>
    <s v="INFAQ DARI BU FAJAR TS 8"/>
    <x v="2"/>
  </r>
  <r>
    <m/>
    <m/>
    <n v="200000"/>
    <x v="2"/>
    <n v="126811373"/>
    <s v="INFAQ DARI UMI HAMIDAH"/>
    <x v="2"/>
  </r>
  <r>
    <m/>
    <m/>
    <n v="300000"/>
    <x v="2"/>
    <n v="127111373"/>
    <s v="INFAQ DARI AGUNG PRAMONO"/>
    <x v="2"/>
  </r>
  <r>
    <n v="750000"/>
    <m/>
    <m/>
    <x v="2"/>
    <n v="126361373"/>
    <s v="HONOR USTADZ HIKMATIYAR ABU UMAR"/>
    <x v="11"/>
  </r>
  <r>
    <n v="2500"/>
    <m/>
    <m/>
    <x v="2"/>
    <n v="126358873"/>
    <s v="BIAYA ADM HONOR USTADZ HIKMATIYAR ABU UMAR"/>
    <x v="11"/>
  </r>
  <r>
    <m/>
    <m/>
    <n v="500000"/>
    <x v="2"/>
    <n v="126858873"/>
    <s v="INFAQ DARI SHINTA NUR DEWANTI A.N NURKHOLIS TA 3/3"/>
    <x v="2"/>
  </r>
  <r>
    <m/>
    <m/>
    <n v="200000"/>
    <x v="2"/>
    <n v="127058873"/>
    <s v="INFAQ DARI WUSONO PRIHADI SANTO"/>
    <x v="2"/>
  </r>
  <r>
    <m/>
    <m/>
    <n v="400000"/>
    <x v="2"/>
    <n v="127458873"/>
    <s v="INFAQ DARI PUTIE AMBUN SURI/RIVENDRA"/>
    <x v="2"/>
  </r>
  <r>
    <m/>
    <m/>
    <n v="200000"/>
    <x v="2"/>
    <n v="127658873"/>
    <s v="INFAQ DARI DEDEN TP PERDIANSYAH"/>
    <x v="2"/>
  </r>
  <r>
    <m/>
    <m/>
    <n v="500000"/>
    <x v="2"/>
    <n v="128158873"/>
    <s v="INFAQ DARI INDRA EDI SANTOSO"/>
    <x v="2"/>
  </r>
  <r>
    <m/>
    <m/>
    <n v="2412000"/>
    <x v="2"/>
    <n v="130570873"/>
    <s v="Akun Yatim &amp; Sosial"/>
    <x v="12"/>
  </r>
  <r>
    <m/>
    <m/>
    <n v="3924000"/>
    <x v="2"/>
    <n v="134494873"/>
    <s v="Operasional (Infaq &amp; Sodaqoh)"/>
    <x v="2"/>
  </r>
  <r>
    <m/>
    <n v="6336000"/>
    <m/>
    <x v="1"/>
    <n v="134494873"/>
    <s v="SETOR IMRON ROSADI"/>
    <x v="4"/>
  </r>
  <r>
    <m/>
    <m/>
    <n v="1000000"/>
    <x v="2"/>
    <n v="135494873"/>
    <s v="INFAQ DARI AMRAN ANWAR"/>
    <x v="2"/>
  </r>
  <r>
    <m/>
    <m/>
    <n v="200000"/>
    <x v="2"/>
    <n v="135694873"/>
    <s v="INFAQ DARI MOHAMMADIANTORO PURNAWAN A.N ALM M.HASAN"/>
    <x v="2"/>
  </r>
  <r>
    <m/>
    <m/>
    <n v="100000"/>
    <x v="2"/>
    <n v="135794873"/>
    <s v="INFAQ DARI FENTYHERLIANA A.N YUDHA BS"/>
    <x v="2"/>
  </r>
  <r>
    <n v="2000000"/>
    <m/>
    <m/>
    <x v="2"/>
    <n v="133794873"/>
    <s v="BIAYA PENGAJIAN IBU-IBU MAJ FEBRUARI"/>
    <x v="11"/>
  </r>
  <r>
    <n v="2500"/>
    <m/>
    <m/>
    <x v="2"/>
    <n v="133792373"/>
    <s v="BIAYA ADM PENGAJIAN IBU-IBU MAJ FEBRUARI"/>
    <x v="11"/>
  </r>
  <r>
    <m/>
    <m/>
    <n v="2000000"/>
    <x v="2"/>
    <n v="135792373"/>
    <s v="INFAQ DARI RIZKY HIDAYAT SL"/>
    <x v="2"/>
  </r>
  <r>
    <m/>
    <m/>
    <n v="250000"/>
    <x v="2"/>
    <n v="136042373"/>
    <s v="INFAQ DARI SEPTEMBERIZAL TA 1/8"/>
    <x v="2"/>
  </r>
  <r>
    <m/>
    <m/>
    <n v="66500"/>
    <x v="2"/>
    <n v="136108873"/>
    <s v="Refund Program MAP_Januari 2025"/>
    <x v="2"/>
  </r>
  <r>
    <n v="750000"/>
    <m/>
    <m/>
    <x v="2"/>
    <n v="135358873"/>
    <s v="HONOR USTADZ ABDUL HAMID"/>
    <x v="11"/>
  </r>
  <r>
    <n v="2500"/>
    <m/>
    <m/>
    <x v="2"/>
    <n v="135356373"/>
    <s v="BIAYA ADM HONOR USTADZ ABDUL HAMID"/>
    <x v="11"/>
  </r>
  <r>
    <m/>
    <m/>
    <n v="20000"/>
    <x v="2"/>
    <n v="135376373"/>
    <s v="INFAQ DARI YOYOK SUBIANTO"/>
    <x v="2"/>
  </r>
  <r>
    <m/>
    <m/>
    <n v="75000"/>
    <x v="2"/>
    <n v="135451373"/>
    <s v="INFAQ DARI WIDHIYAKSA SAVEEDRA"/>
    <x v="2"/>
  </r>
  <r>
    <m/>
    <m/>
    <n v="1500"/>
    <x v="2"/>
    <n v="135452873"/>
    <s v="INFAQ DARI GOPAY"/>
    <x v="2"/>
  </r>
  <r>
    <m/>
    <m/>
    <n v="1250000"/>
    <x v="2"/>
    <n v="136702873"/>
    <s v="INFAQ DARI JIMMY FAJRIANSYAH"/>
    <x v="2"/>
  </r>
  <r>
    <n v="750000"/>
    <m/>
    <m/>
    <x v="2"/>
    <n v="135952873"/>
    <s v="HONOR USTADZ DARWIS"/>
    <x v="11"/>
  </r>
  <r>
    <m/>
    <m/>
    <n v="2000000"/>
    <x v="2"/>
    <n v="137952873"/>
    <s v="INFAQ DARI PAK RAMADHAN"/>
    <x v="2"/>
  </r>
  <r>
    <m/>
    <m/>
    <n v="20000"/>
    <x v="2"/>
    <n v="137972873"/>
    <s v="INFAQ DARI MAY SOEKMONO"/>
    <x v="2"/>
  </r>
  <r>
    <m/>
    <m/>
    <n v="3222000"/>
    <x v="2"/>
    <n v="141194873"/>
    <s v="Akun Yatim &amp; Sosial"/>
    <x v="12"/>
  </r>
  <r>
    <m/>
    <m/>
    <n v="4084000"/>
    <x v="2"/>
    <n v="145278873"/>
    <s v="Operasional (Infaq &amp; Sodaqoh)"/>
    <x v="2"/>
  </r>
  <r>
    <m/>
    <n v="7306000"/>
    <m/>
    <x v="1"/>
    <n v="145278873"/>
    <s v="SETOR IMRON ROSADI"/>
    <x v="4"/>
  </r>
  <r>
    <n v="840000"/>
    <m/>
    <m/>
    <x v="2"/>
    <n v="144438873"/>
    <s v="REIMBURSE SERVICE AC MASJID"/>
    <x v="8"/>
  </r>
  <r>
    <n v="2500"/>
    <m/>
    <m/>
    <x v="2"/>
    <n v="144436373"/>
    <s v="REIMBURSE SERVICE AC MASJID"/>
    <x v="8"/>
  </r>
  <r>
    <n v="1000000"/>
    <m/>
    <m/>
    <x v="2"/>
    <n v="143436373"/>
    <s v="MAHMUD MADJID BELI PARFUM PEWANGI KARPET MAJ"/>
    <x v="8"/>
  </r>
  <r>
    <n v="2500"/>
    <m/>
    <m/>
    <x v="2"/>
    <n v="143433873"/>
    <s v="MAHMUD MADJID BELI PARFUM PEWANGI KARPET MAJ"/>
    <x v="8"/>
  </r>
  <r>
    <m/>
    <m/>
    <n v="1800000"/>
    <x v="2"/>
    <n v="145233873"/>
    <s v="INFAQ DARI SARI ARGO WARDANI"/>
    <x v="2"/>
  </r>
  <r>
    <m/>
    <m/>
    <n v="10000"/>
    <x v="2"/>
    <n v="145243873"/>
    <s v="INFAQ DARI YOYOK SUBIANTO"/>
    <x v="2"/>
  </r>
  <r>
    <m/>
    <m/>
    <n v="20000"/>
    <x v="2"/>
    <n v="145263873"/>
    <s v="QRIS"/>
    <x v="2"/>
  </r>
  <r>
    <m/>
    <m/>
    <n v="10000"/>
    <x v="2"/>
    <n v="145273873"/>
    <s v="QRIS"/>
    <x v="2"/>
  </r>
  <r>
    <m/>
    <m/>
    <n v="25000"/>
    <x v="2"/>
    <n v="145298873"/>
    <s v="QRIS"/>
    <x v="2"/>
  </r>
  <r>
    <m/>
    <m/>
    <n v="400000"/>
    <x v="2"/>
    <n v="145698873"/>
    <s v="INFAQ TPQ IMRON ROSADI"/>
    <x v="10"/>
  </r>
  <r>
    <m/>
    <m/>
    <n v="100000"/>
    <x v="2"/>
    <n v="145798873"/>
    <s v="QRIS"/>
    <x v="2"/>
  </r>
  <r>
    <m/>
    <m/>
    <n v="10000"/>
    <x v="2"/>
    <n v="145808873"/>
    <s v="QRIS"/>
    <x v="2"/>
  </r>
  <r>
    <m/>
    <m/>
    <n v="1700"/>
    <x v="2"/>
    <n v="145810573"/>
    <s v="QRIS"/>
    <x v="2"/>
  </r>
  <r>
    <n v="750000"/>
    <m/>
    <m/>
    <x v="2"/>
    <n v="145060573"/>
    <s v="UST AFAN MUBARAK"/>
    <x v="11"/>
  </r>
  <r>
    <n v="2500"/>
    <m/>
    <m/>
    <x v="2"/>
    <n v="145058073"/>
    <s v="ADM"/>
    <x v="11"/>
  </r>
  <r>
    <n v="750000"/>
    <m/>
    <m/>
    <x v="2"/>
    <n v="144308073"/>
    <s v="UST HASAN MUBARAK"/>
    <x v="11"/>
  </r>
  <r>
    <n v="2500"/>
    <m/>
    <m/>
    <x v="2"/>
    <n v="144305573"/>
    <s v="ADM"/>
    <x v="11"/>
  </r>
  <r>
    <m/>
    <m/>
    <n v="10000"/>
    <x v="2"/>
    <n v="144315573"/>
    <s v="QRIS"/>
    <x v="2"/>
  </r>
  <r>
    <m/>
    <m/>
    <n v="1550000"/>
    <x v="2"/>
    <n v="145865573"/>
    <s v="INFAQ COLLECTIVE WARGA RT 5"/>
    <x v="2"/>
  </r>
  <r>
    <m/>
    <m/>
    <n v="10000"/>
    <x v="2"/>
    <n v="145875573"/>
    <s v="QRIS"/>
    <x v="2"/>
  </r>
  <r>
    <m/>
    <m/>
    <n v="3264000"/>
    <x v="2"/>
    <n v="149139573"/>
    <s v="Akun Yatim &amp; Sosial"/>
    <x v="12"/>
  </r>
  <r>
    <m/>
    <m/>
    <n v="1961000"/>
    <x v="2"/>
    <n v="151100573"/>
    <s v="Operasional (Infaq &amp; Sodaqoh)"/>
    <x v="2"/>
  </r>
  <r>
    <m/>
    <n v="5225000"/>
    <m/>
    <x v="1"/>
    <n v="151100573"/>
    <s v="SETOR IMRON ROSADI"/>
    <x v="4"/>
  </r>
  <r>
    <n v="625000"/>
    <m/>
    <m/>
    <x v="2"/>
    <n v="150475573"/>
    <s v="BIAYA CETAK IMSAKIYAH MAJ 500 LBR"/>
    <x v="1"/>
  </r>
  <r>
    <n v="2500"/>
    <m/>
    <m/>
    <x v="2"/>
    <n v="150473073"/>
    <s v="BIAYA ADM CETAK IMSAKIYAH MAJ 500 LBR"/>
    <x v="1"/>
  </r>
  <r>
    <m/>
    <m/>
    <n v="150000"/>
    <x v="2"/>
    <n v="150623073"/>
    <s v="INFAQ DARI JONET/DWI LISTYOWATI DRA Gunung Salak FA 5"/>
    <x v="2"/>
  </r>
  <r>
    <m/>
    <m/>
    <n v="20000"/>
    <x v="2"/>
    <n v="150643073"/>
    <s v="QRIS"/>
    <x v="2"/>
  </r>
  <r>
    <m/>
    <m/>
    <n v="1000000"/>
    <x v="2"/>
    <n v="151643073"/>
    <s v="INFAQ DARI AMIN/LAELASARI RT 5"/>
    <x v="2"/>
  </r>
  <r>
    <m/>
    <m/>
    <n v="400000"/>
    <x v="2"/>
    <n v="152043073"/>
    <s v="INFAQ TPQ DARI AGUNG PRAMONO"/>
    <x v="10"/>
  </r>
  <r>
    <m/>
    <m/>
    <n v="20000"/>
    <x v="2"/>
    <n v="152063073"/>
    <s v="QRIS"/>
    <x v="2"/>
  </r>
  <r>
    <m/>
    <n v="2650000"/>
    <m/>
    <x v="1"/>
    <n v="152063073"/>
    <s v="INFAQ COLLECTIVE IMRON"/>
    <x v="4"/>
  </r>
  <r>
    <m/>
    <n v="-265000"/>
    <m/>
    <x v="1"/>
    <n v="152063073"/>
    <s v="FEE IMRON"/>
    <x v="4"/>
  </r>
  <r>
    <m/>
    <m/>
    <n v="2385000"/>
    <x v="2"/>
    <n v="154448073"/>
    <s v="IMRON ROSADI"/>
    <x v="2"/>
  </r>
  <r>
    <m/>
    <m/>
    <n v="100000"/>
    <x v="2"/>
    <n v="154548073"/>
    <s v="INFAQ DARI SURJATI SUTARJA"/>
    <x v="2"/>
  </r>
  <r>
    <n v="750000"/>
    <m/>
    <m/>
    <x v="2"/>
    <n v="153798073"/>
    <s v="HONOR USTADZ KHOERUL MAKTUM"/>
    <x v="11"/>
  </r>
  <r>
    <n v="2500"/>
    <m/>
    <m/>
    <x v="2"/>
    <n v="153795573"/>
    <s v="BIAYA ADM HONOR USTADZ KHOERUL MAKTUM"/>
    <x v="11"/>
  </r>
  <r>
    <m/>
    <m/>
    <n v="50000"/>
    <x v="2"/>
    <n v="153845573"/>
    <s v="QRIS"/>
    <x v="2"/>
  </r>
  <r>
    <m/>
    <m/>
    <n v="20000"/>
    <x v="2"/>
    <n v="153865573"/>
    <s v="QRIS"/>
    <x v="2"/>
  </r>
  <r>
    <m/>
    <m/>
    <n v="150000"/>
    <x v="2"/>
    <n v="154015573"/>
    <s v="QRIS"/>
    <x v="2"/>
  </r>
  <r>
    <m/>
    <m/>
    <n v="1904"/>
    <x v="2"/>
    <n v="154017477"/>
    <s v="QRIS"/>
    <x v="2"/>
  </r>
  <r>
    <n v="1000000"/>
    <m/>
    <m/>
    <x v="2"/>
    <n v="153017477"/>
    <s v="HONOR USTADZ WAHID RAHMAN"/>
    <x v="11"/>
  </r>
  <r>
    <n v="2500"/>
    <m/>
    <m/>
    <x v="2"/>
    <n v="153014977"/>
    <s v="BIAYA ADM HONOR USTADZ WAHID RAHMAN"/>
    <x v="11"/>
  </r>
  <r>
    <n v="1500000"/>
    <m/>
    <m/>
    <x v="2"/>
    <n v="151514977"/>
    <s v="HONOR PELATIHAN JENAZAH"/>
    <x v="11"/>
  </r>
  <r>
    <n v="6500"/>
    <m/>
    <m/>
    <x v="2"/>
    <n v="151508477"/>
    <s v="BIAYA ADM HONOR PELATIHAN JENAZAH"/>
    <x v="11"/>
  </r>
  <r>
    <m/>
    <m/>
    <n v="5000"/>
    <x v="2"/>
    <n v="151513477"/>
    <s v="QRIS"/>
    <x v="2"/>
  </r>
  <r>
    <m/>
    <m/>
    <n v="1000"/>
    <x v="2"/>
    <n v="151514477"/>
    <s v="QRIS"/>
    <x v="2"/>
  </r>
  <r>
    <m/>
    <m/>
    <n v="2641000"/>
    <x v="2"/>
    <n v="154155477"/>
    <s v="Akun Yatim &amp; Sosial"/>
    <x v="12"/>
  </r>
  <r>
    <m/>
    <m/>
    <n v="2441000"/>
    <x v="2"/>
    <n v="156596477"/>
    <s v="Operasional (Infaq &amp; Sodaqoh)"/>
    <x v="2"/>
  </r>
  <r>
    <n v="62000"/>
    <m/>
    <m/>
    <x v="2"/>
    <n v="156534477"/>
    <s v="Selisih hitung setor bank"/>
    <x v="1"/>
  </r>
  <r>
    <m/>
    <n v="5020000"/>
    <m/>
    <x v="1"/>
    <n v="156534477"/>
    <s v="SETOR IMRON"/>
    <x v="4"/>
  </r>
  <r>
    <m/>
    <m/>
    <n v="50000"/>
    <x v="2"/>
    <n v="156584477"/>
    <s v="QRIS"/>
    <x v="2"/>
  </r>
  <r>
    <m/>
    <m/>
    <n v="10000"/>
    <x v="2"/>
    <n v="156594477"/>
    <s v="QRIS"/>
    <x v="2"/>
  </r>
  <r>
    <m/>
    <m/>
    <n v="200000"/>
    <x v="2"/>
    <n v="156794477"/>
    <s v="INFAQ TPQ RIVENDRA"/>
    <x v="2"/>
  </r>
  <r>
    <n v="15000"/>
    <m/>
    <m/>
    <x v="2"/>
    <n v="156779477"/>
    <s v="CETAK STICKER QRIS MASJID ALJABBAR"/>
    <x v="1"/>
  </r>
  <r>
    <n v="2500"/>
    <m/>
    <m/>
    <x v="2"/>
    <n v="156776977"/>
    <s v="BIAYA ADM CETAK STICKER QRIS MASJID ALJABBAR"/>
    <x v="1"/>
  </r>
  <r>
    <m/>
    <m/>
    <n v="10000"/>
    <x v="2"/>
    <n v="156786977"/>
    <s v="QRIS"/>
    <x v="2"/>
  </r>
  <r>
    <m/>
    <m/>
    <n v="10000"/>
    <x v="2"/>
    <n v="156796977"/>
    <s v="QRIS"/>
    <x v="2"/>
  </r>
  <r>
    <m/>
    <m/>
    <n v="20000"/>
    <x v="2"/>
    <n v="156816977"/>
    <s v="QRIS"/>
    <x v="2"/>
  </r>
  <r>
    <m/>
    <m/>
    <n v="10000"/>
    <x v="2"/>
    <n v="156826977"/>
    <s v="QRIS"/>
    <x v="2"/>
  </r>
  <r>
    <m/>
    <m/>
    <n v="1000000"/>
    <x v="2"/>
    <n v="157826977"/>
    <s v="INFAQ DARI ANGGONO IRIAWAN"/>
    <x v="2"/>
  </r>
  <r>
    <n v="2000000"/>
    <m/>
    <m/>
    <x v="2"/>
    <n v="155826977"/>
    <s v="HONOR YANA SIGIT ISMATULLAH"/>
    <x v="13"/>
  </r>
  <r>
    <n v="6500"/>
    <m/>
    <m/>
    <x v="2"/>
    <n v="155820477"/>
    <s v="HONOR YANA SIGIT ISMATULLAH"/>
    <x v="13"/>
  </r>
  <r>
    <n v="2000000"/>
    <m/>
    <m/>
    <x v="2"/>
    <n v="153820477"/>
    <s v="HONOR A IMRON ROSADI"/>
    <x v="13"/>
  </r>
  <r>
    <n v="6500"/>
    <m/>
    <m/>
    <x v="2"/>
    <n v="153813977"/>
    <s v="HONOR A IMRON ROSADI"/>
    <x v="13"/>
  </r>
  <r>
    <n v="2500000"/>
    <m/>
    <m/>
    <x v="2"/>
    <n v="151313977"/>
    <s v="HONOR ABDUL AZIS VIA ISTANTO"/>
    <x v="13"/>
  </r>
  <r>
    <n v="6500"/>
    <m/>
    <m/>
    <x v="2"/>
    <n v="151307477"/>
    <s v="HONOR ABDUL AZIS VIA ISTANTO"/>
    <x v="13"/>
  </r>
  <r>
    <n v="3250000"/>
    <m/>
    <m/>
    <x v="2"/>
    <n v="148057477"/>
    <s v="HONOR NANANG SUBAEDI"/>
    <x v="13"/>
  </r>
  <r>
    <n v="6500"/>
    <m/>
    <m/>
    <x v="2"/>
    <n v="148050977"/>
    <s v="HONOR NANANG SUBAEDI"/>
    <x v="13"/>
  </r>
  <r>
    <n v="2700000"/>
    <m/>
    <m/>
    <x v="2"/>
    <n v="145350977"/>
    <s v="HONOR M BAYU CANDRA"/>
    <x v="14"/>
  </r>
  <r>
    <n v="6500"/>
    <m/>
    <m/>
    <x v="2"/>
    <n v="145344477"/>
    <s v="HONOR M BAYU CANDRA"/>
    <x v="14"/>
  </r>
  <r>
    <n v="1500000"/>
    <m/>
    <m/>
    <x v="2"/>
    <n v="143844477"/>
    <s v="HONOR MUHAMMAD ILHAM"/>
    <x v="13"/>
  </r>
  <r>
    <n v="6500"/>
    <m/>
    <m/>
    <x v="2"/>
    <n v="143837977"/>
    <s v="HONOR MUHAMMAD ILHAM"/>
    <x v="13"/>
  </r>
  <r>
    <n v="2500000"/>
    <m/>
    <m/>
    <x v="2"/>
    <n v="141337977"/>
    <s v="HONOR SURYADI"/>
    <x v="13"/>
  </r>
  <r>
    <m/>
    <m/>
    <n v="1250000"/>
    <x v="2"/>
    <n v="142587977"/>
    <s v="INFAQ COLLECTIVE WARGA VIA ABDUL AZIS"/>
    <x v="2"/>
  </r>
  <r>
    <m/>
    <m/>
    <n v="10000"/>
    <x v="2"/>
    <n v="142597977"/>
    <s v="QRIS"/>
    <x v="2"/>
  </r>
  <r>
    <m/>
    <m/>
    <n v="50000"/>
    <x v="2"/>
    <n v="142647977"/>
    <s v="QRIS"/>
    <x v="2"/>
  </r>
  <r>
    <n v="4000000"/>
    <m/>
    <m/>
    <x v="2"/>
    <n v="138647977"/>
    <s v="MAJ BIAYA PERAWATAN SANTRI FEBRUARI"/>
    <x v="14"/>
  </r>
  <r>
    <n v="2500"/>
    <m/>
    <m/>
    <x v="2"/>
    <n v="138645477"/>
    <s v="BIAYA ADM"/>
    <x v="14"/>
  </r>
  <r>
    <n v="7000"/>
    <m/>
    <m/>
    <x v="2"/>
    <n v="138638477"/>
    <s v="Fee Payroll Januari"/>
    <x v="1"/>
  </r>
  <r>
    <m/>
    <m/>
    <n v="50000"/>
    <x v="3"/>
    <n v="138688477"/>
    <s v="INFAQ QRIS"/>
    <x v="2"/>
  </r>
  <r>
    <m/>
    <m/>
    <n v="20000"/>
    <x v="3"/>
    <n v="138708477"/>
    <s v="INFAQ QRIS"/>
    <x v="2"/>
  </r>
  <r>
    <m/>
    <m/>
    <n v="10000"/>
    <x v="3"/>
    <n v="138718477"/>
    <s v="INFAQ QRIS"/>
    <x v="2"/>
  </r>
  <r>
    <m/>
    <m/>
    <n v="75000"/>
    <x v="3"/>
    <n v="138793477"/>
    <s v="INFAQ QRIS"/>
    <x v="2"/>
  </r>
  <r>
    <m/>
    <m/>
    <n v="10000"/>
    <x v="3"/>
    <n v="138803477"/>
    <s v="INFAQ QRIS"/>
    <x v="2"/>
  </r>
  <r>
    <m/>
    <m/>
    <n v="800"/>
    <x v="3"/>
    <n v="138804277"/>
    <s v="INFAQ QRIS"/>
    <x v="2"/>
  </r>
  <r>
    <m/>
    <m/>
    <n v="200000"/>
    <x v="3"/>
    <n v="139004277"/>
    <s v="INFAQ DARI UMI HAMIDAH DRA"/>
    <x v="2"/>
  </r>
  <r>
    <n v="4002500"/>
    <m/>
    <m/>
    <x v="3"/>
    <n v="135001777"/>
    <s v="DP Panitia Buka Bersama MAJ 1446H"/>
    <x v="17"/>
  </r>
  <r>
    <m/>
    <m/>
    <n v="10000"/>
    <x v="3"/>
    <n v="135011777"/>
    <s v="INFAQ QRIS"/>
    <x v="2"/>
  </r>
  <r>
    <m/>
    <m/>
    <n v="50000"/>
    <x v="3"/>
    <n v="135061777"/>
    <s v="INFAQ QRIS"/>
    <x v="2"/>
  </r>
  <r>
    <m/>
    <m/>
    <n v="5000"/>
    <x v="3"/>
    <n v="135066777"/>
    <s v="INFAQ QRIS"/>
    <x v="2"/>
  </r>
  <r>
    <m/>
    <m/>
    <n v="50000"/>
    <x v="3"/>
    <n v="135116777"/>
    <s v="INFAQ QRIS"/>
    <x v="2"/>
  </r>
  <r>
    <m/>
    <m/>
    <n v="10000"/>
    <x v="3"/>
    <n v="135126777"/>
    <s v="INFAQ QRIS"/>
    <x v="2"/>
  </r>
  <r>
    <m/>
    <m/>
    <n v="20000"/>
    <x v="3"/>
    <n v="135146777"/>
    <s v="INFAQ QRIS"/>
    <x v="2"/>
  </r>
  <r>
    <m/>
    <m/>
    <n v="10000"/>
    <x v="3"/>
    <n v="135156777"/>
    <s v="INFAQ QRIS"/>
    <x v="2"/>
  </r>
  <r>
    <m/>
    <m/>
    <n v="5000"/>
    <x v="3"/>
    <n v="135161777"/>
    <s v="INFAQ QRIS"/>
    <x v="2"/>
  </r>
  <r>
    <m/>
    <m/>
    <n v="100000"/>
    <x v="3"/>
    <n v="135261777"/>
    <s v="INFAQ QRIS"/>
    <x v="2"/>
  </r>
  <r>
    <m/>
    <m/>
    <n v="20000"/>
    <x v="3"/>
    <n v="135281777"/>
    <s v="INFAQ QRIS"/>
    <x v="2"/>
  </r>
  <r>
    <m/>
    <m/>
    <n v="10000"/>
    <x v="3"/>
    <n v="135291777"/>
    <s v="INFAQ QRIS"/>
    <x v="2"/>
  </r>
  <r>
    <m/>
    <m/>
    <n v="5000"/>
    <x v="3"/>
    <n v="135296777"/>
    <s v="INFAQ QRIS"/>
    <x v="2"/>
  </r>
  <r>
    <m/>
    <m/>
    <n v="5000"/>
    <x v="3"/>
    <n v="135301777"/>
    <s v="INFAQ QRIS"/>
    <x v="2"/>
  </r>
  <r>
    <m/>
    <m/>
    <n v="200000"/>
    <x v="3"/>
    <n v="135501777"/>
    <s v="INFAQ DEDEN TP PERDIANSYAH"/>
    <x v="2"/>
  </r>
  <r>
    <m/>
    <m/>
    <n v="550000"/>
    <x v="3"/>
    <n v="136051777"/>
    <s v="INFAQ QRIS"/>
    <x v="2"/>
  </r>
  <r>
    <m/>
    <m/>
    <n v="50000"/>
    <x v="3"/>
    <n v="136101777"/>
    <s v="INFAQ QRIS"/>
    <x v="2"/>
  </r>
  <r>
    <m/>
    <m/>
    <n v="21439"/>
    <x v="3"/>
    <n v="136123216"/>
    <s v="INFAQ QRIS"/>
    <x v="2"/>
  </r>
  <r>
    <m/>
    <m/>
    <n v="50000"/>
    <x v="3"/>
    <n v="136173216"/>
    <s v="INFAQ QRIS"/>
    <x v="2"/>
  </r>
  <r>
    <m/>
    <m/>
    <n v="10000"/>
    <x v="3"/>
    <n v="136183216"/>
    <s v="INFAQ QRIS"/>
    <x v="2"/>
  </r>
  <r>
    <m/>
    <m/>
    <n v="10000"/>
    <x v="3"/>
    <n v="136193216"/>
    <s v="INFAQ QRIS"/>
    <x v="2"/>
  </r>
  <r>
    <m/>
    <m/>
    <n v="5000"/>
    <x v="3"/>
    <n v="136198216"/>
    <s v="INFAQ QRIS"/>
    <x v="2"/>
  </r>
  <r>
    <m/>
    <m/>
    <n v="20000"/>
    <x v="3"/>
    <n v="136218216"/>
    <s v="INFAQ QRIS"/>
    <x v="2"/>
  </r>
  <r>
    <m/>
    <m/>
    <n v="100000"/>
    <x v="3"/>
    <n v="136318216"/>
    <s v="INFAQ QRIS"/>
    <x v="2"/>
  </r>
  <r>
    <m/>
    <m/>
    <n v="100000"/>
    <x v="3"/>
    <n v="136418216"/>
    <s v="INFAQ QRIS"/>
    <x v="2"/>
  </r>
  <r>
    <m/>
    <m/>
    <n v="50000"/>
    <x v="3"/>
    <n v="136468216"/>
    <s v="INFAQ QRIS"/>
    <x v="2"/>
  </r>
  <r>
    <m/>
    <m/>
    <n v="25000"/>
    <x v="3"/>
    <n v="136493216"/>
    <s v="INFAQ QRIS"/>
    <x v="2"/>
  </r>
  <r>
    <m/>
    <m/>
    <n v="20000"/>
    <x v="3"/>
    <n v="136513216"/>
    <s v="INFAQ QRIS"/>
    <x v="2"/>
  </r>
  <r>
    <m/>
    <m/>
    <n v="10000"/>
    <x v="3"/>
    <n v="136523216"/>
    <s v="INFAQ QRIS"/>
    <x v="2"/>
  </r>
  <r>
    <m/>
    <m/>
    <n v="4000"/>
    <x v="3"/>
    <n v="136527216"/>
    <s v="INFAQ QRIS"/>
    <x v="2"/>
  </r>
  <r>
    <m/>
    <m/>
    <n v="500000"/>
    <x v="3"/>
    <n v="137027216"/>
    <s v="INFAQ DARI DRS SARWONO"/>
    <x v="2"/>
  </r>
  <r>
    <m/>
    <m/>
    <n v="2885000"/>
    <x v="3"/>
    <n v="139912216"/>
    <s v="Akun Yatim &amp; Sosial"/>
    <x v="12"/>
  </r>
  <r>
    <m/>
    <m/>
    <n v="1322000"/>
    <x v="3"/>
    <n v="141234216"/>
    <s v="Operasional (Infaq &amp; Sodaqoh)"/>
    <x v="2"/>
  </r>
  <r>
    <m/>
    <n v="4207000"/>
    <m/>
    <x v="1"/>
    <n v="141234216"/>
    <s v="SETOR IMRON"/>
    <x v="4"/>
  </r>
  <r>
    <m/>
    <m/>
    <n v="200000"/>
    <x v="3"/>
    <n v="141434216"/>
    <s v="INFAQ DARI WUSONO PRIHADI SANTO"/>
    <x v="2"/>
  </r>
  <r>
    <m/>
    <m/>
    <n v="900000"/>
    <x v="3"/>
    <n v="142334216"/>
    <s v="INFAQ DARI ANDI BAGUS JL.PANGRANGO 25"/>
    <x v="2"/>
  </r>
  <r>
    <m/>
    <m/>
    <n v="300000"/>
    <x v="3"/>
    <n v="142634216"/>
    <s v="INFAQ DARI FADJAR SATYANI"/>
    <x v="2"/>
  </r>
  <r>
    <m/>
    <m/>
    <n v="10000"/>
    <x v="3"/>
    <n v="142644216"/>
    <s v="INFAQ QRIS"/>
    <x v="2"/>
  </r>
  <r>
    <m/>
    <m/>
    <n v="5000"/>
    <x v="3"/>
    <n v="142649216"/>
    <s v="INFAQ QRIS"/>
    <x v="2"/>
  </r>
  <r>
    <m/>
    <m/>
    <n v="20000"/>
    <x v="3"/>
    <n v="142669216"/>
    <s v="INFAQ QRIS"/>
    <x v="2"/>
  </r>
  <r>
    <m/>
    <m/>
    <n v="50000"/>
    <x v="3"/>
    <n v="142719216"/>
    <s v="INFAQ QRIS"/>
    <x v="2"/>
  </r>
  <r>
    <m/>
    <m/>
    <n v="10000"/>
    <x v="3"/>
    <n v="142729216"/>
    <s v="INFAQ QRIS"/>
    <x v="2"/>
  </r>
  <r>
    <m/>
    <m/>
    <n v="10000"/>
    <x v="3"/>
    <n v="142739216"/>
    <s v="INFAQ QRIS"/>
    <x v="2"/>
  </r>
  <r>
    <n v="855000"/>
    <m/>
    <m/>
    <x v="3"/>
    <n v="141884216"/>
    <s v="REIMBURSE BELI MATERIAL CAT PAK AMRAN"/>
    <x v="8"/>
  </r>
  <r>
    <n v="2500"/>
    <m/>
    <m/>
    <x v="3"/>
    <n v="141881716"/>
    <s v="BIAYA ADM REIMBURSE BELI MATERIAL CAT PAK AMRAN"/>
    <x v="8"/>
  </r>
  <r>
    <m/>
    <m/>
    <n v="150000"/>
    <x v="3"/>
    <n v="142031716"/>
    <s v="INFAQ DARI DWI LISTYOWATI DRA/JONET GUNUNG SALAK FA 5"/>
    <x v="2"/>
  </r>
  <r>
    <m/>
    <m/>
    <n v="1000000"/>
    <x v="3"/>
    <n v="143031716"/>
    <s v="INFAQ DARI ANIS "/>
    <x v="2"/>
  </r>
  <r>
    <n v="1350000"/>
    <m/>
    <m/>
    <x v="3"/>
    <n v="141681716"/>
    <s v="REIMBURSE VOUCHER LISTRIK &amp; SERVICE AC"/>
    <x v="7"/>
  </r>
  <r>
    <n v="2500"/>
    <m/>
    <m/>
    <x v="3"/>
    <n v="141679216"/>
    <s v="BIAYA ADM REIMBURSE VOUCHER LISTRIK &amp; SERVICE AC"/>
    <x v="7"/>
  </r>
  <r>
    <m/>
    <m/>
    <n v="1000000"/>
    <x v="3"/>
    <n v="142679216"/>
    <s v="INFAQ DARI MOH RESAWAN HAKIM"/>
    <x v="2"/>
  </r>
  <r>
    <m/>
    <m/>
    <n v="10000"/>
    <x v="3"/>
    <n v="142689216"/>
    <s v="INFAQ QRIS"/>
    <x v="2"/>
  </r>
  <r>
    <m/>
    <m/>
    <n v="100000"/>
    <x v="3"/>
    <n v="142789216"/>
    <s v="INFAQ QRIS"/>
    <x v="2"/>
  </r>
  <r>
    <m/>
    <m/>
    <n v="20000"/>
    <x v="3"/>
    <n v="142809216"/>
    <s v="INFAQ QRIS"/>
    <x v="2"/>
  </r>
  <r>
    <m/>
    <m/>
    <n v="25000"/>
    <x v="3"/>
    <n v="142834216"/>
    <s v="INFAQ QRIS"/>
    <x v="2"/>
  </r>
  <r>
    <m/>
    <m/>
    <n v="10000"/>
    <x v="3"/>
    <n v="142844216"/>
    <s v="INFAQ QRIS"/>
    <x v="2"/>
  </r>
  <r>
    <m/>
    <m/>
    <n v="50000"/>
    <x v="3"/>
    <n v="142894216"/>
    <s v="INFAQ QRIS"/>
    <x v="2"/>
  </r>
  <r>
    <m/>
    <m/>
    <n v="4341"/>
    <x v="3"/>
    <n v="142898557"/>
    <s v="INFAQ QRIS"/>
    <x v="2"/>
  </r>
  <r>
    <m/>
    <m/>
    <n v="16000"/>
    <x v="3"/>
    <n v="142914557"/>
    <s v="INFAQ QRIS"/>
    <x v="2"/>
  </r>
  <r>
    <m/>
    <m/>
    <n v="216"/>
    <x v="3"/>
    <n v="142914773"/>
    <s v="INFAQ QRIS"/>
    <x v="2"/>
  </r>
  <r>
    <n v="500000"/>
    <m/>
    <m/>
    <x v="3"/>
    <n v="142414773"/>
    <s v="BAYAR TUKANG CAT LT 2 MAJ"/>
    <x v="8"/>
  </r>
  <r>
    <n v="2500"/>
    <m/>
    <m/>
    <x v="3"/>
    <n v="142412273"/>
    <s v="BIAYA ADM BAYAR TUKANG CAT LT 2 MAJ"/>
    <x v="8"/>
  </r>
  <r>
    <m/>
    <m/>
    <n v="600000"/>
    <x v="3"/>
    <n v="143012273"/>
    <s v="INFAQ DARI EDWARDI  CDT TRF BENFC BIFAST"/>
    <x v="2"/>
  </r>
  <r>
    <m/>
    <m/>
    <n v="78000"/>
    <x v="3"/>
    <n v="143090273"/>
    <s v="Refund Program MAP_Februari 2025"/>
    <x v="2"/>
  </r>
  <r>
    <m/>
    <m/>
    <n v="10000000"/>
    <x v="3"/>
    <n v="153090273"/>
    <s v="ZAKAT MAL BPK HARMEN"/>
    <x v="16"/>
  </r>
  <r>
    <m/>
    <m/>
    <n v="540000"/>
    <x v="3"/>
    <n v="153630273"/>
    <s v="INFAQ QRIS"/>
    <x v="2"/>
  </r>
  <r>
    <m/>
    <m/>
    <n v="100000"/>
    <x v="3"/>
    <n v="153730273"/>
    <s v="INFAQ QRIS"/>
    <x v="2"/>
  </r>
  <r>
    <m/>
    <m/>
    <n v="50000"/>
    <x v="3"/>
    <n v="153780273"/>
    <s v="INFAQ QRIS"/>
    <x v="2"/>
  </r>
  <r>
    <m/>
    <m/>
    <n v="10000"/>
    <x v="3"/>
    <n v="153790273"/>
    <s v="INFAQ QRIS"/>
    <x v="2"/>
  </r>
  <r>
    <m/>
    <m/>
    <n v="10000"/>
    <x v="3"/>
    <n v="153800273"/>
    <s v="INFAQ QRIS"/>
    <x v="2"/>
  </r>
  <r>
    <m/>
    <m/>
    <n v="100000"/>
    <x v="3"/>
    <n v="153900273"/>
    <s v="INFAQ QRIS"/>
    <x v="2"/>
  </r>
  <r>
    <m/>
    <m/>
    <n v="5000"/>
    <x v="3"/>
    <n v="153905273"/>
    <s v="INFAQ QRIS"/>
    <x v="2"/>
  </r>
  <r>
    <m/>
    <m/>
    <n v="50000"/>
    <x v="3"/>
    <n v="153955273"/>
    <s v="INFAQ QRIS"/>
    <x v="2"/>
  </r>
  <r>
    <m/>
    <m/>
    <n v="100000"/>
    <x v="3"/>
    <n v="154055273"/>
    <s v="InfaQ warga TS 5 No 8"/>
    <x v="2"/>
  </r>
  <r>
    <m/>
    <m/>
    <n v="400000"/>
    <x v="3"/>
    <n v="154455273"/>
    <s v="INFAQ DARI PUTIE AMBUN SURI/RIVENDRA"/>
    <x v="2"/>
  </r>
  <r>
    <m/>
    <m/>
    <n v="50000"/>
    <x v="3"/>
    <n v="154505273"/>
    <s v="INFAQ DARI DEDEN TP PERDIANSYAH "/>
    <x v="2"/>
  </r>
  <r>
    <m/>
    <m/>
    <n v="2000000"/>
    <x v="3"/>
    <n v="156505273"/>
    <s v="INFAQ DARI RIZKYHIDAYATSL"/>
    <x v="2"/>
  </r>
  <r>
    <m/>
    <m/>
    <n v="50000"/>
    <x v="3"/>
    <n v="156555273"/>
    <s v="INFAQ QRIS"/>
    <x v="2"/>
  </r>
  <r>
    <m/>
    <m/>
    <n v="50000"/>
    <x v="3"/>
    <n v="156605273"/>
    <s v="INFAQ QRIS"/>
    <x v="2"/>
  </r>
  <r>
    <m/>
    <m/>
    <n v="50000"/>
    <x v="3"/>
    <n v="156655273"/>
    <s v="INFAQ QRIS"/>
    <x v="2"/>
  </r>
  <r>
    <m/>
    <m/>
    <n v="100000"/>
    <x v="3"/>
    <n v="156755273"/>
    <s v="INFAQ QRIS"/>
    <x v="2"/>
  </r>
  <r>
    <m/>
    <m/>
    <n v="100000"/>
    <x v="3"/>
    <n v="156855273"/>
    <s v="INFAQ QRIS"/>
    <x v="2"/>
  </r>
  <r>
    <m/>
    <m/>
    <n v="100000"/>
    <x v="3"/>
    <n v="156955273"/>
    <s v="INFAQ QRIS"/>
    <x v="2"/>
  </r>
  <r>
    <m/>
    <m/>
    <n v="10000"/>
    <x v="3"/>
    <n v="156965273"/>
    <s v="INFAQ QRIS"/>
    <x v="2"/>
  </r>
  <r>
    <m/>
    <m/>
    <n v="50000"/>
    <x v="3"/>
    <n v="157015273"/>
    <s v="INFAQ QRIS"/>
    <x v="2"/>
  </r>
  <r>
    <m/>
    <m/>
    <n v="10000"/>
    <x v="3"/>
    <n v="157025273"/>
    <s v="INFAQ QRIS"/>
    <x v="2"/>
  </r>
  <r>
    <m/>
    <m/>
    <n v="100000"/>
    <x v="3"/>
    <n v="157125273"/>
    <s v="INFAQ QRIS"/>
    <x v="2"/>
  </r>
  <r>
    <m/>
    <m/>
    <n v="99359"/>
    <x v="3"/>
    <n v="157224632"/>
    <s v="INFAQ QRIS"/>
    <x v="2"/>
  </r>
  <r>
    <m/>
    <m/>
    <n v="25000"/>
    <x v="3"/>
    <n v="157249632"/>
    <s v="INFAQ QRIS"/>
    <x v="2"/>
  </r>
  <r>
    <m/>
    <m/>
    <n v="20000"/>
    <x v="3"/>
    <n v="157269632"/>
    <s v="INFAQ QRIS"/>
    <x v="2"/>
  </r>
  <r>
    <m/>
    <m/>
    <n v="4331"/>
    <x v="3"/>
    <n v="157273963"/>
    <s v="INFAQ QRIS"/>
    <x v="2"/>
  </r>
  <r>
    <n v="2000000"/>
    <m/>
    <m/>
    <x v="3"/>
    <n v="155273963"/>
    <s v="PENGAJIAN IBU-IBU MAJ MARET"/>
    <x v="11"/>
  </r>
  <r>
    <n v="2500"/>
    <m/>
    <m/>
    <x v="3"/>
    <n v="155271463"/>
    <s v="BIAYA ADM PENGAJIAN IBU-IBU MAJ MARET"/>
    <x v="11"/>
  </r>
  <r>
    <n v="1350000"/>
    <m/>
    <m/>
    <x v="3"/>
    <n v="153921463"/>
    <s v="Pembelian Hadiah &amp; ATK Pesantren Kilat MAJ"/>
    <x v="1"/>
  </r>
  <r>
    <m/>
    <m/>
    <n v="250000"/>
    <x v="3"/>
    <n v="154171463"/>
    <s v="Infaq QRIS"/>
    <x v="2"/>
  </r>
  <r>
    <m/>
    <m/>
    <n v="50000"/>
    <x v="3"/>
    <n v="154221463"/>
    <s v="Infaq QRIS"/>
    <x v="2"/>
  </r>
  <r>
    <m/>
    <m/>
    <n v="50000"/>
    <x v="3"/>
    <n v="154271463"/>
    <s v="Infaq QRIS"/>
    <x v="2"/>
  </r>
  <r>
    <m/>
    <m/>
    <n v="50000"/>
    <x v="3"/>
    <n v="154321463"/>
    <s v="Infaq QRIS"/>
    <x v="2"/>
  </r>
  <r>
    <m/>
    <m/>
    <n v="100000"/>
    <x v="3"/>
    <n v="154421463"/>
    <s v="Infaq QRIS"/>
    <x v="2"/>
  </r>
  <r>
    <m/>
    <m/>
    <n v="25000"/>
    <x v="3"/>
    <n v="154446463"/>
    <s v="Infaq QRIS"/>
    <x v="2"/>
  </r>
  <r>
    <m/>
    <m/>
    <n v="10000"/>
    <x v="3"/>
    <n v="154456463"/>
    <s v="Infaq QRIS"/>
    <x v="2"/>
  </r>
  <r>
    <m/>
    <m/>
    <n v="50000"/>
    <x v="3"/>
    <n v="154506463"/>
    <s v="Infaq QRIS"/>
    <x v="2"/>
  </r>
  <r>
    <m/>
    <m/>
    <n v="10000"/>
    <x v="3"/>
    <n v="154516463"/>
    <s v="Infaq QRIS"/>
    <x v="2"/>
  </r>
  <r>
    <m/>
    <m/>
    <n v="20000"/>
    <x v="3"/>
    <n v="154536463"/>
    <s v="Infaq QRIS"/>
    <x v="2"/>
  </r>
  <r>
    <m/>
    <m/>
    <n v="3000"/>
    <x v="3"/>
    <n v="154539463"/>
    <s v="Infaq QRIS"/>
    <x v="2"/>
  </r>
  <r>
    <m/>
    <m/>
    <n v="916"/>
    <x v="3"/>
    <n v="154540379"/>
    <s v="Infaq QRIS"/>
    <x v="2"/>
  </r>
  <r>
    <n v="750000"/>
    <m/>
    <m/>
    <x v="3"/>
    <n v="153790379"/>
    <s v="HONOR UST KHOERUL MAKTUM DKM MAJ HADIAH PESANTREN KILAT RAMADHAN"/>
    <x v="11"/>
  </r>
  <r>
    <n v="2500"/>
    <m/>
    <m/>
    <x v="3"/>
    <n v="153787879"/>
    <s v="BIAYA ADM HONOR UST KHOERUL MAKTUM DKM MAJ HADIAH PESANTREN KILAT RAMADHAN"/>
    <x v="11"/>
  </r>
  <r>
    <m/>
    <m/>
    <n v="400000"/>
    <x v="3"/>
    <n v="154187879"/>
    <s v="AGUNG PRAMONO Donasi acara kajian lesantren"/>
    <x v="2"/>
  </r>
  <r>
    <m/>
    <m/>
    <n v="20000"/>
    <x v="3"/>
    <n v="154207879"/>
    <s v="Infaq QRIS"/>
    <x v="2"/>
  </r>
  <r>
    <m/>
    <m/>
    <n v="25000"/>
    <x v="3"/>
    <n v="154232879"/>
    <s v="Infaq QRIS"/>
    <x v="2"/>
  </r>
  <r>
    <m/>
    <m/>
    <n v="100000"/>
    <x v="3"/>
    <n v="154332879"/>
    <s v="Infaq QRIS"/>
    <x v="2"/>
  </r>
  <r>
    <m/>
    <m/>
    <n v="50000"/>
    <x v="3"/>
    <n v="154382879"/>
    <s v="Infaq QRIS"/>
    <x v="2"/>
  </r>
  <r>
    <m/>
    <m/>
    <n v="100000"/>
    <x v="3"/>
    <n v="154482879"/>
    <s v="Infaq QRIS"/>
    <x v="2"/>
  </r>
  <r>
    <m/>
    <m/>
    <n v="25000"/>
    <x v="3"/>
    <n v="154507879"/>
    <s v="Infaq QRIS"/>
    <x v="2"/>
  </r>
  <r>
    <m/>
    <m/>
    <n v="25000"/>
    <x v="3"/>
    <n v="154532879"/>
    <s v="Infaq QRIS"/>
    <x v="2"/>
  </r>
  <r>
    <m/>
    <m/>
    <n v="50000"/>
    <x v="3"/>
    <n v="154582879"/>
    <s v="Infaq QRIS"/>
    <x v="2"/>
  </r>
  <r>
    <m/>
    <m/>
    <n v="10000"/>
    <x v="3"/>
    <n v="154592879"/>
    <s v="Infaq QRIS"/>
    <x v="2"/>
  </r>
  <r>
    <m/>
    <m/>
    <n v="100000"/>
    <x v="3"/>
    <n v="154692879"/>
    <s v="Infaq QRIS"/>
    <x v="2"/>
  </r>
  <r>
    <m/>
    <m/>
    <n v="50000"/>
    <x v="3"/>
    <n v="154742879"/>
    <s v="Infaq QRIS"/>
    <x v="2"/>
  </r>
  <r>
    <m/>
    <m/>
    <n v="100000"/>
    <x v="3"/>
    <n v="154842879"/>
    <s v="Infaq QRIS"/>
    <x v="2"/>
  </r>
  <r>
    <m/>
    <m/>
    <n v="25000"/>
    <x v="3"/>
    <n v="154867879"/>
    <s v="Infaq QRIS"/>
    <x v="2"/>
  </r>
  <r>
    <m/>
    <m/>
    <n v="200000"/>
    <x v="3"/>
    <n v="155067879"/>
    <s v="INFAQ MOHAMMADIANTORO PURNAWAN a.n HM HASAN MERBABU NO.3"/>
    <x v="2"/>
  </r>
  <r>
    <m/>
    <m/>
    <n v="20000"/>
    <x v="3"/>
    <n v="155087879"/>
    <s v="Infaq QRIS"/>
    <x v="2"/>
  </r>
  <r>
    <m/>
    <m/>
    <n v="100000"/>
    <x v="3"/>
    <n v="155187879"/>
    <s v="Infaq QRIS"/>
    <x v="2"/>
  </r>
  <r>
    <m/>
    <m/>
    <n v="25000"/>
    <x v="3"/>
    <n v="155212879"/>
    <s v="Infaq QRIS"/>
    <x v="2"/>
  </r>
  <r>
    <m/>
    <m/>
    <n v="25000"/>
    <x v="3"/>
    <n v="155237879"/>
    <s v="Infaq QRIS"/>
    <x v="2"/>
  </r>
  <r>
    <m/>
    <m/>
    <n v="100000"/>
    <x v="3"/>
    <n v="155337879"/>
    <s v="Infaq QRIS"/>
    <x v="2"/>
  </r>
  <r>
    <m/>
    <m/>
    <n v="10000"/>
    <x v="3"/>
    <n v="155347879"/>
    <s v="Infaq QRIS"/>
    <x v="2"/>
  </r>
  <r>
    <m/>
    <m/>
    <n v="10000"/>
    <x v="3"/>
    <n v="155357879"/>
    <s v="Infaq QRIS"/>
    <x v="2"/>
  </r>
  <r>
    <m/>
    <m/>
    <n v="7000"/>
    <x v="3"/>
    <n v="155364879"/>
    <s v="Infaq QRIS"/>
    <x v="2"/>
  </r>
  <r>
    <m/>
    <m/>
    <n v="25000"/>
    <x v="3"/>
    <n v="155389879"/>
    <s v="Infaq QRIS"/>
    <x v="2"/>
  </r>
  <r>
    <m/>
    <m/>
    <n v="20000"/>
    <x v="3"/>
    <n v="155409879"/>
    <s v="Infaq QRIS"/>
    <x v="2"/>
  </r>
  <r>
    <m/>
    <m/>
    <n v="5597000"/>
    <x v="3"/>
    <n v="161006879"/>
    <s v="Akun Yatim &amp; Sosial"/>
    <x v="12"/>
  </r>
  <r>
    <m/>
    <m/>
    <n v="5680000"/>
    <x v="3"/>
    <n v="166686879"/>
    <s v="Operasional (Infaq &amp; Sodaqoh)"/>
    <x v="2"/>
  </r>
  <r>
    <m/>
    <m/>
    <n v="4558000"/>
    <x v="3"/>
    <n v="171244879"/>
    <s v="Infaq Taraweh"/>
    <x v="2"/>
  </r>
  <r>
    <n v="5000"/>
    <m/>
    <m/>
    <x v="3"/>
    <n v="171239879"/>
    <s v="Selisih hitung setor bank"/>
    <x v="1"/>
  </r>
  <r>
    <m/>
    <n v="15830000"/>
    <m/>
    <x v="1"/>
    <n v="171239879"/>
    <s v="SETOR IMRON"/>
    <x v="4"/>
  </r>
  <r>
    <m/>
    <m/>
    <n v="50000"/>
    <x v="3"/>
    <n v="171289879"/>
    <s v="Infaq QRIS"/>
    <x v="2"/>
  </r>
  <r>
    <m/>
    <m/>
    <n v="100000"/>
    <x v="3"/>
    <n v="171389879"/>
    <s v="Infaq QRIS"/>
    <x v="2"/>
  </r>
  <r>
    <m/>
    <m/>
    <n v="250000"/>
    <x v="3"/>
    <n v="171639879"/>
    <s v="Infaq QRIS"/>
    <x v="2"/>
  </r>
  <r>
    <m/>
    <m/>
    <n v="50000"/>
    <x v="3"/>
    <n v="171689879"/>
    <s v="Infaq QRIS"/>
    <x v="2"/>
  </r>
  <r>
    <m/>
    <m/>
    <n v="10000"/>
    <x v="3"/>
    <n v="171699879"/>
    <s v="Infaq QRIS"/>
    <x v="2"/>
  </r>
  <r>
    <m/>
    <m/>
    <n v="25000"/>
    <x v="3"/>
    <n v="171724879"/>
    <s v="Infaq QRIS"/>
    <x v="2"/>
  </r>
  <r>
    <m/>
    <m/>
    <n v="50000"/>
    <x v="3"/>
    <n v="171774879"/>
    <s v="Infaq QRIS"/>
    <x v="2"/>
  </r>
  <r>
    <m/>
    <m/>
    <n v="20000"/>
    <x v="3"/>
    <n v="171794879"/>
    <s v="Infaq QRIS"/>
    <x v="2"/>
  </r>
  <r>
    <m/>
    <m/>
    <n v="1010"/>
    <x v="3"/>
    <n v="171795889"/>
    <s v="Infaq QRIS"/>
    <x v="2"/>
  </r>
  <r>
    <m/>
    <m/>
    <n v="5000"/>
    <x v="3"/>
    <n v="171800889"/>
    <s v="Infaq QRIS"/>
    <x v="2"/>
  </r>
  <r>
    <m/>
    <m/>
    <n v="100000"/>
    <x v="3"/>
    <n v="171900889"/>
    <s v="INFAQ FENTYHERLIANA"/>
    <x v="2"/>
  </r>
  <r>
    <m/>
    <m/>
    <n v="250000"/>
    <x v="3"/>
    <n v="172150889"/>
    <s v="INFAQ DARI SEPTEMBERIZAL"/>
    <x v="2"/>
  </r>
  <r>
    <n v="3500000"/>
    <m/>
    <m/>
    <x v="3"/>
    <n v="168650889"/>
    <s v="PEMBELIAN LAPTOP SANTRI"/>
    <x v="1"/>
  </r>
  <r>
    <n v="2500"/>
    <m/>
    <m/>
    <x v="3"/>
    <n v="168648389"/>
    <s v="BIAYA ADM PEMBELIAN LAPTOP SANTRI"/>
    <x v="1"/>
  </r>
  <r>
    <m/>
    <m/>
    <n v="50000"/>
    <x v="3"/>
    <n v="168698389"/>
    <s v="INFAQ QRIS"/>
    <x v="2"/>
  </r>
  <r>
    <m/>
    <m/>
    <n v="50000"/>
    <x v="3"/>
    <n v="168748389"/>
    <s v="INFAQ QRIS"/>
    <x v="2"/>
  </r>
  <r>
    <m/>
    <m/>
    <n v="10000"/>
    <x v="3"/>
    <n v="168758389"/>
    <s v="INFAQ QRIS"/>
    <x v="2"/>
  </r>
  <r>
    <m/>
    <m/>
    <n v="100000"/>
    <x v="3"/>
    <n v="168858389"/>
    <s v="INFAQ QRIS"/>
    <x v="2"/>
  </r>
  <r>
    <m/>
    <m/>
    <n v="5000"/>
    <x v="3"/>
    <n v="168863389"/>
    <s v="INFAQ QRIS"/>
    <x v="2"/>
  </r>
  <r>
    <m/>
    <m/>
    <n v="10000"/>
    <x v="3"/>
    <n v="168873389"/>
    <s v="INFAQ QRIS"/>
    <x v="2"/>
  </r>
  <r>
    <m/>
    <m/>
    <n v="10000"/>
    <x v="3"/>
    <n v="168883389"/>
    <s v="INFAQ QRIS"/>
    <x v="2"/>
  </r>
  <r>
    <m/>
    <m/>
    <n v="170000"/>
    <x v="3"/>
    <n v="169053389"/>
    <s v="INFAQ DARI AMRAN ANWAR"/>
    <x v="2"/>
  </r>
  <r>
    <m/>
    <m/>
    <n v="100000"/>
    <x v="3"/>
    <n v="169153389"/>
    <s v="INFAQ QRIS"/>
    <x v="2"/>
  </r>
  <r>
    <m/>
    <m/>
    <n v="10000"/>
    <x v="3"/>
    <n v="169163389"/>
    <s v="INFAQ QRIS"/>
    <x v="2"/>
  </r>
  <r>
    <m/>
    <m/>
    <n v="50000"/>
    <x v="3"/>
    <n v="169213389"/>
    <s v="INFAQ QRIS"/>
    <x v="2"/>
  </r>
  <r>
    <m/>
    <m/>
    <n v="100000"/>
    <x v="3"/>
    <n v="169313389"/>
    <s v="INFAQ QRIS"/>
    <x v="2"/>
  </r>
  <r>
    <n v="1000000"/>
    <m/>
    <m/>
    <x v="3"/>
    <n v="168313389"/>
    <s v="CUCI KARPET LT.2 PAK MAHMUD"/>
    <x v="8"/>
  </r>
  <r>
    <n v="2500"/>
    <m/>
    <m/>
    <x v="3"/>
    <n v="168310889"/>
    <s v="BIAYA DM CUCI KARPET LT.2 PAK MAHMUD"/>
    <x v="8"/>
  </r>
  <r>
    <m/>
    <m/>
    <n v="100000"/>
    <x v="3"/>
    <n v="168410889"/>
    <s v="INFAQ QRIS"/>
    <x v="2"/>
  </r>
  <r>
    <m/>
    <m/>
    <n v="200000"/>
    <x v="3"/>
    <n v="168610889"/>
    <s v="INFAQ QRIS"/>
    <x v="2"/>
  </r>
  <r>
    <m/>
    <m/>
    <n v="50000"/>
    <x v="3"/>
    <n v="168660889"/>
    <s v="INFAQ QRIS"/>
    <x v="2"/>
  </r>
  <r>
    <m/>
    <m/>
    <n v="50000"/>
    <x v="3"/>
    <n v="168710889"/>
    <s v="INFAQ QRIS"/>
    <x v="2"/>
  </r>
  <r>
    <m/>
    <m/>
    <n v="25000"/>
    <x v="3"/>
    <n v="168735889"/>
    <s v="INFAQ QRIS"/>
    <x v="2"/>
  </r>
  <r>
    <m/>
    <m/>
    <n v="50000"/>
    <x v="3"/>
    <n v="168785889"/>
    <s v="INFAQ QRIS"/>
    <x v="2"/>
  </r>
  <r>
    <m/>
    <m/>
    <n v="100000"/>
    <x v="3"/>
    <n v="168885889"/>
    <s v="INFAQ QRIS"/>
    <x v="2"/>
  </r>
  <r>
    <m/>
    <m/>
    <n v="10000"/>
    <x v="3"/>
    <n v="168895889"/>
    <s v="INFAQ QRIS"/>
    <x v="2"/>
  </r>
  <r>
    <m/>
    <m/>
    <n v="300000"/>
    <x v="3"/>
    <n v="169195889"/>
    <s v="INFAQ DARI BENY PRIYATNA KUSUMA"/>
    <x v="2"/>
  </r>
  <r>
    <n v="400000"/>
    <m/>
    <m/>
    <x v="3"/>
    <n v="168795889"/>
    <s v="Beli baju wisuda santri MAJ"/>
    <x v="14"/>
  </r>
  <r>
    <m/>
    <m/>
    <n v="50000"/>
    <x v="3"/>
    <n v="168845889"/>
    <s v="INFAQ QRIS"/>
    <x v="2"/>
  </r>
  <r>
    <m/>
    <m/>
    <n v="50000"/>
    <x v="3"/>
    <n v="168895889"/>
    <s v="INFAQ QRIS"/>
    <x v="2"/>
  </r>
  <r>
    <m/>
    <m/>
    <n v="50000"/>
    <x v="3"/>
    <n v="168945889"/>
    <s v="INFAQ QRIS"/>
    <x v="2"/>
  </r>
  <r>
    <m/>
    <m/>
    <n v="25000"/>
    <x v="3"/>
    <n v="168970889"/>
    <s v="INFAQ QRIS"/>
    <x v="2"/>
  </r>
  <r>
    <m/>
    <m/>
    <n v="10000"/>
    <x v="3"/>
    <n v="168980889"/>
    <s v="INFAQ QRIS"/>
    <x v="2"/>
  </r>
  <r>
    <m/>
    <m/>
    <n v="50000"/>
    <x v="3"/>
    <n v="169030889"/>
    <s v="INFAQ QRIS"/>
    <x v="2"/>
  </r>
  <r>
    <m/>
    <m/>
    <n v="50000"/>
    <x v="3"/>
    <n v="169080889"/>
    <s v="INFAQ QRIS"/>
    <x v="2"/>
  </r>
  <r>
    <m/>
    <m/>
    <n v="100000"/>
    <x v="3"/>
    <n v="169180889"/>
    <s v="INFAQ QRIS"/>
    <x v="2"/>
  </r>
  <r>
    <m/>
    <m/>
    <n v="50000"/>
    <x v="3"/>
    <n v="169230889"/>
    <s v="INFAQ QRIS"/>
    <x v="2"/>
  </r>
  <r>
    <m/>
    <m/>
    <n v="20000"/>
    <x v="3"/>
    <n v="169250889"/>
    <s v="INFAQ QRIS"/>
    <x v="2"/>
  </r>
  <r>
    <m/>
    <m/>
    <n v="510"/>
    <x v="3"/>
    <n v="169251399"/>
    <s v="INFAQ QRIS"/>
    <x v="2"/>
  </r>
  <r>
    <n v="3000000"/>
    <m/>
    <m/>
    <x v="3"/>
    <n v="166251399"/>
    <s v="PELUNASAN BUKA BERSAMA MAJ 1446H"/>
    <x v="17"/>
  </r>
  <r>
    <n v="2500"/>
    <m/>
    <m/>
    <x v="3"/>
    <n v="166248899"/>
    <s v="BIAYA ADM PELUNASAN BUKA BERSAMA MAJ 1446H"/>
    <x v="17"/>
  </r>
  <r>
    <m/>
    <m/>
    <n v="100000"/>
    <x v="3"/>
    <n v="166348899"/>
    <s v="INFAQ QRIS"/>
    <x v="2"/>
  </r>
  <r>
    <m/>
    <m/>
    <n v="100000"/>
    <x v="3"/>
    <n v="166448899"/>
    <s v="INFAQ QRIS"/>
    <x v="2"/>
  </r>
  <r>
    <m/>
    <m/>
    <n v="25000"/>
    <x v="3"/>
    <n v="166473899"/>
    <s v="INFAQ QRIS"/>
    <x v="2"/>
  </r>
  <r>
    <m/>
    <m/>
    <n v="10000"/>
    <x v="3"/>
    <n v="166483899"/>
    <s v="INFAQ QRIS"/>
    <x v="2"/>
  </r>
  <r>
    <m/>
    <m/>
    <n v="10000"/>
    <x v="3"/>
    <n v="166493899"/>
    <s v="INFAQ QRIS"/>
    <x v="2"/>
  </r>
  <r>
    <m/>
    <m/>
    <n v="50000"/>
    <x v="3"/>
    <n v="166543899"/>
    <s v="INFAQ QRIS"/>
    <x v="2"/>
  </r>
  <r>
    <m/>
    <m/>
    <n v="10000"/>
    <x v="3"/>
    <n v="166553899"/>
    <s v="INFAQ QRIS"/>
    <x v="2"/>
  </r>
  <r>
    <m/>
    <m/>
    <n v="20000"/>
    <x v="3"/>
    <n v="166573899"/>
    <s v="INFAQ QRIS"/>
    <x v="2"/>
  </r>
  <r>
    <m/>
    <m/>
    <n v="50000"/>
    <x v="3"/>
    <n v="166623899"/>
    <s v="INFAQ QRIS"/>
    <x v="2"/>
  </r>
  <r>
    <m/>
    <m/>
    <n v="100000"/>
    <x v="3"/>
    <n v="166723899"/>
    <s v="INFAQ QRIS"/>
    <x v="2"/>
  </r>
  <r>
    <m/>
    <m/>
    <n v="100000"/>
    <x v="3"/>
    <n v="166823899"/>
    <s v="INFAQ QRIS"/>
    <x v="2"/>
  </r>
  <r>
    <m/>
    <m/>
    <n v="30000"/>
    <x v="3"/>
    <n v="166853899"/>
    <s v="INFAQ QRIS"/>
    <x v="2"/>
  </r>
  <r>
    <m/>
    <m/>
    <n v="50000"/>
    <x v="3"/>
    <n v="166903899"/>
    <s v="INFAQ QRIS"/>
    <x v="2"/>
  </r>
  <r>
    <m/>
    <m/>
    <n v="15000"/>
    <x v="3"/>
    <n v="166918899"/>
    <s v="INFAQ QRIS"/>
    <x v="2"/>
  </r>
  <r>
    <m/>
    <m/>
    <n v="10000"/>
    <x v="3"/>
    <n v="166928899"/>
    <s v="INFAQ QRIS"/>
    <x v="2"/>
  </r>
  <r>
    <m/>
    <m/>
    <n v="50000"/>
    <x v="3"/>
    <n v="166978899"/>
    <s v="INFAQ QRIS"/>
    <x v="2"/>
  </r>
  <r>
    <m/>
    <m/>
    <n v="10000"/>
    <x v="3"/>
    <n v="166988899"/>
    <s v="INFAQ QRIS"/>
    <x v="2"/>
  </r>
  <r>
    <m/>
    <m/>
    <n v="100000"/>
    <x v="3"/>
    <n v="167088899"/>
    <s v="INFAQ QRIS"/>
    <x v="2"/>
  </r>
  <r>
    <m/>
    <m/>
    <n v="5000"/>
    <x v="3"/>
    <n v="167093899"/>
    <s v="INFAQ QRIS"/>
    <x v="2"/>
  </r>
  <r>
    <m/>
    <m/>
    <n v="150000"/>
    <x v="3"/>
    <n v="167243899"/>
    <s v="INFAQ QRIS"/>
    <x v="2"/>
  </r>
  <r>
    <m/>
    <m/>
    <n v="20000"/>
    <x v="3"/>
    <n v="167263899"/>
    <s v="INFAQ QRIS"/>
    <x v="2"/>
  </r>
  <r>
    <n v="58150000"/>
    <m/>
    <m/>
    <x v="3"/>
    <n v="109113899"/>
    <s v="PENYALURAN DANA YATIM DAN WISUDA MAJ"/>
    <x v="15"/>
  </r>
  <r>
    <n v="2500"/>
    <m/>
    <m/>
    <x v="3"/>
    <n v="109111399"/>
    <s v="BIAYA ADM PENYALURAN DANA YATIM DAN WISUDA MAJ"/>
    <x v="15"/>
  </r>
  <r>
    <m/>
    <m/>
    <n v="4230000"/>
    <x v="3"/>
    <n v="113341399"/>
    <s v="Akun Yatim &amp; Sosial"/>
    <x v="12"/>
  </r>
  <r>
    <m/>
    <m/>
    <n v="526000"/>
    <x v="3"/>
    <n v="113867399"/>
    <s v="Operasional (Infaq &amp; Sodaqoh)"/>
    <x v="2"/>
  </r>
  <r>
    <m/>
    <m/>
    <n v="5578000"/>
    <x v="3"/>
    <n v="119445399"/>
    <s v="Infaq Taraweh"/>
    <x v="2"/>
  </r>
  <r>
    <m/>
    <m/>
    <n v="1000"/>
    <x v="3"/>
    <n v="119446399"/>
    <s v="Selisih hitung setor bank"/>
    <x v="2"/>
  </r>
  <r>
    <m/>
    <n v="10335000"/>
    <m/>
    <x v="1"/>
    <n v="119446399"/>
    <s v="SETOR IMRON"/>
    <x v="4"/>
  </r>
  <r>
    <n v="2800000"/>
    <m/>
    <m/>
    <x v="3"/>
    <n v="116646399"/>
    <s v="BELI BAJU LEBARAN SANTRI MAJ 1446H"/>
    <x v="14"/>
  </r>
  <r>
    <n v="2500"/>
    <m/>
    <m/>
    <x v="3"/>
    <n v="116643899"/>
    <s v="BIAYA ADM BELI BAJU LEBARAN SANTRI MAJ 1446H"/>
    <x v="14"/>
  </r>
  <r>
    <m/>
    <m/>
    <n v="50000"/>
    <x v="3"/>
    <n v="116693899"/>
    <s v="INFAQ QRIS"/>
    <x v="2"/>
  </r>
  <r>
    <m/>
    <m/>
    <n v="50000"/>
    <x v="3"/>
    <n v="116743899"/>
    <s v="INFAQ QRIS"/>
    <x v="2"/>
  </r>
  <r>
    <m/>
    <m/>
    <n v="100000"/>
    <x v="3"/>
    <n v="116843899"/>
    <s v="INFAQ QRIS"/>
    <x v="2"/>
  </r>
  <r>
    <m/>
    <m/>
    <n v="50000"/>
    <x v="3"/>
    <n v="116893899"/>
    <s v="INFAQ QRIS"/>
    <x v="2"/>
  </r>
  <r>
    <m/>
    <m/>
    <n v="10000"/>
    <x v="3"/>
    <n v="116903899"/>
    <s v="INFAQ QRIS"/>
    <x v="2"/>
  </r>
  <r>
    <m/>
    <m/>
    <n v="50000"/>
    <x v="3"/>
    <n v="116953899"/>
    <s v="INFAQ QRIS"/>
    <x v="2"/>
  </r>
  <r>
    <m/>
    <m/>
    <n v="10000"/>
    <x v="3"/>
    <n v="116963899"/>
    <s v="INFAQ QRIS"/>
    <x v="2"/>
  </r>
  <r>
    <m/>
    <m/>
    <n v="100000"/>
    <x v="3"/>
    <n v="117063899"/>
    <s v="INFAQ QRIS"/>
    <x v="2"/>
  </r>
  <r>
    <m/>
    <m/>
    <n v="20000"/>
    <x v="3"/>
    <n v="117083899"/>
    <s v="INFAQ QRIS"/>
    <x v="2"/>
  </r>
  <r>
    <m/>
    <m/>
    <n v="50000"/>
    <x v="3"/>
    <n v="117133899"/>
    <s v="INFAQ QRIS"/>
    <x v="2"/>
  </r>
  <r>
    <m/>
    <m/>
    <n v="25000"/>
    <x v="3"/>
    <n v="117158899"/>
    <s v="INFAQ QRIS"/>
    <x v="2"/>
  </r>
  <r>
    <m/>
    <m/>
    <n v="25000"/>
    <x v="3"/>
    <n v="117183899"/>
    <s v="INFAQ QRIS"/>
    <x v="2"/>
  </r>
  <r>
    <m/>
    <m/>
    <n v="100000"/>
    <x v="3"/>
    <n v="117283899"/>
    <s v="INFAQ QRIS"/>
    <x v="2"/>
  </r>
  <r>
    <m/>
    <m/>
    <n v="50000"/>
    <x v="3"/>
    <n v="117333899"/>
    <s v="INFAQ QRIS"/>
    <x v="2"/>
  </r>
  <r>
    <m/>
    <m/>
    <n v="25000"/>
    <x v="3"/>
    <n v="117358899"/>
    <s v="INFAQ QRIS"/>
    <x v="2"/>
  </r>
  <r>
    <m/>
    <m/>
    <n v="50000"/>
    <x v="3"/>
    <n v="117408899"/>
    <s v="INFAQ QRIS"/>
    <x v="2"/>
  </r>
  <r>
    <m/>
    <m/>
    <n v="10000"/>
    <x v="3"/>
    <n v="117418899"/>
    <s v="INFAQ QRIS"/>
    <x v="2"/>
  </r>
  <r>
    <m/>
    <m/>
    <n v="10000"/>
    <x v="3"/>
    <n v="117428899"/>
    <s v="INFAQ QRIS"/>
    <x v="2"/>
  </r>
  <r>
    <m/>
    <m/>
    <n v="100000"/>
    <x v="3"/>
    <n v="117528899"/>
    <s v="INFAQ QRIS"/>
    <x v="2"/>
  </r>
  <r>
    <m/>
    <m/>
    <n v="50000"/>
    <x v="3"/>
    <n v="117578899"/>
    <s v="INFAQ QRIS"/>
    <x v="2"/>
  </r>
  <r>
    <m/>
    <m/>
    <n v="10000"/>
    <x v="3"/>
    <n v="117588899"/>
    <s v="INFAQ QRIS"/>
    <x v="2"/>
  </r>
  <r>
    <m/>
    <m/>
    <n v="5000"/>
    <x v="3"/>
    <n v="117593899"/>
    <s v="INFAQ QRIS"/>
    <x v="2"/>
  </r>
  <r>
    <m/>
    <m/>
    <n v="50000"/>
    <x v="3"/>
    <n v="117643899"/>
    <s v="INFAQ QRIS"/>
    <x v="2"/>
  </r>
  <r>
    <m/>
    <m/>
    <n v="900000"/>
    <x v="3"/>
    <n v="118543899"/>
    <s v="Infaq an wahyu romadhoni"/>
    <x v="2"/>
  </r>
  <r>
    <m/>
    <m/>
    <n v="50000"/>
    <x v="3"/>
    <n v="118593899"/>
    <s v="INFAQ QRIS"/>
    <x v="2"/>
  </r>
  <r>
    <m/>
    <m/>
    <n v="100000"/>
    <x v="3"/>
    <n v="118693899"/>
    <s v="INFAQ QRIS"/>
    <x v="2"/>
  </r>
  <r>
    <m/>
    <m/>
    <n v="25000"/>
    <x v="3"/>
    <n v="118718899"/>
    <s v="INFAQ QRIS"/>
    <x v="2"/>
  </r>
  <r>
    <m/>
    <m/>
    <n v="50000"/>
    <x v="3"/>
    <n v="118768899"/>
    <s v="INFAQ QRIS"/>
    <x v="2"/>
  </r>
  <r>
    <m/>
    <m/>
    <n v="50000"/>
    <x v="3"/>
    <n v="118818899"/>
    <s v="INFAQ QRIS"/>
    <x v="2"/>
  </r>
  <r>
    <m/>
    <m/>
    <n v="10000"/>
    <x v="3"/>
    <n v="118828899"/>
    <s v="INFAQ QRIS"/>
    <x v="2"/>
  </r>
  <r>
    <m/>
    <m/>
    <n v="50000"/>
    <x v="3"/>
    <n v="118878899"/>
    <s v="INFAQ QRIS"/>
    <x v="2"/>
  </r>
  <r>
    <m/>
    <m/>
    <n v="10000"/>
    <x v="3"/>
    <n v="118888899"/>
    <s v="INFAQ QRIS"/>
    <x v="2"/>
  </r>
  <r>
    <m/>
    <m/>
    <n v="100000"/>
    <x v="3"/>
    <n v="118988899"/>
    <s v="INFAQ QRIS"/>
    <x v="2"/>
  </r>
  <r>
    <m/>
    <m/>
    <n v="50000"/>
    <x v="3"/>
    <n v="119038899"/>
    <s v="INFAQ QRIS"/>
    <x v="2"/>
  </r>
  <r>
    <m/>
    <m/>
    <n v="4250000"/>
    <x v="3"/>
    <n v="123288899"/>
    <s v="Infaq Collection Imron"/>
    <x v="2"/>
  </r>
  <r>
    <n v="425000"/>
    <m/>
    <m/>
    <x v="3"/>
    <n v="122863899"/>
    <s v="Collection FEE Imron"/>
    <x v="18"/>
  </r>
  <r>
    <n v="2006000"/>
    <m/>
    <m/>
    <x v="3"/>
    <n v="120857899"/>
    <s v="Voucher Listrik"/>
    <x v="7"/>
  </r>
  <r>
    <m/>
    <n v="1819000"/>
    <m/>
    <x v="1"/>
    <n v="120857899"/>
    <s v="SETOR IMRON ROSADI"/>
    <x v="4"/>
  </r>
  <r>
    <m/>
    <m/>
    <n v="25000"/>
    <x v="3"/>
    <n v="120882899"/>
    <s v="INFAQ FADEL MUHAMMAD IKHWAN"/>
    <x v="2"/>
  </r>
  <r>
    <m/>
    <m/>
    <n v="50000"/>
    <x v="3"/>
    <n v="120932899"/>
    <s v="INFAQ QRIS"/>
    <x v="2"/>
  </r>
  <r>
    <m/>
    <m/>
    <n v="200000"/>
    <x v="3"/>
    <n v="121132899"/>
    <s v="INFAQ QRIS"/>
    <x v="2"/>
  </r>
  <r>
    <m/>
    <m/>
    <n v="25000"/>
    <x v="3"/>
    <n v="121157899"/>
    <s v="INFAQ QRIS"/>
    <x v="2"/>
  </r>
  <r>
    <m/>
    <m/>
    <n v="100000"/>
    <x v="3"/>
    <n v="121257899"/>
    <s v="INFAQ QRIS"/>
    <x v="2"/>
  </r>
  <r>
    <m/>
    <m/>
    <n v="100000"/>
    <x v="3"/>
    <n v="121357899"/>
    <s v="INFAQ QRIS"/>
    <x v="2"/>
  </r>
  <r>
    <m/>
    <m/>
    <n v="10000"/>
    <x v="3"/>
    <n v="121367899"/>
    <s v="INFAQ QRIS"/>
    <x v="2"/>
  </r>
  <r>
    <m/>
    <m/>
    <n v="25000"/>
    <x v="3"/>
    <n v="121392899"/>
    <s v="INFAQ QRIS"/>
    <x v="2"/>
  </r>
  <r>
    <m/>
    <m/>
    <n v="50000"/>
    <x v="3"/>
    <n v="121442899"/>
    <s v="INFAQ QRIS"/>
    <x v="2"/>
  </r>
  <r>
    <m/>
    <m/>
    <n v="10000"/>
    <x v="3"/>
    <n v="121452899"/>
    <s v="INFAQ QRIS"/>
    <x v="2"/>
  </r>
  <r>
    <m/>
    <m/>
    <n v="100000"/>
    <x v="3"/>
    <n v="121552899"/>
    <s v="INFAQ QRIS"/>
    <x v="2"/>
  </r>
  <r>
    <m/>
    <m/>
    <n v="10000"/>
    <x v="3"/>
    <n v="121562899"/>
    <s v="INFAQ QRIS"/>
    <x v="2"/>
  </r>
  <r>
    <m/>
    <m/>
    <n v="1000000"/>
    <x v="3"/>
    <n v="122562899"/>
    <s v="INFAQ DARI ANGGONO IRIAWAN"/>
    <x v="2"/>
  </r>
  <r>
    <n v="7000"/>
    <m/>
    <m/>
    <x v="3"/>
    <n v="122555899"/>
    <s v="BIAYA PAYROLL "/>
    <x v="1"/>
  </r>
  <r>
    <m/>
    <m/>
    <n v="100000"/>
    <x v="3"/>
    <n v="122655899"/>
    <s v="INFAQ SURJATI SUTARJA"/>
    <x v="2"/>
  </r>
  <r>
    <m/>
    <m/>
    <n v="50000"/>
    <x v="3"/>
    <n v="122705899"/>
    <s v="INFAQ QRIS"/>
    <x v="2"/>
  </r>
  <r>
    <m/>
    <m/>
    <n v="100000"/>
    <x v="3"/>
    <n v="122805899"/>
    <s v="INFAQ QRIS"/>
    <x v="2"/>
  </r>
  <r>
    <m/>
    <m/>
    <n v="25000"/>
    <x v="3"/>
    <n v="122830899"/>
    <s v="INFAQ QRIS"/>
    <x v="2"/>
  </r>
  <r>
    <m/>
    <m/>
    <n v="100000"/>
    <x v="3"/>
    <n v="122930899"/>
    <s v="INFAQ QRIS"/>
    <x v="2"/>
  </r>
  <r>
    <m/>
    <m/>
    <n v="1000010"/>
    <x v="3"/>
    <n v="123930909"/>
    <s v="ZAKAT MAL ELLIYAS"/>
    <x v="16"/>
  </r>
  <r>
    <m/>
    <m/>
    <n v="25000"/>
    <x v="3"/>
    <n v="123955909"/>
    <s v="INFAQ QRIS"/>
    <x v="2"/>
  </r>
  <r>
    <m/>
    <m/>
    <n v="10000"/>
    <x v="3"/>
    <n v="123965909"/>
    <s v="INFAQ QRIS"/>
    <x v="2"/>
  </r>
  <r>
    <m/>
    <m/>
    <n v="50000"/>
    <x v="3"/>
    <n v="124015909"/>
    <s v="INFAQ QRIS"/>
    <x v="2"/>
  </r>
  <r>
    <m/>
    <m/>
    <n v="10000"/>
    <x v="3"/>
    <n v="124025909"/>
    <s v="INFAQ QRIS"/>
    <x v="2"/>
  </r>
  <r>
    <m/>
    <m/>
    <n v="100000"/>
    <x v="3"/>
    <n v="124125909"/>
    <s v="INFAQ QRIS"/>
    <x v="2"/>
  </r>
  <r>
    <m/>
    <m/>
    <n v="20000"/>
    <x v="3"/>
    <n v="124145909"/>
    <s v="INFAQ QRIS"/>
    <x v="2"/>
  </r>
  <r>
    <m/>
    <m/>
    <n v="48000"/>
    <x v="3"/>
    <n v="124193909"/>
    <s v="INFAQ QRIS"/>
    <x v="2"/>
  </r>
  <r>
    <m/>
    <m/>
    <n v="100000"/>
    <x v="3"/>
    <n v="124293909"/>
    <s v="INFAQ QRIS"/>
    <x v="2"/>
  </r>
  <r>
    <m/>
    <m/>
    <n v="300000"/>
    <x v="3"/>
    <n v="124593909"/>
    <s v="INFAQ QRIS"/>
    <x v="2"/>
  </r>
  <r>
    <m/>
    <m/>
    <n v="20000"/>
    <x v="3"/>
    <n v="124613909"/>
    <s v="INFAQ QRIS"/>
    <x v="2"/>
  </r>
  <r>
    <m/>
    <m/>
    <n v="1474"/>
    <x v="3"/>
    <n v="124615383"/>
    <s v="INFAQ QRIS"/>
    <x v="2"/>
  </r>
  <r>
    <m/>
    <m/>
    <n v="5000"/>
    <x v="3"/>
    <n v="124620383"/>
    <s v="INFAQ QRIS"/>
    <x v="2"/>
  </r>
  <r>
    <m/>
    <m/>
    <n v="20000"/>
    <x v="3"/>
    <n v="124640383"/>
    <s v="INFAQ QRIS"/>
    <x v="2"/>
  </r>
  <r>
    <m/>
    <m/>
    <n v="2000000"/>
    <x v="3"/>
    <n v="126640383"/>
    <s v="INFAQ RIZKYHIDAYATSL"/>
    <x v="2"/>
  </r>
  <r>
    <m/>
    <m/>
    <n v="1500000"/>
    <x v="3"/>
    <n v="128140383"/>
    <s v="ZAKAT MAL Budi Tursilo"/>
    <x v="16"/>
  </r>
  <r>
    <m/>
    <m/>
    <n v="25000"/>
    <x v="3"/>
    <n v="128165383"/>
    <s v="INFAQ FADEL MUHAMMAD IKHWAN"/>
    <x v="2"/>
  </r>
  <r>
    <m/>
    <m/>
    <n v="50000"/>
    <x v="3"/>
    <n v="128215383"/>
    <s v="INFAQ QRIS"/>
    <x v="2"/>
  </r>
  <r>
    <m/>
    <m/>
    <n v="100000"/>
    <x v="3"/>
    <n v="128315383"/>
    <s v="INFAQ QRIS"/>
    <x v="2"/>
  </r>
  <r>
    <m/>
    <m/>
    <n v="100000"/>
    <x v="3"/>
    <n v="128415383"/>
    <s v="INFAQ QRIS"/>
    <x v="2"/>
  </r>
  <r>
    <m/>
    <m/>
    <n v="100000"/>
    <x v="3"/>
    <n v="128515383"/>
    <s v="INFAQ QRIS"/>
    <x v="2"/>
  </r>
  <r>
    <m/>
    <m/>
    <n v="10000"/>
    <x v="3"/>
    <n v="128525383"/>
    <s v="INFAQ QRIS"/>
    <x v="2"/>
  </r>
  <r>
    <m/>
    <m/>
    <n v="10000"/>
    <x v="3"/>
    <n v="128535383"/>
    <s v="INFAQ QRIS"/>
    <x v="2"/>
  </r>
  <r>
    <m/>
    <m/>
    <n v="10000"/>
    <x v="3"/>
    <n v="128545383"/>
    <s v="INFAQ QRIS"/>
    <x v="2"/>
  </r>
  <r>
    <m/>
    <m/>
    <n v="25000"/>
    <x v="3"/>
    <n v="128570383"/>
    <s v="INFAQ QRIS"/>
    <x v="2"/>
  </r>
  <r>
    <m/>
    <m/>
    <n v="100000"/>
    <x v="3"/>
    <n v="128670383"/>
    <s v="INFAQ QRIS"/>
    <x v="2"/>
  </r>
  <r>
    <m/>
    <m/>
    <n v="25000"/>
    <x v="3"/>
    <n v="128695383"/>
    <s v="INFAQ QRIS"/>
    <x v="2"/>
  </r>
  <r>
    <m/>
    <m/>
    <n v="50000"/>
    <x v="3"/>
    <n v="128745383"/>
    <s v="INFAQ QRIS"/>
    <x v="2"/>
  </r>
  <r>
    <m/>
    <m/>
    <n v="20000"/>
    <x v="3"/>
    <n v="128765383"/>
    <s v="INFAQ QRIS"/>
    <x v="2"/>
  </r>
  <r>
    <m/>
    <m/>
    <n v="1000000"/>
    <x v="3"/>
    <n v="129765383"/>
    <s v="INFAQ DARI DION"/>
    <x v="2"/>
  </r>
  <r>
    <m/>
    <m/>
    <n v="4000000"/>
    <x v="3"/>
    <n v="133765383"/>
    <s v="ZAKAT MAL DARI DION"/>
    <x v="16"/>
  </r>
  <r>
    <m/>
    <m/>
    <n v="300000"/>
    <x v="3"/>
    <n v="134065383"/>
    <s v="INFAQ Bp. Injon"/>
    <x v="2"/>
  </r>
  <r>
    <m/>
    <m/>
    <n v="5000000"/>
    <x v="3"/>
    <n v="139065383"/>
    <s v="ZAKAT MAL DHIDIK TRI WIBOWO"/>
    <x v="16"/>
  </r>
  <r>
    <m/>
    <m/>
    <n v="20000"/>
    <x v="3"/>
    <n v="139085383"/>
    <s v="INFAQ QRIS"/>
    <x v="2"/>
  </r>
  <r>
    <m/>
    <m/>
    <n v="50000"/>
    <x v="3"/>
    <n v="139135383"/>
    <s v="INFAQ QRIS"/>
    <x v="2"/>
  </r>
  <r>
    <m/>
    <m/>
    <n v="25000"/>
    <x v="3"/>
    <n v="139160383"/>
    <s v="INFAQ QRIS"/>
    <x v="2"/>
  </r>
  <r>
    <m/>
    <m/>
    <n v="100000"/>
    <x v="3"/>
    <n v="139260383"/>
    <s v="INFAQ QRIS"/>
    <x v="2"/>
  </r>
  <r>
    <m/>
    <m/>
    <n v="5000"/>
    <x v="3"/>
    <n v="139265383"/>
    <s v="INFAQ QRIS"/>
    <x v="2"/>
  </r>
  <r>
    <m/>
    <m/>
    <n v="1000000"/>
    <x v="3"/>
    <n v="140265383"/>
    <s v="INFAQ DARI WAHYU ROMADHONI"/>
    <x v="2"/>
  </r>
  <r>
    <m/>
    <m/>
    <n v="100000"/>
    <x v="3"/>
    <n v="140365383"/>
    <s v="INFAQ QRIS"/>
    <x v="2"/>
  </r>
  <r>
    <m/>
    <m/>
    <n v="9000"/>
    <x v="3"/>
    <n v="140374383"/>
    <s v="INFAQ QRIS"/>
    <x v="2"/>
  </r>
  <r>
    <m/>
    <m/>
    <n v="10000"/>
    <x v="3"/>
    <n v="140384383"/>
    <s v="INFAQ QRIS"/>
    <x v="2"/>
  </r>
  <r>
    <m/>
    <m/>
    <n v="50000"/>
    <x v="3"/>
    <n v="140434383"/>
    <s v="INFAQ QRIS"/>
    <x v="2"/>
  </r>
  <r>
    <m/>
    <m/>
    <n v="10000"/>
    <x v="3"/>
    <n v="140444383"/>
    <s v="INFAQ QRIS"/>
    <x v="2"/>
  </r>
  <r>
    <m/>
    <m/>
    <n v="25000"/>
    <x v="3"/>
    <n v="140469383"/>
    <s v="INFAQ QRIS"/>
    <x v="2"/>
  </r>
  <r>
    <m/>
    <m/>
    <n v="25000"/>
    <x v="3"/>
    <n v="140494383"/>
    <s v="INFAQ QRIS"/>
    <x v="2"/>
  </r>
  <r>
    <m/>
    <m/>
    <n v="5000"/>
    <x v="3"/>
    <n v="140499383"/>
    <s v="INFAQ QRIS"/>
    <x v="2"/>
  </r>
  <r>
    <m/>
    <m/>
    <n v="20000"/>
    <x v="3"/>
    <n v="140519383"/>
    <s v="INFAQ QRIS"/>
    <x v="2"/>
  </r>
  <r>
    <m/>
    <m/>
    <n v="10000"/>
    <x v="3"/>
    <n v="140529383"/>
    <s v="INFAQ QRIS"/>
    <x v="2"/>
  </r>
  <r>
    <m/>
    <m/>
    <n v="5252"/>
    <x v="3"/>
    <n v="140534635"/>
    <s v="INFAQ QRIS"/>
    <x v="2"/>
  </r>
  <r>
    <m/>
    <m/>
    <n v="401"/>
    <x v="3"/>
    <n v="140535036"/>
    <s v="INFAQ QRIS"/>
    <x v="2"/>
  </r>
  <r>
    <m/>
    <m/>
    <n v="50000"/>
    <x v="3"/>
    <n v="140585036"/>
    <s v="INFAQ QRIS"/>
    <x v="2"/>
  </r>
  <r>
    <m/>
    <m/>
    <n v="1000000"/>
    <x v="3"/>
    <n v="141585036"/>
    <s v="ZAKAT MAL DARI YADI ABDULLAH"/>
    <x v="16"/>
  </r>
  <r>
    <m/>
    <m/>
    <n v="50000"/>
    <x v="3"/>
    <n v="141635036"/>
    <s v="INFAQ QRIS"/>
    <x v="2"/>
  </r>
  <r>
    <m/>
    <m/>
    <n v="100000"/>
    <x v="3"/>
    <n v="141735036"/>
    <s v="INFAQ QRIS"/>
    <x v="2"/>
  </r>
  <r>
    <m/>
    <m/>
    <n v="100000"/>
    <x v="3"/>
    <n v="141835036"/>
    <s v="INFAQ QRIS"/>
    <x v="2"/>
  </r>
  <r>
    <m/>
    <m/>
    <n v="25000"/>
    <x v="3"/>
    <n v="141860036"/>
    <s v="INFAQ QRIS"/>
    <x v="2"/>
  </r>
  <r>
    <m/>
    <m/>
    <n v="10000"/>
    <x v="3"/>
    <n v="141870036"/>
    <s v="INFAQ QRIS"/>
    <x v="2"/>
  </r>
  <r>
    <m/>
    <m/>
    <n v="10000"/>
    <x v="3"/>
    <n v="141880036"/>
    <s v="INFAQ QRIS"/>
    <x v="2"/>
  </r>
  <r>
    <m/>
    <m/>
    <n v="100000"/>
    <x v="3"/>
    <n v="141980036"/>
    <s v="INFAQ QRIS"/>
    <x v="2"/>
  </r>
  <r>
    <m/>
    <m/>
    <n v="10000"/>
    <x v="3"/>
    <n v="141990036"/>
    <s v="INFAQ QRIS"/>
    <x v="2"/>
  </r>
  <r>
    <m/>
    <m/>
    <n v="20000"/>
    <x v="3"/>
    <n v="142010036"/>
    <s v="INFAQ QRIS"/>
    <x v="2"/>
  </r>
  <r>
    <m/>
    <m/>
    <n v="25000"/>
    <x v="3"/>
    <n v="142035036"/>
    <s v="INFAQ QRIS"/>
    <x v="2"/>
  </r>
  <r>
    <m/>
    <m/>
    <n v="4415000"/>
    <x v="3"/>
    <n v="146450036"/>
    <s v="Akun Yatim &amp; Sosial"/>
    <x v="12"/>
  </r>
  <r>
    <m/>
    <m/>
    <n v="2046000"/>
    <x v="3"/>
    <n v="148496036"/>
    <s v="Operasional (Infaq &amp; Sodaqoh)"/>
    <x v="2"/>
  </r>
  <r>
    <m/>
    <m/>
    <n v="5026000"/>
    <x v="3"/>
    <n v="153522036"/>
    <s v="Infaq Taraweh"/>
    <x v="2"/>
  </r>
  <r>
    <m/>
    <n v="11487000"/>
    <m/>
    <x v="1"/>
    <n v="153522036"/>
    <s v="SETOR IMRON"/>
    <x v="4"/>
  </r>
  <r>
    <m/>
    <m/>
    <n v="20000"/>
    <x v="3"/>
    <n v="153542036"/>
    <s v="INFAQ DARI FADEL MUHAMMAD IKHWAN"/>
    <x v="2"/>
  </r>
  <r>
    <m/>
    <m/>
    <n v="50000"/>
    <x v="3"/>
    <n v="153592036"/>
    <s v="INFAQ QRIS"/>
    <x v="2"/>
  </r>
  <r>
    <m/>
    <m/>
    <n v="50000"/>
    <x v="3"/>
    <n v="153642036"/>
    <s v="INFAQ QRIS"/>
    <x v="2"/>
  </r>
  <r>
    <m/>
    <m/>
    <n v="50000"/>
    <x v="3"/>
    <n v="153692036"/>
    <s v="INFAQ QRIS"/>
    <x v="2"/>
  </r>
  <r>
    <m/>
    <m/>
    <n v="100000"/>
    <x v="3"/>
    <n v="153792036"/>
    <s v="INFAQ QRIS"/>
    <x v="2"/>
  </r>
  <r>
    <m/>
    <m/>
    <n v="25000"/>
    <x v="3"/>
    <n v="153817036"/>
    <s v="INFAQ QRIS"/>
    <x v="2"/>
  </r>
  <r>
    <m/>
    <m/>
    <n v="10000"/>
    <x v="3"/>
    <n v="153827036"/>
    <s v="INFAQ QRIS"/>
    <x v="2"/>
  </r>
  <r>
    <m/>
    <m/>
    <n v="10000"/>
    <x v="3"/>
    <n v="153837036"/>
    <s v="INFAQ QRIS"/>
    <x v="2"/>
  </r>
  <r>
    <m/>
    <m/>
    <n v="100000"/>
    <x v="3"/>
    <n v="153937036"/>
    <s v="INFAQ QRIS"/>
    <x v="2"/>
  </r>
  <r>
    <m/>
    <m/>
    <n v="50000"/>
    <x v="3"/>
    <n v="153987036"/>
    <s v="INFAQ QRIS"/>
    <x v="2"/>
  </r>
  <r>
    <m/>
    <m/>
    <n v="25000"/>
    <x v="3"/>
    <n v="154012036"/>
    <s v="INFAQ QRIS"/>
    <x v="2"/>
  </r>
  <r>
    <m/>
    <m/>
    <n v="5000"/>
    <x v="3"/>
    <n v="154017036"/>
    <s v="INFAQ QRIS"/>
    <x v="2"/>
  </r>
  <r>
    <m/>
    <m/>
    <n v="100000"/>
    <x v="3"/>
    <n v="154117036"/>
    <s v="INFAQ QRIS"/>
    <x v="2"/>
  </r>
  <r>
    <m/>
    <m/>
    <n v="50000"/>
    <x v="3"/>
    <n v="154167036"/>
    <s v="INFAQ DARI FADEL MUHAMMAD IKHWAN"/>
    <x v="2"/>
  </r>
  <r>
    <m/>
    <m/>
    <n v="40000"/>
    <x v="3"/>
    <n v="154207036"/>
    <s v="INFAQ QRIS"/>
    <x v="2"/>
  </r>
  <r>
    <m/>
    <m/>
    <n v="50000"/>
    <x v="3"/>
    <n v="154257036"/>
    <s v="INFAQ QRIS"/>
    <x v="2"/>
  </r>
  <r>
    <m/>
    <m/>
    <n v="4000000"/>
    <x v="3"/>
    <n v="158257036"/>
    <s v="ZAKAT MAL DARI Muhammad Irfan GS DA 15"/>
    <x v="16"/>
  </r>
  <r>
    <m/>
    <m/>
    <n v="50000"/>
    <x v="3"/>
    <n v="158307036"/>
    <s v="INFAQ QRIS"/>
    <x v="2"/>
  </r>
  <r>
    <m/>
    <m/>
    <n v="10000"/>
    <x v="3"/>
    <n v="158317036"/>
    <s v="INFAQ QRIS"/>
    <x v="2"/>
  </r>
  <r>
    <m/>
    <m/>
    <n v="10000"/>
    <x v="3"/>
    <n v="158327036"/>
    <s v="INFAQ QRIS"/>
    <x v="2"/>
  </r>
  <r>
    <m/>
    <m/>
    <n v="50000"/>
    <x v="3"/>
    <n v="158377036"/>
    <s v="INFAQ QRIS"/>
    <x v="2"/>
  </r>
  <r>
    <m/>
    <m/>
    <n v="100000"/>
    <x v="3"/>
    <n v="158477036"/>
    <s v="INFAQ QRIS"/>
    <x v="2"/>
  </r>
  <r>
    <n v="4000000"/>
    <m/>
    <m/>
    <x v="3"/>
    <n v="154477036"/>
    <s v="BIAYA PERAWATAN SANTRI MARET 2025"/>
    <x v="14"/>
  </r>
  <r>
    <n v="2500"/>
    <m/>
    <m/>
    <x v="3"/>
    <n v="154474536"/>
    <s v="BIAYA PERAWATAN SANTRI MARET 2025"/>
    <x v="14"/>
  </r>
  <r>
    <n v="5400000"/>
    <m/>
    <m/>
    <x v="3"/>
    <n v="149074536"/>
    <s v="HONOR BAYU"/>
    <x v="14"/>
  </r>
  <r>
    <n v="6500"/>
    <m/>
    <m/>
    <x v="3"/>
    <n v="149068036"/>
    <s v="HONOR BAYU"/>
    <x v="14"/>
  </r>
  <r>
    <n v="6500000"/>
    <m/>
    <m/>
    <x v="3"/>
    <n v="142568036"/>
    <s v="HONOR NANANG "/>
    <x v="13"/>
  </r>
  <r>
    <n v="6500"/>
    <m/>
    <m/>
    <x v="3"/>
    <n v="142561536"/>
    <s v="HONOR NANANG "/>
    <x v="13"/>
  </r>
  <r>
    <n v="5000000"/>
    <m/>
    <m/>
    <x v="3"/>
    <n v="137561536"/>
    <s v="HONOR AZIZ"/>
    <x v="13"/>
  </r>
  <r>
    <n v="6500"/>
    <m/>
    <m/>
    <x v="3"/>
    <n v="137555036"/>
    <s v="HONOR AZIZ"/>
    <x v="13"/>
  </r>
  <r>
    <n v="3000000"/>
    <m/>
    <m/>
    <x v="3"/>
    <n v="134555036"/>
    <s v="HONOR ILHAM"/>
    <x v="13"/>
  </r>
  <r>
    <n v="6500"/>
    <m/>
    <m/>
    <x v="3"/>
    <n v="134548536"/>
    <s v="HONOR ILHAM"/>
    <x v="13"/>
  </r>
  <r>
    <n v="4000000"/>
    <m/>
    <m/>
    <x v="3"/>
    <n v="130548536"/>
    <s v="HONOR YANA"/>
    <x v="13"/>
  </r>
  <r>
    <n v="6500"/>
    <m/>
    <m/>
    <x v="3"/>
    <n v="130542036"/>
    <s v="HONOR YANA"/>
    <x v="13"/>
  </r>
  <r>
    <n v="4000000"/>
    <m/>
    <m/>
    <x v="3"/>
    <n v="126542036"/>
    <s v="HONOR IMRON"/>
    <x v="13"/>
  </r>
  <r>
    <n v="6500"/>
    <m/>
    <m/>
    <x v="3"/>
    <n v="126535536"/>
    <s v="HONOR IMRON"/>
    <x v="13"/>
  </r>
  <r>
    <n v="5000000"/>
    <m/>
    <m/>
    <x v="3"/>
    <n v="121535536"/>
    <s v="HONOR SURYADI"/>
    <x v="13"/>
  </r>
  <r>
    <m/>
    <m/>
    <n v="100000"/>
    <x v="3"/>
    <n v="121635536"/>
    <s v="INFAQ QRIS"/>
    <x v="2"/>
  </r>
  <r>
    <m/>
    <m/>
    <n v="50000"/>
    <x v="3"/>
    <n v="121685536"/>
    <s v="INFAQ QRIS"/>
    <x v="2"/>
  </r>
  <r>
    <m/>
    <m/>
    <n v="50000"/>
    <x v="3"/>
    <n v="121735536"/>
    <s v="INFAQ QRIS"/>
    <x v="2"/>
  </r>
  <r>
    <m/>
    <m/>
    <n v="100000"/>
    <x v="3"/>
    <n v="121835536"/>
    <s v="INFAQ QRIS"/>
    <x v="2"/>
  </r>
  <r>
    <m/>
    <m/>
    <n v="24000"/>
    <x v="3"/>
    <n v="121859536"/>
    <s v="INFAQ QRIS"/>
    <x v="2"/>
  </r>
  <r>
    <m/>
    <m/>
    <n v="100000"/>
    <x v="3"/>
    <n v="121959536"/>
    <s v="INFAQ QRIS"/>
    <x v="2"/>
  </r>
  <r>
    <m/>
    <m/>
    <n v="25000"/>
    <x v="3"/>
    <n v="121984536"/>
    <s v="INFAQ QRIS"/>
    <x v="2"/>
  </r>
  <r>
    <m/>
    <m/>
    <n v="50000"/>
    <x v="3"/>
    <n v="122034536"/>
    <s v="INFAQ QRIS"/>
    <x v="2"/>
  </r>
  <r>
    <m/>
    <m/>
    <n v="15000"/>
    <x v="3"/>
    <n v="122049536"/>
    <s v="INFAQ QRIS"/>
    <x v="2"/>
  </r>
  <r>
    <m/>
    <m/>
    <n v="1000000"/>
    <x v="3"/>
    <n v="123049536"/>
    <s v="ZAKAT MAL DIKI FIRMANSYAH"/>
    <x v="16"/>
  </r>
  <r>
    <m/>
    <m/>
    <n v="10000"/>
    <x v="3"/>
    <n v="123059536"/>
    <s v="INFAQ QRIS"/>
    <x v="2"/>
  </r>
  <r>
    <m/>
    <m/>
    <n v="100000"/>
    <x v="3"/>
    <n v="123159536"/>
    <s v="INFAQ QRIS"/>
    <x v="2"/>
  </r>
  <r>
    <m/>
    <m/>
    <n v="100000"/>
    <x v="3"/>
    <n v="123259536"/>
    <s v="INFAQ QRIS"/>
    <x v="2"/>
  </r>
  <r>
    <m/>
    <m/>
    <n v="50000"/>
    <x v="3"/>
    <n v="123309536"/>
    <s v="INFAQ QRIS"/>
    <x v="2"/>
  </r>
  <r>
    <m/>
    <m/>
    <n v="100000"/>
    <x v="3"/>
    <n v="123409536"/>
    <s v="INFAQ QRIS"/>
    <x v="2"/>
  </r>
  <r>
    <m/>
    <m/>
    <n v="25000"/>
    <x v="3"/>
    <n v="123434536"/>
    <s v="INFAQ QRIS"/>
    <x v="2"/>
  </r>
  <r>
    <m/>
    <m/>
    <n v="200000"/>
    <x v="3"/>
    <n v="123634536"/>
    <s v="INFAQ QRIS"/>
    <x v="2"/>
  </r>
  <r>
    <m/>
    <m/>
    <n v="20000"/>
    <x v="3"/>
    <n v="123654536"/>
    <s v="INFAQ QRIS"/>
    <x v="2"/>
  </r>
  <r>
    <m/>
    <m/>
    <n v="30000"/>
    <x v="3"/>
    <n v="123684536"/>
    <s v="INFAQ QRIS"/>
    <x v="2"/>
  </r>
  <r>
    <m/>
    <m/>
    <n v="10000"/>
    <x v="3"/>
    <n v="123694536"/>
    <s v="INFAQ QRIS"/>
    <x v="2"/>
  </r>
  <r>
    <m/>
    <m/>
    <n v="20000"/>
    <x v="3"/>
    <n v="123714536"/>
    <s v="INFAQ QRIS"/>
    <x v="2"/>
  </r>
  <r>
    <m/>
    <m/>
    <n v="20000"/>
    <x v="3"/>
    <n v="123734536"/>
    <s v="INFAQ QRIS"/>
    <x v="2"/>
  </r>
  <r>
    <m/>
    <m/>
    <n v="10000"/>
    <x v="3"/>
    <n v="123744536"/>
    <s v="INFAQ QRIS"/>
    <x v="2"/>
  </r>
  <r>
    <m/>
    <m/>
    <n v="20000"/>
    <x v="3"/>
    <n v="123764536"/>
    <s v="INFAQ QRIS"/>
    <x v="2"/>
  </r>
  <r>
    <m/>
    <m/>
    <n v="1000000"/>
    <x v="3"/>
    <n v="124764536"/>
    <s v="Zakat mal a.n yustitia wahidin"/>
    <x v="16"/>
  </r>
  <r>
    <n v="53150000"/>
    <m/>
    <m/>
    <x v="3"/>
    <n v="71614536"/>
    <s v="PEMBAGIAN ZAKAT FITRAH 1446H "/>
    <x v="14"/>
  </r>
  <r>
    <n v="2500"/>
    <m/>
    <m/>
    <x v="3"/>
    <n v="71612036"/>
    <s v="PEMBAGIAN ZAKAT FITRAH 1446H "/>
    <x v="14"/>
  </r>
  <r>
    <m/>
    <m/>
    <n v="1000000"/>
    <x v="3"/>
    <n v="72612036"/>
    <s v="Infaq an Ramadhan"/>
    <x v="2"/>
  </r>
  <r>
    <m/>
    <m/>
    <n v="50000"/>
    <x v="3"/>
    <n v="72662036"/>
    <s v="INFAQ QRIS"/>
    <x v="2"/>
  </r>
  <r>
    <m/>
    <m/>
    <n v="20000"/>
    <x v="3"/>
    <n v="72682036"/>
    <s v="INFAQ QRIS"/>
    <x v="2"/>
  </r>
  <r>
    <m/>
    <m/>
    <n v="200000"/>
    <x v="3"/>
    <n v="72882036"/>
    <s v="INFAQ QRIS"/>
    <x v="2"/>
  </r>
  <r>
    <m/>
    <m/>
    <n v="50000"/>
    <x v="3"/>
    <n v="72932036"/>
    <s v="INFAQ QRIS"/>
    <x v="2"/>
  </r>
  <r>
    <m/>
    <m/>
    <n v="100000"/>
    <x v="3"/>
    <n v="73032036"/>
    <s v="INFAQ QRIS"/>
    <x v="2"/>
  </r>
  <r>
    <m/>
    <m/>
    <n v="2000000"/>
    <x v="3"/>
    <n v="75032036"/>
    <s v="INFAQ DARI ARIEF TAUFIQURRAHMAN"/>
    <x v="2"/>
  </r>
  <r>
    <m/>
    <m/>
    <n v="100000"/>
    <x v="3"/>
    <n v="75132036"/>
    <s v="INFAQ QRIS"/>
    <x v="2"/>
  </r>
  <r>
    <m/>
    <m/>
    <n v="50000"/>
    <x v="3"/>
    <n v="75182036"/>
    <s v="INFAQ QRIS"/>
    <x v="2"/>
  </r>
  <r>
    <m/>
    <m/>
    <n v="10000"/>
    <x v="3"/>
    <n v="75192036"/>
    <s v="INFAQ QRIS"/>
    <x v="2"/>
  </r>
  <r>
    <m/>
    <m/>
    <n v="30000"/>
    <x v="3"/>
    <n v="75222036"/>
    <s v="INFAQ QRIS"/>
    <x v="2"/>
  </r>
  <r>
    <m/>
    <m/>
    <n v="3475000"/>
    <x v="3"/>
    <n v="78697036"/>
    <s v="ZAKAT MAL ???"/>
    <x v="16"/>
  </r>
  <r>
    <m/>
    <m/>
    <n v="50000"/>
    <x v="3"/>
    <n v="78747036"/>
    <s v="INFAQ QRIS"/>
    <x v="2"/>
  </r>
  <r>
    <m/>
    <m/>
    <n v="3000000"/>
    <x v="3"/>
    <n v="81747036"/>
    <s v="ZAKAT MAL ???"/>
    <x v="16"/>
  </r>
  <r>
    <m/>
    <m/>
    <n v="100000"/>
    <x v="3"/>
    <n v="81847036"/>
    <s v="INFAQ QRIS"/>
    <x v="2"/>
  </r>
  <r>
    <m/>
    <m/>
    <n v="25000"/>
    <x v="3"/>
    <n v="81872036"/>
    <s v="INFAQ QRIS"/>
    <x v="2"/>
  </r>
  <r>
    <m/>
    <m/>
    <n v="50000"/>
    <x v="3"/>
    <n v="81922036"/>
    <s v="INFAQ QRIS"/>
    <x v="2"/>
  </r>
  <r>
    <m/>
    <m/>
    <n v="200000"/>
    <x v="3"/>
    <n v="82122036"/>
    <s v="INFAQ QRIS"/>
    <x v="2"/>
  </r>
  <r>
    <m/>
    <m/>
    <n v="30000"/>
    <x v="3"/>
    <n v="82152036"/>
    <s v="INFAQ QRIS"/>
    <x v="2"/>
  </r>
  <r>
    <m/>
    <m/>
    <n v="20000"/>
    <x v="3"/>
    <n v="82172036"/>
    <s v="INFAQ QRIS"/>
    <x v="2"/>
  </r>
  <r>
    <m/>
    <m/>
    <n v="150000"/>
    <x v="3"/>
    <n v="82322036"/>
    <s v="INFAQ QRIS"/>
    <x v="2"/>
  </r>
  <r>
    <m/>
    <m/>
    <n v="10000"/>
    <x v="3"/>
    <n v="82332036"/>
    <s v="INFAQ QRIS"/>
    <x v="2"/>
  </r>
  <r>
    <m/>
    <m/>
    <n v="1000000"/>
    <x v="3"/>
    <n v="83332036"/>
    <s v="INFAQ QRIS"/>
    <x v="2"/>
  </r>
  <r>
    <m/>
    <m/>
    <n v="50000"/>
    <x v="3"/>
    <n v="83382036"/>
    <s v="INFAQ QRIS"/>
    <x v="2"/>
  </r>
  <r>
    <m/>
    <m/>
    <n v="6000"/>
    <x v="3"/>
    <n v="83388036"/>
    <s v="INFAQ QRIS"/>
    <x v="2"/>
  </r>
  <r>
    <m/>
    <m/>
    <n v="20000"/>
    <x v="3"/>
    <n v="83408036"/>
    <s v="INFAQ QRIS"/>
    <x v="2"/>
  </r>
  <r>
    <m/>
    <m/>
    <n v="150000"/>
    <x v="3"/>
    <n v="83558036"/>
    <s v="INFAQ QRIS"/>
    <x v="2"/>
  </r>
  <r>
    <m/>
    <m/>
    <n v="6570000"/>
    <x v="3"/>
    <n v="90128036"/>
    <s v="ZAKAT MAL ???"/>
    <x v="16"/>
  </r>
  <r>
    <m/>
    <m/>
    <n v="50000"/>
    <x v="3"/>
    <n v="90178036"/>
    <s v="INFAQ QRIS"/>
    <x v="2"/>
  </r>
  <r>
    <m/>
    <m/>
    <n v="5000"/>
    <x v="3"/>
    <n v="90183036"/>
    <s v="INFAQ QRIS"/>
    <x v="2"/>
  </r>
  <r>
    <m/>
    <m/>
    <n v="5000"/>
    <x v="3"/>
    <n v="90188036"/>
    <s v="INFAQ QRIS"/>
    <x v="2"/>
  </r>
  <r>
    <m/>
    <m/>
    <n v="50000"/>
    <x v="4"/>
    <n v="90238036"/>
    <s v="INFAQ QRIS"/>
    <x v="2"/>
  </r>
  <r>
    <m/>
    <m/>
    <n v="50000"/>
    <x v="4"/>
    <n v="90288036"/>
    <s v="INFAQ QRIS"/>
    <x v="2"/>
  </r>
  <r>
    <m/>
    <m/>
    <n v="100000"/>
    <x v="4"/>
    <n v="90388036"/>
    <s v="INFAQ QRIS"/>
    <x v="2"/>
  </r>
  <r>
    <m/>
    <m/>
    <n v="10000"/>
    <x v="4"/>
    <n v="90398036"/>
    <s v="INFAQ QRIS"/>
    <x v="2"/>
  </r>
  <r>
    <m/>
    <m/>
    <n v="100000"/>
    <x v="4"/>
    <n v="90498036"/>
    <s v="INFAQ QRIS"/>
    <x v="2"/>
  </r>
  <r>
    <m/>
    <m/>
    <n v="300000"/>
    <x v="4"/>
    <n v="90798036"/>
    <s v="INFAQ QRIS"/>
    <x v="2"/>
  </r>
  <r>
    <m/>
    <m/>
    <n v="5000000"/>
    <x v="4"/>
    <n v="95798036"/>
    <s v="ZAKAT MAL ZULFIKAR MANGGAU"/>
    <x v="16"/>
  </r>
  <r>
    <m/>
    <m/>
    <n v="50000"/>
    <x v="4"/>
    <n v="95848036"/>
    <s v="INFAQ QRIS"/>
    <x v="2"/>
  </r>
  <r>
    <m/>
    <m/>
    <n v="50000"/>
    <x v="4"/>
    <n v="95898036"/>
    <s v="INFAQ QRIS"/>
    <x v="2"/>
  </r>
  <r>
    <m/>
    <m/>
    <n v="100000"/>
    <x v="4"/>
    <n v="95998036"/>
    <s v="INFAQ QRIS"/>
    <x v="2"/>
  </r>
  <r>
    <m/>
    <m/>
    <n v="25000"/>
    <x v="4"/>
    <n v="96023036"/>
    <s v="INFAQ QRIS"/>
    <x v="2"/>
  </r>
  <r>
    <m/>
    <m/>
    <n v="18000"/>
    <x v="4"/>
    <n v="96041036"/>
    <s v="INFAQ QRIS"/>
    <x v="2"/>
  </r>
  <r>
    <m/>
    <m/>
    <n v="30000"/>
    <x v="4"/>
    <n v="96071036"/>
    <s v="INFAQ QRIS"/>
    <x v="2"/>
  </r>
  <r>
    <m/>
    <m/>
    <n v="20000"/>
    <x v="4"/>
    <n v="96091036"/>
    <s v="INFAQ QRIS"/>
    <x v="2"/>
  </r>
  <r>
    <m/>
    <m/>
    <n v="1000000"/>
    <x v="4"/>
    <n v="97091036"/>
    <s v="INFAQ QRIS"/>
    <x v="2"/>
  </r>
  <r>
    <m/>
    <m/>
    <n v="10000"/>
    <x v="4"/>
    <n v="97101036"/>
    <s v="INFAQ QRIS"/>
    <x v="2"/>
  </r>
  <r>
    <m/>
    <m/>
    <n v="620000"/>
    <x v="4"/>
    <n v="97721036"/>
    <s v="ZAKAT MAL YAYAN"/>
    <x v="16"/>
  </r>
  <r>
    <m/>
    <m/>
    <n v="50000"/>
    <x v="4"/>
    <n v="97771036"/>
    <s v="INFAQ QRIS"/>
    <x v="2"/>
  </r>
  <r>
    <m/>
    <m/>
    <n v="25000"/>
    <x v="4"/>
    <n v="97796036"/>
    <s v="INFAQ QRIS"/>
    <x v="2"/>
  </r>
  <r>
    <m/>
    <m/>
    <n v="150000"/>
    <x v="4"/>
    <n v="97946036"/>
    <s v="INFAQ QRIS"/>
    <x v="2"/>
  </r>
  <r>
    <m/>
    <m/>
    <n v="30000"/>
    <x v="4"/>
    <n v="97976036"/>
    <s v="INFAQ QRIS"/>
    <x v="2"/>
  </r>
  <r>
    <m/>
    <m/>
    <n v="10000"/>
    <x v="4"/>
    <n v="97986036"/>
    <s v="INFAQ QRIS"/>
    <x v="2"/>
  </r>
  <r>
    <m/>
    <m/>
    <n v="6000"/>
    <x v="4"/>
    <n v="97992036"/>
    <s v="INFAQ QRIS"/>
    <x v="2"/>
  </r>
  <r>
    <m/>
    <m/>
    <n v="50000"/>
    <x v="4"/>
    <n v="98042036"/>
    <s v="INFAQ QRIS"/>
    <x v="2"/>
  </r>
  <r>
    <m/>
    <m/>
    <n v="24000000"/>
    <x v="4"/>
    <n v="122042036"/>
    <m/>
    <x v="16"/>
  </r>
  <r>
    <m/>
    <m/>
    <n v="2040000"/>
    <x v="4"/>
    <n v="124082036"/>
    <m/>
    <x v="2"/>
  </r>
  <r>
    <m/>
    <n v="26040000"/>
    <m/>
    <x v="1"/>
    <n v="124082036"/>
    <s v="SETOR CASH IMRON"/>
    <x v="4"/>
  </r>
  <r>
    <m/>
    <m/>
    <n v="20000000"/>
    <x v="4"/>
    <n v="144082036"/>
    <s v="ZAKAT MAL INDRA EDI SANTOSO"/>
    <x v="16"/>
  </r>
  <r>
    <m/>
    <m/>
    <n v="500000"/>
    <x v="4"/>
    <n v="144582036"/>
    <s v="INFAQ QRIS"/>
    <x v="2"/>
  </r>
  <r>
    <m/>
    <m/>
    <n v="10000"/>
    <x v="4"/>
    <n v="144592036"/>
    <s v="INFAQ QRIS"/>
    <x v="2"/>
  </r>
  <r>
    <m/>
    <m/>
    <n v="10000"/>
    <x v="4"/>
    <n v="144602036"/>
    <s v="INFAQ QRIS"/>
    <x v="2"/>
  </r>
  <r>
    <m/>
    <m/>
    <n v="50000"/>
    <x v="4"/>
    <n v="144652036"/>
    <s v="INFAQ QRIS"/>
    <x v="2"/>
  </r>
  <r>
    <m/>
    <m/>
    <n v="50000"/>
    <x v="4"/>
    <n v="144702036"/>
    <s v="INFAQ QRIS"/>
    <x v="2"/>
  </r>
  <r>
    <m/>
    <m/>
    <n v="100000"/>
    <x v="4"/>
    <n v="144802036"/>
    <s v="INFAQ QRIS"/>
    <x v="2"/>
  </r>
  <r>
    <m/>
    <m/>
    <n v="20000"/>
    <x v="4"/>
    <n v="144822036"/>
    <s v="INFAQ QRIS"/>
    <x v="2"/>
  </r>
  <r>
    <m/>
    <m/>
    <n v="20000"/>
    <x v="4"/>
    <n v="144842036"/>
    <s v="INFAQ QRIS"/>
    <x v="2"/>
  </r>
  <r>
    <m/>
    <m/>
    <n v="10000"/>
    <x v="4"/>
    <n v="144852036"/>
    <s v="INFAQ QRIS"/>
    <x v="2"/>
  </r>
  <r>
    <m/>
    <m/>
    <n v="10000000"/>
    <x v="4"/>
    <n v="154852036"/>
    <s v="ZAKAT MAL NURMANSYAH SYARIEF"/>
    <x v="16"/>
  </r>
  <r>
    <m/>
    <m/>
    <n v="250000"/>
    <x v="4"/>
    <n v="155102036"/>
    <s v="INFAQ QRIS"/>
    <x v="2"/>
  </r>
  <r>
    <m/>
    <m/>
    <n v="50000"/>
    <x v="4"/>
    <n v="155152036"/>
    <s v="INFAQ QRIS"/>
    <x v="2"/>
  </r>
  <r>
    <m/>
    <m/>
    <n v="10000"/>
    <x v="4"/>
    <n v="155162036"/>
    <s v="INFAQ QRIS"/>
    <x v="2"/>
  </r>
  <r>
    <m/>
    <m/>
    <n v="20000"/>
    <x v="4"/>
    <n v="155182036"/>
    <s v="INFAQ QRIS"/>
    <x v="2"/>
  </r>
  <r>
    <m/>
    <m/>
    <n v="50000"/>
    <x v="4"/>
    <n v="155232036"/>
    <s v="INFAQ QRIS"/>
    <x v="2"/>
  </r>
  <r>
    <m/>
    <m/>
    <n v="5000"/>
    <x v="4"/>
    <n v="155237036"/>
    <s v="INFAQ QRIS"/>
    <x v="2"/>
  </r>
  <r>
    <m/>
    <m/>
    <n v="10000"/>
    <x v="4"/>
    <n v="155247036"/>
    <s v="INFAQ QRIS"/>
    <x v="2"/>
  </r>
  <r>
    <m/>
    <m/>
    <n v="10000"/>
    <x v="4"/>
    <n v="155257036"/>
    <s v="INFAQ QRIS"/>
    <x v="2"/>
  </r>
  <r>
    <m/>
    <m/>
    <n v="200000"/>
    <x v="4"/>
    <n v="155457036"/>
    <s v="INFAQ QRIS"/>
    <x v="2"/>
  </r>
  <r>
    <m/>
    <m/>
    <n v="200000"/>
    <x v="4"/>
    <n v="155657036"/>
    <s v="INFAQ QRIS"/>
    <x v="2"/>
  </r>
  <r>
    <m/>
    <m/>
    <n v="10000"/>
    <x v="4"/>
    <n v="155667036"/>
    <s v="INFAQ QRIS"/>
    <x v="2"/>
  </r>
  <r>
    <m/>
    <m/>
    <n v="20000"/>
    <x v="4"/>
    <n v="155687036"/>
    <s v="INFAQ QRIS"/>
    <x v="2"/>
  </r>
  <r>
    <m/>
    <m/>
    <n v="5700"/>
    <x v="4"/>
    <n v="155692736"/>
    <s v="INFAQ QRIS"/>
    <x v="2"/>
  </r>
  <r>
    <m/>
    <m/>
    <n v="400000"/>
    <x v="4"/>
    <n v="156092736"/>
    <s v="INFAQ PUTIE AMBUN SURI / RIVENDRA"/>
    <x v="2"/>
  </r>
  <r>
    <m/>
    <m/>
    <n v="20000"/>
    <x v="4"/>
    <n v="156112736"/>
    <s v="INFAQ QRIS"/>
    <x v="2"/>
  </r>
  <r>
    <m/>
    <m/>
    <n v="5700"/>
    <x v="4"/>
    <n v="156118436"/>
    <s v="INFAQ QRIS"/>
    <x v="2"/>
  </r>
  <r>
    <m/>
    <m/>
    <n v="100000"/>
    <x v="4"/>
    <n v="156218436"/>
    <s v="Infaq april25 yud"/>
    <x v="2"/>
  </r>
  <r>
    <m/>
    <m/>
    <n v="150000"/>
    <x v="4"/>
    <n v="156368436"/>
    <s v="INFAQ DWI LISTYOWATI"/>
    <x v="2"/>
  </r>
  <r>
    <m/>
    <m/>
    <n v="4816"/>
    <x v="4"/>
    <n v="156373252"/>
    <s v="INFAQ QRIS"/>
    <x v="2"/>
  </r>
  <r>
    <m/>
    <m/>
    <n v="10000"/>
    <x v="4"/>
    <n v="156383252"/>
    <s v="INFAQ QRIS"/>
    <x v="2"/>
  </r>
  <r>
    <m/>
    <m/>
    <n v="2308"/>
    <x v="4"/>
    <n v="156385560"/>
    <s v="INFAQ QRIS"/>
    <x v="2"/>
  </r>
  <r>
    <n v="20000"/>
    <m/>
    <m/>
    <x v="4"/>
    <n v="156365560"/>
    <s v="INFAQ QRIS"/>
    <x v="1"/>
  </r>
  <r>
    <n v="5700"/>
    <m/>
    <m/>
    <x v="4"/>
    <n v="156359860"/>
    <s v="INFAQ QRIS"/>
    <x v="1"/>
  </r>
  <r>
    <m/>
    <m/>
    <n v="25000"/>
    <x v="4"/>
    <n v="156384860"/>
    <s v="INFAQ QRIS"/>
    <x v="2"/>
  </r>
  <r>
    <m/>
    <m/>
    <n v="10000"/>
    <x v="4"/>
    <n v="156394860"/>
    <s v="INFAQ QRIS"/>
    <x v="2"/>
  </r>
  <r>
    <m/>
    <m/>
    <n v="20000"/>
    <x v="4"/>
    <n v="156414860"/>
    <s v="INFAQ QRIS"/>
    <x v="2"/>
  </r>
  <r>
    <m/>
    <m/>
    <n v="25000"/>
    <x v="4"/>
    <n v="156439860"/>
    <s v="INFAQ QRIS"/>
    <x v="2"/>
  </r>
  <r>
    <m/>
    <m/>
    <n v="100000"/>
    <x v="4"/>
    <n v="156539860"/>
    <s v="INFAQ QRIS"/>
    <x v="2"/>
  </r>
  <r>
    <m/>
    <m/>
    <n v="22000"/>
    <x v="4"/>
    <n v="156561860"/>
    <s v="INFAQ QRIS"/>
    <x v="2"/>
  </r>
  <r>
    <n v="2000000"/>
    <m/>
    <m/>
    <x v="4"/>
    <n v="154561860"/>
    <s v="PENGAJIAN IBU-IBU APRIL VIA LINA HERLINA"/>
    <x v="11"/>
  </r>
  <r>
    <n v="2900"/>
    <m/>
    <m/>
    <x v="4"/>
    <n v="154558960"/>
    <s v="BIAYA PENGAJIAN IBU-IBU APRIL VIA LINA HERLINA"/>
    <x v="11"/>
  </r>
  <r>
    <m/>
    <m/>
    <n v="17785500"/>
    <x v="4"/>
    <n v="172344460"/>
    <s v="INFAQ SHOLAT IDUL FITRI 1446 H"/>
    <x v="2"/>
  </r>
  <r>
    <m/>
    <m/>
    <n v="100000"/>
    <x v="4"/>
    <n v="172444460"/>
    <s v="INFAQ QRIS"/>
    <x v="2"/>
  </r>
  <r>
    <m/>
    <m/>
    <n v="2000000"/>
    <x v="4"/>
    <n v="174444460"/>
    <s v="INFAQ RIZKY HIDAYAT"/>
    <x v="2"/>
  </r>
  <r>
    <n v="5250000"/>
    <m/>
    <m/>
    <x v="4"/>
    <n v="169194460"/>
    <s v="Biaya Perbaikan 3 Pintu MAJ  SKN OUT TRF CMS "/>
    <x v="8"/>
  </r>
  <r>
    <n v="2900"/>
    <m/>
    <m/>
    <x v="4"/>
    <n v="169191560"/>
    <s v="Adm Biaya Perbaikan 3 Pintu MAJ  SKN OUT TRF CMS "/>
    <x v="8"/>
  </r>
  <r>
    <m/>
    <m/>
    <n v="1000000"/>
    <x v="4"/>
    <n v="170191560"/>
    <s v="INFAQ ANIS "/>
    <x v="2"/>
  </r>
  <r>
    <m/>
    <m/>
    <n v="66500"/>
    <x v="4"/>
    <n v="170258060"/>
    <s v="FEE MUAMALAT"/>
    <x v="2"/>
  </r>
  <r>
    <m/>
    <m/>
    <n v="25000"/>
    <x v="4"/>
    <n v="170283060"/>
    <s v="INFAQ QRIS"/>
    <x v="2"/>
  </r>
  <r>
    <m/>
    <m/>
    <n v="100000"/>
    <x v="4"/>
    <n v="170383060"/>
    <s v="INFAQ QRIS"/>
    <x v="2"/>
  </r>
  <r>
    <m/>
    <m/>
    <n v="25000"/>
    <x v="4"/>
    <n v="170408060"/>
    <s v="INFAQ QRIS"/>
    <x v="2"/>
  </r>
  <r>
    <m/>
    <m/>
    <n v="50000"/>
    <x v="4"/>
    <n v="170458060"/>
    <s v="INFAQ QRIS"/>
    <x v="2"/>
  </r>
  <r>
    <m/>
    <m/>
    <n v="10000"/>
    <x v="4"/>
    <n v="170468060"/>
    <s v="INFAQ QRIS"/>
    <x v="2"/>
  </r>
  <r>
    <m/>
    <m/>
    <n v="10000"/>
    <x v="4"/>
    <n v="170478060"/>
    <s v="INFAQ QRIS"/>
    <x v="2"/>
  </r>
  <r>
    <m/>
    <m/>
    <n v="20000"/>
    <x v="4"/>
    <n v="170498060"/>
    <s v="INFAQ QRIS"/>
    <x v="2"/>
  </r>
  <r>
    <m/>
    <m/>
    <n v="10000"/>
    <x v="4"/>
    <n v="170508060"/>
    <s v="INFAQ QRIS"/>
    <x v="2"/>
  </r>
  <r>
    <m/>
    <m/>
    <n v="5000"/>
    <x v="4"/>
    <n v="170513060"/>
    <s v="INFAQ QRIS"/>
    <x v="2"/>
  </r>
  <r>
    <m/>
    <m/>
    <n v="6661"/>
    <x v="4"/>
    <n v="170519721"/>
    <s v="INFAQ QRIS"/>
    <x v="2"/>
  </r>
  <r>
    <n v="4105500"/>
    <m/>
    <m/>
    <x v="4"/>
    <n v="166414221"/>
    <s v="PERAWATAN MAJ-MAHMUD MADJID"/>
    <x v="8"/>
  </r>
  <r>
    <n v="6500"/>
    <m/>
    <m/>
    <x v="4"/>
    <n v="166407721"/>
    <s v="BIAYA PERAWATAN MAJ-MAHMUD MADJID"/>
    <x v="8"/>
  </r>
  <r>
    <n v="750000"/>
    <m/>
    <m/>
    <x v="4"/>
    <n v="165657721"/>
    <s v="HONOR UST DARWIS MAJ "/>
    <x v="11"/>
  </r>
  <r>
    <m/>
    <m/>
    <n v="10000"/>
    <x v="4"/>
    <n v="165667721"/>
    <s v="INFAQ QRIS"/>
    <x v="2"/>
  </r>
  <r>
    <m/>
    <m/>
    <n v="25000"/>
    <x v="4"/>
    <n v="165692721"/>
    <s v="INFAQ QRIS"/>
    <x v="2"/>
  </r>
  <r>
    <m/>
    <m/>
    <n v="200000"/>
    <x v="4"/>
    <n v="165892721"/>
    <s v="INFAQ WUSONO PRIHADI SANTO"/>
    <x v="2"/>
  </r>
  <r>
    <m/>
    <m/>
    <n v="41800000"/>
    <x v="4"/>
    <n v="207692721"/>
    <s v="Zakat Mal"/>
    <x v="16"/>
  </r>
  <r>
    <m/>
    <m/>
    <n v="3042000"/>
    <x v="4"/>
    <n v="210734721"/>
    <s v="Infaq Ramadhan"/>
    <x v="2"/>
  </r>
  <r>
    <m/>
    <m/>
    <n v="10195000"/>
    <x v="4"/>
    <n v="220929721"/>
    <s v="Yatim dan Sosial"/>
    <x v="12"/>
  </r>
  <r>
    <m/>
    <m/>
    <n v="9155000"/>
    <x v="4"/>
    <n v="230084721"/>
    <s v="Tromol Jumat"/>
    <x v="2"/>
  </r>
  <r>
    <m/>
    <n v="64192000"/>
    <m/>
    <x v="1"/>
    <n v="230084721"/>
    <s v="SETOR IMRON"/>
    <x v="4"/>
  </r>
  <r>
    <n v="600000"/>
    <m/>
    <m/>
    <x v="4"/>
    <n v="229484721"/>
    <s v="Perbaikan Kipas Angin MAJ"/>
    <x v="8"/>
  </r>
  <r>
    <n v="2900"/>
    <m/>
    <m/>
    <x v="4"/>
    <n v="229481821"/>
    <s v="Biaya Adm Perbaikan Kipas Angin MAJ"/>
    <x v="8"/>
  </r>
  <r>
    <m/>
    <m/>
    <n v="50000"/>
    <x v="4"/>
    <n v="229531821"/>
    <s v="INFAQ QRIS"/>
    <x v="2"/>
  </r>
  <r>
    <m/>
    <m/>
    <n v="10000"/>
    <x v="4"/>
    <n v="229541821"/>
    <s v="INFAQ QRIS"/>
    <x v="2"/>
  </r>
  <r>
    <m/>
    <m/>
    <n v="500000"/>
    <x v="4"/>
    <n v="230041821"/>
    <s v="INFAQ INDRA EDI SANTOSO"/>
    <x v="2"/>
  </r>
  <r>
    <n v="850000"/>
    <m/>
    <m/>
    <x v="4"/>
    <n v="229191821"/>
    <s v="Perbaikan Kipas Angin MAJ"/>
    <x v="8"/>
  </r>
  <r>
    <n v="2900"/>
    <m/>
    <m/>
    <x v="4"/>
    <n v="229188921"/>
    <s v="Biaya Adm Perbaikan Kipas Angin MAJ"/>
    <x v="8"/>
  </r>
  <r>
    <m/>
    <m/>
    <n v="50000"/>
    <x v="4"/>
    <n v="229238921"/>
    <s v="INFAQ QRIS"/>
    <x v="2"/>
  </r>
  <r>
    <m/>
    <m/>
    <n v="100000"/>
    <x v="4"/>
    <n v="229338921"/>
    <s v="INFAQ QRIS"/>
    <x v="2"/>
  </r>
  <r>
    <m/>
    <m/>
    <n v="10000"/>
    <x v="4"/>
    <n v="229348921"/>
    <s v="INFAQ QRIS"/>
    <x v="2"/>
  </r>
  <r>
    <m/>
    <m/>
    <n v="10000"/>
    <x v="4"/>
    <n v="229358921"/>
    <s v="INFAQ QRIS"/>
    <x v="2"/>
  </r>
  <r>
    <n v="7705000"/>
    <m/>
    <m/>
    <x v="4"/>
    <n v="221653921"/>
    <s v="PERBAIKAN DAK PIPA-MAHMUD MADJID"/>
    <x v="8"/>
  </r>
  <r>
    <n v="6500"/>
    <m/>
    <m/>
    <x v="4"/>
    <n v="221647421"/>
    <s v="ADM PERBAIKAN DAK PIPA-MAHMUD MADJID"/>
    <x v="8"/>
  </r>
  <r>
    <m/>
    <m/>
    <n v="50000"/>
    <x v="4"/>
    <n v="221697421"/>
    <s v="INFAQ QRIS"/>
    <x v="2"/>
  </r>
  <r>
    <m/>
    <m/>
    <n v="10000"/>
    <x v="4"/>
    <n v="221707421"/>
    <s v="INFAQ QRIS"/>
    <x v="2"/>
  </r>
  <r>
    <m/>
    <m/>
    <n v="50000"/>
    <x v="4"/>
    <n v="221757421"/>
    <s v="INFAQ QRIS"/>
    <x v="2"/>
  </r>
  <r>
    <m/>
    <m/>
    <n v="200000"/>
    <x v="4"/>
    <n v="221957421"/>
    <s v="INFAQ QRIS"/>
    <x v="2"/>
  </r>
  <r>
    <m/>
    <m/>
    <n v="8000"/>
    <x v="4"/>
    <n v="221965421"/>
    <s v="INFAQ QRIS"/>
    <x v="2"/>
  </r>
  <r>
    <m/>
    <m/>
    <n v="25000"/>
    <x v="4"/>
    <n v="221990421"/>
    <s v="INFAQ QRIS"/>
    <x v="2"/>
  </r>
  <r>
    <m/>
    <m/>
    <n v="100000"/>
    <x v="4"/>
    <n v="222090421"/>
    <s v="INFAQ QRIS"/>
    <x v="2"/>
  </r>
  <r>
    <m/>
    <m/>
    <n v="50000"/>
    <x v="4"/>
    <n v="222140421"/>
    <s v="INFAQ QRIS"/>
    <x v="2"/>
  </r>
  <r>
    <m/>
    <m/>
    <n v="75000"/>
    <x v="4"/>
    <n v="222215421"/>
    <s v="INFAQ QRIS"/>
    <x v="2"/>
  </r>
  <r>
    <m/>
    <m/>
    <n v="20000"/>
    <x v="4"/>
    <n v="222235421"/>
    <s v="INFAQ QRIS"/>
    <x v="2"/>
  </r>
  <r>
    <n v="5657000"/>
    <m/>
    <m/>
    <x v="4"/>
    <n v="216578421"/>
    <s v="Perbaikan Plafon MAJ"/>
    <x v="8"/>
  </r>
  <r>
    <n v="6500"/>
    <m/>
    <m/>
    <x v="4"/>
    <n v="216571921"/>
    <s v="Biaya Trf Perbaikan Plafon MAJ"/>
    <x v="8"/>
  </r>
  <r>
    <n v="750000"/>
    <m/>
    <m/>
    <x v="4"/>
    <n v="215821921"/>
    <s v="Honor Ustadz Hasan Mubarok"/>
    <x v="11"/>
  </r>
  <r>
    <n v="6500"/>
    <m/>
    <m/>
    <x v="4"/>
    <n v="215815421"/>
    <s v="Biaya Trf Honor Ustadz Hasan Mubarok"/>
    <x v="11"/>
  </r>
  <r>
    <m/>
    <m/>
    <n v="50000"/>
    <x v="4"/>
    <n v="215865421"/>
    <s v="INFAQ QRIS"/>
    <x v="2"/>
  </r>
  <r>
    <m/>
    <m/>
    <n v="50000"/>
    <x v="4"/>
    <n v="215915421"/>
    <s v="INFAQ QRIS"/>
    <x v="2"/>
  </r>
  <r>
    <m/>
    <m/>
    <n v="10000"/>
    <x v="4"/>
    <n v="215925421"/>
    <s v="INFAQ QRIS"/>
    <x v="2"/>
  </r>
  <r>
    <m/>
    <m/>
    <n v="5000"/>
    <x v="4"/>
    <n v="215930421"/>
    <s v="INFAQ QRIS"/>
    <x v="2"/>
  </r>
  <r>
    <m/>
    <m/>
    <n v="25000"/>
    <x v="4"/>
    <n v="215955421"/>
    <s v="INFAQ QRIS"/>
    <x v="2"/>
  </r>
  <r>
    <m/>
    <m/>
    <n v="5000"/>
    <x v="4"/>
    <n v="215960421"/>
    <s v="INFAQ QRIS"/>
    <x v="2"/>
  </r>
  <r>
    <m/>
    <m/>
    <n v="10000"/>
    <x v="4"/>
    <n v="215970421"/>
    <s v="INFAQ QRIS"/>
    <x v="2"/>
  </r>
  <r>
    <m/>
    <m/>
    <n v="4358000"/>
    <x v="4"/>
    <n v="220328421"/>
    <s v="Akun Yatim &amp; Sosial"/>
    <x v="12"/>
  </r>
  <r>
    <m/>
    <m/>
    <n v="2722000"/>
    <x v="4"/>
    <n v="223050421"/>
    <s v="Operasional (Infaq &amp; Sodaqoh)"/>
    <x v="2"/>
  </r>
  <r>
    <m/>
    <n v="7080000"/>
    <m/>
    <x v="1"/>
    <n v="223050421"/>
    <s v="Setor Imron"/>
    <x v="4"/>
  </r>
  <r>
    <n v="7000"/>
    <m/>
    <m/>
    <x v="4"/>
    <n v="223043421"/>
    <s v="Biaya Adm Payroll Muamalat"/>
    <x v="1"/>
  </r>
  <r>
    <m/>
    <m/>
    <n v="10000"/>
    <x v="4"/>
    <n v="223053421"/>
    <s v="INFAQ QRIS"/>
    <x v="2"/>
  </r>
  <r>
    <n v="2000000"/>
    <m/>
    <m/>
    <x v="4"/>
    <n v="221053421"/>
    <s v="Honor Guru TPQ"/>
    <x v="19"/>
  </r>
  <r>
    <n v="2900"/>
    <m/>
    <m/>
    <x v="4"/>
    <n v="221050521"/>
    <s v="Biaya Trf Honor Guru TPQ"/>
    <x v="19"/>
  </r>
  <r>
    <m/>
    <m/>
    <n v="10000"/>
    <x v="4"/>
    <n v="221060521"/>
    <s v="INFAQ QRIS"/>
    <x v="2"/>
  </r>
  <r>
    <m/>
    <m/>
    <n v="10000"/>
    <x v="4"/>
    <n v="221070521"/>
    <s v="INFAQ QRIS"/>
    <x v="2"/>
  </r>
  <r>
    <m/>
    <m/>
    <n v="200000"/>
    <x v="4"/>
    <n v="221270521"/>
    <s v="INFAQ TPQ RIVENDRA"/>
    <x v="10"/>
  </r>
  <r>
    <m/>
    <m/>
    <n v="1000000"/>
    <x v="4"/>
    <n v="222270521"/>
    <s v="INFAQ ANGGONO IRIAWAN"/>
    <x v="2"/>
  </r>
  <r>
    <n v="750000"/>
    <m/>
    <m/>
    <x v="4"/>
    <n v="221520521"/>
    <s v="HONOR UST-KHOERUL MAKTUM"/>
    <x v="11"/>
  </r>
  <r>
    <n v="6500"/>
    <m/>
    <m/>
    <x v="4"/>
    <n v="221514021"/>
    <s v="ADM HONOR UST-KHOERUL MAKTUM"/>
    <x v="11"/>
  </r>
  <r>
    <m/>
    <m/>
    <n v="10000"/>
    <x v="4"/>
    <n v="221524021"/>
    <s v="INFAQ QRIS"/>
    <x v="2"/>
  </r>
  <r>
    <m/>
    <m/>
    <n v="5000"/>
    <x v="4"/>
    <n v="221529021"/>
    <s v="INFAQ QRIS"/>
    <x v="2"/>
  </r>
  <r>
    <m/>
    <m/>
    <n v="10000"/>
    <x v="4"/>
    <n v="221539021"/>
    <s v="INFAQ QRIS"/>
    <x v="2"/>
  </r>
  <r>
    <m/>
    <m/>
    <n v="100000"/>
    <x v="4"/>
    <n v="221639021"/>
    <s v="INFAQ SURJATI SUTARJA"/>
    <x v="2"/>
  </r>
  <r>
    <m/>
    <m/>
    <n v="10000"/>
    <x v="4"/>
    <n v="221649021"/>
    <s v="INFAQ QRIS"/>
    <x v="2"/>
  </r>
  <r>
    <m/>
    <m/>
    <n v="10000"/>
    <x v="4"/>
    <n v="221659021"/>
    <s v="INFAQ QRIS"/>
    <x v="2"/>
  </r>
  <r>
    <m/>
    <m/>
    <n v="25000"/>
    <x v="4"/>
    <n v="221684021"/>
    <s v="INFAQ QRIS"/>
    <x v="2"/>
  </r>
  <r>
    <n v="1500000"/>
    <m/>
    <m/>
    <x v="4"/>
    <n v="220184021"/>
    <s v="HONOR-MUHAMMAD ILHAM"/>
    <x v="13"/>
  </r>
  <r>
    <n v="6500"/>
    <m/>
    <m/>
    <x v="4"/>
    <n v="220177521"/>
    <s v="ADM HONOR-MUHAMMAD ILHAM"/>
    <x v="13"/>
  </r>
  <r>
    <n v="2000000"/>
    <m/>
    <m/>
    <x v="4"/>
    <n v="218177521"/>
    <s v="HONOR A IMRON ROSADI "/>
    <x v="13"/>
  </r>
  <r>
    <n v="6500"/>
    <m/>
    <m/>
    <x v="4"/>
    <n v="218171021"/>
    <s v="ADM HONOR A IMRON ROSADI "/>
    <x v="13"/>
  </r>
  <r>
    <n v="2000000"/>
    <m/>
    <m/>
    <x v="4"/>
    <n v="216171021"/>
    <s v="HONOR-YANA SIGIT ISMATULLAH"/>
    <x v="13"/>
  </r>
  <r>
    <n v="6500"/>
    <m/>
    <m/>
    <x v="4"/>
    <n v="216164521"/>
    <s v="ADM HONOR-YANA SIGIT ISMATULLAH"/>
    <x v="13"/>
  </r>
  <r>
    <n v="3250000"/>
    <m/>
    <m/>
    <x v="4"/>
    <n v="212914521"/>
    <s v="HONOR-NANANG SUBAEDI"/>
    <x v="13"/>
  </r>
  <r>
    <n v="6500"/>
    <m/>
    <m/>
    <x v="4"/>
    <n v="212908021"/>
    <s v="ADM HONOR-NANANG SUBAEDI"/>
    <x v="13"/>
  </r>
  <r>
    <n v="2700000"/>
    <m/>
    <m/>
    <x v="4"/>
    <n v="210208021"/>
    <s v="HONOR-M BAYU CANDRA"/>
    <x v="14"/>
  </r>
  <r>
    <n v="6500"/>
    <m/>
    <m/>
    <x v="4"/>
    <n v="210201521"/>
    <s v="ADM HONOR-M BAYU CANDRA"/>
    <x v="14"/>
  </r>
  <r>
    <n v="2500000"/>
    <m/>
    <m/>
    <x v="4"/>
    <n v="207701521"/>
    <s v="HONOR SURYADI"/>
    <x v="13"/>
  </r>
  <r>
    <n v="1000000"/>
    <m/>
    <m/>
    <x v="4"/>
    <n v="206701521"/>
    <s v="HONNOR Ustad Wahid Rahman"/>
    <x v="11"/>
  </r>
  <r>
    <n v="4000000"/>
    <m/>
    <m/>
    <x v="4"/>
    <n v="202701521"/>
    <s v="PERAWATAN SANTRI VIA BAYU CANDRA-M BAYU CANDRA"/>
    <x v="14"/>
  </r>
  <r>
    <n v="6500"/>
    <m/>
    <m/>
    <x v="4"/>
    <n v="202695021"/>
    <s v="ADM PERAWATAN SANTRI VIA BAYU CANDRA-M BAYU CANDRA"/>
    <x v="14"/>
  </r>
  <r>
    <m/>
    <m/>
    <n v="600000"/>
    <x v="4"/>
    <n v="203295021"/>
    <s v="INFAQ TPQ IMRON ROSADI"/>
    <x v="10"/>
  </r>
  <r>
    <m/>
    <m/>
    <n v="300000"/>
    <x v="4"/>
    <n v="203595021"/>
    <s v="INFAQ FADJAR SATYANI"/>
    <x v="2"/>
  </r>
  <r>
    <m/>
    <m/>
    <n v="50000"/>
    <x v="4"/>
    <n v="203645021"/>
    <s v="INFAQ QRIS"/>
    <x v="2"/>
  </r>
  <r>
    <m/>
    <m/>
    <n v="50000"/>
    <x v="4"/>
    <n v="203695021"/>
    <s v="INFAQ QRIS"/>
    <x v="2"/>
  </r>
  <r>
    <m/>
    <m/>
    <n v="2477000"/>
    <x v="4"/>
    <n v="206172021"/>
    <s v="Laba ALJABAR Store"/>
    <x v="20"/>
  </r>
  <r>
    <m/>
    <m/>
    <n v="3667000"/>
    <x v="4"/>
    <n v="209839021"/>
    <m/>
    <x v="12"/>
  </r>
  <r>
    <m/>
    <m/>
    <n v="5927000"/>
    <x v="4"/>
    <n v="215766021"/>
    <m/>
    <x v="2"/>
  </r>
  <r>
    <m/>
    <n v="9594000"/>
    <m/>
    <x v="1"/>
    <n v="215766021"/>
    <s v="SETOR IMRON"/>
    <x v="4"/>
  </r>
  <r>
    <m/>
    <m/>
    <n v="50000"/>
    <x v="4"/>
    <n v="215816021"/>
    <s v="INFAQ QRIS"/>
    <x v="2"/>
  </r>
  <r>
    <m/>
    <m/>
    <n v="10000"/>
    <x v="4"/>
    <n v="215826021"/>
    <s v="INFAQ QRIS"/>
    <x v="2"/>
  </r>
  <r>
    <m/>
    <m/>
    <n v="10000"/>
    <x v="5"/>
    <n v="215836021"/>
    <s v="INFAQ QRIS"/>
    <x v="2"/>
  </r>
  <r>
    <m/>
    <m/>
    <n v="200000"/>
    <x v="5"/>
    <n v="216036021"/>
    <s v="INFAQ UMI HAMIDAH"/>
    <x v="2"/>
  </r>
  <r>
    <m/>
    <m/>
    <n v="500000"/>
    <x v="5"/>
    <n v="216536021"/>
    <s v="INFAQ DRS SARWONO"/>
    <x v="2"/>
  </r>
  <r>
    <m/>
    <m/>
    <n v="50000"/>
    <x v="5"/>
    <n v="216586021"/>
    <s v="INFAQ QRIS"/>
    <x v="2"/>
  </r>
  <r>
    <m/>
    <m/>
    <n v="10000"/>
    <x v="5"/>
    <n v="216596021"/>
    <s v="INFAQ QRIS"/>
    <x v="2"/>
  </r>
  <r>
    <m/>
    <m/>
    <n v="2000000"/>
    <x v="5"/>
    <n v="218596021"/>
    <s v="INFAQ RIZKY HIDAYAT"/>
    <x v="2"/>
  </r>
  <r>
    <m/>
    <m/>
    <n v="200000"/>
    <x v="5"/>
    <n v="218796021"/>
    <s v="INFAQ DEDEN TP"/>
    <x v="2"/>
  </r>
  <r>
    <n v="4500000"/>
    <m/>
    <m/>
    <x v="5"/>
    <n v="214296021"/>
    <s v="HONOR AZIS"/>
    <x v="13"/>
  </r>
  <r>
    <n v="6500"/>
    <m/>
    <m/>
    <x v="5"/>
    <n v="214289521"/>
    <s v="ADM HONOR AZIS"/>
    <x v="13"/>
  </r>
  <r>
    <n v="2500000"/>
    <m/>
    <m/>
    <x v="5"/>
    <n v="211789521"/>
    <s v="HONOR YANA"/>
    <x v="13"/>
  </r>
  <r>
    <n v="6500"/>
    <m/>
    <m/>
    <x v="5"/>
    <n v="211783021"/>
    <s v="ADM HONOR YANA"/>
    <x v="13"/>
  </r>
  <r>
    <m/>
    <m/>
    <n v="50000"/>
    <x v="5"/>
    <n v="211833021"/>
    <s v="INFAQ QRIS"/>
    <x v="2"/>
  </r>
  <r>
    <m/>
    <m/>
    <n v="50000"/>
    <x v="5"/>
    <n v="211883021"/>
    <s v="INFAQ QRIS"/>
    <x v="2"/>
  </r>
  <r>
    <m/>
    <m/>
    <n v="25000"/>
    <x v="5"/>
    <n v="211908021"/>
    <s v="INFAQ QRIS"/>
    <x v="2"/>
  </r>
  <r>
    <m/>
    <m/>
    <n v="10000"/>
    <x v="5"/>
    <n v="211918021"/>
    <s v="INFAQ QRIS"/>
    <x v="2"/>
  </r>
  <r>
    <m/>
    <m/>
    <n v="10000"/>
    <x v="5"/>
    <n v="211928021"/>
    <s v="INFAQ QRIS"/>
    <x v="2"/>
  </r>
  <r>
    <n v="750000"/>
    <m/>
    <m/>
    <x v="5"/>
    <n v="211178021"/>
    <s v="HONOR-MOHAMMAD SHODIQ"/>
    <x v="11"/>
  </r>
  <r>
    <n v="6500"/>
    <m/>
    <m/>
    <x v="5"/>
    <n v="211171521"/>
    <s v="ADM HONOR-MOHAMMAD SHODIQ"/>
    <x v="11"/>
  </r>
  <r>
    <n v="750000"/>
    <m/>
    <m/>
    <x v="5"/>
    <n v="210421521"/>
    <s v="HONOR UST.UMAR"/>
    <x v="11"/>
  </r>
  <r>
    <n v="6500"/>
    <m/>
    <m/>
    <x v="5"/>
    <n v="210415021"/>
    <s v="ADM HONOR UST.UMAR"/>
    <x v="11"/>
  </r>
  <r>
    <m/>
    <m/>
    <n v="5000"/>
    <x v="5"/>
    <n v="210420021"/>
    <s v="INFAQ QRIS"/>
    <x v="2"/>
  </r>
  <r>
    <m/>
    <m/>
    <n v="10000"/>
    <x v="5"/>
    <n v="210430021"/>
    <s v="INFAQ QRIS"/>
    <x v="2"/>
  </r>
  <r>
    <m/>
    <m/>
    <n v="400000"/>
    <x v="5"/>
    <n v="210830021"/>
    <s v="INFAQ PUTIE AMBUN SURI/RIVENDRA"/>
    <x v="2"/>
  </r>
  <r>
    <n v="75000"/>
    <m/>
    <m/>
    <x v="5"/>
    <n v="210755021"/>
    <s v="CETAK STIKER MAJ"/>
    <x v="1"/>
  </r>
  <r>
    <n v="6500"/>
    <m/>
    <m/>
    <x v="5"/>
    <n v="210748521"/>
    <s v="ADM CETAK STIKER MAJ"/>
    <x v="1"/>
  </r>
  <r>
    <m/>
    <m/>
    <n v="150000"/>
    <x v="5"/>
    <n v="210898521"/>
    <s v="INFAQ DWI LISTYOWATI DRA"/>
    <x v="2"/>
  </r>
  <r>
    <m/>
    <m/>
    <n v="100000"/>
    <x v="5"/>
    <n v="210998521"/>
    <s v="INFAQ QRIS"/>
    <x v="2"/>
  </r>
  <r>
    <m/>
    <m/>
    <n v="5000000"/>
    <x v="5"/>
    <n v="215998521"/>
    <s v="QURBAN YOYOK SUBIYANTO SAKIDI"/>
    <x v="21"/>
  </r>
  <r>
    <m/>
    <m/>
    <n v="50000"/>
    <x v="5"/>
    <n v="216048521"/>
    <s v="INFAQ QRIS"/>
    <x v="2"/>
  </r>
  <r>
    <m/>
    <m/>
    <n v="25000"/>
    <x v="5"/>
    <n v="216073521"/>
    <s v="INFAQ QRIS"/>
    <x v="2"/>
  </r>
  <r>
    <m/>
    <m/>
    <n v="10000"/>
    <x v="5"/>
    <n v="216083521"/>
    <s v="INFAQ QRIS"/>
    <x v="2"/>
  </r>
  <r>
    <m/>
    <m/>
    <n v="2"/>
    <x v="5"/>
    <n v="216083523"/>
    <s v="INFAQ QRIS"/>
    <x v="2"/>
  </r>
  <r>
    <m/>
    <m/>
    <n v="3203000"/>
    <x v="5"/>
    <n v="219286523"/>
    <m/>
    <x v="12"/>
  </r>
  <r>
    <m/>
    <m/>
    <n v="1683000"/>
    <x v="5"/>
    <n v="220969523"/>
    <m/>
    <x v="2"/>
  </r>
  <r>
    <m/>
    <n v="4886000"/>
    <m/>
    <x v="5"/>
    <n v="220969523"/>
    <s v="SETOR IMRON"/>
    <x v="4"/>
  </r>
  <r>
    <m/>
    <m/>
    <n v="3500000"/>
    <x v="5"/>
    <n v="224469523"/>
    <s v="QURBAN IBU SRI MAULATI A F"/>
    <x v="21"/>
  </r>
  <r>
    <m/>
    <m/>
    <n v="600000"/>
    <x v="5"/>
    <n v="225069523"/>
    <s v="INFAQ IBU SRI MAULATI A F"/>
    <x v="2"/>
  </r>
  <r>
    <n v="2000000"/>
    <m/>
    <m/>
    <x v="5"/>
    <n v="223069523"/>
    <s v="BIAYA PENGAJIAN IBU-IBU"/>
    <x v="11"/>
  </r>
  <r>
    <n v="6500"/>
    <m/>
    <m/>
    <x v="5"/>
    <n v="223063023"/>
    <s v="ADM BIAYA PENGAJIAN IBU-IBU"/>
    <x v="11"/>
  </r>
  <r>
    <m/>
    <m/>
    <n v="200000"/>
    <x v="5"/>
    <n v="223263023"/>
    <s v="INFAQ WUSONO PRIHADI SANTO"/>
    <x v="2"/>
  </r>
  <r>
    <m/>
    <m/>
    <n v="10000"/>
    <x v="5"/>
    <n v="223273023"/>
    <s v="INFAQ QRIS"/>
    <x v="2"/>
  </r>
  <r>
    <m/>
    <m/>
    <n v="1000000"/>
    <x v="5"/>
    <n v="224273023"/>
    <s v="INFAQ RAMADHAN NIENDRAPUTRA"/>
    <x v="2"/>
  </r>
  <r>
    <m/>
    <m/>
    <n v="800000"/>
    <x v="5"/>
    <n v="225073023"/>
    <s v="INFAQ TPQ"/>
    <x v="2"/>
  </r>
  <r>
    <m/>
    <m/>
    <n v="4000000"/>
    <x v="5"/>
    <n v="229073023"/>
    <s v="QURBAN SAFONI MAWARDI"/>
    <x v="21"/>
  </r>
  <r>
    <m/>
    <m/>
    <n v="4000000"/>
    <x v="5"/>
    <n v="233073023"/>
    <s v="QURBAN YADI ABDULLAH"/>
    <x v="21"/>
  </r>
  <r>
    <m/>
    <m/>
    <n v="10000"/>
    <x v="5"/>
    <n v="233083023"/>
    <s v="INFAQ QRIS"/>
    <x v="2"/>
  </r>
  <r>
    <m/>
    <m/>
    <n v="50000"/>
    <x v="5"/>
    <n v="233133023"/>
    <s v="INFAQ QRIS"/>
    <x v="2"/>
  </r>
  <r>
    <m/>
    <m/>
    <n v="10000"/>
    <x v="5"/>
    <n v="233143023"/>
    <s v="INFAQ QRIS"/>
    <x v="2"/>
  </r>
  <r>
    <m/>
    <m/>
    <n v="10000000"/>
    <x v="5"/>
    <n v="243143023"/>
    <s v="QURBAN"/>
    <x v="22"/>
  </r>
  <r>
    <n v="750000"/>
    <m/>
    <m/>
    <x v="5"/>
    <n v="242393023"/>
    <s v="HONOR UST ABDUL HAMID"/>
    <x v="11"/>
  </r>
  <r>
    <n v="6500"/>
    <m/>
    <m/>
    <x v="5"/>
    <n v="242386523"/>
    <s v="ADM HONOR UST ABDUL HAMID"/>
    <x v="11"/>
  </r>
  <r>
    <m/>
    <m/>
    <n v="25000"/>
    <x v="5"/>
    <n v="242411523"/>
    <s v="INFAQ QRIS"/>
    <x v="2"/>
  </r>
  <r>
    <m/>
    <m/>
    <n v="10000"/>
    <x v="5"/>
    <n v="242421523"/>
    <s v="INFAQ QRIS"/>
    <x v="2"/>
  </r>
  <r>
    <m/>
    <m/>
    <n v="100000"/>
    <x v="5"/>
    <n v="242521523"/>
    <s v="INFAQ QRIS"/>
    <x v="2"/>
  </r>
  <r>
    <m/>
    <m/>
    <n v="10000"/>
    <x v="5"/>
    <n v="242531523"/>
    <s v="INFAQ QRIS"/>
    <x v="2"/>
  </r>
  <r>
    <m/>
    <m/>
    <n v="50000"/>
    <x v="5"/>
    <n v="242581523"/>
    <s v="INFAQ QRIS"/>
    <x v="2"/>
  </r>
  <r>
    <m/>
    <m/>
    <n v="40000"/>
    <x v="5"/>
    <n v="242621523"/>
    <s v="INFAQ QRIS"/>
    <x v="2"/>
  </r>
  <r>
    <m/>
    <m/>
    <n v="250000"/>
    <x v="5"/>
    <n v="242871523"/>
    <s v="INFAQ QRIS"/>
    <x v="2"/>
  </r>
  <r>
    <m/>
    <m/>
    <n v="5000000"/>
    <x v="5"/>
    <n v="247871523"/>
    <s v="QURBAN"/>
    <x v="22"/>
  </r>
  <r>
    <n v="1000000"/>
    <m/>
    <m/>
    <x v="5"/>
    <n v="246871523"/>
    <s v="APRESIASI USTADZ MAJ"/>
    <x v="11"/>
  </r>
  <r>
    <n v="6500"/>
    <m/>
    <m/>
    <x v="5"/>
    <n v="246865023"/>
    <s v="ADM APRESIASI USTADZ MAJ"/>
    <x v="11"/>
  </r>
  <r>
    <n v="1003000"/>
    <m/>
    <m/>
    <x v="5"/>
    <n v="245862023"/>
    <s v="APRESIASI USTADZ MAJ"/>
    <x v="11"/>
  </r>
  <r>
    <n v="6500"/>
    <m/>
    <m/>
    <x v="5"/>
    <n v="245855523"/>
    <s v="ADM APRESIASI USTADZ MAJ"/>
    <x v="11"/>
  </r>
  <r>
    <n v="750000"/>
    <m/>
    <m/>
    <x v="5"/>
    <n v="245105523"/>
    <s v="APRESIASI USTADZ MAJ"/>
    <x v="11"/>
  </r>
  <r>
    <n v="6500"/>
    <m/>
    <m/>
    <x v="5"/>
    <n v="245099023"/>
    <s v="ADM APRESIASI USTADZ MAJ"/>
    <x v="11"/>
  </r>
  <r>
    <n v="750000"/>
    <m/>
    <m/>
    <x v="5"/>
    <n v="244349023"/>
    <s v="APRESIASI USTADZ MAJ"/>
    <x v="11"/>
  </r>
  <r>
    <n v="6500"/>
    <m/>
    <m/>
    <x v="5"/>
    <n v="244342523"/>
    <s v="ADM APRESIASI USTADZ MAJ"/>
    <x v="11"/>
  </r>
  <r>
    <m/>
    <m/>
    <n v="5000000"/>
    <x v="5"/>
    <n v="249342523"/>
    <s v="QURBAN"/>
    <x v="22"/>
  </r>
  <r>
    <m/>
    <m/>
    <n v="5000000"/>
    <x v="5"/>
    <n v="254342523"/>
    <s v="QURBAN"/>
    <x v="22"/>
  </r>
  <r>
    <m/>
    <m/>
    <n v="5000000"/>
    <x v="5"/>
    <n v="259342523"/>
    <s v="QURBAN"/>
    <x v="22"/>
  </r>
  <r>
    <m/>
    <m/>
    <n v="5000000"/>
    <x v="5"/>
    <n v="264342523"/>
    <s v="QURBAN"/>
    <x v="22"/>
  </r>
  <r>
    <n v="750000"/>
    <m/>
    <m/>
    <x v="5"/>
    <n v="263592523"/>
    <s v="HONOR UST DARWIS"/>
    <x v="11"/>
  </r>
  <r>
    <m/>
    <m/>
    <n v="10000"/>
    <x v="5"/>
    <n v="263602523"/>
    <s v="INFAQ QRIS"/>
    <x v="2"/>
  </r>
  <r>
    <m/>
    <m/>
    <n v="10000"/>
    <x v="5"/>
    <n v="263612523"/>
    <s v="INFAQ QRIS"/>
    <x v="2"/>
  </r>
  <r>
    <m/>
    <m/>
    <n v="20000"/>
    <x v="5"/>
    <n v="263632523"/>
    <s v="INFAQ QRIS"/>
    <x v="2"/>
  </r>
  <r>
    <m/>
    <m/>
    <n v="4500000"/>
    <x v="5"/>
    <n v="268132523"/>
    <s v="QURBAN"/>
    <x v="22"/>
  </r>
  <r>
    <m/>
    <m/>
    <n v="20000000"/>
    <x v="5"/>
    <n v="288132523"/>
    <s v="QURBAN"/>
    <x v="22"/>
  </r>
  <r>
    <m/>
    <m/>
    <n v="8500000"/>
    <x v="5"/>
    <n v="296632523"/>
    <s v="QURBAN"/>
    <x v="22"/>
  </r>
  <r>
    <m/>
    <m/>
    <n v="5000000"/>
    <x v="5"/>
    <n v="301632523"/>
    <s v="QURBAN"/>
    <x v="22"/>
  </r>
  <r>
    <m/>
    <m/>
    <n v="5000000"/>
    <x v="5"/>
    <n v="306632523"/>
    <s v="QURBAN"/>
    <x v="22"/>
  </r>
  <r>
    <m/>
    <m/>
    <n v="25000"/>
    <x v="5"/>
    <n v="306657523"/>
    <s v="INFAQ QRIS"/>
    <x v="2"/>
  </r>
  <r>
    <m/>
    <m/>
    <n v="5000000"/>
    <x v="5"/>
    <n v="311657523"/>
    <s v="QURBAN"/>
    <x v="22"/>
  </r>
  <r>
    <m/>
    <m/>
    <n v="1750000"/>
    <x v="5"/>
    <n v="313407523"/>
    <s v="QURBAN"/>
    <x v="22"/>
  </r>
  <r>
    <m/>
    <m/>
    <n v="10500000"/>
    <x v="5"/>
    <n v="323907523"/>
    <s v="QURBAN"/>
    <x v="22"/>
  </r>
  <r>
    <m/>
    <m/>
    <n v="5000000"/>
    <x v="5"/>
    <n v="328907523"/>
    <s v="QURBAN"/>
    <x v="22"/>
  </r>
  <r>
    <m/>
    <m/>
    <n v="500000"/>
    <x v="5"/>
    <n v="329407523"/>
    <s v="INFAQ QRIS"/>
    <x v="2"/>
  </r>
  <r>
    <m/>
    <m/>
    <n v="3500000"/>
    <x v="5"/>
    <n v="332907523"/>
    <s v="QURBAN"/>
    <x v="22"/>
  </r>
  <r>
    <m/>
    <m/>
    <n v="5000000"/>
    <x v="5"/>
    <n v="337907523"/>
    <s v="QURBAN"/>
    <x v="22"/>
  </r>
  <r>
    <m/>
    <m/>
    <n v="4000000"/>
    <x v="5"/>
    <n v="341907523"/>
    <s v="QURBAN"/>
    <x v="22"/>
  </r>
  <r>
    <m/>
    <m/>
    <n v="4500000"/>
    <x v="5"/>
    <n v="346407523"/>
    <s v="QURBAN"/>
    <x v="22"/>
  </r>
  <r>
    <m/>
    <m/>
    <n v="350000"/>
    <x v="5"/>
    <n v="346757523"/>
    <s v="INFAQ QRIS"/>
    <x v="2"/>
  </r>
  <r>
    <m/>
    <m/>
    <n v="28000000"/>
    <x v="5"/>
    <n v="374757523"/>
    <s v="QURBAN"/>
    <x v="22"/>
  </r>
  <r>
    <m/>
    <m/>
    <n v="3162000"/>
    <x v="5"/>
    <n v="377919523"/>
    <m/>
    <x v="12"/>
  </r>
  <r>
    <m/>
    <m/>
    <n v="569000"/>
    <x v="5"/>
    <n v="378488523"/>
    <m/>
    <x v="2"/>
  </r>
  <r>
    <m/>
    <n v="3731000"/>
    <m/>
    <x v="1"/>
    <n v="378488523"/>
    <s v=" 001113827620 INFAQ  SETOR TUNAI "/>
    <x v="4"/>
  </r>
  <r>
    <m/>
    <m/>
    <n v="4500000"/>
    <x v="5"/>
    <n v="382988523"/>
    <s v="QURBAN"/>
    <x v="22"/>
  </r>
  <r>
    <m/>
    <m/>
    <n v="4000000"/>
    <x v="5"/>
    <n v="386988523"/>
    <s v="QURBAN"/>
    <x v="22"/>
  </r>
  <r>
    <m/>
    <m/>
    <n v="3500000"/>
    <x v="5"/>
    <n v="390488523"/>
    <s v="QURBAN"/>
    <x v="22"/>
  </r>
  <r>
    <m/>
    <m/>
    <n v="4000000"/>
    <x v="5"/>
    <n v="394488523"/>
    <s v="QURBAN"/>
    <x v="22"/>
  </r>
  <r>
    <m/>
    <m/>
    <n v="50000"/>
    <x v="5"/>
    <n v="394538523"/>
    <s v="INFAQ QRIS"/>
    <x v="2"/>
  </r>
  <r>
    <m/>
    <m/>
    <n v="10000"/>
    <x v="5"/>
    <n v="394548523"/>
    <s v="INFAQ QRIS"/>
    <x v="2"/>
  </r>
  <r>
    <m/>
    <m/>
    <n v="10000"/>
    <x v="5"/>
    <n v="394558523"/>
    <s v="INFAQ QRIS"/>
    <x v="2"/>
  </r>
  <r>
    <m/>
    <m/>
    <n v="4000000"/>
    <x v="5"/>
    <n v="398558523"/>
    <s v="QURBAN"/>
    <x v="22"/>
  </r>
  <r>
    <m/>
    <m/>
    <n v="8500000"/>
    <x v="5"/>
    <n v="407058523"/>
    <s v="QURBAN"/>
    <x v="22"/>
  </r>
  <r>
    <m/>
    <m/>
    <n v="10000"/>
    <x v="5"/>
    <n v="407068523"/>
    <s v="INFAQ QRIS"/>
    <x v="2"/>
  </r>
  <r>
    <m/>
    <m/>
    <n v="10000"/>
    <x v="5"/>
    <n v="407078523"/>
    <s v="INFAQ QRIS"/>
    <x v="2"/>
  </r>
  <r>
    <m/>
    <m/>
    <n v="35000"/>
    <x v="5"/>
    <n v="407113523"/>
    <s v="INFAQ QRIS"/>
    <x v="2"/>
  </r>
  <r>
    <n v="30000000"/>
    <m/>
    <m/>
    <x v="5"/>
    <n v="377113523"/>
    <s v="Persekot Biaya Qurban MAJ 1446 H"/>
    <x v="23"/>
  </r>
  <r>
    <n v="2900"/>
    <m/>
    <m/>
    <x v="5"/>
    <n v="377110623"/>
    <s v="Adm Persekot Biaya Qurban MAJ 1446 H"/>
    <x v="23"/>
  </r>
  <r>
    <n v="6000"/>
    <m/>
    <m/>
    <x v="5"/>
    <n v="377104623"/>
    <s v="BIAYA PAYROLL MUAMALAT"/>
    <x v="1"/>
  </r>
  <r>
    <m/>
    <m/>
    <n v="5000000"/>
    <x v="5"/>
    <n v="382104623"/>
    <s v="SETOR QURBAN"/>
    <x v="22"/>
  </r>
  <r>
    <n v="750000"/>
    <m/>
    <m/>
    <x v="5"/>
    <n v="381354623"/>
    <s v="HONOR UST. FAISAL"/>
    <x v="11"/>
  </r>
  <r>
    <m/>
    <m/>
    <n v="7500000"/>
    <x v="5"/>
    <n v="388854623"/>
    <s v="SETOR QURBAN"/>
    <x v="22"/>
  </r>
  <r>
    <m/>
    <m/>
    <n v="100000"/>
    <x v="5"/>
    <n v="388954623"/>
    <s v="INFAQ QRIS"/>
    <x v="2"/>
  </r>
  <r>
    <m/>
    <m/>
    <n v="25000"/>
    <x v="5"/>
    <n v="388979623"/>
    <s v="INFAQ QRIS"/>
    <x v="2"/>
  </r>
  <r>
    <m/>
    <m/>
    <n v="10000"/>
    <x v="5"/>
    <n v="388989623"/>
    <s v="INFAQ QRIS"/>
    <x v="2"/>
  </r>
  <r>
    <m/>
    <m/>
    <n v="5000"/>
    <x v="5"/>
    <n v="388994623"/>
    <s v="INFAQ QRIS"/>
    <x v="2"/>
  </r>
  <r>
    <m/>
    <m/>
    <n v="20000"/>
    <x v="5"/>
    <n v="389014623"/>
    <s v="INFAQ QRIS"/>
    <x v="2"/>
  </r>
  <r>
    <m/>
    <m/>
    <n v="2000"/>
    <x v="5"/>
    <n v="389016623"/>
    <s v="INFAQ QRIS"/>
    <x v="2"/>
  </r>
  <r>
    <m/>
    <m/>
    <n v="4000000"/>
    <x v="5"/>
    <n v="393016623"/>
    <s v="SETOR QURBAN"/>
    <x v="22"/>
  </r>
  <r>
    <m/>
    <m/>
    <n v="3500000"/>
    <x v="5"/>
    <n v="396516623"/>
    <s v="SETOR QURBAN"/>
    <x v="22"/>
  </r>
  <r>
    <n v="750000"/>
    <m/>
    <m/>
    <x v="5"/>
    <n v="395766623"/>
    <s v="HONOR UST. HASAN"/>
    <x v="11"/>
  </r>
  <r>
    <n v="6500"/>
    <m/>
    <m/>
    <x v="5"/>
    <n v="395760123"/>
    <s v="ADM HONOR UST. HASAN"/>
    <x v="11"/>
  </r>
  <r>
    <m/>
    <m/>
    <n v="10000"/>
    <x v="5"/>
    <n v="395770123"/>
    <s v="INFAQ QRIS"/>
    <x v="2"/>
  </r>
  <r>
    <m/>
    <m/>
    <n v="10000"/>
    <x v="5"/>
    <n v="395780123"/>
    <s v="INFAQ QRIS"/>
    <x v="2"/>
  </r>
  <r>
    <n v="5000000"/>
    <m/>
    <m/>
    <x v="5"/>
    <n v="390780123"/>
    <s v="PENGAJIAN IBU-IBU MAJ"/>
    <x v="11"/>
  </r>
  <r>
    <n v="6500"/>
    <m/>
    <m/>
    <x v="5"/>
    <n v="390773623"/>
    <s v="ADM PENGAJIAN IBU-IBU MAJ"/>
    <x v="11"/>
  </r>
  <r>
    <m/>
    <m/>
    <n v="3500000"/>
    <x v="5"/>
    <n v="394273623"/>
    <s v="SETOR QURBAN"/>
    <x v="22"/>
  </r>
  <r>
    <m/>
    <m/>
    <n v="7500000"/>
    <x v="5"/>
    <n v="401773623"/>
    <s v="SETOR QURBAN"/>
    <x v="22"/>
  </r>
  <r>
    <m/>
    <m/>
    <n v="4000000"/>
    <x v="5"/>
    <n v="405773623"/>
    <s v="SETOR QURBAN"/>
    <x v="22"/>
  </r>
  <r>
    <m/>
    <m/>
    <n v="7000000"/>
    <x v="5"/>
    <n v="412773623"/>
    <s v="SETOR QURBAN"/>
    <x v="22"/>
  </r>
  <r>
    <m/>
    <m/>
    <n v="3633000"/>
    <x v="5"/>
    <n v="416406623"/>
    <m/>
    <x v="12"/>
  </r>
  <r>
    <m/>
    <m/>
    <n v="3637000"/>
    <x v="5"/>
    <n v="420043623"/>
    <m/>
    <x v="2"/>
  </r>
  <r>
    <m/>
    <n v="7270000"/>
    <m/>
    <x v="1"/>
    <n v="420043623"/>
    <s v=" 001113894255 INFAQ  SETOR TUNAI "/>
    <x v="4"/>
  </r>
  <r>
    <m/>
    <m/>
    <n v="4000000"/>
    <x v="5"/>
    <n v="424043623"/>
    <s v="SETOR QURBAN"/>
    <x v="22"/>
  </r>
  <r>
    <m/>
    <m/>
    <n v="11000000"/>
    <x v="5"/>
    <n v="435043623"/>
    <s v="SETOR QURBAN"/>
    <x v="22"/>
  </r>
  <r>
    <m/>
    <m/>
    <n v="4000000"/>
    <x v="5"/>
    <n v="439043623"/>
    <s v="SETOR QURBAN"/>
    <x v="22"/>
  </r>
  <r>
    <m/>
    <m/>
    <n v="4000000"/>
    <x v="5"/>
    <n v="443043623"/>
    <s v="SETOR QURBAN"/>
    <x v="22"/>
  </r>
  <r>
    <m/>
    <m/>
    <n v="3500000"/>
    <x v="5"/>
    <n v="446543623"/>
    <s v="SETOR QURBAN"/>
    <x v="22"/>
  </r>
  <r>
    <m/>
    <m/>
    <n v="10000"/>
    <x v="5"/>
    <n v="446553623"/>
    <s v="INFAQ QRIS"/>
    <x v="2"/>
  </r>
  <r>
    <m/>
    <m/>
    <n v="3500000"/>
    <x v="5"/>
    <n v="450053623"/>
    <s v="SETOR QURBAN"/>
    <x v="22"/>
  </r>
  <r>
    <m/>
    <m/>
    <n v="5000000"/>
    <x v="5"/>
    <n v="455053623"/>
    <s v="SETOR QURBAN"/>
    <x v="22"/>
  </r>
  <r>
    <m/>
    <m/>
    <n v="10000"/>
    <x v="5"/>
    <n v="455063623"/>
    <s v="INFAQ QRIS"/>
    <x v="2"/>
  </r>
  <r>
    <m/>
    <m/>
    <n v="4500000"/>
    <x v="5"/>
    <n v="459563623"/>
    <s v="SETOR QURBAN"/>
    <x v="22"/>
  </r>
  <r>
    <m/>
    <m/>
    <n v="4500000"/>
    <x v="5"/>
    <n v="464063623"/>
    <s v="SETOR QURBAN"/>
    <x v="22"/>
  </r>
  <r>
    <m/>
    <m/>
    <n v="4500000"/>
    <x v="5"/>
    <n v="468563623"/>
    <s v="SETOR QURBAN"/>
    <x v="22"/>
  </r>
  <r>
    <m/>
    <m/>
    <n v="50000"/>
    <x v="5"/>
    <n v="468613623"/>
    <s v="INFAQ QRIS"/>
    <x v="2"/>
  </r>
  <r>
    <m/>
    <m/>
    <n v="100000"/>
    <x v="5"/>
    <n v="468713623"/>
    <s v="INFAQ QRIS"/>
    <x v="2"/>
  </r>
  <r>
    <m/>
    <m/>
    <n v="10000"/>
    <x v="5"/>
    <n v="468723623"/>
    <s v="INFAQ QRIS"/>
    <x v="2"/>
  </r>
  <r>
    <m/>
    <m/>
    <n v="3735000"/>
    <x v="5"/>
    <n v="472458623"/>
    <s v="SETOR QURBAN"/>
    <x v="22"/>
  </r>
  <r>
    <m/>
    <m/>
    <n v="11500000"/>
    <x v="5"/>
    <n v="483958623"/>
    <s v="SETOR QURBAN"/>
    <x v="22"/>
  </r>
  <r>
    <m/>
    <m/>
    <n v="8500000"/>
    <x v="5"/>
    <n v="492458623"/>
    <s v="SETOR QURBAN"/>
    <x v="22"/>
  </r>
  <r>
    <m/>
    <m/>
    <n v="50000"/>
    <x v="5"/>
    <n v="492508623"/>
    <s v="INFAQ QRIS"/>
    <x v="2"/>
  </r>
  <r>
    <m/>
    <m/>
    <n v="50000"/>
    <x v="5"/>
    <n v="492558623"/>
    <s v="INFAQ QRIS"/>
    <x v="2"/>
  </r>
  <r>
    <m/>
    <m/>
    <n v="100000"/>
    <x v="5"/>
    <n v="492658623"/>
    <s v="INFAQ QRIS"/>
    <x v="2"/>
  </r>
  <r>
    <m/>
    <m/>
    <n v="20000"/>
    <x v="5"/>
    <n v="492678623"/>
    <s v="INFAQ QRIS"/>
    <x v="2"/>
  </r>
  <r>
    <m/>
    <m/>
    <n v="100000"/>
    <x v="5"/>
    <n v="492778623"/>
    <s v="INFAQ QRIS"/>
    <x v="2"/>
  </r>
  <r>
    <m/>
    <m/>
    <n v="50000"/>
    <x v="5"/>
    <n v="492828623"/>
    <s v="INFAQ QRIS"/>
    <x v="2"/>
  </r>
  <r>
    <m/>
    <m/>
    <n v="100000"/>
    <x v="5"/>
    <n v="492928623"/>
    <s v="INFAQ QRIS"/>
    <x v="2"/>
  </r>
  <r>
    <m/>
    <m/>
    <n v="50000"/>
    <x v="5"/>
    <n v="492978623"/>
    <s v="INFAQ QRIS"/>
    <x v="2"/>
  </r>
  <r>
    <m/>
    <m/>
    <n v="20000"/>
    <x v="5"/>
    <n v="492998623"/>
    <s v="INFAQ QRIS"/>
    <x v="2"/>
  </r>
  <r>
    <m/>
    <m/>
    <n v="10000"/>
    <x v="5"/>
    <n v="493008623"/>
    <s v="INFAQ QRIS"/>
    <x v="2"/>
  </r>
  <r>
    <m/>
    <m/>
    <n v="4000000"/>
    <x v="5"/>
    <n v="497008623"/>
    <s v="SETOR QURBAN"/>
    <x v="22"/>
  </r>
  <r>
    <m/>
    <m/>
    <n v="50000"/>
    <x v="5"/>
    <n v="497058623"/>
    <s v="INFAQ QRIS"/>
    <x v="2"/>
  </r>
  <r>
    <m/>
    <m/>
    <n v="1000"/>
    <x v="5"/>
    <n v="497059623"/>
    <s v="INFAQ QRIS"/>
    <x v="2"/>
  </r>
  <r>
    <m/>
    <m/>
    <n v="2000000"/>
    <x v="5"/>
    <n v="499059623"/>
    <s v="INFAQ RAMADHAN NIENDRAPUTRA"/>
    <x v="2"/>
  </r>
  <r>
    <m/>
    <m/>
    <n v="4000000"/>
    <x v="5"/>
    <n v="503059623"/>
    <s v="SETOR QURBAN"/>
    <x v="22"/>
  </r>
  <r>
    <m/>
    <m/>
    <n v="100000"/>
    <x v="5"/>
    <n v="503159623"/>
    <s v="INFAQ QRIS"/>
    <x v="2"/>
  </r>
  <r>
    <m/>
    <m/>
    <n v="25000"/>
    <x v="5"/>
    <n v="503184623"/>
    <s v="INFAQ QRIS"/>
    <x v="2"/>
  </r>
  <r>
    <m/>
    <m/>
    <n v="50000"/>
    <x v="5"/>
    <n v="503234623"/>
    <s v="INFAQ QRIS"/>
    <x v="2"/>
  </r>
  <r>
    <m/>
    <m/>
    <n v="50000"/>
    <x v="5"/>
    <n v="503284623"/>
    <s v="INFAQ QRIS"/>
    <x v="2"/>
  </r>
  <r>
    <m/>
    <m/>
    <n v="10000"/>
    <x v="5"/>
    <n v="503294623"/>
    <s v="INFAQ QRIS"/>
    <x v="2"/>
  </r>
  <r>
    <m/>
    <m/>
    <n v="20000"/>
    <x v="5"/>
    <n v="503314623"/>
    <s v="INFAQ QRIS"/>
    <x v="2"/>
  </r>
  <r>
    <m/>
    <m/>
    <n v="50000"/>
    <x v="5"/>
    <n v="503364623"/>
    <s v="INFAQ QRIS"/>
    <x v="2"/>
  </r>
  <r>
    <m/>
    <m/>
    <n v="10000"/>
    <x v="5"/>
    <n v="503374623"/>
    <s v="INFAQ QRIS"/>
    <x v="2"/>
  </r>
  <r>
    <m/>
    <m/>
    <n v="1750000"/>
    <x v="5"/>
    <n v="505124623"/>
    <s v="SETOR QURBAN"/>
    <x v="22"/>
  </r>
  <r>
    <m/>
    <m/>
    <n v="7000000"/>
    <x v="5"/>
    <n v="512124623"/>
    <s v="SETOR QURBAN"/>
    <x v="22"/>
  </r>
  <r>
    <m/>
    <m/>
    <n v="3500000"/>
    <x v="5"/>
    <n v="515624623"/>
    <s v="SETOR QURBAN"/>
    <x v="22"/>
  </r>
  <r>
    <n v="750000"/>
    <m/>
    <m/>
    <x v="5"/>
    <n v="514874623"/>
    <s v="HONOR USTADZ"/>
    <x v="11"/>
  </r>
  <r>
    <n v="6500"/>
    <m/>
    <m/>
    <x v="5"/>
    <n v="514868123"/>
    <s v="ADM HONOR USTADZ"/>
    <x v="11"/>
  </r>
  <r>
    <m/>
    <m/>
    <n v="5000000"/>
    <x v="5"/>
    <n v="519868123"/>
    <s v="SETOR QURBAN"/>
    <x v="22"/>
  </r>
  <r>
    <m/>
    <m/>
    <n v="8000000"/>
    <x v="5"/>
    <n v="527868123"/>
    <s v="SETOR QURBAN"/>
    <x v="22"/>
  </r>
  <r>
    <m/>
    <m/>
    <n v="24500000"/>
    <x v="5"/>
    <n v="552368123"/>
    <s v="SETOR QURBAN"/>
    <x v="22"/>
  </r>
  <r>
    <m/>
    <m/>
    <n v="24500000"/>
    <x v="5"/>
    <n v="576868123"/>
    <s v="SETOR QURBAN"/>
    <x v="22"/>
  </r>
  <r>
    <m/>
    <m/>
    <n v="200000"/>
    <x v="5"/>
    <n v="577068123"/>
    <s v="INFAQ TPQ RIVENDRA"/>
    <x v="10"/>
  </r>
  <r>
    <m/>
    <m/>
    <n v="4000000"/>
    <x v="5"/>
    <n v="581068123"/>
    <s v="SETOR QURBAN"/>
    <x v="22"/>
  </r>
  <r>
    <m/>
    <m/>
    <n v="10000"/>
    <x v="5"/>
    <n v="581078123"/>
    <s v="INFAQ QRIS"/>
    <x v="2"/>
  </r>
  <r>
    <m/>
    <m/>
    <n v="20000"/>
    <x v="5"/>
    <n v="581098123"/>
    <s v="INFAQ QRIS"/>
    <x v="2"/>
  </r>
  <r>
    <m/>
    <m/>
    <n v="3709000"/>
    <x v="5"/>
    <n v="584807123"/>
    <m/>
    <x v="12"/>
  </r>
  <r>
    <m/>
    <m/>
    <n v="2039000"/>
    <x v="5"/>
    <n v="586846123"/>
    <m/>
    <x v="2"/>
  </r>
  <r>
    <m/>
    <n v="5748000"/>
    <m/>
    <x v="1"/>
    <n v="586846123"/>
    <s v="SETOR IMRON"/>
    <x v="4"/>
  </r>
  <r>
    <m/>
    <m/>
    <n v="4000000"/>
    <x v="5"/>
    <n v="590846123"/>
    <s v="SETOR QURBAN"/>
    <x v="22"/>
  </r>
  <r>
    <n v="2000000"/>
    <m/>
    <m/>
    <x v="5"/>
    <n v="588846123"/>
    <s v="PULSA LISTRIK MAJ"/>
    <x v="7"/>
  </r>
  <r>
    <n v="6500"/>
    <m/>
    <m/>
    <x v="5"/>
    <n v="588839623"/>
    <s v="ADM PULSA LISTRIK MAJ"/>
    <x v="7"/>
  </r>
  <r>
    <m/>
    <m/>
    <n v="50000"/>
    <x v="5"/>
    <n v="588889623"/>
    <s v="INFAQ QRIS"/>
    <x v="2"/>
  </r>
  <r>
    <m/>
    <m/>
    <n v="10000"/>
    <x v="5"/>
    <n v="588899623"/>
    <s v="INFAQ QRIS"/>
    <x v="2"/>
  </r>
  <r>
    <m/>
    <m/>
    <n v="50000"/>
    <x v="5"/>
    <n v="588949623"/>
    <s v="INFAQ QRIS"/>
    <x v="2"/>
  </r>
  <r>
    <n v="2500000"/>
    <m/>
    <m/>
    <x v="5"/>
    <n v="586449623"/>
    <s v="HONOR MARBOT"/>
    <x v="13"/>
  </r>
  <r>
    <n v="6500"/>
    <m/>
    <m/>
    <x v="5"/>
    <n v="586443123"/>
    <s v="HONOR MARBOT"/>
    <x v="13"/>
  </r>
  <r>
    <n v="1000000"/>
    <m/>
    <m/>
    <x v="5"/>
    <n v="585443123"/>
    <s v="HONOR MARBOT"/>
    <x v="13"/>
  </r>
  <r>
    <n v="6500"/>
    <m/>
    <m/>
    <x v="5"/>
    <n v="585436623"/>
    <s v="HONOR MARBOT"/>
    <x v="13"/>
  </r>
  <r>
    <n v="2700000"/>
    <m/>
    <m/>
    <x v="5"/>
    <n v="582736623"/>
    <s v="HONOR MUSHRIF"/>
    <x v="14"/>
  </r>
  <r>
    <n v="6500"/>
    <m/>
    <m/>
    <x v="5"/>
    <n v="582730123"/>
    <s v="ADM HONOR MUSHRIF"/>
    <x v="14"/>
  </r>
  <r>
    <n v="550000"/>
    <m/>
    <m/>
    <x v="5"/>
    <n v="582180123"/>
    <s v="HONOR MARBOT"/>
    <x v="13"/>
  </r>
  <r>
    <n v="6500"/>
    <m/>
    <m/>
    <x v="5"/>
    <n v="582173623"/>
    <s v="HONOR MARBOT"/>
    <x v="13"/>
  </r>
  <r>
    <n v="3500000"/>
    <m/>
    <m/>
    <x v="5"/>
    <n v="578673623"/>
    <s v="HONOR MARBOT"/>
    <x v="13"/>
  </r>
  <r>
    <n v="6500"/>
    <m/>
    <m/>
    <x v="5"/>
    <n v="578667123"/>
    <s v="HONOR MARBOT"/>
    <x v="13"/>
  </r>
  <r>
    <n v="4000000"/>
    <m/>
    <m/>
    <x v="5"/>
    <n v="574667123"/>
    <s v="PERAWATAN SANTRI"/>
    <x v="14"/>
  </r>
  <r>
    <n v="6500"/>
    <m/>
    <m/>
    <x v="5"/>
    <n v="574660623"/>
    <s v="ADM PERAWATAN SANTRI"/>
    <x v="14"/>
  </r>
  <r>
    <n v="2250000"/>
    <m/>
    <m/>
    <x v="5"/>
    <n v="572410623"/>
    <s v="HONOR MARBOT"/>
    <x v="13"/>
  </r>
  <r>
    <n v="6500"/>
    <m/>
    <m/>
    <x v="5"/>
    <n v="572404123"/>
    <s v="HONOR MARBOT"/>
    <x v="13"/>
  </r>
  <r>
    <n v="2750000"/>
    <m/>
    <m/>
    <x v="5"/>
    <n v="569654123"/>
    <s v="HONOR MARBOT"/>
    <x v="13"/>
  </r>
  <r>
    <m/>
    <m/>
    <n v="3500000"/>
    <x v="5"/>
    <n v="573154123"/>
    <s v="SETOR QURBAN"/>
    <x v="22"/>
  </r>
  <r>
    <m/>
    <m/>
    <n v="1750000"/>
    <x v="5"/>
    <n v="574904123"/>
    <s v="SETOR QURBAN"/>
    <x v="22"/>
  </r>
  <r>
    <m/>
    <m/>
    <n v="4000000"/>
    <x v="5"/>
    <n v="578904123"/>
    <s v="SETOR QURBAN"/>
    <x v="22"/>
  </r>
  <r>
    <m/>
    <m/>
    <n v="31500000"/>
    <x v="5"/>
    <n v="610404123"/>
    <s v="SETOR QURBAN"/>
    <x v="22"/>
  </r>
  <r>
    <m/>
    <m/>
    <n v="10000"/>
    <x v="5"/>
    <n v="610414123"/>
    <s v="INFAQ QRIS"/>
    <x v="2"/>
  </r>
  <r>
    <m/>
    <m/>
    <n v="4000000"/>
    <x v="5"/>
    <n v="614414123"/>
    <s v="SETOR QURBAN"/>
    <x v="22"/>
  </r>
  <r>
    <m/>
    <m/>
    <n v="3500000"/>
    <x v="5"/>
    <n v="617914123"/>
    <s v="SETOR QURBAN"/>
    <x v="22"/>
  </r>
  <r>
    <n v="30000000"/>
    <m/>
    <m/>
    <x v="5"/>
    <n v="587914123"/>
    <s v="BAYAR QURBAN"/>
    <x v="23"/>
  </r>
  <r>
    <n v="6500"/>
    <m/>
    <m/>
    <x v="5"/>
    <n v="587907623"/>
    <s v="ADM BAYAR QURBAN"/>
    <x v="23"/>
  </r>
  <r>
    <n v="20000000"/>
    <m/>
    <m/>
    <x v="5"/>
    <n v="567907623"/>
    <s v="BAYAR QURBAN"/>
    <x v="23"/>
  </r>
  <r>
    <n v="45000000"/>
    <m/>
    <m/>
    <x v="5"/>
    <n v="522907623"/>
    <s v="BAYAR QURBAN"/>
    <x v="23"/>
  </r>
  <r>
    <m/>
    <m/>
    <n v="7500000"/>
    <x v="5"/>
    <n v="530407623"/>
    <s v="SETOR QURBAN"/>
    <x v="22"/>
  </r>
  <r>
    <m/>
    <m/>
    <n v="3500000"/>
    <x v="5"/>
    <n v="533907623"/>
    <s v="SETOR QURBAN"/>
    <x v="22"/>
  </r>
  <r>
    <m/>
    <m/>
    <n v="250000"/>
    <x v="5"/>
    <n v="534157623"/>
    <s v="SETOR QURBAN"/>
    <x v="22"/>
  </r>
  <r>
    <m/>
    <m/>
    <n v="4000000"/>
    <x v="5"/>
    <n v="538157623"/>
    <s v="SETOR QURBAN"/>
    <x v="22"/>
  </r>
  <r>
    <m/>
    <m/>
    <n v="300000"/>
    <x v="5"/>
    <n v="538457623"/>
    <s v="INFAQ FADJAR SATYANI"/>
    <x v="2"/>
  </r>
  <r>
    <n v="500000"/>
    <m/>
    <m/>
    <x v="5"/>
    <n v="537957623"/>
    <s v="PENGEMBALIAN SETOR QURBAN"/>
    <x v="23"/>
  </r>
  <r>
    <n v="6500"/>
    <m/>
    <m/>
    <x v="5"/>
    <n v="537951123"/>
    <s v="ADM PENGEMBALIAN SETOR QURBAN"/>
    <x v="23"/>
  </r>
  <r>
    <m/>
    <m/>
    <n v="5000000"/>
    <x v="5"/>
    <n v="542951123"/>
    <s v="SETOR QURBAN"/>
    <x v="22"/>
  </r>
  <r>
    <n v="15000000"/>
    <m/>
    <m/>
    <x v="5"/>
    <n v="527951123"/>
    <s v="BAYAR QURBAN"/>
    <x v="23"/>
  </r>
  <r>
    <n v="6500"/>
    <m/>
    <m/>
    <x v="5"/>
    <n v="527944623"/>
    <s v="ADM BAYAR QURBAN"/>
    <x v="23"/>
  </r>
  <r>
    <m/>
    <m/>
    <n v="10000"/>
    <x v="5"/>
    <n v="527954623"/>
    <s v="INFAQ QRIS"/>
    <x v="2"/>
  </r>
  <r>
    <m/>
    <m/>
    <n v="3500000"/>
    <x v="5"/>
    <n v="531454623"/>
    <s v="SETOR QURBAN"/>
    <x v="22"/>
  </r>
  <r>
    <m/>
    <m/>
    <n v="3500000"/>
    <x v="5"/>
    <n v="534954623"/>
    <s v="SETOR QURBAN"/>
    <x v="22"/>
  </r>
  <r>
    <m/>
    <m/>
    <n v="4000000"/>
    <x v="5"/>
    <n v="538954623"/>
    <s v="SETOR QURBAN"/>
    <x v="22"/>
  </r>
  <r>
    <m/>
    <m/>
    <n v="100000"/>
    <x v="5"/>
    <n v="539054623"/>
    <s v="INFAQ SURJATI SUTARJA"/>
    <x v="2"/>
  </r>
  <r>
    <m/>
    <m/>
    <n v="5000000"/>
    <x v="5"/>
    <n v="544054623"/>
    <s v="SETOR QURBAN"/>
    <x v="22"/>
  </r>
  <r>
    <n v="15000000"/>
    <m/>
    <m/>
    <x v="5"/>
    <n v="529054623"/>
    <s v="ASROFI DP-Sapi Amran Anwar"/>
    <x v="23"/>
  </r>
  <r>
    <n v="6500"/>
    <m/>
    <m/>
    <x v="5"/>
    <n v="529048123"/>
    <s v="Adm ASROFI-DP Sapi Amran Anwar"/>
    <x v="23"/>
  </r>
  <r>
    <m/>
    <m/>
    <n v="10000"/>
    <x v="5"/>
    <n v="529058123"/>
    <s v="INFAQ QRIS"/>
    <x v="2"/>
  </r>
  <r>
    <m/>
    <m/>
    <n v="3500000"/>
    <x v="5"/>
    <n v="532558123"/>
    <s v="SETOR QURBAN"/>
    <x v="22"/>
  </r>
  <r>
    <m/>
    <m/>
    <n v="3500000"/>
    <x v="5"/>
    <n v="536058123"/>
    <s v="SETOR QURBAN"/>
    <x v="22"/>
  </r>
  <r>
    <m/>
    <m/>
    <n v="11500000"/>
    <x v="5"/>
    <n v="547558123"/>
    <s v="SETOR QURBAN"/>
    <x v="22"/>
  </r>
  <r>
    <m/>
    <m/>
    <n v="3500000"/>
    <x v="5"/>
    <n v="551058123"/>
    <s v="SETOR QURBAN"/>
    <x v="22"/>
  </r>
  <r>
    <m/>
    <m/>
    <n v="24500000"/>
    <x v="5"/>
    <n v="575558123"/>
    <s v="SETOR QURBAN"/>
    <x v="22"/>
  </r>
  <r>
    <m/>
    <m/>
    <n v="7000000"/>
    <x v="5"/>
    <n v="582558123"/>
    <s v="SETOR QURBAN"/>
    <x v="22"/>
  </r>
  <r>
    <m/>
    <m/>
    <n v="50000"/>
    <x v="5"/>
    <n v="582608123"/>
    <s v="INFAQ QRIS"/>
    <x v="2"/>
  </r>
  <r>
    <m/>
    <m/>
    <n v="100000"/>
    <x v="5"/>
    <n v="582708123"/>
    <s v="INFAQ QRIS"/>
    <x v="2"/>
  </r>
  <r>
    <m/>
    <m/>
    <n v="50000"/>
    <x v="5"/>
    <n v="582758123"/>
    <s v="INFAQ QRIS"/>
    <x v="2"/>
  </r>
  <r>
    <m/>
    <m/>
    <n v="50000"/>
    <x v="5"/>
    <n v="582808123"/>
    <s v="INFAQ QRIS"/>
    <x v="2"/>
  </r>
  <r>
    <m/>
    <m/>
    <n v="50000"/>
    <x v="5"/>
    <n v="582858123"/>
    <s v="INFAQ QRIS"/>
    <x v="2"/>
  </r>
  <r>
    <m/>
    <m/>
    <n v="20000"/>
    <x v="5"/>
    <n v="582878123"/>
    <s v="INFAQ QRIS"/>
    <x v="2"/>
  </r>
  <r>
    <m/>
    <m/>
    <n v="50000"/>
    <x v="5"/>
    <n v="582928123"/>
    <s v="INFAQ QRIS"/>
    <x v="2"/>
  </r>
  <r>
    <m/>
    <m/>
    <n v="10000"/>
    <x v="5"/>
    <n v="582938123"/>
    <s v="INFAQ QRIS"/>
    <x v="2"/>
  </r>
  <r>
    <m/>
    <m/>
    <n v="50000"/>
    <x v="5"/>
    <n v="582988123"/>
    <s v="INFAQ QRIS"/>
    <x v="2"/>
  </r>
  <r>
    <m/>
    <m/>
    <n v="43000"/>
    <x v="5"/>
    <n v="583031123"/>
    <s v="INFAQ QRIS"/>
    <x v="2"/>
  </r>
  <r>
    <m/>
    <m/>
    <n v="50000"/>
    <x v="5"/>
    <n v="583081123"/>
    <s v="INFAQ QRIS"/>
    <x v="2"/>
  </r>
  <r>
    <m/>
    <m/>
    <n v="50000"/>
    <x v="5"/>
    <n v="583131123"/>
    <s v="INFAQ QRIS"/>
    <x v="2"/>
  </r>
  <r>
    <m/>
    <m/>
    <n v="5011"/>
    <x v="5"/>
    <n v="583136134"/>
    <s v="INFAQ QRIS"/>
    <x v="2"/>
  </r>
  <r>
    <m/>
    <m/>
    <n v="10000"/>
    <x v="5"/>
    <n v="583146134"/>
    <s v="INFAQ QRIS"/>
    <x v="2"/>
  </r>
  <r>
    <m/>
    <m/>
    <n v="5000"/>
    <x v="5"/>
    <n v="583151134"/>
    <s v="INFAQ QRIS"/>
    <x v="2"/>
  </r>
  <r>
    <m/>
    <m/>
    <n v="100000"/>
    <x v="5"/>
    <n v="583251134"/>
    <s v="INFAQ QRIS"/>
    <x v="2"/>
  </r>
  <r>
    <n v="730000"/>
    <m/>
    <m/>
    <x v="5"/>
    <n v="582521134"/>
    <s v="IBU MARWAH  ZULKIFLI PO Konsumsi Panitia Qurban MAJ 310525"/>
    <x v="23"/>
  </r>
  <r>
    <n v="6500"/>
    <m/>
    <m/>
    <x v="5"/>
    <n v="582514634"/>
    <s v="IBU MARWAH  ZULKIFLI PO Konsumsi Panitia Qurban MAJ 310525"/>
    <x v="23"/>
  </r>
  <r>
    <n v="750000"/>
    <m/>
    <m/>
    <x v="5"/>
    <n v="581764634"/>
    <s v="Honor-MOH SUKRON Hadiah Kajian MAJ 310525"/>
    <x v="11"/>
  </r>
  <r>
    <n v="6500"/>
    <m/>
    <m/>
    <x v="5"/>
    <n v="581758134"/>
    <s v="Honor-MOH SUKRON Hadiah Kajian MAJ 310525"/>
    <x v="11"/>
  </r>
  <r>
    <m/>
    <m/>
    <n v="1750000"/>
    <x v="5"/>
    <n v="583508134"/>
    <s v="SETOR QURBAN"/>
    <x v="22"/>
  </r>
  <r>
    <m/>
    <m/>
    <n v="3500000"/>
    <x v="5"/>
    <n v="587008134"/>
    <s v="SETOR QURBAN"/>
    <x v="22"/>
  </r>
  <r>
    <n v="500000"/>
    <m/>
    <m/>
    <x v="5"/>
    <n v="586508134"/>
    <s v="DWIYANTO RACHMAD Pengembalian Dana Qurban"/>
    <x v="23"/>
  </r>
  <r>
    <n v="6500"/>
    <m/>
    <m/>
    <x v="5"/>
    <n v="586501634"/>
    <s v="Adm DWIYANTO RACHMAD Pengembalian Dana Qurban"/>
    <x v="23"/>
  </r>
  <r>
    <m/>
    <m/>
    <n v="3500000"/>
    <x v="5"/>
    <n v="590001634"/>
    <s v="SETOR QURBAN"/>
    <x v="22"/>
  </r>
  <r>
    <m/>
    <m/>
    <n v="3500000"/>
    <x v="6"/>
    <n v="593501634"/>
    <s v="SETOR QURBAN"/>
    <x v="22"/>
  </r>
  <r>
    <n v="750000"/>
    <m/>
    <m/>
    <x v="6"/>
    <n v="592751634"/>
    <s v="HONOR USTADZ UMAR"/>
    <x v="11"/>
  </r>
  <r>
    <n v="6500"/>
    <m/>
    <m/>
    <x v="6"/>
    <n v="592745134"/>
    <s v="ADM HONOR USTADZ UMAR"/>
    <x v="11"/>
  </r>
  <r>
    <m/>
    <m/>
    <n v="3500000"/>
    <x v="6"/>
    <n v="596245134"/>
    <s v="SETOR QURBAN"/>
    <x v="22"/>
  </r>
  <r>
    <m/>
    <m/>
    <n v="50000"/>
    <x v="6"/>
    <n v="596295134"/>
    <s v="INFAQ QRIS"/>
    <x v="2"/>
  </r>
  <r>
    <m/>
    <m/>
    <n v="10000"/>
    <x v="6"/>
    <n v="596305134"/>
    <s v="INFAQ QRIS"/>
    <x v="2"/>
  </r>
  <r>
    <n v="30000000"/>
    <m/>
    <m/>
    <x v="6"/>
    <n v="566305134"/>
    <s v="BAYAR QURBAN"/>
    <x v="23"/>
  </r>
  <r>
    <n v="6500"/>
    <m/>
    <m/>
    <x v="6"/>
    <n v="566298634"/>
    <s v="ADM BAYAR QURBAN"/>
    <x v="23"/>
  </r>
  <r>
    <m/>
    <m/>
    <n v="200000"/>
    <x v="6"/>
    <n v="566498634"/>
    <s v="INFAQ UMI HAMIDAH DRA"/>
    <x v="2"/>
  </r>
  <r>
    <m/>
    <m/>
    <n v="4000000"/>
    <x v="6"/>
    <n v="570498634"/>
    <s v="SETOR QURBAN"/>
    <x v="22"/>
  </r>
  <r>
    <m/>
    <m/>
    <n v="3500000"/>
    <x v="6"/>
    <n v="573998634"/>
    <s v="SETOR QURBAN"/>
    <x v="22"/>
  </r>
  <r>
    <m/>
    <m/>
    <n v="4000000"/>
    <x v="6"/>
    <n v="577998634"/>
    <s v="SETOR QURBAN"/>
    <x v="22"/>
  </r>
  <r>
    <m/>
    <m/>
    <n v="3500000"/>
    <x v="6"/>
    <n v="581498634"/>
    <s v="SETOR QURBAN"/>
    <x v="22"/>
  </r>
  <r>
    <m/>
    <m/>
    <n v="500000"/>
    <x v="6"/>
    <n v="581998634"/>
    <s v="INFAQ INDRAEDISANTOSO"/>
    <x v="2"/>
  </r>
  <r>
    <m/>
    <m/>
    <n v="10000"/>
    <x v="6"/>
    <n v="582008634"/>
    <s v="INFAQ RIS"/>
    <x v="2"/>
  </r>
  <r>
    <m/>
    <m/>
    <n v="5000"/>
    <x v="6"/>
    <n v="582013634"/>
    <s v="INFAQ RIS"/>
    <x v="2"/>
  </r>
  <r>
    <m/>
    <m/>
    <n v="5000"/>
    <x v="6"/>
    <n v="582018634"/>
    <s v="INFAQ RIS"/>
    <x v="2"/>
  </r>
  <r>
    <n v="75000000"/>
    <m/>
    <m/>
    <x v="6"/>
    <n v="507018634"/>
    <s v="BAYAR QURBAN"/>
    <x v="23"/>
  </r>
  <r>
    <n v="2900"/>
    <m/>
    <m/>
    <x v="6"/>
    <n v="507015734"/>
    <s v="ADM BAYAR QURBAN"/>
    <x v="23"/>
  </r>
  <r>
    <m/>
    <m/>
    <n v="7000000"/>
    <x v="6"/>
    <n v="514015734"/>
    <s v="SETOR QURBAN"/>
    <x v="22"/>
  </r>
  <r>
    <m/>
    <m/>
    <n v="500000"/>
    <x v="6"/>
    <n v="514515734"/>
    <s v="INFAQ DRS SARWONO"/>
    <x v="2"/>
  </r>
  <r>
    <m/>
    <m/>
    <n v="250000"/>
    <x v="6"/>
    <n v="514765734"/>
    <s v="SETOR QURBAN HAMELDA"/>
    <x v="22"/>
  </r>
  <r>
    <m/>
    <m/>
    <n v="35000000"/>
    <x v="6"/>
    <n v="549765734"/>
    <s v="SETOR QURBAN"/>
    <x v="22"/>
  </r>
  <r>
    <m/>
    <m/>
    <n v="200000"/>
    <x v="6"/>
    <n v="549965734"/>
    <s v="INFAQ DEDEN TP PERDIANSYAH"/>
    <x v="2"/>
  </r>
  <r>
    <n v="45000000"/>
    <m/>
    <m/>
    <x v="6"/>
    <n v="504965734"/>
    <s v="BAYAR QURBAN"/>
    <x v="23"/>
  </r>
  <r>
    <n v="6500"/>
    <m/>
    <m/>
    <x v="6"/>
    <n v="504959234"/>
    <s v="ADM BAYAR QURBAN"/>
    <x v="23"/>
  </r>
  <r>
    <m/>
    <m/>
    <n v="250000"/>
    <x v="6"/>
    <n v="505209234"/>
    <s v="SETOR QURBAN NAZILA ANJANI"/>
    <x v="22"/>
  </r>
  <r>
    <m/>
    <m/>
    <n v="10000"/>
    <x v="6"/>
    <n v="505219234"/>
    <s v="INFAQ QRIS"/>
    <x v="2"/>
  </r>
  <r>
    <m/>
    <m/>
    <n v="25000"/>
    <x v="6"/>
    <n v="505244234"/>
    <s v="INFAQ QRIS"/>
    <x v="2"/>
  </r>
  <r>
    <n v="24000000"/>
    <m/>
    <m/>
    <x v="6"/>
    <n v="481244234"/>
    <s v="Biaya Operasional Qurban MAJ 1446H"/>
    <x v="23"/>
  </r>
  <r>
    <n v="2900"/>
    <m/>
    <m/>
    <x v="6"/>
    <n v="481241334"/>
    <s v="Adm Biaya Operasional Qurban MAJ 1446H"/>
    <x v="23"/>
  </r>
  <r>
    <m/>
    <m/>
    <n v="3695000"/>
    <x v="6"/>
    <n v="484936334"/>
    <m/>
    <x v="12"/>
  </r>
  <r>
    <m/>
    <m/>
    <n v="1962000"/>
    <x v="6"/>
    <n v="486898334"/>
    <m/>
    <x v="2"/>
  </r>
  <r>
    <m/>
    <m/>
    <n v="1080000"/>
    <x v="6"/>
    <n v="487978334"/>
    <s v="Kotak Amal Buka Puasa dan Beras"/>
    <x v="2"/>
  </r>
  <r>
    <m/>
    <n v="6737000"/>
    <m/>
    <x v="1"/>
    <n v="487978334"/>
    <s v="SETOR IMRON"/>
    <x v="4"/>
  </r>
  <r>
    <m/>
    <m/>
    <n v="1750000"/>
    <x v="6"/>
    <n v="489728334"/>
    <s v="SETOR QURBAN"/>
    <x v="22"/>
  </r>
  <r>
    <m/>
    <m/>
    <n v="500000"/>
    <x v="6"/>
    <n v="490228334"/>
    <s v="SETOR QURBAN"/>
    <x v="22"/>
  </r>
  <r>
    <m/>
    <m/>
    <n v="500000"/>
    <x v="6"/>
    <n v="490728334"/>
    <s v="INFAQ FIERMANSYAH CHANIAGO"/>
    <x v="2"/>
  </r>
  <r>
    <m/>
    <m/>
    <n v="400000"/>
    <x v="6"/>
    <n v="491128334"/>
    <s v="INFAQ PUTIE AMBUN SURI/RIVENDRA"/>
    <x v="2"/>
  </r>
  <r>
    <m/>
    <m/>
    <n v="5000"/>
    <x v="6"/>
    <n v="491133334"/>
    <s v="INFAQ QRIS"/>
    <x v="2"/>
  </r>
  <r>
    <n v="13000000"/>
    <m/>
    <m/>
    <x v="6"/>
    <n v="478133334"/>
    <s v="BAYAR QURBAN"/>
    <x v="23"/>
  </r>
  <r>
    <n v="2900"/>
    <m/>
    <m/>
    <x v="6"/>
    <n v="478130434"/>
    <s v="ADM BAYAR QURBAN"/>
    <x v="23"/>
  </r>
  <r>
    <n v="30000000"/>
    <m/>
    <m/>
    <x v="6"/>
    <n v="448130434"/>
    <s v="BAYAR QURBAN"/>
    <x v="23"/>
  </r>
  <r>
    <n v="2900"/>
    <m/>
    <m/>
    <x v="6"/>
    <n v="448127534"/>
    <s v="ADM BAYAR QURBAN"/>
    <x v="23"/>
  </r>
  <r>
    <n v="7196500"/>
    <m/>
    <m/>
    <x v="6"/>
    <n v="440931034"/>
    <s v="Tenda Qurban MAJ via Imron"/>
    <x v="23"/>
  </r>
  <r>
    <n v="2900"/>
    <m/>
    <m/>
    <x v="6"/>
    <n v="440928134"/>
    <s v="Adm Tenda Qurban MAJ via Imron"/>
    <x v="23"/>
  </r>
  <r>
    <m/>
    <m/>
    <n v="4000000"/>
    <x v="6"/>
    <n v="444928134"/>
    <s v="SETOR QURBAN WAWAN SETIAWAN"/>
    <x v="22"/>
  </r>
  <r>
    <m/>
    <m/>
    <n v="250000"/>
    <x v="6"/>
    <n v="445178134"/>
    <s v="INFAQ WAWAN SETIAWAN"/>
    <x v="2"/>
  </r>
  <r>
    <n v="2000000"/>
    <m/>
    <m/>
    <x v="6"/>
    <n v="443178134"/>
    <s v="BIAYA PENGAJIAN IBU-IBU"/>
    <x v="11"/>
  </r>
  <r>
    <n v="6500"/>
    <m/>
    <m/>
    <x v="6"/>
    <n v="443171634"/>
    <s v="ADM BIAYA PENGAJIAN IBU-IBU"/>
    <x v="11"/>
  </r>
  <r>
    <m/>
    <m/>
    <n v="3500000"/>
    <x v="6"/>
    <n v="446671634"/>
    <s v="SETOR QURBAN"/>
    <x v="22"/>
  </r>
  <r>
    <n v="1500000"/>
    <m/>
    <m/>
    <x v="6"/>
    <n v="445171634"/>
    <s v="Operasional Qurban"/>
    <x v="23"/>
  </r>
  <r>
    <n v="6500"/>
    <m/>
    <m/>
    <x v="6"/>
    <n v="445165134"/>
    <s v="Adm Operasional Qurban"/>
    <x v="23"/>
  </r>
  <r>
    <n v="3750000"/>
    <m/>
    <m/>
    <x v="6"/>
    <n v="441415134"/>
    <s v="BAYAR QURBAN"/>
    <x v="23"/>
  </r>
  <r>
    <n v="6500"/>
    <m/>
    <m/>
    <x v="6"/>
    <n v="441408634"/>
    <s v="Adm BAYAR QURBAN"/>
    <x v="23"/>
  </r>
  <r>
    <m/>
    <m/>
    <n v="10000"/>
    <x v="6"/>
    <n v="441418634"/>
    <s v="INFAQ QRIS"/>
    <x v="2"/>
  </r>
  <r>
    <m/>
    <m/>
    <n v="10000"/>
    <x v="6"/>
    <n v="441428634"/>
    <s v="INFAQ QRIS"/>
    <x v="2"/>
  </r>
  <r>
    <m/>
    <m/>
    <n v="1750000"/>
    <x v="6"/>
    <n v="443178634"/>
    <s v="SETOR QURBAN"/>
    <x v="22"/>
  </r>
  <r>
    <n v="61250000"/>
    <m/>
    <m/>
    <x v="6"/>
    <n v="381928634"/>
    <s v="BAYAR QURBAN"/>
    <x v="23"/>
  </r>
  <r>
    <n v="2900"/>
    <m/>
    <m/>
    <x v="6"/>
    <n v="381925734"/>
    <s v="ADM BAYAR QURBAN"/>
    <x v="23"/>
  </r>
  <r>
    <n v="104750000"/>
    <m/>
    <m/>
    <x v="6"/>
    <n v="277175734"/>
    <s v="BAYAR QURBAN"/>
    <x v="23"/>
  </r>
  <r>
    <n v="2900"/>
    <m/>
    <m/>
    <x v="6"/>
    <n v="277172834"/>
    <s v="ADM BAYAR QURBAN"/>
    <x v="23"/>
  </r>
  <r>
    <m/>
    <m/>
    <n v="250000"/>
    <x v="6"/>
    <n v="277422834"/>
    <s v="SETOR QURBAN BENNY EKABANA"/>
    <x v="22"/>
  </r>
  <r>
    <m/>
    <m/>
    <n v="500000"/>
    <x v="6"/>
    <n v="277922834"/>
    <s v="SETOR QURBAN Bella Sabina"/>
    <x v="22"/>
  </r>
  <r>
    <n v="75000000"/>
    <m/>
    <m/>
    <x v="6"/>
    <n v="202922834"/>
    <s v="AHMAD RENANDA RIZKA PUTRA PO 3 Sapi 10 Kambing Qurban"/>
    <x v="23"/>
  </r>
  <r>
    <m/>
    <m/>
    <n v="100000"/>
    <x v="6"/>
    <n v="203022834"/>
    <s v="INFAQ QRIS"/>
    <x v="2"/>
  </r>
  <r>
    <m/>
    <m/>
    <n v="10000"/>
    <x v="6"/>
    <n v="203032834"/>
    <s v="INFAQ QRIS"/>
    <x v="2"/>
  </r>
  <r>
    <m/>
    <m/>
    <n v="10000"/>
    <x v="6"/>
    <n v="203042834"/>
    <s v="INFAQ QRIS"/>
    <x v="2"/>
  </r>
  <r>
    <m/>
    <m/>
    <n v="5000"/>
    <x v="6"/>
    <n v="203047834"/>
    <s v="INFAQ QRIS"/>
    <x v="2"/>
  </r>
  <r>
    <m/>
    <m/>
    <n v="1000000"/>
    <x v="6"/>
    <n v="204047834"/>
    <s v="INFAQ ANGGONO IRIAWAN"/>
    <x v="2"/>
  </r>
  <r>
    <n v="750000"/>
    <m/>
    <m/>
    <x v="6"/>
    <n v="203297834"/>
    <s v="HONOR USTADZ SHODIQ"/>
    <x v="11"/>
  </r>
  <r>
    <n v="6500"/>
    <m/>
    <m/>
    <x v="6"/>
    <n v="203291334"/>
    <s v="ADM HONOR USTADZ SHODIQ"/>
    <x v="11"/>
  </r>
  <r>
    <m/>
    <m/>
    <n v="50000"/>
    <x v="6"/>
    <n v="203341334"/>
    <s v="INFAQ QRIS"/>
    <x v="2"/>
  </r>
  <r>
    <m/>
    <m/>
    <n v="10000"/>
    <x v="6"/>
    <n v="203351334"/>
    <s v="INFAQ QRIS"/>
    <x v="2"/>
  </r>
  <r>
    <m/>
    <m/>
    <n v="50000"/>
    <x v="6"/>
    <n v="203401334"/>
    <s v="INFAQ QRIS"/>
    <x v="2"/>
  </r>
  <r>
    <m/>
    <m/>
    <n v="100000"/>
    <x v="6"/>
    <n v="203501334"/>
    <s v="INFAQ QRIS"/>
    <x v="2"/>
  </r>
  <r>
    <m/>
    <m/>
    <n v="10000"/>
    <x v="6"/>
    <n v="203511334"/>
    <s v="INFAQ QRIS"/>
    <x v="2"/>
  </r>
  <r>
    <m/>
    <m/>
    <n v="110000"/>
    <x v="6"/>
    <n v="203621334"/>
    <s v="INFAQ QRIS"/>
    <x v="2"/>
  </r>
  <r>
    <m/>
    <m/>
    <n v="10000"/>
    <x v="6"/>
    <n v="203631334"/>
    <s v="INFAQ QRIS"/>
    <x v="2"/>
  </r>
  <r>
    <m/>
    <m/>
    <n v="4250000"/>
    <x v="6"/>
    <n v="207881334"/>
    <s v="PENGEMBALIAN OPERASIONAL QURBAN dari IR.DARMAWAN "/>
    <x v="22"/>
  </r>
  <r>
    <n v="750000"/>
    <m/>
    <m/>
    <x v="6"/>
    <n v="207131334"/>
    <s v="HONOR USTADZ DARWIS"/>
    <x v="11"/>
  </r>
  <r>
    <m/>
    <m/>
    <n v="200000"/>
    <x v="6"/>
    <n v="207331334"/>
    <s v="INFAQ WUSONO PRIHADI SANTO"/>
    <x v="2"/>
  </r>
  <r>
    <m/>
    <m/>
    <n v="10000"/>
    <x v="6"/>
    <n v="207341334"/>
    <s v="INFAQ QRIS"/>
    <x v="2"/>
  </r>
  <r>
    <m/>
    <m/>
    <n v="25000"/>
    <x v="6"/>
    <n v="207366334"/>
    <s v="INFAQ QRIS"/>
    <x v="2"/>
  </r>
  <r>
    <m/>
    <m/>
    <n v="10000"/>
    <x v="6"/>
    <n v="207376334"/>
    <s v="INFAQ QRIS"/>
    <x v="2"/>
  </r>
  <r>
    <m/>
    <m/>
    <n v="25000"/>
    <x v="6"/>
    <n v="207401334"/>
    <s v="INFAQ QRIS"/>
    <x v="2"/>
  </r>
  <r>
    <m/>
    <m/>
    <n v="7900900"/>
    <x v="6"/>
    <n v="215302234"/>
    <s v="SETOR INFAQ IDUL ADHA"/>
    <x v="2"/>
  </r>
  <r>
    <m/>
    <m/>
    <n v="4645100"/>
    <x v="6"/>
    <n v="219947334"/>
    <s v="SETOR INFAQ IDUL ADHA"/>
    <x v="22"/>
  </r>
  <r>
    <m/>
    <n v="12546000"/>
    <m/>
    <x v="1"/>
    <n v="219947334"/>
    <s v="SETOR INFAQ IDUL ADHA"/>
    <x v="4"/>
  </r>
  <r>
    <m/>
    <m/>
    <n v="10000"/>
    <x v="6"/>
    <n v="219957334"/>
    <s v="INFAQ QRIS"/>
    <x v="2"/>
  </r>
  <r>
    <m/>
    <m/>
    <n v="10000"/>
    <x v="6"/>
    <n v="219967334"/>
    <s v="INFAQ QRIS"/>
    <x v="2"/>
  </r>
  <r>
    <m/>
    <m/>
    <n v="10000"/>
    <x v="6"/>
    <n v="219977334"/>
    <s v="INFAQ QRIS"/>
    <x v="2"/>
  </r>
  <r>
    <n v="4150000"/>
    <m/>
    <m/>
    <x v="6"/>
    <n v="215827334"/>
    <s v="Pembelian Kulkas Santri via Pak Mahmud"/>
    <x v="24"/>
  </r>
  <r>
    <n v="2900"/>
    <m/>
    <m/>
    <x v="6"/>
    <n v="215824434"/>
    <s v="Adm Pembelian Kulkas Santri via Pak Mahmud"/>
    <x v="24"/>
  </r>
  <r>
    <m/>
    <m/>
    <n v="4215000"/>
    <x v="6"/>
    <n v="220039434"/>
    <s v="Yatim"/>
    <x v="12"/>
  </r>
  <r>
    <m/>
    <m/>
    <n v="720000"/>
    <x v="6"/>
    <n v="220759434"/>
    <s v="Op"/>
    <x v="2"/>
  </r>
  <r>
    <m/>
    <n v="4935000"/>
    <m/>
    <x v="1"/>
    <n v="220759434"/>
    <s v="SETOR IMRON"/>
    <x v="4"/>
  </r>
  <r>
    <m/>
    <m/>
    <n v="150000"/>
    <x v="6"/>
    <n v="220909434"/>
    <s v="INFAQ DWI LISTYOWATI DRA"/>
    <x v="2"/>
  </r>
  <r>
    <n v="2000000"/>
    <m/>
    <m/>
    <x v="6"/>
    <n v="218909434"/>
    <s v="Perbaikan Pintu Kaca MAJ dan Aksesoris"/>
    <x v="8"/>
  </r>
  <r>
    <n v="6500"/>
    <m/>
    <m/>
    <x v="6"/>
    <n v="218902934"/>
    <s v="Adm Perbaikan Pintu Kaca MAJ dan Aksesoris"/>
    <x v="8"/>
  </r>
  <r>
    <m/>
    <m/>
    <n v="10000"/>
    <x v="6"/>
    <n v="218912934"/>
    <s v="INFAQ QRIS"/>
    <x v="2"/>
  </r>
  <r>
    <m/>
    <m/>
    <n v="1184200"/>
    <x v="6"/>
    <n v="220097134"/>
    <s v="PENGEMBALIAN OPERASIONAL QURBAN VIA SAFONI MAWARDI"/>
    <x v="21"/>
  </r>
  <r>
    <m/>
    <m/>
    <n v="500000"/>
    <x v="6"/>
    <n v="220597134"/>
    <s v="SETOR QURBAN (Ongkos Potong via Safoni)"/>
    <x v="21"/>
  </r>
  <r>
    <m/>
    <m/>
    <n v="2000000"/>
    <x v="6"/>
    <n v="222597134"/>
    <s v="INFAQ DARI RIZKYHIDAYATSL"/>
    <x v="2"/>
  </r>
  <r>
    <m/>
    <m/>
    <n v="5000"/>
    <x v="6"/>
    <n v="222602134"/>
    <s v="INFAQ QRIS"/>
    <x v="2"/>
  </r>
  <r>
    <m/>
    <m/>
    <n v="10000"/>
    <x v="6"/>
    <n v="222612134"/>
    <s v="INFAQ QRIS"/>
    <x v="2"/>
  </r>
  <r>
    <n v="750000"/>
    <m/>
    <m/>
    <x v="6"/>
    <n v="221862134"/>
    <s v="HONOR UST ABDUL HAMID"/>
    <x v="11"/>
  </r>
  <r>
    <n v="6500"/>
    <m/>
    <m/>
    <x v="6"/>
    <n v="221855634"/>
    <s v="ADM HONOR UST ABDUL HAMID"/>
    <x v="11"/>
  </r>
  <r>
    <m/>
    <m/>
    <n v="50000"/>
    <x v="6"/>
    <n v="221905634"/>
    <s v="INFAQ QRIS"/>
    <x v="2"/>
  </r>
  <r>
    <m/>
    <m/>
    <n v="50000"/>
    <x v="6"/>
    <n v="221955634"/>
    <s v="INFAQ QRIS"/>
    <x v="2"/>
  </r>
  <r>
    <m/>
    <m/>
    <n v="25000"/>
    <x v="6"/>
    <n v="221980634"/>
    <s v="INFAQ QRIS"/>
    <x v="2"/>
  </r>
  <r>
    <m/>
    <m/>
    <n v="50000"/>
    <x v="6"/>
    <n v="222030634"/>
    <s v="INFAQ QRIS"/>
    <x v="2"/>
  </r>
  <r>
    <m/>
    <m/>
    <n v="20000"/>
    <x v="6"/>
    <n v="222050634"/>
    <s v="INFAQ QRIS"/>
    <x v="2"/>
  </r>
  <r>
    <m/>
    <m/>
    <n v="10000"/>
    <x v="6"/>
    <n v="222060634"/>
    <s v="INFAQ QRIS"/>
    <x v="2"/>
  </r>
  <r>
    <m/>
    <m/>
    <n v="1011"/>
    <x v="6"/>
    <n v="222061645"/>
    <s v="INFAQ QRIS"/>
    <x v="2"/>
  </r>
  <r>
    <m/>
    <m/>
    <n v="10000"/>
    <x v="6"/>
    <n v="222071645"/>
    <s v="INFAQ QRIS"/>
    <x v="2"/>
  </r>
  <r>
    <m/>
    <m/>
    <n v="10000"/>
    <x v="6"/>
    <n v="222081645"/>
    <s v="INFAQ QRIS"/>
    <x v="2"/>
  </r>
  <r>
    <m/>
    <m/>
    <n v="50000"/>
    <x v="6"/>
    <n v="222131645"/>
    <s v="INFAQ QRIS"/>
    <x v="2"/>
  </r>
  <r>
    <m/>
    <m/>
    <n v="20000"/>
    <x v="6"/>
    <n v="222151645"/>
    <s v="INFAQ QRIS"/>
    <x v="2"/>
  </r>
  <r>
    <m/>
    <m/>
    <n v="10000"/>
    <x v="6"/>
    <n v="222161645"/>
    <s v="INFAQ QRIS"/>
    <x v="2"/>
  </r>
  <r>
    <n v="750000"/>
    <m/>
    <m/>
    <x v="6"/>
    <n v="221411645"/>
    <s v="HONOR UST HASAN MUBAROK"/>
    <x v="11"/>
  </r>
  <r>
    <n v="6500"/>
    <m/>
    <m/>
    <x v="6"/>
    <n v="221405145"/>
    <s v="ADM HONOR UST HASAN MUBAROK"/>
    <x v="11"/>
  </r>
  <r>
    <m/>
    <m/>
    <n v="800000"/>
    <x v="6"/>
    <n v="222205145"/>
    <s v="INFAQ TPQ"/>
    <x v="10"/>
  </r>
  <r>
    <m/>
    <m/>
    <n v="20000"/>
    <x v="6"/>
    <n v="222225145"/>
    <s v="INFAQ QRIS"/>
    <x v="2"/>
  </r>
  <r>
    <m/>
    <m/>
    <n v="10000"/>
    <x v="6"/>
    <n v="222235145"/>
    <s v="INFAQ QRIS"/>
    <x v="2"/>
  </r>
  <r>
    <m/>
    <m/>
    <n v="4119000"/>
    <x v="6"/>
    <n v="226354145"/>
    <m/>
    <x v="12"/>
  </r>
  <r>
    <m/>
    <m/>
    <n v="4231000"/>
    <x v="6"/>
    <n v="230585145"/>
    <m/>
    <x v="2"/>
  </r>
  <r>
    <m/>
    <n v="8350000"/>
    <m/>
    <x v="1"/>
    <n v="230585145"/>
    <s v="INFAQ JUMAT"/>
    <x v="4"/>
  </r>
  <r>
    <m/>
    <m/>
    <n v="100000"/>
    <x v="6"/>
    <n v="230685145"/>
    <s v="INFAQ FENTYHERLIANA"/>
    <x v="2"/>
  </r>
  <r>
    <m/>
    <m/>
    <n v="50000"/>
    <x v="6"/>
    <n v="230735145"/>
    <s v="INFAQ QRIS"/>
    <x v="2"/>
  </r>
  <r>
    <m/>
    <m/>
    <n v="50000"/>
    <x v="6"/>
    <n v="230785145"/>
    <s v="INFAQ QRIS"/>
    <x v="2"/>
  </r>
  <r>
    <m/>
    <m/>
    <n v="20000"/>
    <x v="6"/>
    <n v="230805145"/>
    <s v="INFAQ QRIS"/>
    <x v="2"/>
  </r>
  <r>
    <n v="1180700"/>
    <m/>
    <m/>
    <x v="6"/>
    <n v="229624445"/>
    <s v="Penggantian Operasional Panitia Qurban"/>
    <x v="23"/>
  </r>
  <r>
    <n v="2900"/>
    <m/>
    <m/>
    <x v="6"/>
    <n v="229621545"/>
    <s v="Adm Penggantian Operasional Panitia Qurban"/>
    <x v="23"/>
  </r>
  <r>
    <m/>
    <m/>
    <n v="20000"/>
    <x v="6"/>
    <n v="229641545"/>
    <s v="INFAQ QRIS"/>
    <x v="2"/>
  </r>
  <r>
    <m/>
    <m/>
    <n v="5000"/>
    <x v="6"/>
    <n v="229646545"/>
    <s v="INFAQ QRIS"/>
    <x v="2"/>
  </r>
  <r>
    <m/>
    <m/>
    <n v="10000"/>
    <x v="6"/>
    <n v="229656545"/>
    <s v="INFAQ QRIS"/>
    <x v="2"/>
  </r>
  <r>
    <m/>
    <m/>
    <n v="20000"/>
    <x v="6"/>
    <n v="229676545"/>
    <s v="INFAQ QRIS"/>
    <x v="2"/>
  </r>
  <r>
    <m/>
    <m/>
    <n v="100000"/>
    <x v="6"/>
    <n v="229776545"/>
    <s v="INFAQ QRIS"/>
    <x v="2"/>
  </r>
  <r>
    <m/>
    <m/>
    <n v="20000"/>
    <x v="6"/>
    <n v="229796545"/>
    <s v="INFAQ QRIS"/>
    <x v="2"/>
  </r>
  <r>
    <n v="750000"/>
    <m/>
    <m/>
    <x v="6"/>
    <n v="229046545"/>
    <s v="Honor Ustadz FAISAL"/>
    <x v="11"/>
  </r>
  <r>
    <m/>
    <m/>
    <n v="10000"/>
    <x v="6"/>
    <n v="229056545"/>
    <s v="INFAQ QRIS"/>
    <x v="2"/>
  </r>
  <r>
    <m/>
    <m/>
    <n v="50000"/>
    <x v="6"/>
    <n v="229106545"/>
    <s v="INFAQ QRIS"/>
    <x v="2"/>
  </r>
  <r>
    <m/>
    <m/>
    <n v="50000"/>
    <x v="6"/>
    <n v="229156545"/>
    <s v="INFAQ QRIS"/>
    <x v="2"/>
  </r>
  <r>
    <m/>
    <m/>
    <n v="20000"/>
    <x v="6"/>
    <n v="229176545"/>
    <s v="INFAQ QRIS"/>
    <x v="2"/>
  </r>
  <r>
    <m/>
    <m/>
    <n v="50000"/>
    <x v="6"/>
    <n v="229226545"/>
    <s v="INFAQ QRIS"/>
    <x v="2"/>
  </r>
  <r>
    <m/>
    <m/>
    <n v="5000"/>
    <x v="6"/>
    <n v="229231545"/>
    <s v="INFAQ QRIS"/>
    <x v="2"/>
  </r>
  <r>
    <n v="1000000"/>
    <m/>
    <m/>
    <x v="6"/>
    <n v="228231545"/>
    <s v="Honor Ustadz Wahid"/>
    <x v="11"/>
  </r>
  <r>
    <n v="6500"/>
    <m/>
    <m/>
    <x v="6"/>
    <n v="228225045"/>
    <s v="Adm Honor Ustadz Wahid"/>
    <x v="11"/>
  </r>
  <r>
    <m/>
    <m/>
    <n v="20000"/>
    <x v="6"/>
    <n v="228245045"/>
    <s v="INFAQ QRIS"/>
    <x v="2"/>
  </r>
  <r>
    <m/>
    <m/>
    <n v="2970000"/>
    <x v="6"/>
    <n v="231215045"/>
    <s v="INFAQ COLLECTIVE IMRON"/>
    <x v="2"/>
  </r>
  <r>
    <m/>
    <m/>
    <n v="20000"/>
    <x v="6"/>
    <n v="231235045"/>
    <s v="INFAQ QRIS"/>
    <x v="2"/>
  </r>
  <r>
    <m/>
    <m/>
    <n v="2910000"/>
    <x v="6"/>
    <n v="234145045"/>
    <m/>
    <x v="12"/>
  </r>
  <r>
    <m/>
    <m/>
    <n v="2476000"/>
    <x v="6"/>
    <n v="236621045"/>
    <m/>
    <x v="2"/>
  </r>
  <r>
    <m/>
    <n v="5386000"/>
    <m/>
    <x v="6"/>
    <n v="236621045"/>
    <s v=" 001114385559 UANG INFAQ  SETOR TUNAI "/>
    <x v="4"/>
  </r>
  <r>
    <n v="8000"/>
    <m/>
    <m/>
    <x v="6"/>
    <n v="236613045"/>
    <s v="Fee Payroll Mei 2025"/>
    <x v="1"/>
  </r>
  <r>
    <m/>
    <m/>
    <n v="200000"/>
    <x v="6"/>
    <n v="236813045"/>
    <s v="Infaq TPQ Rivendra"/>
    <x v="10"/>
  </r>
  <r>
    <m/>
    <m/>
    <n v="10000"/>
    <x v="6"/>
    <n v="236823045"/>
    <s v="INFAQ QRIS"/>
    <x v="2"/>
  </r>
  <r>
    <m/>
    <m/>
    <n v="20000"/>
    <x v="6"/>
    <n v="236843045"/>
    <s v="INFAQ QRIS"/>
    <x v="2"/>
  </r>
  <r>
    <m/>
    <m/>
    <n v="300000"/>
    <x v="6"/>
    <n v="237143045"/>
    <s v="INFAQ DJOKO SULISTIYONO"/>
    <x v="2"/>
  </r>
  <r>
    <m/>
    <m/>
    <n v="50000"/>
    <x v="6"/>
    <n v="237193045"/>
    <s v="INFAQ QRIS"/>
    <x v="2"/>
  </r>
  <r>
    <m/>
    <m/>
    <n v="20000"/>
    <x v="6"/>
    <n v="237213045"/>
    <s v="INFAQ QRIS"/>
    <x v="2"/>
  </r>
  <r>
    <n v="1003000"/>
    <m/>
    <m/>
    <x v="6"/>
    <n v="236210045"/>
    <s v="Pulsa Listrik"/>
    <x v="7"/>
  </r>
  <r>
    <n v="2900"/>
    <m/>
    <m/>
    <x v="6"/>
    <n v="236207145"/>
    <s v="Pulsa Listrik"/>
    <x v="7"/>
  </r>
  <r>
    <n v="4000000"/>
    <m/>
    <m/>
    <x v="6"/>
    <n v="232207145"/>
    <s v="Biaya Perawatan Santri Juni 2025"/>
    <x v="14"/>
  </r>
  <r>
    <n v="6500"/>
    <m/>
    <m/>
    <x v="6"/>
    <n v="232200645"/>
    <s v="Biaya Perawatan Santri Juni 2025"/>
    <x v="14"/>
  </r>
  <r>
    <n v="1000000"/>
    <m/>
    <m/>
    <x v="6"/>
    <n v="231200645"/>
    <s v="Honor Imam Marbot"/>
    <x v="13"/>
  </r>
  <r>
    <n v="6500"/>
    <m/>
    <m/>
    <x v="6"/>
    <n v="231194145"/>
    <s v="Honor Imam Marbot"/>
    <x v="13"/>
  </r>
  <r>
    <n v="2500000"/>
    <m/>
    <m/>
    <x v="6"/>
    <n v="228694145"/>
    <s v="Honor Imam Marbot"/>
    <x v="13"/>
  </r>
  <r>
    <n v="6500"/>
    <m/>
    <m/>
    <x v="6"/>
    <n v="228687645"/>
    <s v="Honor Imam Marbot"/>
    <x v="13"/>
  </r>
  <r>
    <n v="2000000"/>
    <m/>
    <m/>
    <x v="6"/>
    <n v="226687645"/>
    <s v="Biaya Adm Pengajian Ibu-Ibu MAJ Juli"/>
    <x v="11"/>
  </r>
  <r>
    <n v="6500"/>
    <m/>
    <m/>
    <x v="6"/>
    <n v="226681145"/>
    <s v="Biaya Adm Pengajian Ibu-Ibu MAJ Juli"/>
    <x v="11"/>
  </r>
  <r>
    <n v="550000"/>
    <m/>
    <m/>
    <x v="6"/>
    <n v="226131145"/>
    <s v="Honor Imam Marbot"/>
    <x v="13"/>
  </r>
  <r>
    <n v="6500"/>
    <m/>
    <m/>
    <x v="6"/>
    <n v="226124645"/>
    <s v="Honor Imam Marbot"/>
    <x v="13"/>
  </r>
  <r>
    <n v="3500000"/>
    <m/>
    <m/>
    <x v="6"/>
    <n v="222624645"/>
    <s v="Honor Imam Marbot"/>
    <x v="13"/>
  </r>
  <r>
    <n v="6500"/>
    <m/>
    <m/>
    <x v="6"/>
    <n v="222618145"/>
    <s v="Honor Imam Marbot"/>
    <x v="13"/>
  </r>
  <r>
    <n v="2250000"/>
    <m/>
    <m/>
    <x v="6"/>
    <n v="220368145"/>
    <s v="Honor Imam Marbot"/>
    <x v="13"/>
  </r>
  <r>
    <n v="6500"/>
    <m/>
    <m/>
    <x v="6"/>
    <n v="220361645"/>
    <s v="Honor Imam Marbot"/>
    <x v="13"/>
  </r>
  <r>
    <n v="2700000"/>
    <m/>
    <m/>
    <x v="6"/>
    <n v="217661645"/>
    <s v="Honor Mushrif Juni 2025"/>
    <x v="14"/>
  </r>
  <r>
    <n v="6500"/>
    <m/>
    <m/>
    <x v="6"/>
    <n v="217655145"/>
    <s v="Honor Mushrif Juni 2025"/>
    <x v="14"/>
  </r>
  <r>
    <n v="2750000"/>
    <m/>
    <m/>
    <x v="6"/>
    <n v="214905145"/>
    <s v="Honor Imam Marbot"/>
    <x v="13"/>
  </r>
  <r>
    <m/>
    <m/>
    <n v="50000"/>
    <x v="6"/>
    <n v="214955145"/>
    <s v="INFAQ QRIS"/>
    <x v="2"/>
  </r>
  <r>
    <m/>
    <m/>
    <n v="50000"/>
    <x v="6"/>
    <n v="215005145"/>
    <s v="INFAQ QRIS"/>
    <x v="2"/>
  </r>
  <r>
    <m/>
    <m/>
    <n v="20000"/>
    <x v="6"/>
    <n v="215025145"/>
    <s v="INFAQ QRIS"/>
    <x v="2"/>
  </r>
  <r>
    <m/>
    <m/>
    <n v="1000000"/>
    <x v="6"/>
    <n v="216025145"/>
    <s v="INFAQ ANGGONO IRIAWAN"/>
    <x v="2"/>
  </r>
  <r>
    <m/>
    <m/>
    <n v="100000"/>
    <x v="6"/>
    <n v="216125145"/>
    <s v="INFAQ SURJATI SUTARJA"/>
    <x v="2"/>
  </r>
  <r>
    <m/>
    <m/>
    <n v="1000000"/>
    <x v="6"/>
    <n v="217125145"/>
    <s v="INFAQ RAMADHAN NIENDRAPUTRA"/>
    <x v="2"/>
  </r>
  <r>
    <n v="750000"/>
    <m/>
    <m/>
    <x v="6"/>
    <n v="216375145"/>
    <s v="Honor Ustadz"/>
    <x v="11"/>
  </r>
  <r>
    <n v="6500"/>
    <m/>
    <m/>
    <x v="6"/>
    <n v="216368645"/>
    <s v="Honor Ustadz"/>
    <x v="11"/>
  </r>
  <r>
    <m/>
    <m/>
    <n v="61124"/>
    <x v="6"/>
    <n v="216429769"/>
    <s v="INFAQ QRIS"/>
    <x v="2"/>
  </r>
  <r>
    <m/>
    <m/>
    <n v="20000"/>
    <x v="6"/>
    <n v="216449769"/>
    <s v="INFAQ QRIS"/>
    <x v="2"/>
  </r>
  <r>
    <m/>
    <m/>
    <n v="20000"/>
    <x v="6"/>
    <n v="216469769"/>
    <s v="INFAQ QRIS"/>
    <x v="2"/>
  </r>
  <r>
    <m/>
    <m/>
    <n v="150000"/>
    <x v="6"/>
    <n v="216619769"/>
    <s v="INFAQ QRIS"/>
    <x v="2"/>
  </r>
  <r>
    <m/>
    <m/>
    <n v="50000"/>
    <x v="6"/>
    <n v="216669769"/>
    <s v="INFAQ QRIS"/>
    <x v="2"/>
  </r>
  <r>
    <m/>
    <m/>
    <n v="25000"/>
    <x v="6"/>
    <n v="216694769"/>
    <s v="INFAQ QRIS"/>
    <x v="2"/>
  </r>
  <r>
    <m/>
    <m/>
    <n v="10000"/>
    <x v="6"/>
    <n v="216704769"/>
    <s v="INFAQ QRIS"/>
    <x v="2"/>
  </r>
  <r>
    <m/>
    <m/>
    <n v="5000"/>
    <x v="6"/>
    <n v="216709769"/>
    <s v="INFAQ QRIS"/>
    <x v="2"/>
  </r>
  <r>
    <m/>
    <m/>
    <n v="50000"/>
    <x v="6"/>
    <n v="216759769"/>
    <s v="INFAQ QRIS"/>
    <x v="2"/>
  </r>
  <r>
    <m/>
    <m/>
    <n v="20000"/>
    <x v="6"/>
    <n v="216779769"/>
    <s v="INFAQ QRIS"/>
    <x v="2"/>
  </r>
  <r>
    <m/>
    <m/>
    <n v="100000"/>
    <x v="6"/>
    <n v="216879769"/>
    <s v="INFAQ QRIS"/>
    <x v="2"/>
  </r>
  <r>
    <m/>
    <m/>
    <n v="50000"/>
    <x v="6"/>
    <n v="216929769"/>
    <s v="INFAQ QRIS"/>
    <x v="2"/>
  </r>
  <r>
    <m/>
    <m/>
    <n v="20000"/>
    <x v="6"/>
    <n v="216949769"/>
    <s v="INFAQ QRIS"/>
    <x v="2"/>
  </r>
  <r>
    <m/>
    <m/>
    <n v="10000"/>
    <x v="6"/>
    <n v="216959769"/>
    <s v="INFAQ QRIS"/>
    <x v="2"/>
  </r>
  <r>
    <m/>
    <m/>
    <n v="10000"/>
    <x v="6"/>
    <n v="216969769"/>
    <s v="INFAQ QRIS"/>
    <x v="2"/>
  </r>
  <r>
    <m/>
    <m/>
    <n v="2000"/>
    <x v="6"/>
    <n v="216971769"/>
    <s v="INFAQ QRIS"/>
    <x v="2"/>
  </r>
  <r>
    <m/>
    <m/>
    <n v="10000"/>
    <x v="6"/>
    <n v="216981769"/>
    <s v="INFAQ QRIS"/>
    <x v="2"/>
  </r>
  <r>
    <m/>
    <m/>
    <n v="20000"/>
    <x v="6"/>
    <n v="217001769"/>
    <s v="INFAQ QRIS"/>
    <x v="2"/>
  </r>
  <r>
    <m/>
    <m/>
    <n v="25000"/>
    <x v="6"/>
    <n v="217026769"/>
    <s v="INFAQ QRIS"/>
    <x v="2"/>
  </r>
  <r>
    <n v="500000"/>
    <m/>
    <m/>
    <x v="6"/>
    <n v="216526769"/>
    <s v="Honor Ustadz"/>
    <x v="11"/>
  </r>
  <r>
    <n v="6500"/>
    <m/>
    <m/>
    <x v="6"/>
    <n v="216520269"/>
    <s v="Honor Ustadz"/>
    <x v="11"/>
  </r>
  <r>
    <n v="750000"/>
    <m/>
    <m/>
    <x v="6"/>
    <n v="215770269"/>
    <s v="Honor Ustadz"/>
    <x v="11"/>
  </r>
  <r>
    <n v="6500"/>
    <m/>
    <m/>
    <x v="6"/>
    <n v="215763769"/>
    <s v="Honor Ustadz"/>
    <x v="11"/>
  </r>
  <r>
    <m/>
    <m/>
    <n v="350000"/>
    <x v="6"/>
    <n v="216113769"/>
    <s v="INFAQ DESYANA SE"/>
    <x v="2"/>
  </r>
  <r>
    <m/>
    <m/>
    <n v="20000"/>
    <x v="6"/>
    <n v="216133769"/>
    <s v="INFAQ QRIS"/>
    <x v="2"/>
  </r>
  <r>
    <m/>
    <m/>
    <n v="75000"/>
    <x v="6"/>
    <n v="216208769"/>
    <s v="INFAQ QRIS"/>
    <x v="2"/>
  </r>
  <r>
    <m/>
    <m/>
    <n v="25000"/>
    <x v="6"/>
    <n v="216233769"/>
    <s v="INFAQ QRIS"/>
    <x v="2"/>
  </r>
  <r>
    <m/>
    <m/>
    <n v="40000"/>
    <x v="6"/>
    <n v="216273769"/>
    <s v="INFAQ QRIS"/>
    <x v="2"/>
  </r>
  <r>
    <m/>
    <m/>
    <n v="2784000"/>
    <x v="6"/>
    <n v="219057769"/>
    <m/>
    <x v="12"/>
  </r>
  <r>
    <m/>
    <m/>
    <n v="3526000"/>
    <x v="6"/>
    <n v="222583769"/>
    <m/>
    <x v="2"/>
  </r>
  <r>
    <m/>
    <n v="6310000"/>
    <m/>
    <x v="1"/>
    <n v="222583769"/>
    <s v=" 001114450332 INFAQ  SETOR TUNAI "/>
    <x v="4"/>
  </r>
  <r>
    <m/>
    <m/>
    <n v="10000"/>
    <x v="7"/>
    <n v="222593769"/>
    <s v="INFAQ QRIS"/>
    <x v="2"/>
  </r>
  <r>
    <m/>
    <m/>
    <n v="20000"/>
    <x v="7"/>
    <n v="222613769"/>
    <s v="INFAQ QRIS"/>
    <x v="2"/>
  </r>
  <r>
    <m/>
    <m/>
    <n v="200000"/>
    <x v="7"/>
    <n v="222813769"/>
    <s v="INFAQ UMI HAMIDAH DRA"/>
    <x v="2"/>
  </r>
  <r>
    <m/>
    <m/>
    <n v="10000"/>
    <x v="7"/>
    <n v="222823769"/>
    <s v="INFAQ QRIS"/>
    <x v="2"/>
  </r>
  <r>
    <m/>
    <m/>
    <n v="500000"/>
    <x v="7"/>
    <n v="223323769"/>
    <s v="INFAQ DRS SARWONO"/>
    <x v="2"/>
  </r>
  <r>
    <m/>
    <m/>
    <n v="200000"/>
    <x v="7"/>
    <n v="223523769"/>
    <s v="INFAQ DEDEN TP PERDIANSYAH"/>
    <x v="2"/>
  </r>
  <r>
    <m/>
    <m/>
    <n v="400000"/>
    <x v="7"/>
    <n v="223923769"/>
    <s v="INFAQ PUTIE AMBUN SURI / RIVENDRA"/>
    <x v="2"/>
  </r>
  <r>
    <m/>
    <m/>
    <n v="20000"/>
    <x v="7"/>
    <n v="223943769"/>
    <s v="INFAQ QRIS"/>
    <x v="2"/>
  </r>
  <r>
    <m/>
    <m/>
    <n v="50000"/>
    <x v="7"/>
    <n v="223993769"/>
    <s v="INFAQ QRIS"/>
    <x v="2"/>
  </r>
  <r>
    <m/>
    <m/>
    <n v="2000000"/>
    <x v="7"/>
    <n v="225993769"/>
    <s v="INFAQ RIZKYHIDAYATSL  "/>
    <x v="2"/>
  </r>
  <r>
    <n v="750000"/>
    <m/>
    <m/>
    <x v="7"/>
    <n v="225243769"/>
    <s v="HONOR USTADZ-MOHAMMAD SHODIQ"/>
    <x v="11"/>
  </r>
  <r>
    <n v="6500"/>
    <m/>
    <m/>
    <x v="7"/>
    <n v="225237269"/>
    <s v="HONOR USTADZ-MOHAMMAD SHODIQ"/>
    <x v="11"/>
  </r>
  <r>
    <m/>
    <m/>
    <n v="20000"/>
    <x v="7"/>
    <n v="225257269"/>
    <s v="INFAQ QRIS"/>
    <x v="2"/>
  </r>
  <r>
    <m/>
    <m/>
    <n v="100000"/>
    <x v="7"/>
    <n v="225357269"/>
    <s v="INFAQ QRIS"/>
    <x v="2"/>
  </r>
  <r>
    <m/>
    <m/>
    <n v="30000"/>
    <x v="7"/>
    <n v="225387269"/>
    <s v="INFAQ QRIS"/>
    <x v="2"/>
  </r>
  <r>
    <m/>
    <m/>
    <n v="100000"/>
    <x v="7"/>
    <n v="225487269"/>
    <s v="INFAQ QRIS"/>
    <x v="2"/>
  </r>
  <r>
    <m/>
    <m/>
    <n v="50000"/>
    <x v="7"/>
    <n v="225537269"/>
    <s v="INFAQ QRIS"/>
    <x v="2"/>
  </r>
  <r>
    <m/>
    <m/>
    <n v="5000"/>
    <x v="7"/>
    <n v="225542269"/>
    <s v="INFAQ QRIS"/>
    <x v="2"/>
  </r>
  <r>
    <m/>
    <m/>
    <n v="10000"/>
    <x v="7"/>
    <n v="225552269"/>
    <s v="INFAQ QRIS"/>
    <x v="2"/>
  </r>
  <r>
    <m/>
    <m/>
    <n v="20000"/>
    <x v="7"/>
    <n v="225572269"/>
    <s v="INFAQ QRIS"/>
    <x v="2"/>
  </r>
  <r>
    <m/>
    <m/>
    <n v="10000"/>
    <x v="7"/>
    <n v="225582269"/>
    <s v="INFAQ QRIS"/>
    <x v="2"/>
  </r>
  <r>
    <m/>
    <m/>
    <n v="4000"/>
    <x v="7"/>
    <n v="225586269"/>
    <s v="INFAQ QRIS"/>
    <x v="2"/>
  </r>
  <r>
    <m/>
    <m/>
    <n v="150000"/>
    <x v="7"/>
    <n v="225736269"/>
    <s v="INFAQ DWI LISTYOWATI DRA"/>
    <x v="2"/>
  </r>
  <r>
    <n v="750000"/>
    <m/>
    <m/>
    <x v="7"/>
    <n v="224986269"/>
    <s v="HONOR USTADZ-ZULFA SYAHIDAH"/>
    <x v="11"/>
  </r>
  <r>
    <n v="6500"/>
    <m/>
    <m/>
    <x v="7"/>
    <n v="224979769"/>
    <s v="HONOR USTADZ-ZULFA SYAHIDAH"/>
    <x v="11"/>
  </r>
  <r>
    <m/>
    <m/>
    <n v="20000"/>
    <x v="7"/>
    <n v="224999769"/>
    <s v="INFAQ QRIS"/>
    <x v="2"/>
  </r>
  <r>
    <m/>
    <m/>
    <n v="25000"/>
    <x v="7"/>
    <n v="225024769"/>
    <s v="INFAQ QRIS"/>
    <x v="2"/>
  </r>
  <r>
    <m/>
    <m/>
    <n v="200000"/>
    <x v="7"/>
    <n v="225224769"/>
    <s v="INFAQ WUSONO PRIHADI SANTO"/>
    <x v="2"/>
  </r>
  <r>
    <m/>
    <m/>
    <n v="50000"/>
    <x v="7"/>
    <n v="225274769"/>
    <s v="INFAQ QRIS"/>
    <x v="2"/>
  </r>
  <r>
    <m/>
    <m/>
    <n v="10000"/>
    <x v="7"/>
    <n v="225284769"/>
    <s v="INFAQ QRIS"/>
    <x v="2"/>
  </r>
  <r>
    <n v="575000"/>
    <m/>
    <m/>
    <x v="7"/>
    <n v="224709769"/>
    <s v="Service Pompa Air MAJ"/>
    <x v="8"/>
  </r>
  <r>
    <n v="2900"/>
    <m/>
    <m/>
    <x v="7"/>
    <n v="224706869"/>
    <s v="Service Pompa Air MAJ"/>
    <x v="8"/>
  </r>
  <r>
    <m/>
    <m/>
    <n v="2044000"/>
    <x v="7"/>
    <n v="226750869"/>
    <m/>
    <x v="12"/>
  </r>
  <r>
    <m/>
    <m/>
    <n v="3860000"/>
    <x v="7"/>
    <n v="230610869"/>
    <m/>
    <x v="2"/>
  </r>
  <r>
    <m/>
    <n v="5904000"/>
    <m/>
    <x v="1"/>
    <n v="230610869"/>
    <s v=" 001114575484 INFAQ  SETOR TUNAI "/>
    <x v="4"/>
  </r>
  <r>
    <m/>
    <m/>
    <n v="50000"/>
    <x v="7"/>
    <n v="230660869"/>
    <s v="INFAQ QRIS"/>
    <x v="2"/>
  </r>
  <r>
    <m/>
    <m/>
    <n v="20000"/>
    <x v="7"/>
    <n v="230680869"/>
    <s v="INFAQ QRIS"/>
    <x v="2"/>
  </r>
  <r>
    <m/>
    <m/>
    <n v="250000"/>
    <x v="7"/>
    <n v="230930869"/>
    <s v="INFAQ QRIS"/>
    <x v="2"/>
  </r>
  <r>
    <m/>
    <m/>
    <n v="10000"/>
    <x v="7"/>
    <n v="230940869"/>
    <s v="INFAQ QRIS"/>
    <x v="2"/>
  </r>
  <r>
    <m/>
    <m/>
    <n v="20000"/>
    <x v="7"/>
    <n v="230960869"/>
    <s v="INFAQ QRIS"/>
    <x v="2"/>
  </r>
  <r>
    <m/>
    <m/>
    <n v="20000"/>
    <x v="7"/>
    <n v="230980869"/>
    <s v="INFAQ QRIS"/>
    <x v="2"/>
  </r>
  <r>
    <m/>
    <m/>
    <n v="68147"/>
    <x v="7"/>
    <n v="231049016"/>
    <s v="INFAQ QRIS"/>
    <x v="2"/>
  </r>
  <r>
    <m/>
    <m/>
    <n v="20000"/>
    <x v="7"/>
    <n v="231069016"/>
    <s v="INFAQ QRIS"/>
    <x v="2"/>
  </r>
  <r>
    <m/>
    <m/>
    <n v="4000"/>
    <x v="7"/>
    <n v="231073016"/>
    <s v="INFAQ QRIS"/>
    <x v="2"/>
  </r>
  <r>
    <m/>
    <m/>
    <n v="4000"/>
    <x v="7"/>
    <n v="231077016"/>
    <s v="INFAQ QRIS"/>
    <x v="2"/>
  </r>
  <r>
    <m/>
    <m/>
    <n v="4000"/>
    <x v="7"/>
    <n v="231081016"/>
    <s v="INFAQ QRIS"/>
    <x v="2"/>
  </r>
  <r>
    <m/>
    <m/>
    <n v="4000"/>
    <x v="7"/>
    <n v="231085016"/>
    <s v="INFAQ QRIS"/>
    <x v="2"/>
  </r>
  <r>
    <m/>
    <m/>
    <n v="4000"/>
    <x v="7"/>
    <n v="231089016"/>
    <s v="INFAQ QRIS"/>
    <x v="2"/>
  </r>
  <r>
    <m/>
    <m/>
    <n v="4000"/>
    <x v="7"/>
    <n v="231093016"/>
    <s v="INFAQ QRIS"/>
    <x v="2"/>
  </r>
  <r>
    <m/>
    <m/>
    <n v="4000"/>
    <x v="7"/>
    <n v="231097016"/>
    <s v="INFAQ QRIS"/>
    <x v="2"/>
  </r>
  <r>
    <m/>
    <m/>
    <n v="4000"/>
    <x v="7"/>
    <n v="231101016"/>
    <s v="INFAQ QRIS"/>
    <x v="2"/>
  </r>
  <r>
    <m/>
    <m/>
    <n v="4000"/>
    <x v="7"/>
    <n v="231105016"/>
    <s v="INFAQ QRIS"/>
    <x v="2"/>
  </r>
  <r>
    <m/>
    <m/>
    <n v="4000"/>
    <x v="7"/>
    <n v="231109016"/>
    <s v="INFAQ QRIS"/>
    <x v="2"/>
  </r>
  <r>
    <m/>
    <m/>
    <n v="4000"/>
    <x v="7"/>
    <n v="231113016"/>
    <s v="INFAQ QRIS"/>
    <x v="2"/>
  </r>
  <r>
    <n v="750000"/>
    <m/>
    <m/>
    <x v="7"/>
    <n v="230363016"/>
    <s v="HONOR USTADZ ABDUL HAMID"/>
    <x v="11"/>
  </r>
  <r>
    <n v="6500"/>
    <m/>
    <m/>
    <x v="7"/>
    <n v="230356516"/>
    <s v="HONOR USTADZ ABDUL HAMID"/>
    <x v="11"/>
  </r>
  <r>
    <m/>
    <m/>
    <n v="50000"/>
    <x v="7"/>
    <n v="230406516"/>
    <s v="INFAQ QRIS"/>
    <x v="2"/>
  </r>
  <r>
    <m/>
    <m/>
    <n v="20000"/>
    <x v="7"/>
    <n v="230426516"/>
    <s v="INFAQ QRIS"/>
    <x v="2"/>
  </r>
  <r>
    <m/>
    <m/>
    <n v="100000"/>
    <x v="7"/>
    <n v="230526516"/>
    <s v="INFAQ QRIS"/>
    <x v="2"/>
  </r>
  <r>
    <m/>
    <m/>
    <n v="20000"/>
    <x v="7"/>
    <n v="230546516"/>
    <s v="INFAQ QRIS"/>
    <x v="2"/>
  </r>
  <r>
    <m/>
    <m/>
    <n v="20000"/>
    <x v="7"/>
    <n v="230566516"/>
    <s v="INFAQ QRIS"/>
    <x v="2"/>
  </r>
  <r>
    <m/>
    <m/>
    <n v="10000"/>
    <x v="7"/>
    <n v="230576516"/>
    <s v="INFAQ QRIS"/>
    <x v="2"/>
  </r>
  <r>
    <m/>
    <m/>
    <n v="50000"/>
    <x v="7"/>
    <n v="230626516"/>
    <s v="INFAQ QRIS"/>
    <x v="2"/>
  </r>
  <r>
    <m/>
    <m/>
    <n v="20000"/>
    <x v="7"/>
    <n v="230646516"/>
    <s v="INFAQ QRIS"/>
    <x v="2"/>
  </r>
  <r>
    <m/>
    <m/>
    <n v="10000"/>
    <x v="7"/>
    <n v="230656516"/>
    <s v="INFAQ QRIS"/>
    <x v="2"/>
  </r>
  <r>
    <m/>
    <m/>
    <n v="5000"/>
    <x v="7"/>
    <n v="230661516"/>
    <s v="INFAQ QRIS"/>
    <x v="2"/>
  </r>
  <r>
    <n v="60000"/>
    <m/>
    <m/>
    <x v="7"/>
    <n v="230601516"/>
    <s v="CETAK LAPORAN CASHFLOW MAJ"/>
    <x v="1"/>
  </r>
  <r>
    <n v="6500"/>
    <m/>
    <m/>
    <x v="7"/>
    <n v="230595016"/>
    <s v="CETAK LAPORAN CASHFLOW MAJ"/>
    <x v="1"/>
  </r>
  <r>
    <n v="750000"/>
    <m/>
    <m/>
    <x v="7"/>
    <n v="229845016"/>
    <s v="HONOR USTADZ DARWIS"/>
    <x v="11"/>
  </r>
  <r>
    <m/>
    <m/>
    <n v="50000"/>
    <x v="7"/>
    <n v="229895016"/>
    <s v="INFAQ QRIS"/>
    <x v="2"/>
  </r>
  <r>
    <m/>
    <m/>
    <n v="2900"/>
    <x v="7"/>
    <n v="229897916"/>
    <s v="INFAQ TPQ RIVENDRA"/>
    <x v="10"/>
  </r>
  <r>
    <n v="2000000"/>
    <m/>
    <m/>
    <x v="7"/>
    <n v="227897916"/>
    <s v="HONOR PENGAJAR TPQ"/>
    <x v="19"/>
  </r>
  <r>
    <n v="6500"/>
    <m/>
    <m/>
    <x v="7"/>
    <n v="227891416"/>
    <s v="HONOR PENGAJAR TPQ"/>
    <x v="19"/>
  </r>
  <r>
    <m/>
    <m/>
    <n v="20000"/>
    <x v="7"/>
    <n v="227911416"/>
    <s v="INFAQ QRIS"/>
    <x v="2"/>
  </r>
  <r>
    <m/>
    <m/>
    <n v="20000"/>
    <x v="7"/>
    <n v="227931416"/>
    <s v="INFAQ QRIS"/>
    <x v="2"/>
  </r>
  <r>
    <m/>
    <m/>
    <n v="25000"/>
    <x v="7"/>
    <n v="227956416"/>
    <s v="INFAQ QRIS"/>
    <x v="2"/>
  </r>
  <r>
    <m/>
    <m/>
    <n v="2247000"/>
    <x v="7"/>
    <n v="230203416"/>
    <m/>
    <x v="12"/>
  </r>
  <r>
    <m/>
    <m/>
    <n v="1323000"/>
    <x v="7"/>
    <n v="231526416"/>
    <m/>
    <x v="2"/>
  </r>
  <r>
    <m/>
    <n v="3570000"/>
    <m/>
    <x v="1"/>
    <n v="231526416"/>
    <s v=" 001114670508   SETOR TUNAI "/>
    <x v="4"/>
  </r>
  <r>
    <m/>
    <m/>
    <n v="10000"/>
    <x v="7"/>
    <n v="231536416"/>
    <s v="INFAQ QRIS"/>
    <x v="2"/>
  </r>
  <r>
    <m/>
    <m/>
    <n v="20000"/>
    <x v="7"/>
    <n v="231556416"/>
    <s v="INFAQ QRIS"/>
    <x v="2"/>
  </r>
  <r>
    <m/>
    <m/>
    <n v="10000"/>
    <x v="7"/>
    <n v="231566416"/>
    <s v="INFAQ QRIS"/>
    <x v="2"/>
  </r>
  <r>
    <m/>
    <m/>
    <n v="200000"/>
    <x v="7"/>
    <n v="231766416"/>
    <s v="INFAQ QRIS"/>
    <x v="2"/>
  </r>
  <r>
    <m/>
    <m/>
    <n v="20000"/>
    <x v="7"/>
    <n v="231786416"/>
    <s v="INFAQ QRIS"/>
    <x v="2"/>
  </r>
  <r>
    <m/>
    <m/>
    <n v="10000"/>
    <x v="7"/>
    <n v="231796416"/>
    <s v="INFAQ QRIS"/>
    <x v="2"/>
  </r>
  <r>
    <m/>
    <m/>
    <n v="20000"/>
    <x v="7"/>
    <n v="231816416"/>
    <s v="INFAQ QRIS"/>
    <x v="2"/>
  </r>
  <r>
    <m/>
    <m/>
    <n v="1600000"/>
    <x v="7"/>
    <n v="233416416"/>
    <s v="INFAQ QRIS"/>
    <x v="2"/>
  </r>
  <r>
    <m/>
    <m/>
    <n v="10000"/>
    <x v="7"/>
    <n v="233426416"/>
    <s v="INFAQ QRIS"/>
    <x v="2"/>
  </r>
  <r>
    <m/>
    <m/>
    <n v="50000"/>
    <x v="7"/>
    <n v="233476416"/>
    <s v="INFAQ QRIS"/>
    <x v="2"/>
  </r>
  <r>
    <m/>
    <m/>
    <n v="20000"/>
    <x v="7"/>
    <n v="233496416"/>
    <s v="INFAQ QRIS"/>
    <x v="2"/>
  </r>
  <r>
    <n v="750000"/>
    <m/>
    <m/>
    <x v="7"/>
    <n v="232746416"/>
    <s v="Honor Ustadz FAISAL"/>
    <x v="11"/>
  </r>
  <r>
    <m/>
    <m/>
    <n v="100000"/>
    <x v="7"/>
    <n v="232846416"/>
    <s v="INFAQ QRIS"/>
    <x v="2"/>
  </r>
  <r>
    <m/>
    <m/>
    <n v="10000"/>
    <x v="7"/>
    <n v="232856416"/>
    <s v="INFAQ QRIS"/>
    <x v="2"/>
  </r>
  <r>
    <m/>
    <m/>
    <n v="20000"/>
    <x v="7"/>
    <n v="232876416"/>
    <s v="INFAQ QRIS"/>
    <x v="2"/>
  </r>
  <r>
    <m/>
    <m/>
    <n v="100000"/>
    <x v="7"/>
    <n v="232976416"/>
    <s v="INFAQ QRIS"/>
    <x v="2"/>
  </r>
  <r>
    <m/>
    <m/>
    <n v="50000"/>
    <x v="7"/>
    <n v="233026416"/>
    <s v="INFAQ QRIS"/>
    <x v="2"/>
  </r>
  <r>
    <m/>
    <m/>
    <n v="50000"/>
    <x v="7"/>
    <n v="233076416"/>
    <s v="INFAQ QRIS"/>
    <x v="2"/>
  </r>
  <r>
    <m/>
    <m/>
    <n v="10000"/>
    <x v="7"/>
    <n v="233086416"/>
    <s v="INFAQ QRIS"/>
    <x v="2"/>
  </r>
  <r>
    <m/>
    <m/>
    <n v="20000"/>
    <x v="7"/>
    <n v="233106416"/>
    <s v="INFAQ QRIS"/>
    <x v="2"/>
  </r>
  <r>
    <m/>
    <m/>
    <n v="50000"/>
    <x v="7"/>
    <n v="233156416"/>
    <s v="INFAQ QRIS"/>
    <x v="2"/>
  </r>
  <r>
    <m/>
    <m/>
    <n v="50000"/>
    <x v="7"/>
    <n v="233206416"/>
    <s v="INFAQ QRIS"/>
    <x v="2"/>
  </r>
  <r>
    <n v="750000"/>
    <m/>
    <m/>
    <x v="7"/>
    <n v="232456416"/>
    <s v="Honor Ustadz Hasan Mubarok"/>
    <x v="11"/>
  </r>
  <r>
    <n v="6500"/>
    <m/>
    <m/>
    <x v="7"/>
    <n v="232449916"/>
    <s v="Honor Ustadz Hasan Mubarok"/>
    <x v="11"/>
  </r>
  <r>
    <m/>
    <m/>
    <n v="50000"/>
    <x v="7"/>
    <n v="232499916"/>
    <s v="INFAQ QRIS"/>
    <x v="2"/>
  </r>
  <r>
    <m/>
    <m/>
    <n v="10000"/>
    <x v="7"/>
    <n v="232509916"/>
    <s v="INFAQ QRIS"/>
    <x v="2"/>
  </r>
  <r>
    <m/>
    <m/>
    <n v="100000"/>
    <x v="7"/>
    <n v="232609916"/>
    <s v="INFAQ QRIS"/>
    <x v="2"/>
  </r>
  <r>
    <m/>
    <m/>
    <n v="20000"/>
    <x v="7"/>
    <n v="232629916"/>
    <s v="INFAQ QRIS"/>
    <x v="2"/>
  </r>
  <r>
    <m/>
    <m/>
    <n v="25000"/>
    <x v="7"/>
    <n v="232654916"/>
    <s v="INFAQ QRIS"/>
    <x v="2"/>
  </r>
  <r>
    <m/>
    <m/>
    <n v="10000"/>
    <x v="7"/>
    <n v="232664916"/>
    <s v="INFAQ QRIS"/>
    <x v="2"/>
  </r>
  <r>
    <m/>
    <m/>
    <n v="25000"/>
    <x v="7"/>
    <n v="232689916"/>
    <s v="INFAQ QRIS"/>
    <x v="2"/>
  </r>
  <r>
    <m/>
    <m/>
    <n v="2184000"/>
    <x v="7"/>
    <n v="234873916"/>
    <m/>
    <x v="12"/>
  </r>
  <r>
    <m/>
    <m/>
    <n v="1256000"/>
    <x v="7"/>
    <n v="236129916"/>
    <m/>
    <x v="2"/>
  </r>
  <r>
    <m/>
    <n v="3440000"/>
    <m/>
    <x v="1"/>
    <n v="236129916"/>
    <s v=" 001114766954 INFAQ MASJID  SETOR TUNAI "/>
    <x v="4"/>
  </r>
  <r>
    <m/>
    <m/>
    <n v="20000"/>
    <x v="7"/>
    <n v="236149916"/>
    <s v="INFAQ QRIS"/>
    <x v="2"/>
  </r>
  <r>
    <m/>
    <m/>
    <n v="2655000"/>
    <x v="7"/>
    <n v="238804916"/>
    <s v="INFAQ COLLECTIVE A IMRON ROSADI"/>
    <x v="2"/>
  </r>
  <r>
    <m/>
    <m/>
    <n v="20000"/>
    <x v="7"/>
    <n v="238824916"/>
    <s v="INFAQ QRIS"/>
    <x v="2"/>
  </r>
  <r>
    <m/>
    <m/>
    <n v="20000"/>
    <x v="7"/>
    <n v="238844916"/>
    <s v="INFAQ QRIS"/>
    <x v="2"/>
  </r>
  <r>
    <n v="9000"/>
    <m/>
    <m/>
    <x v="7"/>
    <n v="238835916"/>
    <s v="  713 3200028199 Fee Payroll Juni 2025 CMS BIAYA PAYROLL "/>
    <x v="1"/>
  </r>
  <r>
    <m/>
    <m/>
    <n v="50000"/>
    <x v="7"/>
    <n v="238885916"/>
    <s v="INFAQ QRIS"/>
    <x v="2"/>
  </r>
  <r>
    <m/>
    <m/>
    <n v="10000"/>
    <x v="7"/>
    <n v="238895916"/>
    <s v="INFAQ QRIS"/>
    <x v="2"/>
  </r>
  <r>
    <m/>
    <m/>
    <n v="20000"/>
    <x v="7"/>
    <n v="238915916"/>
    <s v="INFAQ QRIS"/>
    <x v="2"/>
  </r>
  <r>
    <n v="20000000"/>
    <m/>
    <m/>
    <x v="7"/>
    <n v="218915916"/>
    <s v="Beasiswa Anak Binaan MAJ"/>
    <x v="14"/>
  </r>
  <r>
    <n v="6500"/>
    <m/>
    <m/>
    <x v="7"/>
    <n v="218909416"/>
    <s v="Beasiswa Anak Binaan MAJ"/>
    <x v="14"/>
  </r>
  <r>
    <m/>
    <m/>
    <n v="20000"/>
    <x v="7"/>
    <n v="218929416"/>
    <s v="INFAQ QRIS"/>
    <x v="2"/>
  </r>
  <r>
    <m/>
    <m/>
    <n v="1000000"/>
    <x v="7"/>
    <n v="219929416"/>
    <s v="INFAQ RAMADHAN NIENDRAPUTRA"/>
    <x v="2"/>
  </r>
  <r>
    <m/>
    <m/>
    <n v="1000000"/>
    <x v="7"/>
    <n v="220929416"/>
    <s v="INFAQ ANGGONO IRIAWAN"/>
    <x v="2"/>
  </r>
  <r>
    <n v="750000"/>
    <m/>
    <m/>
    <x v="7"/>
    <n v="220179416"/>
    <s v="HONOR USTADZ-IMAM MUSLIH"/>
    <x v="11"/>
  </r>
  <r>
    <n v="6500"/>
    <m/>
    <m/>
    <x v="7"/>
    <n v="220172916"/>
    <s v="HONOR USTADZ-IMAM MUSLIH"/>
    <x v="11"/>
  </r>
  <r>
    <m/>
    <m/>
    <n v="2000"/>
    <x v="7"/>
    <n v="220174916"/>
    <s v="INFAQ QRIS"/>
    <x v="2"/>
  </r>
  <r>
    <m/>
    <m/>
    <n v="50000"/>
    <x v="7"/>
    <n v="220224916"/>
    <s v="INFAQ QRIS"/>
    <x v="2"/>
  </r>
  <r>
    <m/>
    <m/>
    <n v="20000"/>
    <x v="7"/>
    <n v="220244916"/>
    <s v="INFAQ QRIS"/>
    <x v="2"/>
  </r>
  <r>
    <m/>
    <m/>
    <n v="100000"/>
    <x v="7"/>
    <n v="220344916"/>
    <s v="INFAQ QRIS"/>
    <x v="2"/>
  </r>
  <r>
    <m/>
    <m/>
    <n v="50000"/>
    <x v="7"/>
    <n v="220394916"/>
    <s v="INFAQ QRIS"/>
    <x v="2"/>
  </r>
  <r>
    <m/>
    <m/>
    <n v="20000"/>
    <x v="7"/>
    <n v="220414916"/>
    <s v="INFAQ QRIS"/>
    <x v="2"/>
  </r>
  <r>
    <m/>
    <m/>
    <n v="20000"/>
    <x v="7"/>
    <n v="220434916"/>
    <s v="INFAQ QRIS"/>
    <x v="2"/>
  </r>
  <r>
    <m/>
    <m/>
    <n v="3500"/>
    <x v="7"/>
    <n v="220438416"/>
    <s v="INFAQ QRIS"/>
    <x v="2"/>
  </r>
  <r>
    <n v="1000000"/>
    <m/>
    <m/>
    <x v="7"/>
    <n v="219438416"/>
    <s v="HONOR UST-WAHID RAHMAN"/>
    <x v="11"/>
  </r>
  <r>
    <n v="6500"/>
    <m/>
    <m/>
    <x v="7"/>
    <n v="219431916"/>
    <s v="HONOR UST-WAHID RAHMAN"/>
    <x v="11"/>
  </r>
  <r>
    <m/>
    <m/>
    <n v="40000"/>
    <x v="7"/>
    <n v="219471916"/>
    <s v="INFAQ QRIS"/>
    <x v="2"/>
  </r>
  <r>
    <m/>
    <m/>
    <n v="50000"/>
    <x v="7"/>
    <n v="219521916"/>
    <s v="INFAQ QRIS"/>
    <x v="2"/>
  </r>
  <r>
    <m/>
    <m/>
    <n v="20000"/>
    <x v="7"/>
    <n v="219541916"/>
    <s v="INFAQ QRIS"/>
    <x v="2"/>
  </r>
  <r>
    <m/>
    <m/>
    <n v="2000"/>
    <x v="7"/>
    <n v="219543916"/>
    <s v="INFAQ QRIS"/>
    <x v="2"/>
  </r>
  <r>
    <n v="1000000"/>
    <m/>
    <m/>
    <x v="7"/>
    <n v="218543916"/>
    <s v="AHMAD IMAM SAMUDRA MAJ Honor Juli 2025"/>
    <x v="13"/>
  </r>
  <r>
    <n v="6500"/>
    <m/>
    <m/>
    <x v="7"/>
    <n v="218537416"/>
    <s v="AHMAD IMAM SAMUDRA MAJ Honor Juli 2025"/>
    <x v="13"/>
  </r>
  <r>
    <n v="2250000"/>
    <m/>
    <m/>
    <x v="7"/>
    <n v="216287416"/>
    <s v=" A IMRON ROSADI MAJ Honor Juli 2025"/>
    <x v="13"/>
  </r>
  <r>
    <n v="6500"/>
    <m/>
    <m/>
    <x v="7"/>
    <n v="216280916"/>
    <s v=" A IMRON ROSADI MAJ Honor Juli 2025"/>
    <x v="13"/>
  </r>
  <r>
    <n v="2500000"/>
    <m/>
    <m/>
    <x v="7"/>
    <n v="213780916"/>
    <s v="MUHAMMAD ILHAM MAJ Honor Juli 2025"/>
    <x v="13"/>
  </r>
  <r>
    <n v="6500"/>
    <m/>
    <m/>
    <x v="7"/>
    <n v="213774416"/>
    <s v="MUHAMMAD ILHAM MAJ Honor Juli 2025"/>
    <x v="13"/>
  </r>
  <r>
    <n v="2700000"/>
    <m/>
    <m/>
    <x v="7"/>
    <n v="211074416"/>
    <s v="M BAYU CANDRA MAJ Honor Mushrif Juli 2025"/>
    <x v="14"/>
  </r>
  <r>
    <n v="6500"/>
    <m/>
    <m/>
    <x v="7"/>
    <n v="211067916"/>
    <s v="M BAYU CANDRA MAJ Honor Mushrif Juli 2025"/>
    <x v="14"/>
  </r>
  <r>
    <n v="2000000"/>
    <m/>
    <m/>
    <x v="7"/>
    <n v="209067916"/>
    <s v="LINA HERLINA Biaya Adm Pengajian Ibu-Ibu MAJ Agustus"/>
    <x v="11"/>
  </r>
  <r>
    <n v="6500"/>
    <m/>
    <m/>
    <x v="7"/>
    <n v="209061416"/>
    <s v="LINA HERLINA Biaya Adm Pengajian Ibu-Ibu MAJ Agustus"/>
    <x v="11"/>
  </r>
  <r>
    <n v="4000000"/>
    <m/>
    <m/>
    <x v="7"/>
    <n v="205061416"/>
    <s v="M BAYU CANDRA MAJ Biaya Perawatan Santri Juli 2025"/>
    <x v="14"/>
  </r>
  <r>
    <n v="6500"/>
    <m/>
    <m/>
    <x v="7"/>
    <n v="205054916"/>
    <s v="M BAYU CANDRA MAJ Biaya Perawatan Santri Juli 2025"/>
    <x v="14"/>
  </r>
  <r>
    <n v="550000"/>
    <m/>
    <m/>
    <x v="7"/>
    <n v="204504916"/>
    <s v="M BAYU CANDRA MAJ Honor Juli 2025"/>
    <x v="13"/>
  </r>
  <r>
    <n v="6500"/>
    <m/>
    <m/>
    <x v="7"/>
    <n v="204498416"/>
    <s v="M BAYU CANDRA MAJ Honor Juli 2025"/>
    <x v="13"/>
  </r>
  <r>
    <n v="3500000"/>
    <m/>
    <m/>
    <x v="7"/>
    <n v="200998416"/>
    <s v="NANANG SUBAEDI MAJ Honor Juli 2025"/>
    <x v="13"/>
  </r>
  <r>
    <n v="6500"/>
    <m/>
    <m/>
    <x v="7"/>
    <n v="200991916"/>
    <s v="NANANG SUBAEDI MAJ Honor Juli 2025"/>
    <x v="13"/>
  </r>
  <r>
    <n v="2750000"/>
    <m/>
    <m/>
    <x v="7"/>
    <n v="198241916"/>
    <s v="HONOR USTADZ SURYADI"/>
    <x v="13"/>
  </r>
  <r>
    <n v="250000"/>
    <m/>
    <m/>
    <x v="7"/>
    <n v="197991916"/>
    <s v="M BAYU CANDRA Keperluan Santri MAJ"/>
    <x v="14"/>
  </r>
  <r>
    <n v="6500"/>
    <m/>
    <m/>
    <x v="7"/>
    <n v="197985416"/>
    <s v="M BAYU CANDRA Keperluan Santri MAJ"/>
    <x v="14"/>
  </r>
  <r>
    <m/>
    <m/>
    <n v="20000"/>
    <x v="7"/>
    <n v="198005416"/>
    <s v="INFAQ QRIS"/>
    <x v="2"/>
  </r>
  <r>
    <m/>
    <m/>
    <n v="1500"/>
    <x v="7"/>
    <n v="198006916"/>
    <s v="INFAQ QRIS"/>
    <x v="2"/>
  </r>
  <r>
    <m/>
    <m/>
    <n v="25000"/>
    <x v="7"/>
    <n v="198031916"/>
    <s v="INFAQ QRIS"/>
    <x v="2"/>
  </r>
  <r>
    <m/>
    <m/>
    <n v="1510000"/>
    <x v="7"/>
    <n v="199541916"/>
    <m/>
    <x v="12"/>
  </r>
  <r>
    <m/>
    <m/>
    <n v="3932000"/>
    <x v="7"/>
    <n v="203473916"/>
    <m/>
    <x v="2"/>
  </r>
  <r>
    <m/>
    <n v="5442000"/>
    <m/>
    <x v="1"/>
    <n v="203473916"/>
    <s v=" 001114877976   SETOR TUNAI "/>
    <x v="4"/>
  </r>
  <r>
    <m/>
    <m/>
    <n v="20000"/>
    <x v="7"/>
    <n v="203493916"/>
    <s v="INFAQ QRIS"/>
    <x v="2"/>
  </r>
  <r>
    <m/>
    <m/>
    <n v="20000"/>
    <x v="7"/>
    <n v="203513916"/>
    <s v="INFAQ QRIS"/>
    <x v="2"/>
  </r>
  <r>
    <m/>
    <m/>
    <n v="50000"/>
    <x v="7"/>
    <n v="203563916"/>
    <s v="INFAQ QRIS"/>
    <x v="2"/>
  </r>
  <r>
    <m/>
    <m/>
    <n v="1500"/>
    <x v="7"/>
    <n v="203565416"/>
    <s v="INFAQ QRIS"/>
    <x v="2"/>
  </r>
  <r>
    <m/>
    <m/>
    <n v="10000"/>
    <x v="7"/>
    <n v="203575416"/>
    <s v="INFAQ QRIS"/>
    <x v="2"/>
  </r>
  <r>
    <m/>
    <m/>
    <n v="20000"/>
    <x v="7"/>
    <n v="203595416"/>
    <s v="INFAQ QRIS"/>
    <x v="2"/>
  </r>
  <r>
    <m/>
    <m/>
    <n v="7650"/>
    <x v="7"/>
    <n v="203603066"/>
    <s v="INFAQ QRIS"/>
    <x v="2"/>
  </r>
  <r>
    <n v="3500000"/>
    <m/>
    <m/>
    <x v="7"/>
    <n v="200103066"/>
    <s v="Paket Ambulance dan Tenda Takziah"/>
    <x v="15"/>
  </r>
  <r>
    <n v="6500"/>
    <m/>
    <m/>
    <x v="7"/>
    <n v="200096566"/>
    <s v="Paket Ambulance dan Tenda Takziah"/>
    <x v="15"/>
  </r>
  <r>
    <m/>
    <m/>
    <n v="350000"/>
    <x v="7"/>
    <n v="200446566"/>
    <s v="INFAQ DESYANA SE "/>
    <x v="2"/>
  </r>
  <r>
    <m/>
    <m/>
    <n v="200000"/>
    <x v="7"/>
    <n v="200646566"/>
    <s v="Infaq TPQ RIVENDRA u Fatih"/>
    <x v="2"/>
  </r>
  <r>
    <m/>
    <m/>
    <n v="20000"/>
    <x v="7"/>
    <n v="200666566"/>
    <s v="INFAQ QRIS"/>
    <x v="2"/>
  </r>
  <r>
    <m/>
    <m/>
    <n v="10000"/>
    <x v="7"/>
    <n v="200676566"/>
    <s v="INFAQ QRIS"/>
    <x v="2"/>
  </r>
  <r>
    <m/>
    <m/>
    <n v="1000"/>
    <x v="7"/>
    <n v="200677566"/>
    <s v="INFAQ QRIS"/>
    <x v="2"/>
  </r>
  <r>
    <m/>
    <m/>
    <n v="20000"/>
    <x v="8"/>
    <n v="200697566"/>
    <s v="INFAQ QRIS"/>
    <x v="2"/>
  </r>
  <r>
    <m/>
    <m/>
    <n v="1000"/>
    <x v="8"/>
    <n v="200698566"/>
    <s v="INFAQ QRIS"/>
    <x v="2"/>
  </r>
  <r>
    <m/>
    <m/>
    <n v="200000"/>
    <x v="8"/>
    <n v="200898566"/>
    <s v="INFAQ UMI HAMIDAH DRA"/>
    <x v="2"/>
  </r>
  <r>
    <m/>
    <m/>
    <n v="200000"/>
    <x v="8"/>
    <n v="201098566"/>
    <s v="INFAQ WUSONO PRIHADI SANTO"/>
    <x v="2"/>
  </r>
  <r>
    <m/>
    <m/>
    <n v="500000"/>
    <x v="8"/>
    <n v="201598566"/>
    <s v="INFAQ DRS SARWONO"/>
    <x v="2"/>
  </r>
  <r>
    <m/>
    <m/>
    <n v="300000"/>
    <x v="8"/>
    <n v="201898566"/>
    <s v="INFAQ FADJAR SATYANI"/>
    <x v="2"/>
  </r>
  <r>
    <n v="750000"/>
    <m/>
    <m/>
    <x v="8"/>
    <n v="201148566"/>
    <s v="HONOR USTADZ-IMAM MUSLIH Hadiah Kajian MAJ 020825"/>
    <x v="11"/>
  </r>
  <r>
    <n v="6500"/>
    <m/>
    <m/>
    <x v="8"/>
    <n v="201142066"/>
    <s v="HONOR USTADZ-IMAM MUSLIH Hadiah Kajian MAJ 020825"/>
    <x v="11"/>
  </r>
  <r>
    <m/>
    <m/>
    <n v="50000"/>
    <x v="8"/>
    <n v="201192066"/>
    <s v="INFAQ QRIS"/>
    <x v="2"/>
  </r>
  <r>
    <m/>
    <m/>
    <n v="100000"/>
    <x v="8"/>
    <n v="201292066"/>
    <s v="INFAQ QRIS"/>
    <x v="2"/>
  </r>
  <r>
    <m/>
    <m/>
    <n v="10000"/>
    <x v="8"/>
    <n v="201302066"/>
    <s v="INFAQ QRIS"/>
    <x v="2"/>
  </r>
  <r>
    <m/>
    <m/>
    <n v="50000"/>
    <x v="8"/>
    <n v="201352066"/>
    <s v="INFAQ QRIS"/>
    <x v="2"/>
  </r>
  <r>
    <m/>
    <m/>
    <n v="20000"/>
    <x v="8"/>
    <n v="201372066"/>
    <s v="INFAQ QRIS"/>
    <x v="2"/>
  </r>
  <r>
    <m/>
    <m/>
    <n v="20000"/>
    <x v="8"/>
    <n v="201392066"/>
    <s v="INFAQ QRIS"/>
    <x v="2"/>
  </r>
  <r>
    <m/>
    <m/>
    <n v="20000"/>
    <x v="8"/>
    <n v="201412066"/>
    <s v="INFAQ QRIS"/>
    <x v="2"/>
  </r>
  <r>
    <m/>
    <m/>
    <n v="50000"/>
    <x v="8"/>
    <n v="201462066"/>
    <s v="INFAQ QRIS"/>
    <x v="2"/>
  </r>
  <r>
    <m/>
    <m/>
    <n v="1138"/>
    <x v="8"/>
    <n v="201463204"/>
    <s v="INFAQ QRIS"/>
    <x v="2"/>
  </r>
  <r>
    <m/>
    <m/>
    <n v="5000"/>
    <x v="8"/>
    <n v="201468204"/>
    <s v="INFAQ QRIS"/>
    <x v="2"/>
  </r>
  <r>
    <m/>
    <m/>
    <n v="5000"/>
    <x v="8"/>
    <n v="201473204"/>
    <s v="INFAQ QRIS"/>
    <x v="2"/>
  </r>
  <r>
    <m/>
    <m/>
    <n v="200000"/>
    <x v="8"/>
    <n v="201673204"/>
    <s v="INFAQ SURJATI SUTARJA"/>
    <x v="2"/>
  </r>
  <r>
    <m/>
    <m/>
    <n v="200000"/>
    <x v="8"/>
    <n v="201873204"/>
    <s v="INFAQ DEDEN TP PERDIANSYAH"/>
    <x v="2"/>
  </r>
  <r>
    <n v="750000"/>
    <m/>
    <m/>
    <x v="8"/>
    <n v="201123204"/>
    <s v="HONOR USTADZ UMAR-ZULFA SYAHIDAH "/>
    <x v="11"/>
  </r>
  <r>
    <n v="6500"/>
    <m/>
    <m/>
    <x v="8"/>
    <n v="201116704"/>
    <s v="HONOR USTADZ UMAR-ZULFA SYAHIDAH "/>
    <x v="11"/>
  </r>
  <r>
    <m/>
    <m/>
    <n v="20000"/>
    <x v="8"/>
    <n v="201136704"/>
    <s v="INFAQ QRIS"/>
    <x v="2"/>
  </r>
  <r>
    <m/>
    <m/>
    <n v="10000"/>
    <x v="8"/>
    <n v="201146704"/>
    <s v="INFAQ QRIS"/>
    <x v="2"/>
  </r>
  <r>
    <m/>
    <m/>
    <n v="1000"/>
    <x v="8"/>
    <n v="201147704"/>
    <s v="INFAQ QRIS"/>
    <x v="2"/>
  </r>
  <r>
    <m/>
    <m/>
    <n v="100000"/>
    <x v="8"/>
    <n v="201247704"/>
    <s v="INFAQ HADIANTI DELLIANA"/>
    <x v="2"/>
  </r>
  <r>
    <n v="3009000"/>
    <m/>
    <m/>
    <x v="8"/>
    <n v="198238704"/>
    <s v="Beli Voucher Listrik MAJ"/>
    <x v="7"/>
  </r>
  <r>
    <n v="6500"/>
    <m/>
    <m/>
    <x v="8"/>
    <n v="198232204"/>
    <s v="Beli Voucher Listrik MAJ"/>
    <x v="7"/>
  </r>
  <r>
    <m/>
    <m/>
    <n v="2000"/>
    <x v="8"/>
    <n v="198234204"/>
    <s v="INFAQ QRIS"/>
    <x v="2"/>
  </r>
  <r>
    <m/>
    <m/>
    <n v="25000"/>
    <x v="8"/>
    <n v="198259204"/>
    <s v="INFAQ QRIS"/>
    <x v="2"/>
  </r>
  <r>
    <m/>
    <m/>
    <n v="2095000"/>
    <x v="8"/>
    <n v="200354204"/>
    <m/>
    <x v="12"/>
  </r>
  <r>
    <m/>
    <m/>
    <n v="2612000"/>
    <x v="8"/>
    <n v="202966204"/>
    <m/>
    <x v="2"/>
  </r>
  <r>
    <m/>
    <n v="4707000"/>
    <m/>
    <x v="1"/>
    <n v="202966204"/>
    <s v=" 001114980380 INFAQ  SETOR TUNAI "/>
    <x v="4"/>
  </r>
  <r>
    <m/>
    <m/>
    <n v="20000"/>
    <x v="8"/>
    <n v="202986204"/>
    <s v="INFAQ QRIS"/>
    <x v="2"/>
  </r>
  <r>
    <m/>
    <m/>
    <n v="1000"/>
    <x v="8"/>
    <n v="202987204"/>
    <s v="INFAQ QRIS"/>
    <x v="2"/>
  </r>
  <r>
    <m/>
    <m/>
    <n v="500000"/>
    <x v="8"/>
    <n v="203487204"/>
    <s v="INFAQ INDRAEDISANTOSO"/>
    <x v="2"/>
  </r>
  <r>
    <m/>
    <m/>
    <n v="10000"/>
    <x v="8"/>
    <n v="203497204"/>
    <s v="INFAQ QRIS"/>
    <x v="2"/>
  </r>
  <r>
    <m/>
    <m/>
    <n v="20000"/>
    <x v="8"/>
    <n v="203517204"/>
    <s v="INFAQ QRIS"/>
    <x v="2"/>
  </r>
  <r>
    <m/>
    <m/>
    <n v="1000"/>
    <x v="8"/>
    <n v="203518204"/>
    <s v="INFAQ QRIS"/>
    <x v="2"/>
  </r>
  <r>
    <m/>
    <m/>
    <n v="400000"/>
    <x v="8"/>
    <n v="203918204"/>
    <s v="INFAQ PUTIE AMBUN SURI/RIVENDRA"/>
    <x v="2"/>
  </r>
  <r>
    <m/>
    <m/>
    <n v="800000"/>
    <x v="8"/>
    <n v="204718204"/>
    <s v="INFAQ TPQ A IMRON ROSADI"/>
    <x v="10"/>
  </r>
  <r>
    <m/>
    <m/>
    <n v="150000"/>
    <x v="8"/>
    <n v="204868204"/>
    <s v="INFAQ DWI LISTYOWATI DRA"/>
    <x v="2"/>
  </r>
  <r>
    <m/>
    <m/>
    <n v="20000"/>
    <x v="8"/>
    <n v="204888204"/>
    <s v="INFAQ QRIS"/>
    <x v="2"/>
  </r>
  <r>
    <m/>
    <m/>
    <n v="1000"/>
    <x v="8"/>
    <n v="204889204"/>
    <s v="INFAQ QRIS"/>
    <x v="2"/>
  </r>
  <r>
    <n v="675000"/>
    <m/>
    <m/>
    <x v="8"/>
    <n v="204214204"/>
    <s v="A IMRON ROSADI Service AC 9 Unit MAJ"/>
    <x v="8"/>
  </r>
  <r>
    <n v="6500"/>
    <m/>
    <m/>
    <x v="8"/>
    <n v="204207704"/>
    <s v="A IMRON ROSADI Service AC 9 Unit MAJ"/>
    <x v="8"/>
  </r>
  <r>
    <m/>
    <m/>
    <n v="2000000"/>
    <x v="8"/>
    <n v="206207704"/>
    <s v="INFAQ RIZKYHIDAYATSL"/>
    <x v="2"/>
  </r>
  <r>
    <m/>
    <m/>
    <n v="50000"/>
    <x v="8"/>
    <n v="206257704"/>
    <s v="INFAQ QRIS"/>
    <x v="2"/>
  </r>
  <r>
    <m/>
    <m/>
    <n v="10000"/>
    <x v="8"/>
    <n v="206267704"/>
    <s v="INFAQ QRIS"/>
    <x v="2"/>
  </r>
  <r>
    <m/>
    <m/>
    <n v="20000"/>
    <x v="8"/>
    <n v="206287704"/>
    <s v="INFAQ QRIS"/>
    <x v="2"/>
  </r>
  <r>
    <m/>
    <m/>
    <n v="1000"/>
    <x v="8"/>
    <n v="206288704"/>
    <s v="INFAQ QRIS"/>
    <x v="2"/>
  </r>
  <r>
    <n v="750000"/>
    <m/>
    <m/>
    <x v="8"/>
    <n v="205538704"/>
    <s v="HONOR UST-ABDUL HAMID"/>
    <x v="11"/>
  </r>
  <r>
    <n v="6500"/>
    <m/>
    <m/>
    <x v="8"/>
    <n v="205532204"/>
    <s v="HONOR UST-ABDUL HAMID"/>
    <x v="11"/>
  </r>
  <r>
    <m/>
    <m/>
    <n v="50000"/>
    <x v="8"/>
    <n v="205582204"/>
    <s v="INFAQ QRIS"/>
    <x v="2"/>
  </r>
  <r>
    <m/>
    <m/>
    <n v="100000"/>
    <x v="8"/>
    <n v="205682204"/>
    <s v="INFAQ QRIS"/>
    <x v="2"/>
  </r>
  <r>
    <m/>
    <m/>
    <n v="10000"/>
    <x v="8"/>
    <n v="205692204"/>
    <s v="INFAQ QRIS"/>
    <x v="2"/>
  </r>
  <r>
    <m/>
    <m/>
    <n v="10000"/>
    <x v="8"/>
    <n v="205702204"/>
    <s v="INFAQ QRIS"/>
    <x v="2"/>
  </r>
  <r>
    <m/>
    <m/>
    <n v="50000"/>
    <x v="8"/>
    <n v="205752204"/>
    <s v="INFAQ QRIS"/>
    <x v="2"/>
  </r>
  <r>
    <m/>
    <m/>
    <n v="50000"/>
    <x v="8"/>
    <n v="205802204"/>
    <s v="INFAQ QRIS"/>
    <x v="2"/>
  </r>
  <r>
    <m/>
    <m/>
    <n v="20000"/>
    <x v="8"/>
    <n v="205822204"/>
    <s v="INFAQ QRIS"/>
    <x v="2"/>
  </r>
  <r>
    <m/>
    <m/>
    <n v="20000"/>
    <x v="8"/>
    <n v="205842204"/>
    <s v="INFAQ QRIS"/>
    <x v="2"/>
  </r>
  <r>
    <m/>
    <m/>
    <n v="50000"/>
    <x v="8"/>
    <n v="205892204"/>
    <s v="INFAQ QRIS"/>
    <x v="2"/>
  </r>
  <r>
    <m/>
    <m/>
    <n v="1000"/>
    <x v="8"/>
    <n v="205893204"/>
    <s v="INFAQ QRIS"/>
    <x v="2"/>
  </r>
  <r>
    <m/>
    <m/>
    <n v="5000"/>
    <x v="8"/>
    <n v="205898204"/>
    <s v="INFAQ QRIS"/>
    <x v="2"/>
  </r>
  <r>
    <n v="750000"/>
    <m/>
    <m/>
    <x v="8"/>
    <n v="205148204"/>
    <s v="HONOR UST. DARWIS"/>
    <x v="11"/>
  </r>
  <r>
    <m/>
    <m/>
    <n v="20000"/>
    <x v="8"/>
    <n v="205168204"/>
    <s v="INFAQ QRIS"/>
    <x v="2"/>
  </r>
  <r>
    <m/>
    <m/>
    <n v="10000"/>
    <x v="8"/>
    <n v="205178204"/>
    <s v="INFAQ QRIS"/>
    <x v="2"/>
  </r>
  <r>
    <m/>
    <m/>
    <n v="1000"/>
    <x v="8"/>
    <n v="205179204"/>
    <s v="INFAQ QRIS"/>
    <x v="2"/>
  </r>
  <r>
    <m/>
    <m/>
    <n v="20000"/>
    <x v="8"/>
    <n v="205199204"/>
    <s v="INFAQ QRIS"/>
    <x v="2"/>
  </r>
  <r>
    <m/>
    <m/>
    <n v="1000"/>
    <x v="8"/>
    <n v="205200204"/>
    <s v="INFAQ QRIS"/>
    <x v="2"/>
  </r>
  <r>
    <m/>
    <m/>
    <n v="25000"/>
    <x v="8"/>
    <n v="205225204"/>
    <s v="INFAQ QRIS"/>
    <x v="2"/>
  </r>
  <r>
    <m/>
    <m/>
    <n v="4008000"/>
    <x v="8"/>
    <n v="209233204"/>
    <m/>
    <x v="12"/>
  </r>
  <r>
    <m/>
    <m/>
    <n v="2145000"/>
    <x v="8"/>
    <n v="211378204"/>
    <m/>
    <x v="2"/>
  </r>
  <r>
    <m/>
    <n v="6153000"/>
    <m/>
    <x v="1"/>
    <n v="211378204"/>
    <s v=" 001115104714   SETOR TUNAI "/>
    <x v="4"/>
  </r>
  <r>
    <m/>
    <m/>
    <n v="100000"/>
    <x v="8"/>
    <n v="211478204"/>
    <s v="INFAQ QRIS"/>
    <x v="2"/>
  </r>
  <r>
    <m/>
    <m/>
    <n v="20000"/>
    <x v="8"/>
    <n v="211498204"/>
    <s v="INFAQ QRIS"/>
    <x v="2"/>
  </r>
  <r>
    <m/>
    <m/>
    <n v="20000"/>
    <x v="8"/>
    <n v="211518204"/>
    <s v="INFAQ QRIS"/>
    <x v="2"/>
  </r>
  <r>
    <m/>
    <m/>
    <n v="3000"/>
    <x v="8"/>
    <n v="211521204"/>
    <s v="INFAQ QRIS"/>
    <x v="2"/>
  </r>
  <r>
    <m/>
    <m/>
    <n v="10000"/>
    <x v="8"/>
    <n v="211531204"/>
    <s v="INFAQ QRIS"/>
    <x v="2"/>
  </r>
  <r>
    <m/>
    <m/>
    <n v="20000"/>
    <x v="8"/>
    <n v="211551204"/>
    <s v="INFAQ QRIS"/>
    <x v="2"/>
  </r>
  <r>
    <m/>
    <m/>
    <n v="1000"/>
    <x v="8"/>
    <n v="211552204"/>
    <s v="INFAQ QRIS"/>
    <x v="2"/>
  </r>
  <r>
    <m/>
    <m/>
    <n v="10000"/>
    <x v="8"/>
    <n v="211562204"/>
    <s v="INFAQ QRIS"/>
    <x v="2"/>
  </r>
  <r>
    <m/>
    <m/>
    <n v="20000"/>
    <x v="8"/>
    <n v="211582204"/>
    <s v="INFAQ QRIS"/>
    <x v="2"/>
  </r>
  <r>
    <m/>
    <m/>
    <n v="1500"/>
    <x v="8"/>
    <n v="211583704"/>
    <s v="INFAQ QRIS"/>
    <x v="2"/>
  </r>
  <r>
    <m/>
    <m/>
    <n v="100000"/>
    <x v="8"/>
    <n v="211683704"/>
    <s v="INFAQ FENTYHERLIANA"/>
    <x v="2"/>
  </r>
  <r>
    <m/>
    <m/>
    <n v="30000"/>
    <x v="8"/>
    <n v="211713704"/>
    <s v="INFAQ QRIS"/>
    <x v="2"/>
  </r>
  <r>
    <m/>
    <m/>
    <n v="100000"/>
    <x v="8"/>
    <n v="211813704"/>
    <s v="INFAQ QRIS"/>
    <x v="2"/>
  </r>
  <r>
    <m/>
    <m/>
    <n v="100000"/>
    <x v="8"/>
    <n v="211913704"/>
    <s v="INFAQ QRIS"/>
    <x v="2"/>
  </r>
  <r>
    <m/>
    <m/>
    <n v="10000"/>
    <x v="8"/>
    <n v="211923704"/>
    <s v="INFAQ QRIS"/>
    <x v="2"/>
  </r>
  <r>
    <m/>
    <m/>
    <n v="20000"/>
    <x v="8"/>
    <n v="211943704"/>
    <s v="INFAQ QRIS"/>
    <x v="2"/>
  </r>
  <r>
    <m/>
    <m/>
    <n v="2000"/>
    <x v="8"/>
    <n v="211945704"/>
    <s v="INFAQ QRIS"/>
    <x v="2"/>
  </r>
  <r>
    <n v="750000"/>
    <m/>
    <m/>
    <x v="8"/>
    <n v="211195704"/>
    <s v="HONOR UST. FAISAL "/>
    <x v="11"/>
  </r>
  <r>
    <m/>
    <m/>
    <n v="50000"/>
    <x v="8"/>
    <n v="211245704"/>
    <s v="INFAQ QRIS"/>
    <x v="2"/>
  </r>
  <r>
    <m/>
    <m/>
    <n v="25000"/>
    <x v="8"/>
    <n v="211270704"/>
    <s v="INFAQ QRIS"/>
    <x v="2"/>
  </r>
  <r>
    <m/>
    <m/>
    <n v="3000"/>
    <x v="8"/>
    <n v="211273704"/>
    <s v="INFAQ QRIS"/>
    <x v="2"/>
  </r>
  <r>
    <m/>
    <m/>
    <n v="5000"/>
    <x v="8"/>
    <n v="211278704"/>
    <s v="INFAQ QRIS"/>
    <x v="2"/>
  </r>
  <r>
    <m/>
    <m/>
    <n v="10000"/>
    <x v="8"/>
    <n v="211288704"/>
    <s v="INFAQ QRIS"/>
    <x v="2"/>
  </r>
  <r>
    <m/>
    <m/>
    <n v="10000"/>
    <x v="8"/>
    <n v="211298704"/>
    <s v="INFAQ QRIS"/>
    <x v="2"/>
  </r>
  <r>
    <m/>
    <m/>
    <n v="20000"/>
    <x v="8"/>
    <n v="211318704"/>
    <s v="INFAQ QRIS"/>
    <x v="2"/>
  </r>
  <r>
    <n v="750000"/>
    <m/>
    <m/>
    <x v="8"/>
    <n v="210568704"/>
    <s v="HONOR UST. HASAN MUBAROK"/>
    <x v="11"/>
  </r>
  <r>
    <n v="6500"/>
    <m/>
    <m/>
    <x v="8"/>
    <n v="210562204"/>
    <s v="HONOR UST. HASAN MUBAROK"/>
    <x v="11"/>
  </r>
  <r>
    <m/>
    <m/>
    <n v="10000"/>
    <x v="8"/>
    <n v="210572204"/>
    <s v="INFAQ QRIS"/>
    <x v="2"/>
  </r>
  <r>
    <m/>
    <m/>
    <n v="20000"/>
    <x v="8"/>
    <n v="210592204"/>
    <s v="INFAQ QRIS"/>
    <x v="2"/>
  </r>
  <r>
    <m/>
    <m/>
    <n v="25000"/>
    <x v="8"/>
    <n v="210617204"/>
    <s v="INFAQ QRIS"/>
    <x v="2"/>
  </r>
  <r>
    <m/>
    <m/>
    <n v="50000"/>
    <x v="8"/>
    <n v="210667204"/>
    <s v="INFAQ QRIS"/>
    <x v="2"/>
  </r>
  <r>
    <m/>
    <m/>
    <n v="20000"/>
    <x v="8"/>
    <n v="210687204"/>
    <s v="INFAQ QRIS"/>
    <x v="2"/>
  </r>
  <r>
    <m/>
    <m/>
    <n v="1000"/>
    <x v="8"/>
    <n v="210688204"/>
    <s v="INFAQ QRIS"/>
    <x v="2"/>
  </r>
  <r>
    <m/>
    <m/>
    <n v="25000"/>
    <x v="8"/>
    <n v="210713204"/>
    <s v="INFAQ QRIS"/>
    <x v="2"/>
  </r>
  <r>
    <m/>
    <m/>
    <n v="3000"/>
    <x v="8"/>
    <n v="210716204"/>
    <s v="INFAQ QRIS"/>
    <x v="2"/>
  </r>
  <r>
    <m/>
    <m/>
    <n v="3000"/>
    <x v="8"/>
    <n v="210719204"/>
    <s v="INFAQ QRIS"/>
    <x v="2"/>
  </r>
  <r>
    <m/>
    <m/>
    <n v="6000"/>
    <x v="8"/>
    <n v="210725204"/>
    <s v="INFAQ QRIS"/>
    <x v="2"/>
  </r>
  <r>
    <m/>
    <m/>
    <n v="1000"/>
    <x v="8"/>
    <n v="210726204"/>
    <s v="INFAQ QRIS"/>
    <x v="2"/>
  </r>
  <r>
    <m/>
    <m/>
    <n v="10000"/>
    <x v="8"/>
    <n v="210736204"/>
    <s v="INFAQ QRIS"/>
    <x v="2"/>
  </r>
  <r>
    <m/>
    <m/>
    <n v="20000"/>
    <x v="8"/>
    <n v="210756204"/>
    <s v="INFAQ QRIS"/>
    <x v="2"/>
  </r>
  <r>
    <m/>
    <m/>
    <n v="25000"/>
    <x v="8"/>
    <n v="210781204"/>
    <s v="INFAQ QRIS"/>
    <x v="2"/>
  </r>
  <r>
    <m/>
    <m/>
    <n v="100000"/>
    <x v="8"/>
    <n v="210881204"/>
    <s v="INFAQ QRIS"/>
    <x v="2"/>
  </r>
  <r>
    <m/>
    <m/>
    <n v="1000"/>
    <x v="8"/>
    <n v="210882204"/>
    <s v="INFAQ QRIS"/>
    <x v="2"/>
  </r>
  <r>
    <m/>
    <m/>
    <n v="20000"/>
    <x v="8"/>
    <n v="210902204"/>
    <s v="INFAQ QRIS"/>
    <x v="2"/>
  </r>
  <r>
    <m/>
    <m/>
    <n v="1866000"/>
    <x v="8"/>
    <n v="212768204"/>
    <m/>
    <x v="12"/>
  </r>
  <r>
    <m/>
    <m/>
    <n v="2718000"/>
    <x v="8"/>
    <n v="215486204"/>
    <m/>
    <x v="2"/>
  </r>
  <r>
    <m/>
    <n v="4584000"/>
    <m/>
    <x v="1"/>
    <n v="215486204"/>
    <s v=" 001115222657   SETOR TUNAI "/>
    <x v="4"/>
  </r>
  <r>
    <m/>
    <m/>
    <n v="1000"/>
    <x v="8"/>
    <n v="215487204"/>
    <s v="INFAQ QRIS"/>
    <x v="2"/>
  </r>
  <r>
    <m/>
    <m/>
    <n v="20000"/>
    <x v="8"/>
    <n v="215507204"/>
    <s v="INFAQ QRIS"/>
    <x v="2"/>
  </r>
  <r>
    <m/>
    <m/>
    <n v="20000"/>
    <x v="8"/>
    <n v="215527204"/>
    <s v="INFAQ QRIS"/>
    <x v="2"/>
  </r>
  <r>
    <m/>
    <m/>
    <n v="3150000"/>
    <x v="8"/>
    <n v="218677204"/>
    <s v="INFAQ COLLECTIVE A IMRON ROSADI"/>
    <x v="2"/>
  </r>
  <r>
    <n v="750000"/>
    <m/>
    <m/>
    <x v="8"/>
    <n v="217927204"/>
    <s v="HONOR UST.IMAM MUSLIH"/>
    <x v="11"/>
  </r>
  <r>
    <n v="6500"/>
    <m/>
    <m/>
    <x v="8"/>
    <n v="217920704"/>
    <s v="HONOR UST.IMAM MUSLIH"/>
    <x v="11"/>
  </r>
  <r>
    <m/>
    <m/>
    <n v="50000"/>
    <x v="8"/>
    <n v="217970704"/>
    <s v="INFAQ QRIS"/>
    <x v="2"/>
  </r>
  <r>
    <m/>
    <m/>
    <n v="50000"/>
    <x v="8"/>
    <n v="218020704"/>
    <s v="INFAQ QRIS"/>
    <x v="2"/>
  </r>
  <r>
    <m/>
    <m/>
    <n v="10000"/>
    <x v="8"/>
    <n v="218030704"/>
    <s v="INFAQ QRIS"/>
    <x v="2"/>
  </r>
  <r>
    <m/>
    <m/>
    <n v="10000"/>
    <x v="8"/>
    <n v="218040704"/>
    <s v="INFAQ QRIS"/>
    <x v="2"/>
  </r>
  <r>
    <m/>
    <m/>
    <n v="100000"/>
    <x v="8"/>
    <n v="218140704"/>
    <s v="INFAQ QRIS"/>
    <x v="2"/>
  </r>
  <r>
    <m/>
    <m/>
    <n v="20000"/>
    <x v="8"/>
    <n v="218160704"/>
    <s v="INFAQ QRIS"/>
    <x v="2"/>
  </r>
  <r>
    <m/>
    <m/>
    <n v="15000"/>
    <x v="8"/>
    <n v="218175704"/>
    <s v="INFAQ QRIS"/>
    <x v="2"/>
  </r>
  <r>
    <m/>
    <m/>
    <n v="20000"/>
    <x v="8"/>
    <n v="218195704"/>
    <s v="INFAQ QRIS"/>
    <x v="2"/>
  </r>
  <r>
    <m/>
    <m/>
    <n v="1000"/>
    <x v="8"/>
    <n v="218196704"/>
    <s v="INFAQ QRIS"/>
    <x v="2"/>
  </r>
  <r>
    <n v="1000000"/>
    <m/>
    <m/>
    <x v="8"/>
    <n v="217196704"/>
    <s v="HONOR UST.WAHID RAHMAN"/>
    <x v="11"/>
  </r>
  <r>
    <n v="6500"/>
    <m/>
    <m/>
    <x v="8"/>
    <n v="217190204"/>
    <s v="HONOR UST.WAHID RAHMAN"/>
    <x v="11"/>
  </r>
  <r>
    <m/>
    <m/>
    <n v="20000"/>
    <x v="8"/>
    <n v="217210204"/>
    <s v="INFAQ QRIS"/>
    <x v="2"/>
  </r>
  <r>
    <m/>
    <m/>
    <n v="1000"/>
    <x v="8"/>
    <n v="217211204"/>
    <s v="INFAQ QRIS"/>
    <x v="2"/>
  </r>
  <r>
    <m/>
    <m/>
    <n v="25000"/>
    <x v="8"/>
    <n v="217236204"/>
    <s v="INFAQ QRIS"/>
    <x v="2"/>
  </r>
  <r>
    <m/>
    <m/>
    <n v="200000"/>
    <x v="8"/>
    <n v="217436204"/>
    <s v="INFAQ TPQ FATIH RIVENDRA"/>
    <x v="2"/>
  </r>
  <r>
    <m/>
    <m/>
    <n v="1000"/>
    <x v="8"/>
    <n v="217437204"/>
    <s v="INFAQ QRIS"/>
    <x v="2"/>
  </r>
  <r>
    <m/>
    <m/>
    <n v="25"/>
    <x v="8"/>
    <n v="217437229"/>
    <s v="INFAQ QRIS"/>
    <x v="2"/>
  </r>
  <r>
    <m/>
    <m/>
    <n v="25000"/>
    <x v="8"/>
    <n v="217462229"/>
    <s v="INFAQ QRIS"/>
    <x v="2"/>
  </r>
  <r>
    <m/>
    <m/>
    <n v="1000000"/>
    <x v="8"/>
    <n v="218462229"/>
    <s v="INFAQ RAMADHAN NIENDRAPUTRA"/>
    <x v="2"/>
  </r>
  <r>
    <m/>
    <m/>
    <n v="1000"/>
    <x v="8"/>
    <n v="218463229"/>
    <s v="INFAQ QRIS"/>
    <x v="2"/>
  </r>
  <r>
    <m/>
    <m/>
    <n v="20000"/>
    <x v="8"/>
    <n v="218483229"/>
    <s v="INFAQ QRIS"/>
    <x v="2"/>
  </r>
  <r>
    <m/>
    <m/>
    <n v="10000"/>
    <x v="8"/>
    <n v="218493229"/>
    <s v="INFAQ QRIS"/>
    <x v="2"/>
  </r>
  <r>
    <n v="1000000"/>
    <m/>
    <m/>
    <x v="8"/>
    <n v="217493229"/>
    <s v="GAJI MARBOT &amp; IMAM"/>
    <x v="13"/>
  </r>
  <r>
    <n v="6500"/>
    <m/>
    <m/>
    <x v="8"/>
    <n v="217486729"/>
    <s v="GAJI MARBOT &amp; IMAM"/>
    <x v="13"/>
  </r>
  <r>
    <n v="3500000"/>
    <m/>
    <m/>
    <x v="8"/>
    <n v="213986729"/>
    <s v="GAJI MARBOT &amp; IMAM"/>
    <x v="13"/>
  </r>
  <r>
    <n v="6500"/>
    <m/>
    <m/>
    <x v="8"/>
    <n v="213980229"/>
    <s v="GAJI MARBOT &amp; IMAM"/>
    <x v="13"/>
  </r>
  <r>
    <n v="2500000"/>
    <m/>
    <m/>
    <x v="8"/>
    <n v="211480229"/>
    <s v="GAJI MARBOT &amp; IMAM"/>
    <x v="13"/>
  </r>
  <r>
    <n v="6500"/>
    <m/>
    <m/>
    <x v="8"/>
    <n v="211473729"/>
    <s v="GAJI MARBOT &amp; IMAM"/>
    <x v="13"/>
  </r>
  <r>
    <n v="4000000"/>
    <m/>
    <m/>
    <x v="8"/>
    <n v="207473729"/>
    <s v="Biaya Perawatan Santri Agustus 2025"/>
    <x v="14"/>
  </r>
  <r>
    <n v="6500"/>
    <m/>
    <m/>
    <x v="8"/>
    <n v="207467229"/>
    <s v="Biaya Perawatan Santri Agustus 2025"/>
    <x v="14"/>
  </r>
  <r>
    <n v="2000000"/>
    <m/>
    <m/>
    <x v="8"/>
    <n v="205467229"/>
    <s v="Biaya Pengajian Ibu-Ibu MAJ September"/>
    <x v="11"/>
  </r>
  <r>
    <n v="6500"/>
    <m/>
    <m/>
    <x v="8"/>
    <n v="205460729"/>
    <s v="Biaya Pengajian Ibu-Ibu MAJ September"/>
    <x v="11"/>
  </r>
  <r>
    <n v="2250000"/>
    <m/>
    <m/>
    <x v="8"/>
    <n v="203210729"/>
    <s v="GAJI MARBOT &amp; IMAM"/>
    <x v="13"/>
  </r>
  <r>
    <n v="6500"/>
    <m/>
    <m/>
    <x v="8"/>
    <n v="203204229"/>
    <s v="GAJI MARBOT &amp; IMAM"/>
    <x v="13"/>
  </r>
  <r>
    <n v="550000"/>
    <m/>
    <m/>
    <x v="8"/>
    <n v="202654229"/>
    <s v="GAJI MARBOT &amp; IMAM"/>
    <x v="13"/>
  </r>
  <r>
    <n v="6500"/>
    <m/>
    <m/>
    <x v="8"/>
    <n v="202647729"/>
    <s v="GAJI MARBOT &amp; IMAM"/>
    <x v="13"/>
  </r>
  <r>
    <n v="2700000"/>
    <m/>
    <m/>
    <x v="8"/>
    <n v="199947729"/>
    <s v="Honor Mushrif Agustus 2025"/>
    <x v="14"/>
  </r>
  <r>
    <n v="6500"/>
    <m/>
    <m/>
    <x v="8"/>
    <n v="199941229"/>
    <s v="Honor Mushrif Agustus 2025"/>
    <x v="14"/>
  </r>
  <r>
    <n v="2750000"/>
    <m/>
    <m/>
    <x v="8"/>
    <n v="197191229"/>
    <s v="GAJI MARBOT &amp; IMAM"/>
    <x v="13"/>
  </r>
  <r>
    <m/>
    <m/>
    <n v="20000"/>
    <x v="8"/>
    <n v="197211229"/>
    <s v="INFAQ QRIS"/>
    <x v="2"/>
  </r>
  <r>
    <m/>
    <m/>
    <n v="20000"/>
    <x v="8"/>
    <n v="197231229"/>
    <s v="INFAQ QRIS"/>
    <x v="2"/>
  </r>
  <r>
    <n v="3500000"/>
    <m/>
    <m/>
    <x v="8"/>
    <n v="193731229"/>
    <s v="Perbaikan Toilet Pria"/>
    <x v="8"/>
  </r>
  <r>
    <n v="6500"/>
    <m/>
    <m/>
    <x v="8"/>
    <n v="193724729"/>
    <s v="Perbaikan Toilet Pria"/>
    <x v="8"/>
  </r>
  <r>
    <n v="2210000"/>
    <m/>
    <m/>
    <x v="8"/>
    <n v="191514729"/>
    <s v="Perbaikan Atap Utara"/>
    <x v="8"/>
  </r>
  <r>
    <n v="6500"/>
    <m/>
    <m/>
    <x v="8"/>
    <n v="191508229"/>
    <s v="Perbaikan Atap Utara"/>
    <x v="8"/>
  </r>
  <r>
    <m/>
    <m/>
    <n v="1000000"/>
    <x v="8"/>
    <n v="192508229"/>
    <s v="INFAQ ANGGONO IRIAWAN"/>
    <x v="2"/>
  </r>
  <r>
    <m/>
    <m/>
    <n v="20000"/>
    <x v="8"/>
    <n v="192528229"/>
    <s v="INFAQ QRIS"/>
    <x v="2"/>
  </r>
  <r>
    <n v="9000"/>
    <m/>
    <m/>
    <x v="8"/>
    <n v="192519229"/>
    <s v="Fee Payroll Juli 2025"/>
    <x v="1"/>
  </r>
  <r>
    <n v="750000"/>
    <m/>
    <m/>
    <x v="8"/>
    <n v="191769229"/>
    <s v="HONOR UST-MOHAMMAD SHODIQ"/>
    <x v="11"/>
  </r>
  <r>
    <n v="6500"/>
    <m/>
    <m/>
    <x v="8"/>
    <n v="191762729"/>
    <s v="HONOR UST-MOHAMMAD SHODIQ"/>
    <x v="11"/>
  </r>
  <r>
    <m/>
    <m/>
    <n v="50000"/>
    <x v="8"/>
    <n v="191812729"/>
    <s v="INFAQ QRIS"/>
    <x v="2"/>
  </r>
  <r>
    <m/>
    <m/>
    <n v="20000"/>
    <x v="8"/>
    <n v="191832729"/>
    <s v="INFAQ QRIS"/>
    <x v="2"/>
  </r>
  <r>
    <m/>
    <m/>
    <n v="10000"/>
    <x v="8"/>
    <n v="191842729"/>
    <s v="INFAQ QRIS"/>
    <x v="2"/>
  </r>
  <r>
    <m/>
    <m/>
    <n v="25000"/>
    <x v="8"/>
    <n v="191867729"/>
    <s v="INFAQ QRIS"/>
    <x v="2"/>
  </r>
  <r>
    <m/>
    <m/>
    <n v="100000"/>
    <x v="8"/>
    <n v="191967729"/>
    <s v="INFAQ QRIS"/>
    <x v="2"/>
  </r>
  <r>
    <m/>
    <m/>
    <n v="50000"/>
    <x v="8"/>
    <n v="192017729"/>
    <s v="INFAQ QRIS"/>
    <x v="2"/>
  </r>
  <r>
    <m/>
    <m/>
    <n v="200000"/>
    <x v="8"/>
    <n v="192217729"/>
    <s v="INFAQ QRIS"/>
    <x v="2"/>
  </r>
  <r>
    <n v="750000"/>
    <m/>
    <m/>
    <x v="8"/>
    <n v="191467729"/>
    <s v="HONOR UST-SAIFUL BAHRI"/>
    <x v="11"/>
  </r>
  <r>
    <n v="6500"/>
    <m/>
    <m/>
    <x v="8"/>
    <n v="191461229"/>
    <s v="HONOR UST-SAIFUL BAHRI"/>
    <x v="11"/>
  </r>
  <r>
    <m/>
    <m/>
    <n v="10000"/>
    <x v="8"/>
    <n v="191471229"/>
    <s v="INFAQ QRIS"/>
    <x v="2"/>
  </r>
  <r>
    <m/>
    <m/>
    <n v="25000"/>
    <x v="8"/>
    <n v="191496229"/>
    <s v="INFAQ QRIS"/>
    <x v="2"/>
  </r>
  <r>
    <m/>
    <m/>
    <n v="20000"/>
    <x v="8"/>
    <n v="191516229"/>
    <s v="INFAQ QRIS"/>
    <x v="2"/>
  </r>
  <r>
    <m/>
    <m/>
    <n v="500000"/>
    <x v="9"/>
    <n v="192016229"/>
    <s v="INFAQ DRS SARWONO"/>
    <x v="2"/>
  </r>
  <r>
    <m/>
    <m/>
    <n v="25000"/>
    <x v="9"/>
    <n v="192041229"/>
    <s v="INFAQ QRIS"/>
    <x v="2"/>
  </r>
  <r>
    <m/>
    <m/>
    <n v="10000"/>
    <x v="9"/>
    <n v="192051229"/>
    <s v="INFAQ QRIS"/>
    <x v="2"/>
  </r>
  <r>
    <m/>
    <m/>
    <n v="20000"/>
    <x v="9"/>
    <n v="192071229"/>
    <s v="INFAQ QRIS"/>
    <x v="2"/>
  </r>
  <r>
    <m/>
    <m/>
    <n v="200000"/>
    <x v="9"/>
    <n v="192271229"/>
    <s v="INFAQ UMI HAMIDAH DRA"/>
    <x v="2"/>
  </r>
  <r>
    <m/>
    <m/>
    <n v="350000"/>
    <x v="9"/>
    <n v="192621229"/>
    <s v="INFAQ DESYANA SE"/>
    <x v="2"/>
  </r>
  <r>
    <m/>
    <m/>
    <n v="750000"/>
    <x v="9"/>
    <n v="193371229"/>
    <s v="INFAQ YADI ABDULLAH "/>
    <x v="2"/>
  </r>
  <r>
    <m/>
    <m/>
    <n v="20000"/>
    <x v="9"/>
    <n v="193391229"/>
    <s v="INFAQ QRIS"/>
    <x v="2"/>
  </r>
  <r>
    <m/>
    <m/>
    <n v="3879000"/>
    <x v="9"/>
    <n v="197270229"/>
    <m/>
    <x v="12"/>
  </r>
  <r>
    <m/>
    <m/>
    <n v="4524000"/>
    <x v="9"/>
    <n v="201794229"/>
    <m/>
    <x v="2"/>
  </r>
  <r>
    <m/>
    <n v="8403000"/>
    <m/>
    <x v="1"/>
    <n v="201794229"/>
    <s v=" 001115417690   SETOR TUNAI "/>
    <x v="4"/>
  </r>
  <r>
    <m/>
    <m/>
    <n v="200000"/>
    <x v="9"/>
    <n v="201994229"/>
    <s v="INFAQ DEDEN TP PERDIANSYAH"/>
    <x v="2"/>
  </r>
  <r>
    <m/>
    <m/>
    <n v="10000"/>
    <x v="9"/>
    <n v="202004229"/>
    <s v="INFAQ QRIS"/>
    <x v="2"/>
  </r>
  <r>
    <m/>
    <m/>
    <n v="20000"/>
    <x v="9"/>
    <n v="202024229"/>
    <s v="INFAQ QRIS"/>
    <x v="2"/>
  </r>
  <r>
    <m/>
    <m/>
    <n v="300000"/>
    <x v="9"/>
    <n v="202324229"/>
    <s v="INFAQ FADJAR SATYANI"/>
    <x v="2"/>
  </r>
  <r>
    <m/>
    <m/>
    <n v="150000"/>
    <x v="9"/>
    <n v="202474229"/>
    <s v="INFAQ DWI LISTYOWATI DRA"/>
    <x v="2"/>
  </r>
  <r>
    <m/>
    <m/>
    <n v="200000"/>
    <x v="9"/>
    <n v="202674229"/>
    <s v="INFAQ WUSONO PRIHADI SANTO"/>
    <x v="2"/>
  </r>
  <r>
    <m/>
    <m/>
    <n v="10000"/>
    <x v="9"/>
    <n v="202684229"/>
    <s v="INFAQ QRIS"/>
    <x v="2"/>
  </r>
  <r>
    <m/>
    <m/>
    <n v="20000"/>
    <x v="9"/>
    <n v="202704229"/>
    <s v="INFAQ QRIS"/>
    <x v="2"/>
  </r>
  <r>
    <m/>
    <m/>
    <n v="30000"/>
    <x v="9"/>
    <n v="202734229"/>
    <s v="INFAQ QRIS"/>
    <x v="2"/>
  </r>
  <r>
    <m/>
    <m/>
    <n v="20000"/>
    <x v="9"/>
    <n v="202754229"/>
    <s v="INFAQ QRIS"/>
    <x v="2"/>
  </r>
  <r>
    <m/>
    <m/>
    <n v="50000"/>
    <x v="9"/>
    <n v="202804229"/>
    <s v="INFAQ QRIS"/>
    <x v="2"/>
  </r>
  <r>
    <m/>
    <m/>
    <n v="2000000"/>
    <x v="9"/>
    <n v="204804229"/>
    <s v="INFAQ RIZKYHIDAYATSL  "/>
    <x v="2"/>
  </r>
  <r>
    <n v="750000"/>
    <m/>
    <m/>
    <x v="9"/>
    <n v="204054229"/>
    <s v="HONOR UST-MOHAMMAD SHODIQ"/>
    <x v="11"/>
  </r>
  <r>
    <n v="6500"/>
    <m/>
    <m/>
    <x v="9"/>
    <n v="204047729"/>
    <s v="HONOR UST-MOHAMMAD SHODIQ"/>
    <x v="11"/>
  </r>
  <r>
    <m/>
    <m/>
    <n v="20000"/>
    <x v="9"/>
    <n v="204067729"/>
    <s v="INFAQ QRIS"/>
    <x v="2"/>
  </r>
  <r>
    <m/>
    <m/>
    <n v="50000"/>
    <x v="9"/>
    <n v="204117729"/>
    <s v="INFAQ QRIS"/>
    <x v="2"/>
  </r>
  <r>
    <m/>
    <m/>
    <n v="45000"/>
    <x v="9"/>
    <n v="204162729"/>
    <s v="INFAQ QRIS"/>
    <x v="2"/>
  </r>
  <r>
    <m/>
    <m/>
    <n v="50000"/>
    <x v="9"/>
    <n v="204212729"/>
    <s v="INFAQ QRIS"/>
    <x v="2"/>
  </r>
  <r>
    <m/>
    <m/>
    <n v="100000"/>
    <x v="9"/>
    <n v="204312729"/>
    <s v="INFAQ QRIS"/>
    <x v="2"/>
  </r>
  <r>
    <m/>
    <m/>
    <n v="5000"/>
    <x v="9"/>
    <n v="204317729"/>
    <s v="INFAQ QRIS"/>
    <x v="2"/>
  </r>
  <r>
    <m/>
    <m/>
    <n v="20000"/>
    <x v="9"/>
    <n v="204337729"/>
    <s v="INFAQ QRIS"/>
    <x v="2"/>
  </r>
  <r>
    <m/>
    <m/>
    <n v="99999"/>
    <x v="9"/>
    <n v="204437728"/>
    <s v="INFAQ QRIS"/>
    <x v="2"/>
  </r>
  <r>
    <m/>
    <m/>
    <n v="200000"/>
    <x v="9"/>
    <n v="204637728"/>
    <s v="INFAQ QRIS"/>
    <x v="2"/>
  </r>
  <r>
    <m/>
    <m/>
    <n v="700000"/>
    <x v="9"/>
    <n v="205337728"/>
    <s v="INFAQ WIWI WIDIAWATI "/>
    <x v="2"/>
  </r>
  <r>
    <n v="750000"/>
    <m/>
    <m/>
    <x v="9"/>
    <n v="204587728"/>
    <s v="HONOR UST UMAR-ZULFA SYAHIDAH"/>
    <x v="11"/>
  </r>
  <r>
    <n v="6500"/>
    <m/>
    <m/>
    <x v="9"/>
    <n v="204581228"/>
    <s v="HONOR UST UMAR-ZULFA SYAHIDAH"/>
    <x v="11"/>
  </r>
  <r>
    <m/>
    <m/>
    <n v="25000"/>
    <x v="9"/>
    <n v="204606228"/>
    <s v="INFAQ QRIS"/>
    <x v="2"/>
  </r>
  <r>
    <m/>
    <m/>
    <n v="20000"/>
    <x v="9"/>
    <n v="204626228"/>
    <s v="INFAQ QRIS"/>
    <x v="2"/>
  </r>
  <r>
    <m/>
    <m/>
    <n v="25000"/>
    <x v="9"/>
    <n v="204651228"/>
    <s v="INFAQ QRIS"/>
    <x v="2"/>
  </r>
  <r>
    <m/>
    <m/>
    <n v="20000"/>
    <x v="9"/>
    <n v="204671228"/>
    <s v="INFAQ QRIS"/>
    <x v="2"/>
  </r>
  <r>
    <m/>
    <m/>
    <n v="20000"/>
    <x v="9"/>
    <n v="204691228"/>
    <s v="INFAQ QRIS"/>
    <x v="2"/>
  </r>
  <r>
    <m/>
    <m/>
    <n v="2909000"/>
    <x v="9"/>
    <n v="207600228"/>
    <m/>
    <x v="12"/>
  </r>
  <r>
    <m/>
    <m/>
    <n v="3699000"/>
    <x v="9"/>
    <n v="211299228"/>
    <m/>
    <x v="2"/>
  </r>
  <r>
    <m/>
    <n v="6608000"/>
    <m/>
    <x v="1"/>
    <n v="211299228"/>
    <s v=" 001115515442   SETOR TUNAI "/>
    <x v="4"/>
  </r>
  <r>
    <m/>
    <m/>
    <n v="10000"/>
    <x v="9"/>
    <n v="211309228"/>
    <s v="INFAQ QRIS"/>
    <x v="2"/>
  </r>
  <r>
    <m/>
    <m/>
    <n v="400000"/>
    <x v="9"/>
    <n v="211709228"/>
    <s v="INFAQ PUTIE AMBUN SURI/RIVENDRA"/>
    <x v="2"/>
  </r>
  <r>
    <m/>
    <m/>
    <n v="10000"/>
    <x v="9"/>
    <n v="211719228"/>
    <s v="INFAQ QRIS"/>
    <x v="2"/>
  </r>
  <r>
    <m/>
    <m/>
    <n v="20000"/>
    <x v="9"/>
    <n v="211739228"/>
    <s v="INFAQ QRIS"/>
    <x v="2"/>
  </r>
  <r>
    <m/>
    <m/>
    <n v="100000"/>
    <x v="9"/>
    <n v="211839228"/>
    <s v="INFAQ QRIS"/>
    <x v="2"/>
  </r>
  <r>
    <m/>
    <m/>
    <n v="500000"/>
    <x v="9"/>
    <n v="212339228"/>
    <s v="INFAQ M FIERMANSYAH CHANIAGO"/>
    <x v="2"/>
  </r>
  <r>
    <m/>
    <m/>
    <n v="500000"/>
    <x v="9"/>
    <n v="212839228"/>
    <s v="INFAQ INDRAEDISANTOSO"/>
    <x v="2"/>
  </r>
  <r>
    <m/>
    <m/>
    <n v="1000"/>
    <x v="9"/>
    <n v="212840228"/>
    <s v="INFAQ QRIS"/>
    <x v="2"/>
  </r>
  <r>
    <m/>
    <m/>
    <n v="50000"/>
    <x v="9"/>
    <n v="212890228"/>
    <s v="INFAQ QRIS"/>
    <x v="2"/>
  </r>
  <r>
    <m/>
    <m/>
    <n v="10000"/>
    <x v="9"/>
    <n v="212900228"/>
    <s v="INFAQ QRIS"/>
    <x v="2"/>
  </r>
  <r>
    <m/>
    <m/>
    <n v="50000"/>
    <x v="9"/>
    <n v="212950228"/>
    <s v="INFAQ QRIS"/>
    <x v="2"/>
  </r>
  <r>
    <m/>
    <m/>
    <n v="20000"/>
    <x v="9"/>
    <n v="212970228"/>
    <s v="INFAQ QRIS"/>
    <x v="2"/>
  </r>
  <r>
    <m/>
    <m/>
    <n v="10000"/>
    <x v="9"/>
    <n v="212980228"/>
    <s v="INFAQ QRIS"/>
    <x v="2"/>
  </r>
  <r>
    <m/>
    <m/>
    <n v="101101"/>
    <x v="9"/>
    <n v="213081329"/>
    <s v="INFAQ QRIS"/>
    <x v="2"/>
  </r>
  <r>
    <m/>
    <m/>
    <n v="50000"/>
    <x v="9"/>
    <n v="213131329"/>
    <s v="INFAQ QRIS"/>
    <x v="2"/>
  </r>
  <r>
    <m/>
    <m/>
    <n v="50000"/>
    <x v="9"/>
    <n v="213181329"/>
    <s v="INFAQ QRIS"/>
    <x v="2"/>
  </r>
  <r>
    <m/>
    <m/>
    <n v="50000"/>
    <x v="9"/>
    <n v="213231329"/>
    <s v="INFAQ QRIS"/>
    <x v="2"/>
  </r>
  <r>
    <m/>
    <m/>
    <n v="50000"/>
    <x v="9"/>
    <n v="213281329"/>
    <s v="INFAQ QRIS"/>
    <x v="2"/>
  </r>
  <r>
    <m/>
    <m/>
    <n v="9000"/>
    <x v="9"/>
    <n v="213290329"/>
    <s v="INFAQ QRIS"/>
    <x v="2"/>
  </r>
  <r>
    <m/>
    <m/>
    <n v="20000"/>
    <x v="9"/>
    <n v="213310329"/>
    <s v="INFAQ QRIS"/>
    <x v="2"/>
  </r>
  <r>
    <m/>
    <m/>
    <n v="20000"/>
    <x v="9"/>
    <n v="213330329"/>
    <s v="INFAQ QRIS"/>
    <x v="2"/>
  </r>
  <r>
    <n v="750000"/>
    <m/>
    <m/>
    <x v="9"/>
    <n v="212580329"/>
    <s v="HONOR USTAD DARWIS"/>
    <x v="11"/>
  </r>
  <r>
    <m/>
    <m/>
    <n v="25000"/>
    <x v="9"/>
    <n v="212605329"/>
    <s v="INFAQ QRIS"/>
    <x v="2"/>
  </r>
  <r>
    <m/>
    <m/>
    <n v="20000"/>
    <x v="9"/>
    <n v="212625329"/>
    <s v="INFAQ QRIS"/>
    <x v="2"/>
  </r>
  <r>
    <m/>
    <m/>
    <n v="25000"/>
    <x v="9"/>
    <n v="212650329"/>
    <s v="INFAQ QRIS"/>
    <x v="2"/>
  </r>
  <r>
    <m/>
    <m/>
    <n v="10000"/>
    <x v="9"/>
    <n v="212660329"/>
    <s v="INFAQ QRIS"/>
    <x v="2"/>
  </r>
  <r>
    <m/>
    <m/>
    <n v="20000"/>
    <x v="9"/>
    <n v="212680329"/>
    <s v="INFAQ QRIS"/>
    <x v="2"/>
  </r>
  <r>
    <n v="20000000"/>
    <m/>
    <m/>
    <x v="9"/>
    <n v="192680329"/>
    <s v="Thp2 siswa binaan"/>
    <x v="14"/>
  </r>
  <r>
    <n v="3500000"/>
    <m/>
    <m/>
    <x v="9"/>
    <n v="189180329"/>
    <s v="Cuci karpet, urinoir"/>
    <x v="8"/>
  </r>
  <r>
    <n v="6500"/>
    <m/>
    <m/>
    <x v="9"/>
    <n v="189173829"/>
    <s v="Cuci karpet, urinoir"/>
    <x v="8"/>
  </r>
  <r>
    <m/>
    <m/>
    <n v="20000"/>
    <x v="9"/>
    <n v="189193829"/>
    <s v="INFAQ QRIS"/>
    <x v="2"/>
  </r>
  <r>
    <m/>
    <m/>
    <n v="10000"/>
    <x v="9"/>
    <n v="189203829"/>
    <s v="INFAQ QRIS"/>
    <x v="2"/>
  </r>
  <r>
    <m/>
    <m/>
    <n v="100000"/>
    <x v="9"/>
    <n v="189303829"/>
    <s v="INFAQ FENTYHERLIANA"/>
    <x v="2"/>
  </r>
  <r>
    <m/>
    <m/>
    <n v="20000"/>
    <x v="9"/>
    <n v="189323829"/>
    <s v="INFAQ QRIS"/>
    <x v="2"/>
  </r>
  <r>
    <m/>
    <m/>
    <n v="10000"/>
    <x v="9"/>
    <n v="189333829"/>
    <s v="INFAQ QRIS"/>
    <x v="2"/>
  </r>
  <r>
    <n v="700000"/>
    <m/>
    <m/>
    <x v="9"/>
    <n v="188633829"/>
    <s v="Pengerjaan closed berdiri"/>
    <x v="8"/>
  </r>
  <r>
    <n v="6500"/>
    <m/>
    <m/>
    <x v="9"/>
    <n v="188627329"/>
    <s v="Pengerjaan closed berdiri"/>
    <x v="8"/>
  </r>
  <r>
    <m/>
    <m/>
    <n v="20000"/>
    <x v="9"/>
    <n v="188647329"/>
    <s v="INFAQ QRIS"/>
    <x v="2"/>
  </r>
  <r>
    <m/>
    <m/>
    <n v="50000"/>
    <x v="9"/>
    <n v="188697329"/>
    <s v="INFAQ QRIS"/>
    <x v="2"/>
  </r>
  <r>
    <m/>
    <m/>
    <n v="20000"/>
    <x v="9"/>
    <n v="188717329"/>
    <s v="INFAQ QRIS"/>
    <x v="2"/>
  </r>
  <r>
    <m/>
    <m/>
    <n v="100000"/>
    <x v="9"/>
    <n v="188817329"/>
    <s v="INFAQ QRIS"/>
    <x v="2"/>
  </r>
  <r>
    <m/>
    <m/>
    <n v="100000"/>
    <x v="9"/>
    <n v="188917329"/>
    <s v="INFAQ QRIS"/>
    <x v="2"/>
  </r>
  <r>
    <m/>
    <m/>
    <n v="40000"/>
    <x v="9"/>
    <n v="188957329"/>
    <s v="INFAQ QRIS"/>
    <x v="2"/>
  </r>
  <r>
    <n v="750000"/>
    <m/>
    <m/>
    <x v="9"/>
    <n v="188207329"/>
    <s v="HONOR UST FAISAL "/>
    <x v="11"/>
  </r>
  <r>
    <m/>
    <m/>
    <n v="4700"/>
    <x v="9"/>
    <n v="188212029"/>
    <s v="INFAQ QRIS"/>
    <x v="2"/>
  </r>
  <r>
    <m/>
    <m/>
    <n v="100000"/>
    <x v="9"/>
    <n v="188312029"/>
    <s v="INFAQ QRIS"/>
    <x v="2"/>
  </r>
  <r>
    <m/>
    <m/>
    <n v="50000"/>
    <x v="9"/>
    <n v="188362029"/>
    <s v="INFAQ QRIS"/>
    <x v="2"/>
  </r>
  <r>
    <m/>
    <m/>
    <n v="5000"/>
    <x v="9"/>
    <n v="188367029"/>
    <s v="INFAQ QRIS"/>
    <x v="2"/>
  </r>
  <r>
    <m/>
    <m/>
    <n v="20000"/>
    <x v="9"/>
    <n v="188387029"/>
    <s v="INFAQ QRIS"/>
    <x v="2"/>
  </r>
  <r>
    <m/>
    <m/>
    <n v="20000"/>
    <x v="9"/>
    <n v="188407029"/>
    <s v="INFAQ QRIS"/>
    <x v="2"/>
  </r>
  <r>
    <m/>
    <m/>
    <n v="8700"/>
    <x v="9"/>
    <n v="188415729"/>
    <s v="INFAQ QRIS"/>
    <x v="2"/>
  </r>
  <r>
    <m/>
    <m/>
    <n v="20000"/>
    <x v="9"/>
    <n v="188435729"/>
    <s v="INFAQ QRIS"/>
    <x v="2"/>
  </r>
  <r>
    <m/>
    <m/>
    <n v="20000"/>
    <x v="9"/>
    <n v="188455729"/>
    <s v="INFAQ QRIS"/>
    <x v="2"/>
  </r>
  <r>
    <m/>
    <m/>
    <n v="2992000"/>
    <x v="9"/>
    <n v="191447729"/>
    <m/>
    <x v="12"/>
  </r>
  <r>
    <m/>
    <m/>
    <n v="818000"/>
    <x v="9"/>
    <n v="192265729"/>
    <m/>
    <x v="2"/>
  </r>
  <r>
    <m/>
    <n v="3810000"/>
    <m/>
    <x v="1"/>
    <n v="192265729"/>
    <s v=" 001115715795 setoran mingguan  SETOR TUNAI "/>
    <x v="4"/>
  </r>
  <r>
    <m/>
    <m/>
    <n v="20000"/>
    <x v="9"/>
    <n v="192285729"/>
    <s v="INFAQ QRIS"/>
    <x v="2"/>
  </r>
  <r>
    <m/>
    <m/>
    <n v="200000"/>
    <x v="9"/>
    <n v="192485729"/>
    <s v="INFA TPQ Fatih Rivendra"/>
    <x v="10"/>
  </r>
  <r>
    <m/>
    <m/>
    <n v="20000"/>
    <x v="9"/>
    <n v="192505729"/>
    <s v="INFAQ QRIS"/>
    <x v="2"/>
  </r>
  <r>
    <m/>
    <m/>
    <n v="1000000"/>
    <x v="9"/>
    <n v="193505729"/>
    <s v="INFAQ RAMADHAN NIENDRAPUTRA"/>
    <x v="2"/>
  </r>
  <r>
    <m/>
    <m/>
    <n v="100000"/>
    <x v="9"/>
    <n v="193605729"/>
    <s v="INFAQ SURJATI SUTARJA"/>
    <x v="2"/>
  </r>
  <r>
    <m/>
    <m/>
    <n v="1000000"/>
    <x v="9"/>
    <n v="194605729"/>
    <s v="INFAQ ANGGONO IRIAWAN"/>
    <x v="2"/>
  </r>
  <r>
    <m/>
    <m/>
    <n v="20000"/>
    <x v="9"/>
    <n v="194625729"/>
    <s v="INFAQ QRIS"/>
    <x v="2"/>
  </r>
  <r>
    <m/>
    <m/>
    <n v="1011"/>
    <x v="9"/>
    <n v="194626740"/>
    <s v="INFAQ QRIS"/>
    <x v="2"/>
  </r>
  <r>
    <m/>
    <m/>
    <n v="5000000"/>
    <x v="9"/>
    <n v="199626740"/>
    <m/>
    <x v="16"/>
  </r>
  <r>
    <m/>
    <m/>
    <n v="5000000"/>
    <x v="9"/>
    <n v="204626740"/>
    <m/>
    <x v="2"/>
  </r>
  <r>
    <m/>
    <n v="10000000"/>
    <m/>
    <x v="1"/>
    <n v="204626740"/>
    <s v="ALI BADARUDDIN"/>
    <x v="4"/>
  </r>
  <r>
    <n v="750000"/>
    <m/>
    <m/>
    <x v="9"/>
    <n v="203876740"/>
    <s v="Lahirnya Putra Ust Bayu"/>
    <x v="15"/>
  </r>
  <r>
    <n v="6500"/>
    <m/>
    <m/>
    <x v="9"/>
    <n v="203870240"/>
    <s v="Lahirnya Putra Ust Bayu"/>
    <x v="15"/>
  </r>
  <r>
    <n v="750000"/>
    <m/>
    <m/>
    <x v="9"/>
    <n v="203120240"/>
    <s v="HONOR-IMAM MUSLIH"/>
    <x v="11"/>
  </r>
  <r>
    <n v="6500"/>
    <m/>
    <m/>
    <x v="9"/>
    <n v="203113740"/>
    <s v="HONOR-IMAM MUSLIH"/>
    <x v="11"/>
  </r>
  <r>
    <m/>
    <m/>
    <n v="50000"/>
    <x v="9"/>
    <n v="203163740"/>
    <s v="INFAQ QRIS"/>
    <x v="2"/>
  </r>
  <r>
    <m/>
    <m/>
    <n v="100000"/>
    <x v="9"/>
    <n v="203263740"/>
    <s v="INFAQ QRIS"/>
    <x v="2"/>
  </r>
  <r>
    <m/>
    <m/>
    <n v="5000"/>
    <x v="9"/>
    <n v="203268740"/>
    <s v="INFAQ QRIS"/>
    <x v="2"/>
  </r>
  <r>
    <m/>
    <m/>
    <n v="4000"/>
    <x v="9"/>
    <n v="203272740"/>
    <s v="INFAQ QRIS"/>
    <x v="2"/>
  </r>
  <r>
    <m/>
    <m/>
    <n v="100000"/>
    <x v="9"/>
    <n v="203372740"/>
    <s v="INFAQ QRIS"/>
    <x v="2"/>
  </r>
  <r>
    <m/>
    <m/>
    <n v="20000"/>
    <x v="9"/>
    <n v="203392740"/>
    <s v="INFAQ QRIS"/>
    <x v="2"/>
  </r>
  <r>
    <m/>
    <m/>
    <n v="20000"/>
    <x v="9"/>
    <n v="203412740"/>
    <s v="INFAQ QRIS"/>
    <x v="2"/>
  </r>
  <r>
    <m/>
    <m/>
    <n v="20000"/>
    <x v="9"/>
    <n v="203432740"/>
    <s v="INFAQ QRIS"/>
    <x v="2"/>
  </r>
  <r>
    <n v="1000000"/>
    <m/>
    <m/>
    <x v="9"/>
    <n v="202432740"/>
    <s v="HONOR-AHMAD IMAM SAMUDRA MAJ"/>
    <x v="13"/>
  </r>
  <r>
    <n v="6500"/>
    <m/>
    <m/>
    <x v="9"/>
    <n v="202426240"/>
    <s v="HONOR-AHMAD IMAM SAMUDRA MAJ"/>
    <x v="13"/>
  </r>
  <r>
    <n v="2000000"/>
    <m/>
    <m/>
    <x v="9"/>
    <n v="200426240"/>
    <s v="LINA HERLINA Biaya Adm Pengajian Ibu-Ibu MAJ"/>
    <x v="11"/>
  </r>
  <r>
    <n v="6500"/>
    <m/>
    <m/>
    <x v="9"/>
    <n v="200419740"/>
    <s v="LINA HERLINA Biaya Adm Pengajian Ibu-Ibu MAJ"/>
    <x v="11"/>
  </r>
  <r>
    <n v="550000"/>
    <m/>
    <m/>
    <x v="9"/>
    <n v="199869740"/>
    <s v="M BAYU CANDRA MAJ Honor "/>
    <x v="13"/>
  </r>
  <r>
    <n v="6500"/>
    <m/>
    <m/>
    <x v="9"/>
    <n v="199863240"/>
    <s v="M BAYU CANDRA MAJ Honor "/>
    <x v="13"/>
  </r>
  <r>
    <n v="2700000"/>
    <m/>
    <m/>
    <x v="9"/>
    <n v="197163240"/>
    <s v="M BAYU CANDRA MAJ Honor Mushrif"/>
    <x v="14"/>
  </r>
  <r>
    <n v="6500"/>
    <m/>
    <m/>
    <x v="9"/>
    <n v="197156740"/>
    <s v="M BAYU CANDRA MAJ Honor Mushrif"/>
    <x v="14"/>
  </r>
  <r>
    <n v="2250000"/>
    <m/>
    <m/>
    <x v="9"/>
    <n v="194906740"/>
    <s v="HONOR IMRON ROSADI MAJ Honor"/>
    <x v="13"/>
  </r>
  <r>
    <n v="6500"/>
    <m/>
    <m/>
    <x v="9"/>
    <n v="194900240"/>
    <s v="HONOR IMRON ROSADI MAJ Honor"/>
    <x v="13"/>
  </r>
  <r>
    <n v="4000000"/>
    <m/>
    <m/>
    <x v="9"/>
    <n v="190900240"/>
    <s v="Biaya Perawatan Santri September 202"/>
    <x v="14"/>
  </r>
  <r>
    <n v="6500"/>
    <m/>
    <m/>
    <x v="9"/>
    <n v="190893740"/>
    <s v="Biaya Perawatan Santri September 202"/>
    <x v="14"/>
  </r>
  <r>
    <n v="2500000"/>
    <m/>
    <m/>
    <x v="9"/>
    <n v="188393740"/>
    <s v="HONOR-MUHAMMAD ILHAM MAJ Honor"/>
    <x v="13"/>
  </r>
  <r>
    <n v="6500"/>
    <m/>
    <m/>
    <x v="9"/>
    <n v="188387240"/>
    <s v="HONOR-MUHAMMAD ILHAM MAJ Honor"/>
    <x v="13"/>
  </r>
  <r>
    <n v="3500000"/>
    <m/>
    <m/>
    <x v="9"/>
    <n v="184887240"/>
    <s v="HONOR-NANANG SUBAEDI MAJ Honor"/>
    <x v="13"/>
  </r>
  <r>
    <n v="6500"/>
    <m/>
    <m/>
    <x v="9"/>
    <n v="184880740"/>
    <s v="HONOR-NANANG SUBAEDI MAJ Honor"/>
    <x v="13"/>
  </r>
  <r>
    <n v="2750000"/>
    <m/>
    <m/>
    <x v="9"/>
    <n v="182130740"/>
    <s v="HONOR UST SUPRIYADI"/>
    <x v="13"/>
  </r>
  <r>
    <n v="1000000"/>
    <m/>
    <m/>
    <x v="9"/>
    <n v="181130740"/>
    <s v="HONOR-WAHID RAHMAN "/>
    <x v="11"/>
  </r>
  <r>
    <n v="6500"/>
    <m/>
    <m/>
    <x v="9"/>
    <n v="181124240"/>
    <s v="HONOR-WAHID RAHMAN "/>
    <x v="11"/>
  </r>
  <r>
    <m/>
    <m/>
    <n v="25000"/>
    <x v="9"/>
    <n v="181149240"/>
    <s v="INFAQ QRIS"/>
    <x v="2"/>
  </r>
  <r>
    <m/>
    <m/>
    <n v="20000"/>
    <x v="9"/>
    <n v="181169240"/>
    <s v="INFAQ QRIS"/>
    <x v="2"/>
  </r>
  <r>
    <m/>
    <m/>
    <n v="25000"/>
    <x v="9"/>
    <n v="181194240"/>
    <s v="INFAQ QRIS"/>
    <x v="2"/>
  </r>
  <r>
    <m/>
    <m/>
    <n v="10000"/>
    <x v="9"/>
    <n v="181204240"/>
    <s v="INFAQ QRIS"/>
    <x v="2"/>
  </r>
  <r>
    <m/>
    <m/>
    <n v="30000"/>
    <x v="9"/>
    <n v="181234240"/>
    <s v="INFAQ QRIS"/>
    <x v="2"/>
  </r>
  <r>
    <m/>
    <m/>
    <n v="1011"/>
    <x v="9"/>
    <n v="181235251"/>
    <s v="INFAQ QRIS"/>
    <x v="2"/>
  </r>
  <r>
    <m/>
    <m/>
    <n v="20000"/>
    <x v="9"/>
    <n v="181255251"/>
    <s v="INFAQ QRIS"/>
    <x v="2"/>
  </r>
  <r>
    <m/>
    <m/>
    <n v="2813000"/>
    <x v="9"/>
    <n v="184068251"/>
    <m/>
    <x v="12"/>
  </r>
  <r>
    <m/>
    <m/>
    <n v="757000"/>
    <x v="9"/>
    <n v="184825251"/>
    <m/>
    <x v="2"/>
  </r>
  <r>
    <m/>
    <n v="3570000"/>
    <m/>
    <x v="1"/>
    <n v="184825251"/>
    <s v=" 001115813746   SETOR TUNAI "/>
    <x v="4"/>
  </r>
  <r>
    <m/>
    <m/>
    <n v="300000"/>
    <x v="9"/>
    <n v="185125251"/>
    <s v="INFAQ FADJAR SATYANI "/>
    <x v="2"/>
  </r>
  <r>
    <m/>
    <m/>
    <n v="500000"/>
    <x v="10"/>
    <n v="185625251"/>
    <s v="INFAQ DRS SARWONO"/>
    <x v="2"/>
  </r>
  <r>
    <m/>
    <m/>
    <n v="20000"/>
    <x v="10"/>
    <n v="185645251"/>
    <s v="INFAQ QRIS"/>
    <x v="2"/>
  </r>
  <r>
    <m/>
    <m/>
    <n v="200000"/>
    <x v="10"/>
    <n v="185845251"/>
    <s v="INFAQ UMIHAMIDAH"/>
    <x v="2"/>
  </r>
  <r>
    <m/>
    <m/>
    <n v="350000"/>
    <x v="10"/>
    <n v="186195251"/>
    <s v="INFAQ DESYANA SE"/>
    <x v="2"/>
  </r>
  <r>
    <m/>
    <m/>
    <n v="200000"/>
    <x v="10"/>
    <n v="186395251"/>
    <s v="INFAQ DEDEN TP PERDIANSYAH"/>
    <x v="2"/>
  </r>
  <r>
    <m/>
    <m/>
    <n v="100000"/>
    <x v="10"/>
    <n v="186495251"/>
    <s v="INFAQ QRIS"/>
    <x v="2"/>
  </r>
  <r>
    <n v="750000"/>
    <m/>
    <m/>
    <x v="10"/>
    <n v="185745251"/>
    <s v="HONOR UST-MOHAMMAD SHODIQ"/>
    <x v="11"/>
  </r>
  <r>
    <n v="6500"/>
    <m/>
    <m/>
    <x v="10"/>
    <n v="185738751"/>
    <s v="HONOR UST-MOHAMMAD SHODIQ"/>
    <x v="11"/>
  </r>
  <r>
    <m/>
    <m/>
    <n v="100000"/>
    <x v="10"/>
    <n v="185838751"/>
    <s v="INFAQ QRIS"/>
    <x v="2"/>
  </r>
  <r>
    <m/>
    <m/>
    <n v="20000"/>
    <x v="10"/>
    <n v="185858751"/>
    <s v="INFAQ QRIS"/>
    <x v="2"/>
  </r>
  <r>
    <m/>
    <m/>
    <n v="25000"/>
    <x v="10"/>
    <n v="185883751"/>
    <s v="INFAQ QRIS"/>
    <x v="2"/>
  </r>
  <r>
    <m/>
    <m/>
    <n v="100000"/>
    <x v="10"/>
    <n v="185983751"/>
    <s v="INFAQ QRIS"/>
    <x v="2"/>
  </r>
  <r>
    <m/>
    <m/>
    <n v="50000"/>
    <x v="10"/>
    <n v="186033751"/>
    <s v="INFAQ QRIS"/>
    <x v="2"/>
  </r>
  <r>
    <n v="1143500"/>
    <m/>
    <m/>
    <x v="10"/>
    <n v="184890251"/>
    <s v="Laundry Karpet MAJ dan Ongkir"/>
    <x v="8"/>
  </r>
  <r>
    <n v="6500"/>
    <m/>
    <m/>
    <x v="10"/>
    <n v="184883751"/>
    <s v="Biaya Adm Laundry Karpet MAJ dan Ongkir"/>
    <x v="8"/>
  </r>
  <r>
    <m/>
    <m/>
    <n v="500000"/>
    <x v="10"/>
    <n v="185383751"/>
    <s v="INFAQ INDRAEDISANTOSO"/>
    <x v="2"/>
  </r>
  <r>
    <n v="750000"/>
    <m/>
    <m/>
    <x v="10"/>
    <n v="184633751"/>
    <s v="HONOR UST-UMAR"/>
    <x v="11"/>
  </r>
  <r>
    <n v="6500"/>
    <m/>
    <m/>
    <x v="10"/>
    <n v="184627251"/>
    <s v="HONOR UST-UMAR"/>
    <x v="11"/>
  </r>
  <r>
    <m/>
    <m/>
    <n v="20000"/>
    <x v="10"/>
    <n v="184647251"/>
    <s v="INFAQ QRIS"/>
    <x v="2"/>
  </r>
  <r>
    <m/>
    <m/>
    <n v="10000"/>
    <x v="10"/>
    <n v="184657251"/>
    <s v="INFAQ QRIS"/>
    <x v="2"/>
  </r>
  <r>
    <m/>
    <m/>
    <n v="200000"/>
    <x v="10"/>
    <n v="184857251"/>
    <s v="INFAQ WUSONO PRIHADI SANTO"/>
    <x v="2"/>
  </r>
  <r>
    <m/>
    <m/>
    <n v="20000"/>
    <x v="10"/>
    <n v="184877251"/>
    <s v="INFAQ QRIS"/>
    <x v="2"/>
  </r>
  <r>
    <n v="1000000"/>
    <m/>
    <m/>
    <x v="10"/>
    <n v="183877251"/>
    <s v="Bantuan duka Ibunda Ust.Imron"/>
    <x v="15"/>
  </r>
  <r>
    <n v="6500"/>
    <m/>
    <m/>
    <x v="10"/>
    <n v="183870751"/>
    <s v="Bantuan duka Ibunda Ust.Imron"/>
    <x v="15"/>
  </r>
  <r>
    <m/>
    <m/>
    <n v="20000"/>
    <x v="10"/>
    <n v="183890751"/>
    <s v="INFAQ QRIS"/>
    <x v="2"/>
  </r>
  <r>
    <m/>
    <m/>
    <n v="2019000"/>
    <x v="10"/>
    <n v="185909751"/>
    <m/>
    <x v="12"/>
  </r>
  <r>
    <m/>
    <m/>
    <n v="1150000"/>
    <x v="10"/>
    <n v="187059751"/>
    <m/>
    <x v="2"/>
  </r>
  <r>
    <m/>
    <n v="3169000"/>
    <m/>
    <x v="1"/>
    <n v="187059751"/>
    <s v=" 001115931642 SETORAN INFAQ PER PEKAN  SETOR TUNAI "/>
    <x v="4"/>
  </r>
  <r>
    <m/>
    <m/>
    <n v="20000"/>
    <x v="10"/>
    <n v="187079751"/>
    <s v="INFAQ QRIS"/>
    <x v="2"/>
  </r>
  <r>
    <m/>
    <m/>
    <n v="400000"/>
    <x v="10"/>
    <n v="187479751"/>
    <s v="INFAQ PUTIE AMBUN SURI/RIVENDRA"/>
    <x v="2"/>
  </r>
  <r>
    <m/>
    <m/>
    <n v="20000"/>
    <x v="10"/>
    <n v="187499751"/>
    <s v="INFAQ QRIS"/>
    <x v="2"/>
  </r>
  <r>
    <m/>
    <m/>
    <n v="40000"/>
    <x v="10"/>
    <n v="187539751"/>
    <s v="INFAQ QRIS"/>
    <x v="2"/>
  </r>
  <r>
    <m/>
    <m/>
    <n v="20000"/>
    <x v="10"/>
    <n v="187559751"/>
    <s v="INFAQ QRIS"/>
    <x v="2"/>
  </r>
  <r>
    <m/>
    <m/>
    <n v="2000000"/>
    <x v="10"/>
    <n v="189559751"/>
    <s v="INFAQ RIZKYHIDAYATSL"/>
    <x v="2"/>
  </r>
  <r>
    <n v="750000"/>
    <m/>
    <m/>
    <x v="10"/>
    <n v="188809751"/>
    <s v="HONOR UST ABDUL HAMID"/>
    <x v="11"/>
  </r>
  <r>
    <n v="6500"/>
    <m/>
    <m/>
    <x v="10"/>
    <n v="188803251"/>
    <s v="HONOR UST ABDUL HAMID"/>
    <x v="11"/>
  </r>
  <r>
    <m/>
    <m/>
    <n v="10000"/>
    <x v="10"/>
    <n v="188813251"/>
    <s v="INFAQ QRIS"/>
    <x v="2"/>
  </r>
  <r>
    <m/>
    <m/>
    <n v="25000"/>
    <x v="10"/>
    <n v="188838251"/>
    <s v="INFAQ QRIS"/>
    <x v="2"/>
  </r>
  <r>
    <m/>
    <m/>
    <n v="100000"/>
    <x v="10"/>
    <n v="188938251"/>
    <s v="INFAQ QRIS"/>
    <x v="2"/>
  </r>
  <r>
    <m/>
    <m/>
    <n v="100000"/>
    <x v="10"/>
    <n v="189038251"/>
    <s v="INFAQ QRIS"/>
    <x v="2"/>
  </r>
  <r>
    <m/>
    <m/>
    <n v="100000"/>
    <x v="10"/>
    <n v="189138251"/>
    <s v="INFAQ QRIS"/>
    <x v="2"/>
  </r>
  <r>
    <m/>
    <m/>
    <n v="50000"/>
    <x v="10"/>
    <n v="189188251"/>
    <s v="INFAQ QRIS"/>
    <x v="2"/>
  </r>
  <r>
    <m/>
    <m/>
    <n v="20000"/>
    <x v="10"/>
    <n v="189208251"/>
    <s v="INFAQ QRIS"/>
    <x v="2"/>
  </r>
  <r>
    <m/>
    <m/>
    <n v="50000"/>
    <x v="10"/>
    <n v="189258251"/>
    <s v="INFAQ QRIS"/>
    <x v="2"/>
  </r>
  <r>
    <m/>
    <m/>
    <n v="5000"/>
    <x v="10"/>
    <n v="189263251"/>
    <s v="INFAQ QRIS"/>
    <x v="2"/>
  </r>
  <r>
    <m/>
    <m/>
    <n v="20000"/>
    <x v="10"/>
    <n v="189283251"/>
    <s v="INFAQ QRIS"/>
    <x v="2"/>
  </r>
  <r>
    <n v="750000"/>
    <m/>
    <m/>
    <x v="10"/>
    <n v="188533251"/>
    <s v="HONOR UST DARWIS"/>
    <x v="11"/>
  </r>
  <r>
    <m/>
    <m/>
    <n v="1011"/>
    <x v="10"/>
    <n v="188534262"/>
    <s v="INFAQ QRIS"/>
    <x v="2"/>
  </r>
  <r>
    <m/>
    <m/>
    <n v="943500"/>
    <x v="10"/>
    <n v="189477762"/>
    <s v="Pengembalian Cuci Karpet MAJ"/>
    <x v="2"/>
  </r>
  <r>
    <m/>
    <m/>
    <n v="10000"/>
    <x v="10"/>
    <n v="189487762"/>
    <s v="INFAQ QRIS"/>
    <x v="2"/>
  </r>
  <r>
    <m/>
    <m/>
    <n v="20000"/>
    <x v="10"/>
    <n v="189507762"/>
    <s v="INFAQ QRIS"/>
    <x v="2"/>
  </r>
  <r>
    <m/>
    <m/>
    <n v="10000"/>
    <x v="10"/>
    <n v="189517762"/>
    <s v="INFAQ QRIS"/>
    <x v="2"/>
  </r>
  <r>
    <m/>
    <m/>
    <n v="2410000"/>
    <x v="10"/>
    <n v="191927762"/>
    <m/>
    <x v="12"/>
  </r>
  <r>
    <m/>
    <m/>
    <n v="990000"/>
    <x v="10"/>
    <n v="192917762"/>
    <m/>
    <x v="2"/>
  </r>
  <r>
    <m/>
    <n v="3400000"/>
    <m/>
    <x v="1"/>
    <n v="192917762"/>
    <s v="Setor Nanang"/>
    <x v="4"/>
  </r>
  <r>
    <m/>
    <m/>
    <n v="100000"/>
    <x v="10"/>
    <n v="193017762"/>
    <s v="INFAQ FENTYHERLIANA"/>
    <x v="2"/>
  </r>
  <r>
    <m/>
    <m/>
    <n v="1011"/>
    <x v="10"/>
    <n v="193018773"/>
    <s v="INFAQ QRIS"/>
    <x v="2"/>
  </r>
  <r>
    <m/>
    <m/>
    <n v="10000"/>
    <x v="10"/>
    <n v="193028773"/>
    <s v="INFAQ QRIS"/>
    <x v="2"/>
  </r>
  <r>
    <m/>
    <m/>
    <n v="20000"/>
    <x v="10"/>
    <n v="193048773"/>
    <s v="INFAQ QRIS"/>
    <x v="2"/>
  </r>
  <r>
    <m/>
    <m/>
    <n v="100000"/>
    <x v="10"/>
    <n v="193148773"/>
    <s v="INFAQ QRIS"/>
    <x v="2"/>
  </r>
  <r>
    <m/>
    <m/>
    <n v="10000"/>
    <x v="10"/>
    <n v="193158773"/>
    <s v="INFAQ QRIS"/>
    <x v="2"/>
  </r>
  <r>
    <m/>
    <m/>
    <n v="20000"/>
    <x v="10"/>
    <n v="193178773"/>
    <s v="INFAQ QRIS"/>
    <x v="2"/>
  </r>
  <r>
    <m/>
    <m/>
    <n v="10000"/>
    <x v="10"/>
    <n v="193188773"/>
    <s v="INFAQ QRIS"/>
    <x v="2"/>
  </r>
  <r>
    <m/>
    <m/>
    <n v="1011"/>
    <x v="10"/>
    <n v="193189784"/>
    <s v="INFAQ QRIS"/>
    <x v="2"/>
  </r>
  <r>
    <m/>
    <m/>
    <n v="20000"/>
    <x v="10"/>
    <n v="193209784"/>
    <s v="INFAQ QRIS"/>
    <x v="2"/>
  </r>
  <r>
    <n v="750000"/>
    <m/>
    <m/>
    <x v="10"/>
    <n v="192459784"/>
    <s v="HONOR UST FAISAL "/>
    <x v="11"/>
  </r>
  <r>
    <m/>
    <m/>
    <n v="20000"/>
    <x v="10"/>
    <n v="192479784"/>
    <s v="INFAQ QRIS"/>
    <x v="2"/>
  </r>
  <r>
    <m/>
    <m/>
    <n v="10000"/>
    <x v="10"/>
    <n v="192489784"/>
    <s v="INFAQ QRIS"/>
    <x v="2"/>
  </r>
  <r>
    <m/>
    <m/>
    <n v="5000"/>
    <x v="10"/>
    <n v="192494784"/>
    <s v="INFAQ QRIS"/>
    <x v="2"/>
  </r>
  <r>
    <m/>
    <m/>
    <n v="20000"/>
    <x v="10"/>
    <n v="192514784"/>
    <s v="INFAQ QRIS"/>
    <x v="2"/>
  </r>
  <r>
    <m/>
    <m/>
    <n v="100000"/>
    <x v="10"/>
    <n v="192614784"/>
    <s v="INFAQ QRIS"/>
    <x v="2"/>
  </r>
  <r>
    <m/>
    <m/>
    <n v="1011"/>
    <x v="10"/>
    <n v="192615795"/>
    <s v="INFAQ QRIS"/>
    <x v="2"/>
  </r>
  <r>
    <n v="750000"/>
    <m/>
    <m/>
    <x v="10"/>
    <n v="191865795"/>
    <s v="HONOR UST HASAN MUBAROK"/>
    <x v="11"/>
  </r>
  <r>
    <n v="6500"/>
    <m/>
    <m/>
    <x v="10"/>
    <n v="191859295"/>
    <s v="HONOR UST HASAN MUBAROK"/>
    <x v="11"/>
  </r>
  <r>
    <m/>
    <m/>
    <n v="25000"/>
    <x v="10"/>
    <n v="191884295"/>
    <s v="INFAQ QRIS"/>
    <x v="2"/>
  </r>
  <r>
    <m/>
    <m/>
    <n v="20000"/>
    <x v="10"/>
    <n v="191904295"/>
    <s v="INFAQ QRIS"/>
    <x v="2"/>
  </r>
  <r>
    <m/>
    <m/>
    <n v="10000"/>
    <x v="10"/>
    <n v="191914295"/>
    <s v="INFAQ QRIS"/>
    <x v="2"/>
  </r>
  <r>
    <m/>
    <m/>
    <n v="100000"/>
    <x v="10"/>
    <n v="192014295"/>
    <s v="INFAQ QRIS"/>
    <x v="2"/>
  </r>
  <r>
    <m/>
    <m/>
    <n v="20000"/>
    <x v="10"/>
    <n v="192034295"/>
    <s v="INFAQ QRIS"/>
    <x v="2"/>
  </r>
  <r>
    <m/>
    <m/>
    <n v="25000"/>
    <x v="10"/>
    <n v="192059295"/>
    <s v="INFAQ QRIS"/>
    <x v="2"/>
  </r>
  <r>
    <m/>
    <m/>
    <n v="20000"/>
    <x v="10"/>
    <n v="192079295"/>
    <s v="INFAQ QRIS"/>
    <x v="2"/>
  </r>
  <r>
    <m/>
    <m/>
    <n v="50000"/>
    <x v="10"/>
    <n v="192129295"/>
    <s v="INFAQ QRIS"/>
    <x v="2"/>
  </r>
  <r>
    <m/>
    <m/>
    <n v="1011"/>
    <x v="10"/>
    <n v="192130306"/>
    <s v="INFAQ QRIS"/>
    <x v="2"/>
  </r>
  <r>
    <m/>
    <m/>
    <n v="1775000"/>
    <x v="10"/>
    <n v="193905306"/>
    <m/>
    <x v="12"/>
  </r>
  <r>
    <m/>
    <m/>
    <n v="1527000"/>
    <x v="10"/>
    <n v="195432306"/>
    <m/>
    <x v="2"/>
  </r>
  <r>
    <m/>
    <n v="3302000"/>
    <m/>
    <x v="1"/>
    <n v="195432306"/>
    <s v="SETORAN NANANG"/>
    <x v="4"/>
  </r>
  <r>
    <m/>
    <m/>
    <n v="20000"/>
    <x v="10"/>
    <n v="195452306"/>
    <s v="INFAQ QRIS"/>
    <x v="2"/>
  </r>
  <r>
    <m/>
    <m/>
    <n v="10000"/>
    <x v="10"/>
    <n v="195462306"/>
    <s v="INFAQ QRIS"/>
    <x v="2"/>
  </r>
  <r>
    <m/>
    <m/>
    <n v="20000"/>
    <x v="10"/>
    <n v="195482306"/>
    <s v="INFAQ QRIS"/>
    <x v="2"/>
  </r>
  <r>
    <m/>
    <m/>
    <n v="10000"/>
    <x v="10"/>
    <n v="195492306"/>
    <s v="INFAQ QRIS"/>
    <x v="2"/>
  </r>
  <r>
    <m/>
    <m/>
    <n v="1000000"/>
    <x v="10"/>
    <n v="196492306"/>
    <s v="INFAQ RAMADHAN NIENDRAPUTRA"/>
    <x v="2"/>
  </r>
  <r>
    <m/>
    <m/>
    <n v="1000000"/>
    <x v="10"/>
    <n v="197492306"/>
    <s v="INFAQ ANGGONO IRIAWAN"/>
    <x v="2"/>
  </r>
  <r>
    <n v="500000"/>
    <m/>
    <m/>
    <x v="10"/>
    <n v="196992306"/>
    <s v="HONOR KHATIB JUMAT"/>
    <x v="11"/>
  </r>
  <r>
    <n v="6500"/>
    <m/>
    <m/>
    <x v="10"/>
    <n v="196985806"/>
    <s v="HONOR KHATIB JUMAT"/>
    <x v="11"/>
  </r>
  <r>
    <n v="750000"/>
    <m/>
    <m/>
    <x v="10"/>
    <n v="196235806"/>
    <s v="HONOR UST IMAM MUSLIH"/>
    <x v="11"/>
  </r>
  <r>
    <n v="6500"/>
    <m/>
    <m/>
    <x v="10"/>
    <n v="196229306"/>
    <s v="HONOR UST IMAM MUSLIH"/>
    <x v="11"/>
  </r>
  <r>
    <m/>
    <m/>
    <n v="200000"/>
    <x v="10"/>
    <n v="196429306"/>
    <s v="TPQ FATIH RIVENDRA"/>
    <x v="10"/>
  </r>
  <r>
    <m/>
    <m/>
    <n v="20000"/>
    <x v="10"/>
    <n v="196449306"/>
    <s v="INFAQ QRIS"/>
    <x v="2"/>
  </r>
  <r>
    <m/>
    <m/>
    <n v="15000"/>
    <x v="10"/>
    <n v="196464306"/>
    <s v="INFAQ QRIS"/>
    <x v="2"/>
  </r>
  <r>
    <m/>
    <m/>
    <n v="25000"/>
    <x v="10"/>
    <n v="196489306"/>
    <s v="INFAQ QRIS"/>
    <x v="2"/>
  </r>
  <r>
    <m/>
    <m/>
    <n v="20000"/>
    <x v="10"/>
    <n v="196509306"/>
    <s v="INFAQ QRIS"/>
    <x v="2"/>
  </r>
  <r>
    <m/>
    <m/>
    <n v="10000"/>
    <x v="10"/>
    <n v="196519306"/>
    <s v="INFAQ QRIS"/>
    <x v="2"/>
  </r>
  <r>
    <m/>
    <m/>
    <n v="1011"/>
    <x v="10"/>
    <n v="196520317"/>
    <s v="INFAQ QRIS"/>
    <x v="2"/>
  </r>
  <r>
    <n v="1000000"/>
    <m/>
    <m/>
    <x v="10"/>
    <n v="195520317"/>
    <s v="HONOR PENGAJAR TPQ"/>
    <x v="19"/>
  </r>
  <r>
    <n v="6500"/>
    <m/>
    <m/>
    <x v="10"/>
    <n v="195513817"/>
    <s v="HONOR PENGAJAR TPQ"/>
    <x v="19"/>
  </r>
  <r>
    <n v="1000000"/>
    <m/>
    <m/>
    <x v="10"/>
    <n v="194513817"/>
    <s v="HONOR UST WAHID RAHMAN"/>
    <x v="11"/>
  </r>
  <r>
    <n v="6500"/>
    <m/>
    <m/>
    <x v="10"/>
    <n v="194507317"/>
    <s v="HONOR UST WAHID RAHMAN"/>
    <x v="11"/>
  </r>
  <r>
    <m/>
    <m/>
    <n v="20000"/>
    <x v="10"/>
    <n v="194527317"/>
    <s v="INFAQ QRIS"/>
    <x v="2"/>
  </r>
  <r>
    <m/>
    <m/>
    <n v="50000"/>
    <x v="10"/>
    <n v="194577317"/>
    <s v="INFAQ QRIS"/>
    <x v="2"/>
  </r>
  <r>
    <m/>
    <m/>
    <n v="25000"/>
    <x v="10"/>
    <n v="194602317"/>
    <s v="INFAQ QRIS"/>
    <x v="2"/>
  </r>
  <r>
    <m/>
    <m/>
    <n v="20000"/>
    <x v="10"/>
    <n v="194622317"/>
    <s v="INFAQ QRIS"/>
    <x v="2"/>
  </r>
  <r>
    <m/>
    <m/>
    <n v="25000"/>
    <x v="10"/>
    <n v="194647317"/>
    <s v="INFAQ QRIS"/>
    <x v="2"/>
  </r>
  <r>
    <n v="2000000"/>
    <m/>
    <m/>
    <x v="10"/>
    <n v="192647317"/>
    <s v="Biaya Adm Pengajian Ibu-Ibu MAJ November"/>
    <x v="11"/>
  </r>
  <r>
    <n v="6500"/>
    <m/>
    <m/>
    <x v="10"/>
    <n v="192640817"/>
    <s v="Biaya Adm Pengajian Ibu-Ibu MAJ November"/>
    <x v="11"/>
  </r>
  <r>
    <n v="550000"/>
    <m/>
    <m/>
    <x v="10"/>
    <n v="192090817"/>
    <s v="M BAYU CANDRA MAJ Honor Oktober 2025"/>
    <x v="13"/>
  </r>
  <r>
    <n v="6500"/>
    <m/>
    <m/>
    <x v="10"/>
    <n v="192084317"/>
    <s v="M BAYU CANDRA MAJ Honor Oktober 2025"/>
    <x v="13"/>
  </r>
  <r>
    <n v="2500000"/>
    <m/>
    <m/>
    <x v="10"/>
    <n v="189584317"/>
    <s v="HONOR MUHAMMAD ILHAM MAJ Honor Oktober 2025"/>
    <x v="13"/>
  </r>
  <r>
    <n v="6500"/>
    <m/>
    <m/>
    <x v="10"/>
    <n v="189577817"/>
    <s v="HONOR MUHAMMAD ILHAM MAJ Honor Oktober 2025"/>
    <x v="13"/>
  </r>
  <r>
    <n v="2700000"/>
    <m/>
    <m/>
    <x v="10"/>
    <n v="186877817"/>
    <s v="M BAYU CANDRA MAJ Honor Mushrif Oktober 2025"/>
    <x v="14"/>
  </r>
  <r>
    <n v="6500"/>
    <m/>
    <m/>
    <x v="10"/>
    <n v="186871317"/>
    <s v="M BAYU CANDRA MAJ Honor Mushrif Oktober 2025"/>
    <x v="14"/>
  </r>
  <r>
    <n v="1000000"/>
    <m/>
    <m/>
    <x v="10"/>
    <n v="185871317"/>
    <s v="HONOR AHMAD IMAM SAMUDRA MAJ Honor Oktober 2025"/>
    <x v="13"/>
  </r>
  <r>
    <n v="6500"/>
    <m/>
    <m/>
    <x v="10"/>
    <n v="185864817"/>
    <s v="HONOR AHMAD IMAM SAMUDRA MAJ Honor Oktober 2025"/>
    <x v="13"/>
  </r>
  <r>
    <n v="4000000"/>
    <m/>
    <m/>
    <x v="10"/>
    <n v="181864817"/>
    <s v="Biaya Perawatan Santri Oktober 2025"/>
    <x v="14"/>
  </r>
  <r>
    <n v="6500"/>
    <m/>
    <m/>
    <x v="10"/>
    <n v="181858317"/>
    <s v="Biaya Perawatan Santri Oktober 2025"/>
    <x v="14"/>
  </r>
  <r>
    <n v="3500000"/>
    <m/>
    <m/>
    <x v="10"/>
    <n v="178358317"/>
    <s v="HONOR NANANG SUBAEDI MAJ Honor Oktober"/>
    <x v="13"/>
  </r>
  <r>
    <n v="6500"/>
    <m/>
    <m/>
    <x v="10"/>
    <n v="178351817"/>
    <s v="HONOR NANANG SUBAEDI MAJ Honor Oktober"/>
    <x v="13"/>
  </r>
  <r>
    <n v="2250000"/>
    <m/>
    <m/>
    <x v="10"/>
    <n v="176101817"/>
    <s v="HONOR A IMRON ROSADI MAJ Honor Oktober 2025"/>
    <x v="13"/>
  </r>
  <r>
    <n v="6500"/>
    <m/>
    <m/>
    <x v="10"/>
    <n v="176095317"/>
    <s v="HONOR A IMRON ROSADI MAJ Honor Oktober 2025"/>
    <x v="13"/>
  </r>
  <r>
    <n v="2750000"/>
    <m/>
    <m/>
    <x v="10"/>
    <n v="173345317"/>
    <s v="HONOR UST SURYADI"/>
    <x v="13"/>
  </r>
  <r>
    <m/>
    <m/>
    <n v="1000000"/>
    <x v="10"/>
    <n v="174345317"/>
    <s v="ZAKAT MAL PUTIE AMBUN SURI"/>
    <x v="16"/>
  </r>
  <r>
    <m/>
    <m/>
    <n v="2168000"/>
    <x v="10"/>
    <n v="176513317"/>
    <m/>
    <x v="12"/>
  </r>
  <r>
    <m/>
    <m/>
    <n v="1033000"/>
    <x v="10"/>
    <n v="177546317"/>
    <m/>
    <x v="2"/>
  </r>
  <r>
    <m/>
    <n v="3201000"/>
    <m/>
    <x v="1"/>
    <n v="177546317"/>
    <s v=" 001116186846 SETORAN KOTAK AMAL PERPEKAN  SETOR TUNAI "/>
    <x v="4"/>
  </r>
  <r>
    <m/>
    <m/>
    <n v="20000"/>
    <x v="10"/>
    <n v="177566317"/>
    <s v="INFAQ QRIS"/>
    <x v="2"/>
  </r>
  <r>
    <m/>
    <m/>
    <n v="1011"/>
    <x v="10"/>
    <n v="177567328"/>
    <s v="INFAQ QRIS"/>
    <x v="2"/>
  </r>
  <r>
    <n v="5700000"/>
    <m/>
    <m/>
    <x v="10"/>
    <n v="171867328"/>
    <s v="PENGECATAN KAMAN MANDI MAJ VIA MAHMUD"/>
    <x v="8"/>
  </r>
  <r>
    <n v="2500"/>
    <m/>
    <m/>
    <x v="10"/>
    <n v="171864828"/>
    <s v="PENGECATAN KAMAN MANDI MAJ VIA MAHMUD"/>
    <x v="8"/>
  </r>
  <r>
    <m/>
    <m/>
    <n v="1011"/>
    <x v="10"/>
    <n v="171865839"/>
    <s v="INFAQ QRIS"/>
    <x v="2"/>
  </r>
  <r>
    <m/>
    <m/>
    <n v="20000"/>
    <x v="10"/>
    <n v="171885839"/>
    <s v="INFAQ QRIS"/>
    <x v="2"/>
  </r>
  <r>
    <m/>
    <m/>
    <n v="20000"/>
    <x v="10"/>
    <n v="171905839"/>
    <s v="INFAQ QRIS"/>
    <x v="2"/>
  </r>
  <r>
    <m/>
    <m/>
    <n v="1011"/>
    <x v="10"/>
    <n v="171906850"/>
    <s v="INFAQ QRIS"/>
    <x v="2"/>
  </r>
  <r>
    <m/>
    <m/>
    <n v="20000"/>
    <x v="10"/>
    <n v="171926850"/>
    <s v="INFAQ QRIS"/>
    <x v="2"/>
  </r>
  <r>
    <m/>
    <m/>
    <n v="40000"/>
    <x v="10"/>
    <n v="171966850"/>
    <s v="INFAQ QRIS"/>
    <x v="2"/>
  </r>
  <r>
    <m/>
    <m/>
    <n v="1011"/>
    <x v="10"/>
    <n v="171967861"/>
    <s v="INFAQ QRIS"/>
    <x v="2"/>
  </r>
  <r>
    <m/>
    <m/>
    <n v="100000"/>
    <x v="10"/>
    <n v="172067861"/>
    <s v="INFAQ SURJATI SUTARJA "/>
    <x v="2"/>
  </r>
  <r>
    <n v="9000"/>
    <m/>
    <m/>
    <x v="10"/>
    <n v="172058861"/>
    <s v="Fee Payroll September 2025"/>
    <x v="1"/>
  </r>
  <r>
    <n v="750000"/>
    <m/>
    <m/>
    <x v="11"/>
    <n v="171308861"/>
    <s v="HONOR UST MOHAMMAD SHODIQ"/>
    <x v="11"/>
  </r>
  <r>
    <n v="6500"/>
    <m/>
    <m/>
    <x v="11"/>
    <n v="171302361"/>
    <s v="HONOR UST MOHAMMAD SHODIQ"/>
    <x v="11"/>
  </r>
  <r>
    <m/>
    <m/>
    <n v="200000"/>
    <x v="11"/>
    <n v="171502361"/>
    <s v="INFAQ UMIHAMIDAH"/>
    <x v="2"/>
  </r>
  <r>
    <m/>
    <m/>
    <n v="1011"/>
    <x v="11"/>
    <n v="171503372"/>
    <s v="INFAQ QRIS"/>
    <x v="2"/>
  </r>
  <r>
    <m/>
    <m/>
    <n v="25000"/>
    <x v="11"/>
    <n v="171528372"/>
    <s v="INFAQ QRIS"/>
    <x v="2"/>
  </r>
  <r>
    <m/>
    <m/>
    <n v="50000"/>
    <x v="11"/>
    <n v="171578372"/>
    <s v="INFAQ QRIS"/>
    <x v="2"/>
  </r>
  <r>
    <m/>
    <m/>
    <n v="10000"/>
    <x v="11"/>
    <n v="171588372"/>
    <s v="INFAQ QRIS"/>
    <x v="2"/>
  </r>
  <r>
    <m/>
    <m/>
    <n v="10000"/>
    <x v="11"/>
    <n v="171598372"/>
    <s v="INFAQ QRIS"/>
    <x v="2"/>
  </r>
  <r>
    <m/>
    <m/>
    <n v="500000"/>
    <x v="11"/>
    <n v="172098372"/>
    <s v="INFAQ DRS SARWONO"/>
    <x v="2"/>
  </r>
  <r>
    <m/>
    <m/>
    <n v="300000"/>
    <x v="11"/>
    <n v="172398372"/>
    <s v="INFAQ FADJAR SATYANI"/>
    <x v="2"/>
  </r>
  <r>
    <n v="750000"/>
    <m/>
    <m/>
    <x v="11"/>
    <n v="171648372"/>
    <s v="HONOR UST ZULFA SYAHIDAH"/>
    <x v="11"/>
  </r>
  <r>
    <n v="6500"/>
    <m/>
    <m/>
    <x v="11"/>
    <n v="171641872"/>
    <s v="HONOR UST ZULFA SYAHIDAH"/>
    <x v="11"/>
  </r>
  <r>
    <m/>
    <m/>
    <n v="25000"/>
    <x v="11"/>
    <n v="171666872"/>
    <s v="INFAQ QRIS"/>
    <x v="2"/>
  </r>
  <r>
    <m/>
    <m/>
    <n v="20000"/>
    <x v="11"/>
    <n v="171686872"/>
    <s v="INFAQ QRIS"/>
    <x v="2"/>
  </r>
  <r>
    <m/>
    <m/>
    <n v="500000"/>
    <x v="11"/>
    <n v="172186872"/>
    <s v="INFAQ INDRAEDISANTOSO"/>
    <x v="2"/>
  </r>
  <r>
    <m/>
    <m/>
    <n v="200000"/>
    <x v="11"/>
    <n v="172386872"/>
    <s v="INFAQ DEDEN TP PERDIANSYAH"/>
    <x v="2"/>
  </r>
  <r>
    <m/>
    <m/>
    <n v="350000"/>
    <x v="11"/>
    <n v="172736872"/>
    <s v="INFAQ DESYANA SE"/>
    <x v="2"/>
  </r>
  <r>
    <m/>
    <m/>
    <n v="25000"/>
    <x v="11"/>
    <n v="172761872"/>
    <s v="INFAQ QRIS"/>
    <x v="2"/>
  </r>
  <r>
    <m/>
    <m/>
    <n v="1011"/>
    <x v="11"/>
    <n v="172762883"/>
    <s v="INFAQ QRIS"/>
    <x v="2"/>
  </r>
  <r>
    <m/>
    <m/>
    <n v="20000"/>
    <x v="11"/>
    <n v="172782883"/>
    <s v="INFAQ QRIS"/>
    <x v="2"/>
  </r>
  <r>
    <m/>
    <m/>
    <n v="10000"/>
    <x v="11"/>
    <n v="172792883"/>
    <s v="INFAQ QRIS"/>
    <x v="2"/>
  </r>
  <r>
    <m/>
    <m/>
    <n v="20000"/>
    <x v="11"/>
    <n v="172812883"/>
    <s v="INFAQ QRIS"/>
    <x v="2"/>
  </r>
  <r>
    <m/>
    <m/>
    <n v="100000"/>
    <x v="11"/>
    <n v="172912883"/>
    <s v="INFAQ DWI LISTYOWATI DRA"/>
    <x v="2"/>
  </r>
  <r>
    <m/>
    <m/>
    <n v="10000"/>
    <x v="11"/>
    <n v="172922883"/>
    <s v="INFAQ QRIS"/>
    <x v="2"/>
  </r>
  <r>
    <m/>
    <m/>
    <n v="1011"/>
    <x v="11"/>
    <n v="172923894"/>
    <s v="INFAQ QRIS"/>
    <x v="2"/>
  </r>
  <r>
    <m/>
    <m/>
    <n v="20000"/>
    <x v="11"/>
    <n v="172943894"/>
    <s v="INFAQ QRIS"/>
    <x v="2"/>
  </r>
  <r>
    <m/>
    <m/>
    <n v="50000"/>
    <x v="11"/>
    <n v="172993894"/>
    <s v="INFAQ QRIS"/>
    <x v="2"/>
  </r>
  <r>
    <m/>
    <m/>
    <n v="200000"/>
    <x v="11"/>
    <n v="173193894"/>
    <s v="INFAQ WUSONO PRIHADI SANTO"/>
    <x v="2"/>
  </r>
  <r>
    <m/>
    <m/>
    <n v="1450000"/>
    <x v="11"/>
    <n v="174643894"/>
    <m/>
    <x v="12"/>
  </r>
  <r>
    <m/>
    <m/>
    <n v="1158000"/>
    <x v="11"/>
    <n v="175801894"/>
    <m/>
    <x v="2"/>
  </r>
  <r>
    <m/>
    <n v="2608000"/>
    <m/>
    <x v="1"/>
    <n v="175801894"/>
    <s v="SETORAN NANANG"/>
    <x v="4"/>
  </r>
  <r>
    <n v="1750000"/>
    <m/>
    <m/>
    <x v="11"/>
    <n v="174051894"/>
    <s v="MAHMUD MADJID Perbaikan Kamar Wudhu MAJ"/>
    <x v="8"/>
  </r>
  <r>
    <n v="6500"/>
    <m/>
    <m/>
    <x v="11"/>
    <n v="174045394"/>
    <s v="MAHMUD MADJID Perbaikan Kamar Wudhu MAJ"/>
    <x v="8"/>
  </r>
  <r>
    <m/>
    <m/>
    <n v="20000"/>
    <x v="11"/>
    <n v="174065394"/>
    <s v="INFAQ QRIS"/>
    <x v="2"/>
  </r>
  <r>
    <n v="750000"/>
    <m/>
    <m/>
    <x v="11"/>
    <n v="173315394"/>
    <s v="HONOR UST ABDUL HAMID"/>
    <x v="11"/>
  </r>
  <r>
    <n v="6500"/>
    <m/>
    <m/>
    <x v="11"/>
    <n v="173308894"/>
    <s v="HONOR UST ABDUL HAMID"/>
    <x v="11"/>
  </r>
  <r>
    <m/>
    <m/>
    <n v="10000"/>
    <x v="11"/>
    <n v="173318894"/>
    <s v="INFAQ QRIS"/>
    <x v="2"/>
  </r>
  <r>
    <m/>
    <m/>
    <n v="50000"/>
    <x v="11"/>
    <n v="173368894"/>
    <s v="INFAQ QRIS"/>
    <x v="2"/>
  </r>
  <r>
    <m/>
    <m/>
    <n v="5000"/>
    <x v="11"/>
    <n v="173373894"/>
    <s v="INFAQ QRIS"/>
    <x v="2"/>
  </r>
  <r>
    <m/>
    <m/>
    <n v="10000"/>
    <x v="11"/>
    <n v="173383894"/>
    <s v="INFAQ QRIS"/>
    <x v="2"/>
  </r>
  <r>
    <m/>
    <m/>
    <n v="150000"/>
    <x v="11"/>
    <n v="173533894"/>
    <s v="INFAQ QRIS"/>
    <x v="2"/>
  </r>
  <r>
    <m/>
    <m/>
    <n v="10000"/>
    <x v="11"/>
    <n v="173543894"/>
    <s v="INFAQ QRIS"/>
    <x v="2"/>
  </r>
  <r>
    <m/>
    <m/>
    <n v="20000"/>
    <x v="11"/>
    <n v="173563894"/>
    <s v="INFAQ QRIS"/>
    <x v="2"/>
  </r>
  <r>
    <m/>
    <m/>
    <n v="1011"/>
    <x v="11"/>
    <n v="173564905"/>
    <s v="INFAQ QRIS"/>
    <x v="2"/>
  </r>
  <r>
    <n v="750000"/>
    <m/>
    <m/>
    <x v="11"/>
    <n v="172814905"/>
    <s v="HONOR UST DARWIS"/>
    <x v="11"/>
  </r>
  <r>
    <m/>
    <m/>
    <n v="50000"/>
    <x v="11"/>
    <n v="172864905"/>
    <s v="INFAQ QRIS"/>
    <x v="2"/>
  </r>
  <r>
    <m/>
    <m/>
    <n v="25000"/>
    <x v="11"/>
    <n v="172889905"/>
    <s v="INFAQ QRIS"/>
    <x v="2"/>
  </r>
  <r>
    <m/>
    <m/>
    <n v="1011"/>
    <x v="11"/>
    <n v="172890916"/>
    <s v="INFAQ QRIS"/>
    <x v="2"/>
  </r>
  <r>
    <m/>
    <m/>
    <n v="10000"/>
    <x v="11"/>
    <n v="172900916"/>
    <s v="INFAQ QRIS"/>
    <x v="2"/>
  </r>
  <r>
    <m/>
    <m/>
    <n v="20000"/>
    <x v="11"/>
    <n v="172920916"/>
    <s v="INFAQ QRIS"/>
    <x v="2"/>
  </r>
  <r>
    <m/>
    <m/>
    <n v="50000"/>
    <x v="11"/>
    <n v="172970916"/>
    <s v="INFAQ QRIS"/>
    <x v="2"/>
  </r>
  <r>
    <m/>
    <m/>
    <n v="25000"/>
    <x v="11"/>
    <n v="172995916"/>
    <s v="INFAQ QRIS"/>
    <x v="2"/>
  </r>
  <r>
    <m/>
    <m/>
    <n v="10000"/>
    <x v="11"/>
    <n v="173005916"/>
    <s v="INFAQ QRIS"/>
    <x v="2"/>
  </r>
  <r>
    <m/>
    <m/>
    <n v="20000"/>
    <x v="11"/>
    <n v="173025916"/>
    <s v="INFAQ QRIS"/>
    <x v="2"/>
  </r>
  <r>
    <m/>
    <m/>
    <n v="50000"/>
    <x v="11"/>
    <n v="173075916"/>
    <s v="INFAQ QRIS"/>
    <x v="2"/>
  </r>
  <r>
    <m/>
    <m/>
    <n v="1011"/>
    <x v="11"/>
    <n v="173076927"/>
    <s v="INFAQ QRIS"/>
    <x v="2"/>
  </r>
  <r>
    <m/>
    <m/>
    <n v="1011"/>
    <x v="11"/>
    <n v="173077938"/>
    <s v="INFAQ QRIS"/>
    <x v="2"/>
  </r>
  <r>
    <m/>
    <m/>
    <n v="10000"/>
    <x v="11"/>
    <n v="173087938"/>
    <s v="INFAQ QRIS"/>
    <x v="2"/>
  </r>
  <r>
    <m/>
    <m/>
    <n v="1264000"/>
    <x v="11"/>
    <n v="174351938"/>
    <m/>
    <x v="12"/>
  </r>
  <r>
    <m/>
    <m/>
    <n v="2026000"/>
    <x v="11"/>
    <n v="176377938"/>
    <m/>
    <x v="2"/>
  </r>
  <r>
    <m/>
    <n v="3290000"/>
    <m/>
    <x v="1"/>
    <n v="176377938"/>
    <s v="SETOR NANANG"/>
    <x v="4"/>
  </r>
  <r>
    <m/>
    <m/>
    <n v="10000"/>
    <x v="11"/>
    <n v="176387938"/>
    <s v="INFAQ QRIS"/>
    <x v="2"/>
  </r>
  <r>
    <m/>
    <m/>
    <n v="20000"/>
    <x v="11"/>
    <n v="176407938"/>
    <s v="INFAQ QRIS"/>
    <x v="2"/>
  </r>
  <r>
    <m/>
    <m/>
    <n v="1011"/>
    <x v="11"/>
    <n v="176408949"/>
    <s v="INFAQ QRIS"/>
    <x v="2"/>
  </r>
  <r>
    <m/>
    <m/>
    <n v="10000000"/>
    <x v="11"/>
    <n v="186408949"/>
    <s v="ALI BADARUDDIN"/>
    <x v="16"/>
  </r>
  <r>
    <m/>
    <m/>
    <n v="2000000"/>
    <x v="11"/>
    <n v="188408949"/>
    <s v="INFAQ RIZKYHIDAYATSL"/>
    <x v="2"/>
  </r>
  <r>
    <m/>
    <m/>
    <n v="20000"/>
    <x v="11"/>
    <n v="188428949"/>
    <s v="INFAQ QRIS"/>
    <x v="2"/>
  </r>
  <r>
    <m/>
    <m/>
    <n v="1011"/>
    <x v="11"/>
    <n v="188429960"/>
    <s v="INFAQ QRIS"/>
    <x v="2"/>
  </r>
  <r>
    <m/>
    <m/>
    <n v="10000"/>
    <x v="11"/>
    <n v="188439960"/>
    <s v="INFAQ QRIS"/>
    <x v="2"/>
  </r>
  <r>
    <m/>
    <m/>
    <n v="100000"/>
    <x v="11"/>
    <n v="188539960"/>
    <s v="INFAQ FENTYHERLIANA"/>
    <x v="2"/>
  </r>
  <r>
    <n v="750000"/>
    <m/>
    <m/>
    <x v="11"/>
    <n v="187789960"/>
    <s v="HONOR UST FAISAL"/>
    <x v="11"/>
  </r>
  <r>
    <m/>
    <m/>
    <n v="10000"/>
    <x v="11"/>
    <n v="187799960"/>
    <s v="INFAQ QRIS"/>
    <x v="2"/>
  </r>
  <r>
    <m/>
    <m/>
    <n v="20000"/>
    <x v="11"/>
    <n v="187819960"/>
    <s v="INFAQ QRIS"/>
    <x v="2"/>
  </r>
  <r>
    <m/>
    <m/>
    <n v="25000"/>
    <x v="11"/>
    <n v="187844960"/>
    <s v="INFAQ QRIS"/>
    <x v="2"/>
  </r>
  <r>
    <m/>
    <m/>
    <n v="100000"/>
    <x v="11"/>
    <n v="187944960"/>
    <s v="INFAQ QRIS"/>
    <x v="2"/>
  </r>
  <r>
    <m/>
    <m/>
    <n v="20000"/>
    <x v="11"/>
    <n v="187964960"/>
    <s v="INFAQ QRIS"/>
    <x v="2"/>
  </r>
  <r>
    <n v="750000"/>
    <m/>
    <m/>
    <x v="11"/>
    <n v="187214960"/>
    <s v="HONOR UST-HASAN MUBAROK"/>
    <x v="11"/>
  </r>
  <r>
    <n v="6500"/>
    <m/>
    <m/>
    <x v="11"/>
    <n v="187208460"/>
    <s v="HONOR UST-HASAN MUBAROK"/>
    <x v="11"/>
  </r>
  <r>
    <m/>
    <m/>
    <n v="20000"/>
    <x v="11"/>
    <n v="187228460"/>
    <s v="INFAQ QRIS"/>
    <x v="2"/>
  </r>
  <r>
    <m/>
    <m/>
    <n v="10000"/>
    <x v="11"/>
    <n v="187238460"/>
    <s v="INFAQ QRIS"/>
    <x v="2"/>
  </r>
  <r>
    <m/>
    <m/>
    <n v="25000"/>
    <x v="11"/>
    <n v="187263460"/>
    <s v="INFAQ QRIS"/>
    <x v="2"/>
  </r>
  <r>
    <m/>
    <m/>
    <n v="1011"/>
    <x v="11"/>
    <n v="187264471"/>
    <s v="INFAQ QRIS"/>
    <x v="2"/>
  </r>
  <r>
    <m/>
    <m/>
    <n v="20000"/>
    <x v="11"/>
    <n v="187284471"/>
    <s v="INFAQ QRIS"/>
    <x v="2"/>
  </r>
  <r>
    <m/>
    <m/>
    <n v="10000"/>
    <x v="11"/>
    <n v="187294471"/>
    <s v="INFAQ QRIS"/>
    <x v="2"/>
  </r>
  <r>
    <m/>
    <m/>
    <n v="25000"/>
    <x v="11"/>
    <n v="187319471"/>
    <s v="INFAQ QRIS"/>
    <x v="2"/>
  </r>
  <r>
    <m/>
    <m/>
    <n v="50000"/>
    <x v="11"/>
    <n v="187369471"/>
    <s v="INFAQ QRIS"/>
    <x v="2"/>
  </r>
  <r>
    <m/>
    <m/>
    <n v="1994000"/>
    <x v="11"/>
    <n v="189363471"/>
    <m/>
    <x v="12"/>
  </r>
  <r>
    <m/>
    <m/>
    <n v="1540000"/>
    <x v="11"/>
    <n v="190903471"/>
    <m/>
    <x v="2"/>
  </r>
  <r>
    <m/>
    <n v="3534000"/>
    <m/>
    <x v="1"/>
    <n v="190903471"/>
    <s v="SETORAN NANANG"/>
    <x v="4"/>
  </r>
  <r>
    <m/>
    <m/>
    <n v="1011"/>
    <x v="11"/>
    <n v="190904482"/>
    <s v="INFAQ QRIS"/>
    <x v="2"/>
  </r>
  <r>
    <m/>
    <m/>
    <n v="20000"/>
    <x v="11"/>
    <n v="190924482"/>
    <s v="INFAQ QRIS"/>
    <x v="2"/>
  </r>
  <r>
    <m/>
    <m/>
    <n v="10000"/>
    <x v="11"/>
    <n v="190934482"/>
    <s v="INFAQ QRIS"/>
    <x v="2"/>
  </r>
  <r>
    <m/>
    <m/>
    <n v="10000"/>
    <x v="11"/>
    <n v="190944482"/>
    <s v="INFAQ QRIS"/>
    <x v="2"/>
  </r>
  <r>
    <m/>
    <m/>
    <n v="20000"/>
    <x v="11"/>
    <n v="190964482"/>
    <s v="INFAQ QRIS"/>
    <x v="2"/>
  </r>
  <r>
    <m/>
    <m/>
    <n v="100000"/>
    <x v="11"/>
    <n v="191064482"/>
    <s v="INFAQ DEVI SALANTI"/>
    <x v="2"/>
  </r>
  <r>
    <m/>
    <m/>
    <n v="1011"/>
    <x v="11"/>
    <n v="191065493"/>
    <s v="INFAQ QRIS"/>
    <x v="2"/>
  </r>
  <r>
    <m/>
    <m/>
    <n v="20000"/>
    <x v="11"/>
    <n v="191085493"/>
    <s v="INFAQ QRIS"/>
    <x v="2"/>
  </r>
  <r>
    <m/>
    <m/>
    <n v="10000"/>
    <x v="11"/>
    <n v="191095493"/>
    <s v="INFAQ QRIS"/>
    <x v="2"/>
  </r>
  <r>
    <n v="1003000"/>
    <m/>
    <m/>
    <x v="11"/>
    <n v="190092493"/>
    <s v="Beli Voucher Listrik MAJ"/>
    <x v="7"/>
  </r>
  <r>
    <n v="6500"/>
    <m/>
    <m/>
    <x v="11"/>
    <n v="190085993"/>
    <s v="Beli Voucher Listrik MAJ"/>
    <x v="7"/>
  </r>
  <r>
    <m/>
    <m/>
    <n v="2880000"/>
    <x v="11"/>
    <n v="192965993"/>
    <s v="SETOR INFAQ COLLECTIVE IMRON ROSADI"/>
    <x v="2"/>
  </r>
  <r>
    <m/>
    <m/>
    <n v="1011"/>
    <x v="11"/>
    <n v="192967004"/>
    <s v="INFAQ QRIS"/>
    <x v="2"/>
  </r>
  <r>
    <m/>
    <m/>
    <n v="20000"/>
    <x v="11"/>
    <n v="192987004"/>
    <s v="INFAQ QRIS"/>
    <x v="2"/>
  </r>
  <r>
    <m/>
    <m/>
    <n v="10000"/>
    <x v="11"/>
    <n v="192997004"/>
    <s v="INFAQ QRIS"/>
    <x v="2"/>
  </r>
  <r>
    <m/>
    <m/>
    <n v="2000"/>
    <x v="11"/>
    <n v="192999004"/>
    <s v="INFAQ QRIS"/>
    <x v="2"/>
  </r>
  <r>
    <m/>
    <m/>
    <n v="20000"/>
    <x v="11"/>
    <n v="193019004"/>
    <s v="INFAQ QRIS"/>
    <x v="2"/>
  </r>
  <r>
    <m/>
    <m/>
    <n v="10000"/>
    <x v="11"/>
    <n v="193029004"/>
    <s v="INFAQ QRIS"/>
    <x v="2"/>
  </r>
  <r>
    <m/>
    <m/>
    <n v="500000"/>
    <x v="11"/>
    <n v="193529004"/>
    <s v="INFAQ QRIS"/>
    <x v="2"/>
  </r>
  <r>
    <m/>
    <m/>
    <n v="20000"/>
    <x v="11"/>
    <n v="193549004"/>
    <s v="INFAQ QRIS"/>
    <x v="2"/>
  </r>
  <r>
    <m/>
    <m/>
    <n v="1011"/>
    <x v="11"/>
    <n v="193550015"/>
    <s v="INFAQ QRIS"/>
    <x v="2"/>
  </r>
  <r>
    <n v="1000000"/>
    <m/>
    <m/>
    <x v="11"/>
    <n v="192550015"/>
    <s v="HONOR UST-WAHID RAHMAN"/>
    <x v="11"/>
  </r>
  <r>
    <n v="6500"/>
    <m/>
    <m/>
    <x v="11"/>
    <n v="192543515"/>
    <s v="HONOR UST-WAHID RAHMAN"/>
    <x v="11"/>
  </r>
  <r>
    <m/>
    <m/>
    <n v="20000"/>
    <x v="11"/>
    <n v="192563515"/>
    <s v="INFAQ QRIS"/>
    <x v="2"/>
  </r>
  <r>
    <m/>
    <m/>
    <n v="10000"/>
    <x v="11"/>
    <n v="192573515"/>
    <s v="INFAQ QRIS"/>
    <x v="2"/>
  </r>
  <r>
    <m/>
    <m/>
    <n v="25000"/>
    <x v="11"/>
    <n v="192598515"/>
    <s v="INFAQ QRIS"/>
    <x v="2"/>
  </r>
  <r>
    <m/>
    <m/>
    <n v="10000"/>
    <x v="11"/>
    <n v="192608515"/>
    <s v="INFAQ QRIS"/>
    <x v="2"/>
  </r>
  <r>
    <m/>
    <m/>
    <n v="20000"/>
    <x v="11"/>
    <n v="192628515"/>
    <s v="INFAQ QRIS"/>
    <x v="2"/>
  </r>
  <r>
    <m/>
    <m/>
    <n v="1011"/>
    <x v="11"/>
    <n v="192629526"/>
    <s v="INFAQ QRIS"/>
    <x v="2"/>
  </r>
  <r>
    <m/>
    <m/>
    <n v="200000"/>
    <x v="11"/>
    <n v="192829526"/>
    <s v="INFAQ TPQ FATIH RIVENDRA"/>
    <x v="10"/>
  </r>
  <r>
    <m/>
    <m/>
    <n v="1011"/>
    <x v="11"/>
    <n v="192830537"/>
    <s v="INFAQ QRIS"/>
    <x v="2"/>
  </r>
  <r>
    <m/>
    <m/>
    <n v="1000000"/>
    <x v="11"/>
    <n v="193830537"/>
    <s v="INFAQ RAMADHAN NIENDRAPUTRA"/>
    <x v="2"/>
  </r>
  <r>
    <m/>
    <m/>
    <n v="1489000"/>
    <x v="11"/>
    <n v="195319537"/>
    <m/>
    <x v="12"/>
  </r>
  <r>
    <m/>
    <m/>
    <n v="3542000"/>
    <x v="11"/>
    <n v="198861537"/>
    <m/>
    <x v="2"/>
  </r>
  <r>
    <m/>
    <n v="5031000"/>
    <m/>
    <x v="1"/>
    <n v="198861537"/>
    <s v="SETORAN NANANG"/>
    <x v="4"/>
  </r>
  <r>
    <m/>
    <m/>
    <n v="20000"/>
    <x v="11"/>
    <n v="198881537"/>
    <s v="INFAQ QRIS"/>
    <x v="2"/>
  </r>
  <r>
    <m/>
    <m/>
    <n v="20000"/>
    <x v="11"/>
    <n v="198901537"/>
    <s v="INFAQ QRIS"/>
    <x v="2"/>
  </r>
  <r>
    <m/>
    <m/>
    <n v="5000"/>
    <x v="11"/>
    <n v="198906537"/>
    <s v="INFAQ QRIS"/>
    <x v="2"/>
  </r>
  <r>
    <m/>
    <m/>
    <n v="1011"/>
    <x v="11"/>
    <n v="198907548"/>
    <s v="INFAQ QRIS"/>
    <x v="2"/>
  </r>
  <r>
    <m/>
    <m/>
    <n v="1011"/>
    <x v="11"/>
    <n v="198908559"/>
    <s v="INFAQ QRIS"/>
    <x v="2"/>
  </r>
  <r>
    <m/>
    <m/>
    <n v="20000"/>
    <x v="11"/>
    <n v="198928559"/>
    <s v="INFAQ QRIS"/>
    <x v="2"/>
  </r>
  <r>
    <m/>
    <m/>
    <n v="10000"/>
    <x v="11"/>
    <n v="198938559"/>
    <s v="INFAQ QRIS"/>
    <x v="2"/>
  </r>
  <r>
    <m/>
    <m/>
    <n v="50000"/>
    <x v="11"/>
    <n v="198988559"/>
    <s v="INFAQ QRIS"/>
    <x v="2"/>
  </r>
  <r>
    <n v="2250000"/>
    <m/>
    <m/>
    <x v="11"/>
    <n v="196738559"/>
    <s v="HONOR A IMRON ROSADI"/>
    <x v="13"/>
  </r>
  <r>
    <n v="6500"/>
    <m/>
    <m/>
    <x v="11"/>
    <n v="196732059"/>
    <s v="HONOR A IMRON ROSADI"/>
    <x v="13"/>
  </r>
  <r>
    <n v="550000"/>
    <m/>
    <m/>
    <x v="11"/>
    <n v="196182059"/>
    <s v="HONOR-M BAYU CANDRA"/>
    <x v="13"/>
  </r>
  <r>
    <n v="6500"/>
    <m/>
    <m/>
    <x v="11"/>
    <n v="196175559"/>
    <s v="HONOR-M BAYU CANDRA"/>
    <x v="13"/>
  </r>
  <r>
    <n v="2500000"/>
    <m/>
    <m/>
    <x v="11"/>
    <n v="193675559"/>
    <s v="HONOR-MUHAMMAD ILHAM"/>
    <x v="13"/>
  </r>
  <r>
    <n v="6500"/>
    <m/>
    <m/>
    <x v="11"/>
    <n v="193669059"/>
    <s v="HONOR-MUHAMMAD ILHAM"/>
    <x v="13"/>
  </r>
  <r>
    <n v="4000000"/>
    <m/>
    <m/>
    <x v="11"/>
    <n v="189669059"/>
    <s v="M BAYU CANDRA MAJ Biaya Perawatan Santri November 2025"/>
    <x v="14"/>
  </r>
  <r>
    <n v="6500"/>
    <m/>
    <m/>
    <x v="11"/>
    <n v="189662559"/>
    <s v="M BAYU CANDRA MAJ Biaya Perawatan Santri November 2025"/>
    <x v="14"/>
  </r>
  <r>
    <n v="2000000"/>
    <m/>
    <m/>
    <x v="11"/>
    <n v="187662559"/>
    <s v="LINA HERLINA Biaya Adm Pengajian Ibu-Ibu MAJ Desember"/>
    <x v="11"/>
  </r>
  <r>
    <n v="6500"/>
    <m/>
    <m/>
    <x v="11"/>
    <n v="187656059"/>
    <s v="LINA HERLINA Biaya Adm Pengajian Ibu-Ibu MAJ Desember"/>
    <x v="11"/>
  </r>
  <r>
    <n v="2700000"/>
    <m/>
    <m/>
    <x v="11"/>
    <n v="184956059"/>
    <s v="M BAYU CANDRA MAJ Honor Mushrif November 2025"/>
    <x v="14"/>
  </r>
  <r>
    <n v="6500"/>
    <m/>
    <m/>
    <x v="11"/>
    <n v="184949559"/>
    <s v="M BAYU CANDRA MAJ Honor Mushrif November 2025"/>
    <x v="14"/>
  </r>
  <r>
    <n v="3500000"/>
    <m/>
    <m/>
    <x v="11"/>
    <n v="181449559"/>
    <s v="HONOR-NANANG SUBAEDI"/>
    <x v="13"/>
  </r>
  <r>
    <n v="6500"/>
    <m/>
    <m/>
    <x v="11"/>
    <n v="181443059"/>
    <s v="HONOR-NANANG SUBAEDI"/>
    <x v="13"/>
  </r>
  <r>
    <n v="1000000"/>
    <m/>
    <m/>
    <x v="11"/>
    <n v="180443059"/>
    <s v="HONOR-AHMAD IMAM SAMUDRA"/>
    <x v="13"/>
  </r>
  <r>
    <n v="6500"/>
    <m/>
    <m/>
    <x v="11"/>
    <n v="180436559"/>
    <s v="HONOR-AHMAD IMAM SAMUDRA"/>
    <x v="13"/>
  </r>
  <r>
    <n v="2750000"/>
    <m/>
    <m/>
    <x v="11"/>
    <n v="177686559"/>
    <s v="HONOR SURYADI"/>
    <x v="13"/>
  </r>
  <r>
    <n v="9000"/>
    <m/>
    <m/>
    <x v="11"/>
    <n v="177677559"/>
    <s v="BIAYA PAYROLL "/>
    <x v="1"/>
  </r>
  <r>
    <m/>
    <m/>
    <n v="1000000"/>
    <x v="11"/>
    <n v="178677559"/>
    <s v="INFAQ ANGGONO IRIAWAN"/>
    <x v="2"/>
  </r>
  <r>
    <m/>
    <m/>
    <n v="100000"/>
    <x v="11"/>
    <n v="178777559"/>
    <s v="INFAQ SURJATI SUTARJA"/>
    <x v="2"/>
  </r>
  <r>
    <m/>
    <m/>
    <n v="500000"/>
    <x v="11"/>
    <n v="179277559"/>
    <s v="INFAQ RAMADHAN NIENDRAPUTRA"/>
    <x v="2"/>
  </r>
  <r>
    <m/>
    <m/>
    <n v="20000"/>
    <x v="11"/>
    <n v="179297559"/>
    <s v="INFAQ QRIS"/>
    <x v="2"/>
  </r>
  <r>
    <m/>
    <m/>
    <n v="50000"/>
    <x v="11"/>
    <n v="179347559"/>
    <s v="INFAQ QRIS"/>
    <x v="2"/>
  </r>
  <r>
    <m/>
    <m/>
    <n v="50000"/>
    <x v="11"/>
    <n v="179397559"/>
    <s v="INFAQ QRIS"/>
    <x v="2"/>
  </r>
  <r>
    <m/>
    <m/>
    <n v="10000"/>
    <x v="11"/>
    <n v="179407559"/>
    <s v="INFAQ QRIS"/>
    <x v="2"/>
  </r>
  <r>
    <m/>
    <m/>
    <n v="20000"/>
    <x v="11"/>
    <n v="179427559"/>
    <s v="INFAQ QRIS"/>
    <x v="2"/>
  </r>
  <r>
    <m/>
    <m/>
    <n v="1011"/>
    <x v="11"/>
    <n v="179428570"/>
    <s v="INFAQ QRIS"/>
    <x v="2"/>
  </r>
  <r>
    <m/>
    <m/>
    <n v="350000"/>
    <x v="11"/>
    <n v="179778570"/>
    <s v="INFAQ DESYANA SE"/>
    <x v="2"/>
  </r>
  <r>
    <n v="2650000"/>
    <m/>
    <m/>
    <x v="11"/>
    <n v="177128570"/>
    <s v="HONOR UST-SIHABUDDIN UMAR SE MM"/>
    <x v="11"/>
  </r>
  <r>
    <n v="6500"/>
    <m/>
    <m/>
    <x v="11"/>
    <n v="177122070"/>
    <s v="HONOR UST-SIHABUDDIN UMAR SE MM"/>
    <x v="11"/>
  </r>
  <r>
    <m/>
    <m/>
    <n v="1011"/>
    <x v="11"/>
    <n v="177123081"/>
    <s v="INFAQ QRIS"/>
    <x v="2"/>
  </r>
  <r>
    <m/>
    <m/>
    <n v="20000"/>
    <x v="11"/>
    <n v="177143081"/>
    <s v="INFAQ QRIS"/>
    <x v="2"/>
  </r>
  <r>
    <m/>
    <m/>
    <n v="200000"/>
    <x v="12"/>
    <n v="177343081"/>
    <s v="INFAQ UMIHAMIDAH"/>
    <x v="2"/>
  </r>
  <r>
    <m/>
    <m/>
    <n v="20000"/>
    <x v="12"/>
    <n v="177363081"/>
    <s v="INFAQ QRIS"/>
    <x v="2"/>
  </r>
  <r>
    <m/>
    <m/>
    <n v="25000"/>
    <x v="12"/>
    <n v="177388081"/>
    <s v="INFAQ QRIS"/>
    <x v="2"/>
  </r>
  <r>
    <m/>
    <m/>
    <n v="1011"/>
    <x v="12"/>
    <n v="177389092"/>
    <s v="INFAQ QRIS"/>
    <x v="2"/>
  </r>
  <r>
    <m/>
    <m/>
    <n v="300000"/>
    <x v="12"/>
    <n v="177689092"/>
    <s v="INFAQ FADJAR SATYANI"/>
    <x v="2"/>
  </r>
  <r>
    <m/>
    <m/>
    <n v="500000"/>
    <x v="12"/>
    <n v="178189092"/>
    <s v="INFAQ DRS SARWONO"/>
    <x v="2"/>
  </r>
  <r>
    <m/>
    <m/>
    <n v="1587000"/>
    <x v="12"/>
    <n v="179776092"/>
    <m/>
    <x v="12"/>
  </r>
  <r>
    <m/>
    <m/>
    <n v="807000"/>
    <x v="12"/>
    <n v="180583092"/>
    <m/>
    <x v="2"/>
  </r>
  <r>
    <m/>
    <n v="2394000"/>
    <m/>
    <x v="1"/>
    <n v="180583092"/>
    <s v=" 001116686544 SETORAN INFAQ PER PEKAN  SETOR TUNAI "/>
    <x v="4"/>
  </r>
  <r>
    <m/>
    <m/>
    <n v="10000"/>
    <x v="12"/>
    <n v="180593092"/>
    <s v="INFAQ QRIS"/>
    <x v="2"/>
  </r>
  <r>
    <m/>
    <m/>
    <n v="200000"/>
    <x v="12"/>
    <n v="180793092"/>
    <s v="INFAQ DEDEN TP PERDIANSYAH"/>
    <x v="2"/>
  </r>
  <r>
    <m/>
    <m/>
    <n v="1011"/>
    <x v="12"/>
    <n v="180794103"/>
    <s v="INFAQ QRIS"/>
    <x v="2"/>
  </r>
  <r>
    <m/>
    <m/>
    <n v="40000"/>
    <x v="12"/>
    <n v="180834103"/>
    <s v="INFAQ QRIS"/>
    <x v="2"/>
  </r>
  <r>
    <m/>
    <m/>
    <n v="10000"/>
    <x v="12"/>
    <n v="180844103"/>
    <s v="INFAQ QRIS"/>
    <x v="2"/>
  </r>
  <r>
    <m/>
    <m/>
    <n v="20000"/>
    <x v="12"/>
    <n v="180864103"/>
    <s v="INFAQ QRIS"/>
    <x v="2"/>
  </r>
  <r>
    <m/>
    <m/>
    <n v="600000"/>
    <x v="12"/>
    <n v="181464103"/>
    <s v="INFAQ AGUNG PRAMONO"/>
    <x v="2"/>
  </r>
  <r>
    <m/>
    <m/>
    <n v="200000"/>
    <x v="12"/>
    <n v="181664103"/>
    <s v="INFAQ WUSONO PRIHADI SANTO"/>
    <x v="2"/>
  </r>
  <r>
    <m/>
    <m/>
    <n v="1011"/>
    <x v="12"/>
    <n v="181665114"/>
    <s v="INFAQ QRIS"/>
    <x v="2"/>
  </r>
  <r>
    <m/>
    <m/>
    <n v="10000"/>
    <x v="12"/>
    <n v="181675114"/>
    <s v="INFAQ QRIS"/>
    <x v="2"/>
  </r>
  <r>
    <m/>
    <m/>
    <n v="50000"/>
    <x v="12"/>
    <n v="181725114"/>
    <s v="INFAQ QRIS"/>
    <x v="2"/>
  </r>
  <r>
    <m/>
    <m/>
    <n v="20000"/>
    <x v="12"/>
    <n v="181745114"/>
    <s v="INFAQ QRIS"/>
    <x v="2"/>
  </r>
  <r>
    <m/>
    <m/>
    <n v="20000"/>
    <x v="12"/>
    <n v="181765114"/>
    <s v="INFAQ QRIS"/>
    <x v="2"/>
  </r>
  <r>
    <m/>
    <m/>
    <n v="10000"/>
    <x v="12"/>
    <n v="181775114"/>
    <s v="INFAQ QRIS"/>
    <x v="2"/>
  </r>
  <r>
    <m/>
    <m/>
    <n v="1011"/>
    <x v="12"/>
    <n v="181776125"/>
    <s v="INFAQ QRIS"/>
    <x v="2"/>
  </r>
  <r>
    <m/>
    <m/>
    <n v="500000"/>
    <x v="12"/>
    <n v="182276125"/>
    <s v="INFAQ INDRAEDISANTOSO"/>
    <x v="2"/>
  </r>
  <r>
    <n v="750000"/>
    <m/>
    <m/>
    <x v="12"/>
    <n v="181526125"/>
    <s v="HONOR UST-MOHAMMAD SHODIQ"/>
    <x v="11"/>
  </r>
  <r>
    <n v="6500"/>
    <m/>
    <m/>
    <x v="12"/>
    <n v="181519625"/>
    <s v="HONOR UST-MOHAMMAD SHODIQ"/>
    <x v="11"/>
  </r>
  <r>
    <m/>
    <m/>
    <n v="400000"/>
    <x v="12"/>
    <n v="181919625"/>
    <s v="INFAQ PUTIE AMBUN SURI"/>
    <x v="2"/>
  </r>
  <r>
    <m/>
    <m/>
    <n v="5000"/>
    <x v="12"/>
    <n v="181924625"/>
    <s v="INFAQ QRIS"/>
    <x v="2"/>
  </r>
  <r>
    <m/>
    <m/>
    <n v="50000"/>
    <x v="12"/>
    <n v="181974625"/>
    <s v="INFAQ QRIS"/>
    <x v="2"/>
  </r>
  <r>
    <m/>
    <m/>
    <n v="50000"/>
    <x v="12"/>
    <n v="182024625"/>
    <s v="INFAQ QRIS"/>
    <x v="2"/>
  </r>
  <r>
    <m/>
    <m/>
    <n v="100000"/>
    <x v="12"/>
    <n v="182124625"/>
    <s v="INFAQ QRIS"/>
    <x v="2"/>
  </r>
  <r>
    <m/>
    <m/>
    <n v="25000"/>
    <x v="12"/>
    <n v="182149625"/>
    <s v="INFAQ QRIS"/>
    <x v="2"/>
  </r>
  <r>
    <m/>
    <m/>
    <n v="20000"/>
    <x v="12"/>
    <n v="182169625"/>
    <s v="INFAQ QRIS"/>
    <x v="2"/>
  </r>
  <r>
    <m/>
    <m/>
    <n v="10000"/>
    <x v="12"/>
    <n v="182179625"/>
    <s v="INFAQ QRIS"/>
    <x v="2"/>
  </r>
  <r>
    <m/>
    <m/>
    <n v="1011"/>
    <x v="12"/>
    <n v="182180636"/>
    <s v="INFAQ QRIS"/>
    <x v="2"/>
  </r>
  <r>
    <n v="750000"/>
    <m/>
    <m/>
    <x v="12"/>
    <n v="181430636"/>
    <s v="HONOR UST-UMAR"/>
    <x v="11"/>
  </r>
  <r>
    <n v="6500"/>
    <m/>
    <m/>
    <x v="12"/>
    <n v="181424136"/>
    <s v="HONOR UST-UMAR"/>
    <x v="11"/>
  </r>
  <r>
    <m/>
    <m/>
    <n v="25000"/>
    <x v="12"/>
    <n v="181449136"/>
    <s v="INFAQ QRIS"/>
    <x v="2"/>
  </r>
  <r>
    <m/>
    <m/>
    <n v="1011"/>
    <x v="12"/>
    <n v="181450147"/>
    <s v="INFAQ QRIS"/>
    <x v="2"/>
  </r>
  <r>
    <m/>
    <m/>
    <n v="20000"/>
    <x v="12"/>
    <n v="181470147"/>
    <s v="INFAQ QRIS"/>
    <x v="2"/>
  </r>
  <r>
    <m/>
    <m/>
    <n v="10000"/>
    <x v="12"/>
    <n v="181480147"/>
    <s v="INFAQ QRIS"/>
    <x v="2"/>
  </r>
  <r>
    <m/>
    <m/>
    <n v="25000"/>
    <x v="12"/>
    <n v="181505147"/>
    <s v="INFAQ QRIS"/>
    <x v="2"/>
  </r>
  <r>
    <m/>
    <m/>
    <n v="20000"/>
    <x v="12"/>
    <n v="181525147"/>
    <s v="INFAQ QRIS"/>
    <x v="2"/>
  </r>
  <r>
    <m/>
    <m/>
    <n v="10000"/>
    <x v="12"/>
    <n v="181535147"/>
    <s v="INFAQ QRIS"/>
    <x v="2"/>
  </r>
  <r>
    <m/>
    <m/>
    <n v="1011"/>
    <x v="12"/>
    <n v="181536158"/>
    <s v="INFAQ QRIS"/>
    <x v="2"/>
  </r>
  <r>
    <m/>
    <m/>
    <n v="10000"/>
    <x v="12"/>
    <n v="181546158"/>
    <s v="INFAQ QRIS"/>
    <x v="2"/>
  </r>
  <r>
    <m/>
    <m/>
    <n v="1829000"/>
    <x v="12"/>
    <n v="183375158"/>
    <m/>
    <x v="12"/>
  </r>
  <r>
    <m/>
    <m/>
    <n v="1118000"/>
    <x v="12"/>
    <n v="184493158"/>
    <m/>
    <x v="2"/>
  </r>
  <r>
    <m/>
    <n v="2947000"/>
    <m/>
    <x v="1"/>
    <n v="184493158"/>
    <s v="SETORAN NANANG"/>
    <x v="4"/>
  </r>
  <r>
    <m/>
    <m/>
    <n v="10000"/>
    <x v="12"/>
    <n v="184503158"/>
    <s v="INFAQ QRIS"/>
    <x v="2"/>
  </r>
  <r>
    <m/>
    <m/>
    <n v="1011"/>
    <x v="12"/>
    <n v="184504169"/>
    <s v="INFAQ QRIS"/>
    <x v="2"/>
  </r>
  <r>
    <m/>
    <m/>
    <n v="10000"/>
    <x v="12"/>
    <n v="184514169"/>
    <s v="INFAQ QRIS"/>
    <x v="2"/>
  </r>
  <r>
    <m/>
    <m/>
    <n v="10000"/>
    <x v="12"/>
    <n v="184524169"/>
    <s v="INFAQ QRIS"/>
    <x v="2"/>
  </r>
  <r>
    <m/>
    <m/>
    <n v="20000"/>
    <x v="12"/>
    <n v="184544169"/>
    <s v="INFAQ QRIS"/>
    <x v="2"/>
  </r>
  <r>
    <m/>
    <m/>
    <n v="1011"/>
    <x v="12"/>
    <n v="184545180"/>
    <s v="INFAQ QRIS"/>
    <x v="2"/>
  </r>
  <r>
    <m/>
    <m/>
    <n v="10000"/>
    <x v="12"/>
    <n v="184555180"/>
    <s v="INFAQ QRIS"/>
    <x v="2"/>
  </r>
  <r>
    <m/>
    <m/>
    <n v="20000"/>
    <x v="12"/>
    <n v="184575180"/>
    <s v="INFAQ QRIS"/>
    <x v="2"/>
  </r>
  <r>
    <m/>
    <m/>
    <n v="5000"/>
    <x v="12"/>
    <n v="184580180"/>
    <s v="INFAQ QRIS"/>
    <x v="2"/>
  </r>
  <r>
    <m/>
    <m/>
    <n v="10000"/>
    <x v="12"/>
    <n v="184590180"/>
    <s v="INFAQ QRIS"/>
    <x v="2"/>
  </r>
  <r>
    <m/>
    <m/>
    <n v="20000"/>
    <x v="12"/>
    <n v="184610180"/>
    <s v="INFAQ QRIS"/>
    <x v="2"/>
  </r>
  <r>
    <m/>
    <m/>
    <n v="1011"/>
    <x v="12"/>
    <n v="184611191"/>
    <s v="INFAQ QRIS"/>
    <x v="2"/>
  </r>
  <r>
    <m/>
    <m/>
    <n v="50000"/>
    <x v="12"/>
    <n v="184661191"/>
    <s v="INFAQ QRIS"/>
    <x v="2"/>
  </r>
  <r>
    <m/>
    <m/>
    <n v="10000"/>
    <x v="12"/>
    <n v="184671191"/>
    <s v="INFAQ QRIS"/>
    <x v="2"/>
  </r>
  <r>
    <m/>
    <m/>
    <n v="2000000"/>
    <x v="12"/>
    <n v="186671191"/>
    <s v="INFAQ RIZKYHIDAYATSL"/>
    <x v="2"/>
  </r>
  <r>
    <n v="750000"/>
    <m/>
    <m/>
    <x v="12"/>
    <n v="185921191"/>
    <s v="HONOR UST-ABDUL HAMID"/>
    <x v="11"/>
  </r>
  <r>
    <n v="6500"/>
    <m/>
    <m/>
    <x v="12"/>
    <n v="185914691"/>
    <s v="HONOR UST-ABDUL HAMID"/>
    <x v="11"/>
  </r>
  <r>
    <m/>
    <m/>
    <n v="50000"/>
    <x v="12"/>
    <n v="185964691"/>
    <s v="INFAQ QRIS"/>
    <x v="2"/>
  </r>
  <r>
    <m/>
    <m/>
    <n v="50000"/>
    <x v="12"/>
    <n v="186014691"/>
    <s v="INFAQ QRIS"/>
    <x v="2"/>
  </r>
  <r>
    <m/>
    <m/>
    <n v="50000"/>
    <x v="12"/>
    <n v="186064691"/>
    <s v="INFAQ QRIS"/>
    <x v="2"/>
  </r>
  <r>
    <m/>
    <m/>
    <n v="5000"/>
    <x v="12"/>
    <n v="186069691"/>
    <s v="INFAQ QRIS"/>
    <x v="2"/>
  </r>
  <r>
    <m/>
    <m/>
    <n v="5000"/>
    <x v="12"/>
    <n v="186074691"/>
    <s v="INFAQ QRIS"/>
    <x v="2"/>
  </r>
  <r>
    <m/>
    <m/>
    <n v="25000"/>
    <x v="12"/>
    <n v="186099691"/>
    <s v="INFAQ QRIS"/>
    <x v="2"/>
  </r>
  <r>
    <m/>
    <m/>
    <n v="10000"/>
    <x v="12"/>
    <n v="186109691"/>
    <s v="INFAQ QRIS"/>
    <x v="2"/>
  </r>
  <r>
    <m/>
    <m/>
    <n v="20000"/>
    <x v="12"/>
    <n v="186129691"/>
    <s v="INFAQ QRIS"/>
    <x v="2"/>
  </r>
  <r>
    <n v="750000"/>
    <m/>
    <m/>
    <x v="12"/>
    <n v="185379691"/>
    <s v="HONOR UST DARWIS "/>
    <x v="11"/>
  </r>
  <r>
    <m/>
    <m/>
    <n v="25000"/>
    <x v="12"/>
    <n v="185404691"/>
    <s v="INFAQ QRIS"/>
    <x v="2"/>
  </r>
  <r>
    <m/>
    <m/>
    <n v="10000"/>
    <x v="12"/>
    <n v="185414691"/>
    <s v="INFAQ QRIS"/>
    <x v="2"/>
  </r>
  <r>
    <m/>
    <m/>
    <n v="20000"/>
    <x v="12"/>
    <n v="185434691"/>
    <s v="INFAQ QRIS"/>
    <x v="2"/>
  </r>
  <r>
    <m/>
    <m/>
    <n v="10000"/>
    <x v="12"/>
    <n v="185444691"/>
    <s v="INFAQ QRIS"/>
    <x v="2"/>
  </r>
  <r>
    <m/>
    <m/>
    <n v="10000"/>
    <x v="12"/>
    <n v="185454691"/>
    <s v="INFAQ QRIS"/>
    <x v="2"/>
  </r>
  <r>
    <m/>
    <m/>
    <n v="10000"/>
    <x v="12"/>
    <n v="185464691"/>
    <s v="INFAQ QRIS"/>
    <x v="2"/>
  </r>
  <r>
    <m/>
    <m/>
    <n v="25000"/>
    <x v="12"/>
    <n v="185489691"/>
    <s v="INFAQ QRIS"/>
    <x v="2"/>
  </r>
  <r>
    <m/>
    <m/>
    <n v="100000"/>
    <x v="12"/>
    <n v="185589691"/>
    <s v="INFAQ QRIS"/>
    <x v="2"/>
  </r>
  <r>
    <m/>
    <m/>
    <n v="10000000"/>
    <x v="12"/>
    <n v="195589691"/>
    <s v="SETORAN ALI BADARUDDIN LEMBAGA PENDIDIKAN"/>
    <x v="16"/>
  </r>
  <r>
    <m/>
    <m/>
    <n v="2124000"/>
    <x v="12"/>
    <n v="197713691"/>
    <m/>
    <x v="12"/>
  </r>
  <r>
    <m/>
    <m/>
    <n v="876000"/>
    <x v="12"/>
    <n v="198589691"/>
    <m/>
    <x v="2"/>
  </r>
  <r>
    <m/>
    <n v="3000000"/>
    <m/>
    <x v="1"/>
    <n v="198589691"/>
    <s v="SETOR NANANG"/>
    <x v="4"/>
  </r>
  <r>
    <m/>
    <m/>
    <n v="20000"/>
    <x v="12"/>
    <n v="198609691"/>
    <s v="INFAQ QRIS"/>
    <x v="2"/>
  </r>
  <r>
    <m/>
    <m/>
    <n v="10000"/>
    <x v="12"/>
    <n v="198619691"/>
    <s v="INFAQ QRIS"/>
    <x v="2"/>
  </r>
  <r>
    <m/>
    <m/>
    <n v="10000"/>
    <x v="12"/>
    <n v="198629691"/>
    <s v="INFAQ QRIS"/>
    <x v="2"/>
  </r>
  <r>
    <m/>
    <m/>
    <n v="20000"/>
    <x v="12"/>
    <n v="198649691"/>
    <s v="INFAQ QRIS"/>
    <x v="2"/>
  </r>
  <r>
    <m/>
    <m/>
    <n v="10000"/>
    <x v="12"/>
    <n v="198659691"/>
    <s v="INFAQ QRIS"/>
    <x v="2"/>
  </r>
  <r>
    <m/>
    <m/>
    <n v="10000"/>
    <x v="12"/>
    <n v="198669691"/>
    <s v="INFAQ QRIS"/>
    <x v="2"/>
  </r>
  <r>
    <m/>
    <m/>
    <n v="10000"/>
    <x v="12"/>
    <n v="198679691"/>
    <s v="INFAQ QRIS"/>
    <x v="2"/>
  </r>
  <r>
    <m/>
    <m/>
    <n v="1011"/>
    <x v="12"/>
    <n v="198680702"/>
    <s v="INFAQ QRIS"/>
    <x v="2"/>
  </r>
  <r>
    <m/>
    <m/>
    <n v="500000"/>
    <x v="12"/>
    <n v="199180702"/>
    <s v="INFAQ GINTA DEWI"/>
    <x v="2"/>
  </r>
  <r>
    <m/>
    <m/>
    <n v="100000"/>
    <x v="12"/>
    <n v="199280702"/>
    <s v="INFAQ DEVI SALANTI"/>
    <x v="2"/>
  </r>
  <r>
    <m/>
    <m/>
    <n v="25000"/>
    <x v="12"/>
    <n v="199305702"/>
    <s v="INFAQ QRIS"/>
    <x v="2"/>
  </r>
  <r>
    <m/>
    <m/>
    <n v="50000"/>
    <x v="12"/>
    <n v="199355702"/>
    <s v="INFAQ QRIS"/>
    <x v="2"/>
  </r>
  <r>
    <m/>
    <m/>
    <n v="50000"/>
    <x v="12"/>
    <n v="199405702"/>
    <s v="INFAQ QRIS"/>
    <x v="2"/>
  </r>
  <r>
    <m/>
    <m/>
    <n v="1011"/>
    <x v="12"/>
    <n v="199406713"/>
    <s v="INFAQ QRIS"/>
    <x v="2"/>
  </r>
  <r>
    <m/>
    <m/>
    <n v="10000"/>
    <x v="12"/>
    <n v="199416713"/>
    <s v="INFAQ QRIS"/>
    <x v="2"/>
  </r>
  <r>
    <m/>
    <m/>
    <n v="10000"/>
    <x v="12"/>
    <n v="199426713"/>
    <s v="INFAQ QRIS"/>
    <x v="2"/>
  </r>
  <r>
    <m/>
    <m/>
    <n v="1845000"/>
    <x v="12"/>
    <n v="201271713"/>
    <s v="SETORAN INFAQ COLLECTIVE A IMRON ROSADI"/>
    <x v="2"/>
  </r>
  <r>
    <m/>
    <m/>
    <n v="10000"/>
    <x v="12"/>
    <n v="201281713"/>
    <s v="INFAQ QRIS"/>
    <x v="2"/>
  </r>
  <r>
    <m/>
    <m/>
    <n v="20000"/>
    <x v="12"/>
    <n v="201301713"/>
    <s v="INFAQ QRIS"/>
    <x v="2"/>
  </r>
  <r>
    <m/>
    <m/>
    <n v="1011"/>
    <x v="12"/>
    <n v="201302724"/>
    <s v="INFAQ QRIS"/>
    <x v="2"/>
  </r>
  <r>
    <m/>
    <m/>
    <n v="10000"/>
    <x v="12"/>
    <n v="201312724"/>
    <s v="INFAQ QRIS"/>
    <x v="2"/>
  </r>
  <r>
    <m/>
    <m/>
    <n v="20000"/>
    <x v="12"/>
    <n v="201332724"/>
    <s v="INFAQ QRIS"/>
    <x v="2"/>
  </r>
  <r>
    <m/>
    <m/>
    <n v="20000"/>
    <x v="12"/>
    <n v="201352724"/>
    <s v="INFAQ QRIS"/>
    <x v="2"/>
  </r>
  <r>
    <m/>
    <m/>
    <n v="1011"/>
    <x v="12"/>
    <n v="201353735"/>
    <s v="INFAQ QRIS"/>
    <x v="2"/>
  </r>
  <r>
    <m/>
    <m/>
    <n v="1000000"/>
    <x v="12"/>
    <n v="202353735"/>
    <s v="INFAQ RAMADHAN NIENDRAPUTRA"/>
    <x v="2"/>
  </r>
  <r>
    <m/>
    <m/>
    <n v="1011"/>
    <x v="12"/>
    <n v="202354746"/>
    <s v="INFAQ QRIS"/>
    <x v="2"/>
  </r>
  <r>
    <m/>
    <m/>
    <n v="20000"/>
    <x v="12"/>
    <n v="202374746"/>
    <s v="INFAQ QRIS"/>
    <x v="2"/>
  </r>
  <r>
    <m/>
    <m/>
    <n v="10000"/>
    <x v="12"/>
    <n v="202384746"/>
    <s v="INFAQ QRIS"/>
    <x v="2"/>
  </r>
  <r>
    <m/>
    <m/>
    <n v="10000"/>
    <x v="12"/>
    <n v="202394746"/>
    <s v="INFAQ QRIS"/>
    <x v="2"/>
  </r>
  <r>
    <n v="9000"/>
    <m/>
    <m/>
    <x v="12"/>
    <n v="202385746"/>
    <s v="Fee Payroll November 2025"/>
    <x v="1"/>
  </r>
  <r>
    <m/>
    <m/>
    <n v="20000"/>
    <x v="12"/>
    <n v="202405746"/>
    <s v="INFAQ QRIS"/>
    <x v="2"/>
  </r>
  <r>
    <m/>
    <m/>
    <n v="200000"/>
    <x v="12"/>
    <n v="202605746"/>
    <s v="INFAQ TPQ RIVENDRA"/>
    <x v="2"/>
  </r>
  <r>
    <m/>
    <m/>
    <n v="100000"/>
    <x v="12"/>
    <n v="202705746"/>
    <s v="INFAQ SURJATI SUTARJA"/>
    <x v="2"/>
  </r>
  <r>
    <m/>
    <m/>
    <n v="1000000"/>
    <x v="12"/>
    <n v="203705746"/>
    <s v="INFAQ ANGGONO IRIAWAN"/>
    <x v="2"/>
  </r>
  <r>
    <m/>
    <m/>
    <n v="20000"/>
    <x v="12"/>
    <n v="203725746"/>
    <s v="INFAQ QRIS"/>
    <x v="2"/>
  </r>
  <r>
    <m/>
    <m/>
    <n v="10000"/>
    <x v="12"/>
    <n v="203735746"/>
    <s v="INFAQ QRIS"/>
    <x v="2"/>
  </r>
  <r>
    <m/>
    <m/>
    <n v="10000"/>
    <x v="12"/>
    <n v="203745746"/>
    <s v="INFAQ QRIS"/>
    <x v="2"/>
  </r>
  <r>
    <m/>
    <m/>
    <n v="1011"/>
    <x v="12"/>
    <n v="203746757"/>
    <s v="INFAQ QRIS"/>
    <x v="2"/>
  </r>
  <r>
    <m/>
    <m/>
    <n v="1000000"/>
    <x v="12"/>
    <n v="204746757"/>
    <s v="INFAQ QRIS"/>
    <x v="2"/>
  </r>
  <r>
    <m/>
    <m/>
    <n v="100000"/>
    <x v="12"/>
    <n v="204846757"/>
    <s v="INFAQ QRIS"/>
    <x v="2"/>
  </r>
  <r>
    <m/>
    <m/>
    <n v="20000"/>
    <x v="12"/>
    <n v="204866757"/>
    <s v="INFAQ QRIS"/>
    <x v="2"/>
  </r>
  <r>
    <m/>
    <m/>
    <n v="10000"/>
    <x v="12"/>
    <n v="204876757"/>
    <s v="INFAQ QRIS"/>
    <x v="2"/>
  </r>
  <r>
    <m/>
    <m/>
    <n v="50000"/>
    <x v="12"/>
    <n v="204926757"/>
    <s v="INFAQ QRIS"/>
    <x v="2"/>
  </r>
  <r>
    <m/>
    <m/>
    <n v="100000"/>
    <x v="12"/>
    <n v="205026757"/>
    <s v="INFAQ QRIS"/>
    <x v="2"/>
  </r>
  <r>
    <m/>
    <m/>
    <n v="5000"/>
    <x v="12"/>
    <n v="205031757"/>
    <s v="INFAQ QRIS"/>
    <x v="2"/>
  </r>
  <r>
    <m/>
    <m/>
    <n v="10000"/>
    <x v="12"/>
    <n v="205041757"/>
    <s v="INFAQ QRIS"/>
    <x v="2"/>
  </r>
  <r>
    <m/>
    <m/>
    <n v="15000"/>
    <x v="12"/>
    <n v="205056757"/>
    <s v="INFAQ QRIS"/>
    <x v="2"/>
  </r>
  <r>
    <m/>
    <m/>
    <n v="25000"/>
    <x v="12"/>
    <n v="205081757"/>
    <s v="INFAQ QRIS"/>
    <x v="2"/>
  </r>
  <r>
    <m/>
    <m/>
    <n v="300000"/>
    <x v="12"/>
    <n v="205381757"/>
    <s v="INFAQ QRIS"/>
    <x v="2"/>
  </r>
  <r>
    <m/>
    <m/>
    <n v="100000"/>
    <x v="12"/>
    <n v="205481757"/>
    <s v="INFAQ QRIS"/>
    <x v="2"/>
  </r>
  <r>
    <n v="2250000"/>
    <m/>
    <m/>
    <x v="12"/>
    <n v="203231757"/>
    <s v="HONOR IMRON ROSADI MAJ"/>
    <x v="13"/>
  </r>
  <r>
    <n v="6500"/>
    <m/>
    <m/>
    <x v="12"/>
    <n v="203225257"/>
    <s v="HONOR IMRON ROSADI MAJ"/>
    <x v="13"/>
  </r>
  <r>
    <n v="2000000"/>
    <m/>
    <m/>
    <x v="12"/>
    <n v="201225257"/>
    <s v="Biaya Adm Pengajian Ibu-Ibu MAJ Januari"/>
    <x v="11"/>
  </r>
  <r>
    <n v="6500"/>
    <m/>
    <m/>
    <x v="12"/>
    <n v="201218757"/>
    <s v="Biaya Adm Pengajian Ibu-Ibu MAJ Januari"/>
    <x v="11"/>
  </r>
  <r>
    <n v="550000"/>
    <m/>
    <m/>
    <x v="12"/>
    <n v="200668757"/>
    <s v="HONOR-M BAYU CANDRA MAJ"/>
    <x v="13"/>
  </r>
  <r>
    <n v="6500"/>
    <m/>
    <m/>
    <x v="12"/>
    <n v="200662257"/>
    <s v="HONOR-M BAYU CANDRA MAJ"/>
    <x v="13"/>
  </r>
  <r>
    <n v="2500000"/>
    <m/>
    <m/>
    <x v="12"/>
    <n v="198162257"/>
    <s v="MUHAMMAD ILHAM MAJ Honor Desember "/>
    <x v="13"/>
  </r>
  <r>
    <n v="6500"/>
    <m/>
    <m/>
    <x v="12"/>
    <n v="198155757"/>
    <s v="MUHAMMAD ILHAM MAJ Honor Desember "/>
    <x v="13"/>
  </r>
  <r>
    <n v="2700000"/>
    <m/>
    <m/>
    <x v="12"/>
    <n v="195455757"/>
    <s v="M BAYU CANDRA MAJ Honor Mushrif"/>
    <x v="14"/>
  </r>
  <r>
    <n v="6500"/>
    <m/>
    <m/>
    <x v="12"/>
    <n v="195449257"/>
    <s v="M BAYU CANDRA MAJ Honor Mushrif"/>
    <x v="14"/>
  </r>
  <r>
    <n v="4000000"/>
    <m/>
    <m/>
    <x v="12"/>
    <n v="191449257"/>
    <s v="M BAYU CANDRA MAJ Biaya Perawatan Santri"/>
    <x v="14"/>
  </r>
  <r>
    <n v="6500"/>
    <m/>
    <m/>
    <x v="12"/>
    <n v="191442757"/>
    <s v="M BAYU CANDRA MAJ Biaya Perawatan Santri"/>
    <x v="14"/>
  </r>
  <r>
    <n v="3500000"/>
    <m/>
    <m/>
    <x v="12"/>
    <n v="187942757"/>
    <s v="NANANG SUBAEDI MAJ Honor Desember"/>
    <x v="13"/>
  </r>
  <r>
    <n v="6500"/>
    <m/>
    <m/>
    <x v="12"/>
    <n v="187936257"/>
    <s v="NANANG SUBAEDI MAJ Honor Desember"/>
    <x v="13"/>
  </r>
  <r>
    <n v="1000000"/>
    <m/>
    <m/>
    <x v="12"/>
    <n v="186936257"/>
    <s v="AHMAD IMAM SAMUDRA MAJ Honor Desember"/>
    <x v="13"/>
  </r>
  <r>
    <n v="6500"/>
    <m/>
    <m/>
    <x v="12"/>
    <n v="186929757"/>
    <s v="AHMAD IMAM SAMUDRA MAJ Honor Desember"/>
    <x v="13"/>
  </r>
  <r>
    <n v="2750000"/>
    <m/>
    <m/>
    <x v="12"/>
    <n v="184179757"/>
    <s v="SURYADI MAJ Honor Desember"/>
    <x v="13"/>
  </r>
  <r>
    <n v="1000000"/>
    <m/>
    <m/>
    <x v="12"/>
    <n v="183179757"/>
    <s v="HONOR UST-WAHID RAHMAN"/>
    <x v="11"/>
  </r>
  <r>
    <n v="6500"/>
    <m/>
    <m/>
    <x v="12"/>
    <n v="183173257"/>
    <s v="HONOR UST-WAHID RAHMAN"/>
    <x v="11"/>
  </r>
  <r>
    <m/>
    <m/>
    <n v="25000"/>
    <x v="12"/>
    <n v="183198257"/>
    <s v="INFAQ QRIS"/>
    <x v="2"/>
  </r>
  <r>
    <m/>
    <m/>
    <n v="1011"/>
    <x v="12"/>
    <n v="183199268"/>
    <s v="INFAQ QRIS"/>
    <x v="2"/>
  </r>
  <r>
    <m/>
    <m/>
    <n v="10000"/>
    <x v="12"/>
    <n v="183209268"/>
    <s v="INFAQ QRIS"/>
    <x v="2"/>
  </r>
  <r>
    <m/>
    <m/>
    <n v="10000"/>
    <x v="12"/>
    <n v="183219268"/>
    <s v="INFAQ QRIS"/>
    <x v="2"/>
  </r>
  <r>
    <m/>
    <m/>
    <n v="50000"/>
    <x v="12"/>
    <n v="183269268"/>
    <s v="INFAQ QRIS"/>
    <x v="2"/>
  </r>
  <r>
    <m/>
    <m/>
    <n v="1011"/>
    <x v="12"/>
    <n v="183270279"/>
    <s v="INFAQ QRIS"/>
    <x v="2"/>
  </r>
  <r>
    <m/>
    <m/>
    <n v="1011"/>
    <x v="12"/>
    <n v="183271290"/>
    <s v="INFAQ QRIS"/>
    <x v="2"/>
  </r>
  <r>
    <m/>
    <m/>
    <n v="1485000"/>
    <x v="12"/>
    <n v="184756290"/>
    <m/>
    <x v="12"/>
  </r>
  <r>
    <m/>
    <m/>
    <n v="1850000"/>
    <x v="12"/>
    <n v="186606290"/>
    <m/>
    <x v="2"/>
  </r>
  <r>
    <m/>
    <n v="3335000"/>
    <m/>
    <x v="1"/>
    <n v="186606290"/>
    <s v=" 001117106550   SETOR TUNAI "/>
    <x v="4"/>
  </r>
  <r>
    <m/>
    <m/>
    <n v="1011"/>
    <x v="12"/>
    <n v="186607301"/>
    <s v="INFAQ QRIS"/>
    <x v="2"/>
  </r>
  <r>
    <m/>
    <m/>
    <n v="20000"/>
    <x v="12"/>
    <n v="186627301"/>
    <s v="INFAQ QRIS"/>
    <x v="2"/>
  </r>
  <r>
    <m/>
    <m/>
    <n v="500000"/>
    <x v="12"/>
    <n v="187127301"/>
    <s v="INFAQ DRS SARWONO"/>
    <x v="2"/>
  </r>
  <r>
    <n v="216000"/>
    <m/>
    <m/>
    <x v="5"/>
    <n v="176927081"/>
    <s v="kosumsi rapat"/>
    <x v="17"/>
  </r>
  <r>
    <n v="1000000"/>
    <m/>
    <m/>
    <x v="6"/>
    <n v="175927081"/>
    <s v="bantuan warga meninggal"/>
    <x v="15"/>
  </r>
  <r>
    <n v="100000"/>
    <m/>
    <m/>
    <x v="6"/>
    <n v="175827081"/>
    <s v="konsumsi pasang spanduk"/>
    <x v="17"/>
  </r>
  <r>
    <n v="250000"/>
    <m/>
    <m/>
    <x v="6"/>
    <n v="175577081"/>
    <s v="Kebersihan"/>
    <x v="8"/>
  </r>
  <r>
    <n v="92000"/>
    <m/>
    <m/>
    <x v="6"/>
    <n v="175485081"/>
    <s v="Pewangi"/>
    <x v="8"/>
  </r>
  <r>
    <n v="500000"/>
    <m/>
    <m/>
    <x v="6"/>
    <n v="174985081"/>
    <s v="Khatib Jumat"/>
    <x v="11"/>
  </r>
  <r>
    <m/>
    <m/>
    <n v="3000000"/>
    <x v="6"/>
    <n v="177985081"/>
    <s v="Petty Cash"/>
    <x v="2"/>
  </r>
  <r>
    <n v="800000"/>
    <m/>
    <m/>
    <x v="6"/>
    <n v="177185081"/>
    <s v="Perbaikan pompa dan dinamo"/>
    <x v="8"/>
  </r>
  <r>
    <n v="200000"/>
    <m/>
    <m/>
    <x v="6"/>
    <n v="176985081"/>
    <s v="Pembersih lantai"/>
    <x v="8"/>
  </r>
  <r>
    <n v="200000"/>
    <m/>
    <m/>
    <x v="6"/>
    <n v="176785081"/>
    <s v="Konsumsi merapikan perlengkapan Qurban"/>
    <x v="17"/>
  </r>
  <r>
    <n v="500000"/>
    <m/>
    <m/>
    <x v="6"/>
    <n v="176285081"/>
    <s v="Khatib Jumat"/>
    <x v="11"/>
  </r>
  <r>
    <n v="250000"/>
    <m/>
    <m/>
    <x v="6"/>
    <n v="176035081"/>
    <s v="Kopi the gula Tisu 2 Dus Oasis"/>
    <x v="17"/>
  </r>
  <r>
    <n v="230000"/>
    <m/>
    <m/>
    <x v="6"/>
    <n v="175805081"/>
    <s v="Kran air dan ongkos pasang"/>
    <x v="8"/>
  </r>
  <r>
    <n v="130000"/>
    <m/>
    <m/>
    <x v="6"/>
    <n v="175675081"/>
    <s v="Minyak wangi"/>
    <x v="8"/>
  </r>
  <r>
    <n v="500000"/>
    <m/>
    <m/>
    <x v="6"/>
    <n v="175175081"/>
    <s v="Khatib Jumat"/>
    <x v="11"/>
  </r>
  <r>
    <m/>
    <m/>
    <n v="2000000"/>
    <x v="6"/>
    <n v="177175081"/>
    <s v="Petty Cash"/>
    <x v="2"/>
  </r>
  <r>
    <n v="700000"/>
    <m/>
    <m/>
    <x v="6"/>
    <n v="176475081"/>
    <s v="Bantuan Pengurusan Jenazah"/>
    <x v="15"/>
  </r>
  <r>
    <n v="250000"/>
    <m/>
    <m/>
    <x v="6"/>
    <n v="176225081"/>
    <s v="Kopi gula the"/>
    <x v="17"/>
  </r>
  <r>
    <n v="150000"/>
    <m/>
    <m/>
    <x v="6"/>
    <n v="176075081"/>
    <s v="Musafir"/>
    <x v="15"/>
  </r>
  <r>
    <n v="250000"/>
    <m/>
    <m/>
    <x v="6"/>
    <n v="175825081"/>
    <s v="Perbaikan pompa"/>
    <x v="8"/>
  </r>
  <r>
    <n v="130000"/>
    <m/>
    <m/>
    <x v="6"/>
    <n v="175695081"/>
    <s v="Minyak wangi"/>
    <x v="8"/>
  </r>
  <r>
    <n v="500000"/>
    <m/>
    <m/>
    <x v="6"/>
    <n v="175195081"/>
    <s v="Khatib Jumat"/>
    <x v="11"/>
  </r>
  <r>
    <m/>
    <m/>
    <n v="2000000"/>
    <x v="7"/>
    <n v="177195081"/>
    <s v="Petty Cash"/>
    <x v="2"/>
  </r>
  <r>
    <n v="400000"/>
    <m/>
    <m/>
    <x v="7"/>
    <n v="176795081"/>
    <s v="Bantuan guru ngaji NTB"/>
    <x v="11"/>
  </r>
  <r>
    <n v="250000"/>
    <m/>
    <m/>
    <x v="7"/>
    <n v="176545081"/>
    <s v="Kopi gula the"/>
    <x v="17"/>
  </r>
  <r>
    <n v="170000"/>
    <m/>
    <m/>
    <x v="7"/>
    <n v="176375081"/>
    <s v="Pembersih lantai"/>
    <x v="8"/>
  </r>
  <r>
    <n v="500000"/>
    <m/>
    <m/>
    <x v="7"/>
    <n v="175875081"/>
    <s v="Khatib Jumat"/>
    <x v="11"/>
  </r>
  <r>
    <n v="80000"/>
    <m/>
    <m/>
    <x v="7"/>
    <n v="175795081"/>
    <s v="Laundy Rompi"/>
    <x v="8"/>
  </r>
  <r>
    <n v="150000"/>
    <m/>
    <m/>
    <x v="7"/>
    <n v="175645081"/>
    <s v="Perlengkapan kebersihan"/>
    <x v="8"/>
  </r>
  <r>
    <n v="130000"/>
    <m/>
    <m/>
    <x v="7"/>
    <n v="175515081"/>
    <s v="Minyak wangi"/>
    <x v="8"/>
  </r>
  <r>
    <n v="400000"/>
    <m/>
    <m/>
    <x v="7"/>
    <n v="175115081"/>
    <s v="Mic Condenser"/>
    <x v="8"/>
  </r>
  <r>
    <n v="750000"/>
    <m/>
    <m/>
    <x v="7"/>
    <n v="174365081"/>
    <s v="MicZM 370 HS"/>
    <x v="8"/>
  </r>
  <r>
    <n v="250000"/>
    <m/>
    <m/>
    <x v="7"/>
    <n v="174115081"/>
    <s v="Ongkos Pasang dan Servis"/>
    <x v="8"/>
  </r>
  <r>
    <n v="500000"/>
    <m/>
    <m/>
    <x v="7"/>
    <n v="173615081"/>
    <s v="Khatib Jumat"/>
    <x v="11"/>
  </r>
  <r>
    <m/>
    <m/>
    <n v="2000000"/>
    <x v="7"/>
    <n v="175615081"/>
    <s v="Petty Cash"/>
    <x v="2"/>
  </r>
  <r>
    <n v="250000"/>
    <m/>
    <m/>
    <x v="7"/>
    <n v="175365081"/>
    <s v="Kopi gula the gula oasis tisu"/>
    <x v="17"/>
  </r>
  <r>
    <n v="130000"/>
    <m/>
    <m/>
    <x v="7"/>
    <n v="175235081"/>
    <s v="Minyak wangi"/>
    <x v="8"/>
  </r>
  <r>
    <n v="125000"/>
    <m/>
    <m/>
    <x v="7"/>
    <n v="175110081"/>
    <s v="Perlengkapan kebersihan"/>
    <x v="8"/>
  </r>
  <r>
    <n v="500000"/>
    <m/>
    <m/>
    <x v="7"/>
    <n v="174610081"/>
    <s v="Khatib Jumat"/>
    <x v="11"/>
  </r>
  <r>
    <n v="170000"/>
    <m/>
    <m/>
    <x v="7"/>
    <n v="174440081"/>
    <s v="Cairan kerak keramik"/>
    <x v="8"/>
  </r>
  <r>
    <m/>
    <m/>
    <n v="2000000"/>
    <x v="7"/>
    <n v="176440081"/>
    <s v="Petty Cash"/>
    <x v="2"/>
  </r>
  <r>
    <n v="250000"/>
    <m/>
    <m/>
    <x v="7"/>
    <n v="176190081"/>
    <s v="Kopi gula the gula oasis tisu"/>
    <x v="17"/>
  </r>
  <r>
    <n v="250000"/>
    <m/>
    <m/>
    <x v="7"/>
    <n v="175940081"/>
    <s v="Beli 2 kran dan pasang"/>
    <x v="8"/>
  </r>
  <r>
    <n v="150000"/>
    <m/>
    <m/>
    <x v="7"/>
    <n v="175790081"/>
    <s v="Lem plastik beras"/>
    <x v="8"/>
  </r>
  <r>
    <n v="500000"/>
    <m/>
    <m/>
    <x v="7"/>
    <n v="175290081"/>
    <s v="Khatib Jumat"/>
    <x v="11"/>
  </r>
  <r>
    <n v="242000"/>
    <m/>
    <m/>
    <x v="7"/>
    <n v="175048081"/>
    <s v="Kopi gula the gula oasis tisu"/>
    <x v="17"/>
  </r>
  <r>
    <n v="248000"/>
    <m/>
    <m/>
    <x v="7"/>
    <n v="174800081"/>
    <s v="Pewanagi ruangan"/>
    <x v="8"/>
  </r>
  <r>
    <n v="400000"/>
    <m/>
    <m/>
    <x v="7"/>
    <n v="174400081"/>
    <s v="Bantuan guru ngaji NTB"/>
    <x v="11"/>
  </r>
  <r>
    <n v="500000"/>
    <m/>
    <m/>
    <x v="7"/>
    <n v="173900081"/>
    <s v="Khatib Jumat"/>
    <x v="11"/>
  </r>
  <r>
    <m/>
    <m/>
    <n v="2000000"/>
    <x v="8"/>
    <n v="175900081"/>
    <s v="Petty Cash"/>
    <x v="2"/>
  </r>
  <r>
    <n v="250000"/>
    <m/>
    <m/>
    <x v="8"/>
    <n v="175650081"/>
    <s v="Kopi gula the gula oasis tisu"/>
    <x v="17"/>
  </r>
  <r>
    <n v="270000"/>
    <m/>
    <m/>
    <x v="8"/>
    <n v="175380081"/>
    <s v="Servicce Mic dan soundsystem"/>
    <x v="8"/>
  </r>
  <r>
    <n v="500000"/>
    <m/>
    <m/>
    <x v="8"/>
    <n v="174880081"/>
    <s v="Khatib Jumat"/>
    <x v="11"/>
  </r>
  <r>
    <m/>
    <m/>
    <n v="1000000"/>
    <x v="8"/>
    <n v="175880081"/>
    <s v="Petty Cash"/>
    <x v="2"/>
  </r>
  <r>
    <n v="250000"/>
    <m/>
    <m/>
    <x v="8"/>
    <n v="175630081"/>
    <s v="Kopi gula the"/>
    <x v="17"/>
  </r>
  <r>
    <n v="200000"/>
    <m/>
    <m/>
    <x v="8"/>
    <n v="175430081"/>
    <s v="Pewangi dan kamper"/>
    <x v="8"/>
  </r>
  <r>
    <n v="500000"/>
    <m/>
    <m/>
    <x v="8"/>
    <n v="174930081"/>
    <s v="Khatib Jumat"/>
    <x v="11"/>
  </r>
  <r>
    <m/>
    <m/>
    <n v="1000000"/>
    <x v="8"/>
    <n v="175930081"/>
    <s v="Petty Cash"/>
    <x v="2"/>
  </r>
  <r>
    <n v="250000"/>
    <m/>
    <m/>
    <x v="8"/>
    <n v="175680081"/>
    <s v="the gula tisu oasis"/>
    <x v="17"/>
  </r>
  <r>
    <n v="130000"/>
    <m/>
    <m/>
    <x v="8"/>
    <n v="175550081"/>
    <s v="Minyak wangi"/>
    <x v="8"/>
  </r>
  <r>
    <n v="250000"/>
    <m/>
    <m/>
    <x v="8"/>
    <n v="175300081"/>
    <s v="payung 7 bh"/>
    <x v="24"/>
  </r>
  <r>
    <n v="250000"/>
    <m/>
    <m/>
    <x v="8"/>
    <n v="175050081"/>
    <s v="pewangi karpet"/>
    <x v="8"/>
  </r>
  <r>
    <n v="500000"/>
    <m/>
    <m/>
    <x v="8"/>
    <n v="174550081"/>
    <s v="Khatib Jumat"/>
    <x v="11"/>
  </r>
  <r>
    <m/>
    <m/>
    <n v="1000000"/>
    <x v="8"/>
    <n v="175550081"/>
    <s v="tambah petty cash"/>
    <x v="2"/>
  </r>
  <r>
    <n v="450000"/>
    <m/>
    <m/>
    <x v="8"/>
    <n v="175100081"/>
    <s v="Honor ustadz kajian taman"/>
    <x v="11"/>
  </r>
  <r>
    <n v="250000"/>
    <m/>
    <m/>
    <x v="8"/>
    <n v="174850081"/>
    <s v="Kopi gula the oasis"/>
    <x v="17"/>
  </r>
  <r>
    <n v="400000"/>
    <m/>
    <m/>
    <x v="8"/>
    <n v="174450081"/>
    <s v="Bantuan guru ngaji NTB"/>
    <x v="11"/>
  </r>
  <r>
    <n v="500000"/>
    <m/>
    <m/>
    <x v="8"/>
    <n v="173950081"/>
    <s v="Khatib Jumat"/>
    <x v="11"/>
  </r>
  <r>
    <m/>
    <m/>
    <n v="2000000"/>
    <x v="8"/>
    <n v="175950081"/>
    <s v="tambah petty cash"/>
    <x v="2"/>
  </r>
  <r>
    <n v="250000"/>
    <m/>
    <m/>
    <x v="8"/>
    <n v="175700081"/>
    <s v="Kopi the gula "/>
    <x v="17"/>
  </r>
  <r>
    <n v="250000"/>
    <m/>
    <m/>
    <x v="9"/>
    <n v="175450081"/>
    <s v="Pewangi, saklar"/>
    <x v="8"/>
  </r>
  <r>
    <n v="100000"/>
    <m/>
    <m/>
    <x v="9"/>
    <n v="175350081"/>
    <s v="OK OC Gelas"/>
    <x v="17"/>
  </r>
  <r>
    <n v="500000"/>
    <m/>
    <m/>
    <x v="9"/>
    <n v="174850081"/>
    <s v="Khatib Jumat"/>
    <x v="11"/>
  </r>
  <r>
    <m/>
    <m/>
    <n v="1000000"/>
    <x v="9"/>
    <n v="175850081"/>
    <s v="tambah petty cash"/>
    <x v="2"/>
  </r>
  <r>
    <n v="250000"/>
    <m/>
    <m/>
    <x v="9"/>
    <n v="175600081"/>
    <s v="Kopi the gula "/>
    <x v="17"/>
  </r>
  <r>
    <n v="1400000"/>
    <m/>
    <m/>
    <x v="9"/>
    <n v="174200081"/>
    <s v="Buka puasa senin kamis"/>
    <x v="17"/>
  </r>
  <r>
    <n v="500000"/>
    <m/>
    <m/>
    <x v="9"/>
    <n v="173700081"/>
    <s v="Khatib Jumat"/>
    <x v="11"/>
  </r>
  <r>
    <m/>
    <m/>
    <n v="3000000"/>
    <x v="9"/>
    <n v="176700081"/>
    <s v="tambah petty cash"/>
    <x v="2"/>
  </r>
  <r>
    <n v="750000"/>
    <m/>
    <m/>
    <x v="9"/>
    <n v="175950081"/>
    <s v="Honor ustad Cholid"/>
    <x v="11"/>
  </r>
  <r>
    <n v="250000"/>
    <m/>
    <m/>
    <x v="9"/>
    <n v="175700081"/>
    <s v="Kopi tisu oasis"/>
    <x v="17"/>
  </r>
  <r>
    <n v="160000"/>
    <m/>
    <m/>
    <x v="9"/>
    <n v="175540081"/>
    <s v="sabun cuci tangan alat kebersihan"/>
    <x v="8"/>
  </r>
  <r>
    <n v="1000000"/>
    <m/>
    <m/>
    <x v="9"/>
    <n v="174540081"/>
    <s v="Token listrik"/>
    <x v="7"/>
  </r>
  <r>
    <n v="250000"/>
    <m/>
    <m/>
    <x v="9"/>
    <n v="174290081"/>
    <s v="Untuk Musafir"/>
    <x v="15"/>
  </r>
  <r>
    <n v="500000"/>
    <m/>
    <m/>
    <x v="9"/>
    <n v="173790081"/>
    <s v="Khatib Jumat"/>
    <x v="11"/>
  </r>
  <r>
    <m/>
    <m/>
    <n v="3000000"/>
    <x v="9"/>
    <n v="176790081"/>
    <s v="tambah petty cash"/>
    <x v="2"/>
  </r>
  <r>
    <n v="250000"/>
    <m/>
    <m/>
    <x v="9"/>
    <n v="176540081"/>
    <s v="Kopi the gula "/>
    <x v="17"/>
  </r>
  <r>
    <n v="320000"/>
    <m/>
    <m/>
    <x v="9"/>
    <n v="176220081"/>
    <s v="Pewangi karpet"/>
    <x v="8"/>
  </r>
  <r>
    <n v="200000"/>
    <m/>
    <m/>
    <x v="9"/>
    <n v="176020081"/>
    <s v="musafir"/>
    <x v="15"/>
  </r>
  <r>
    <n v="500000"/>
    <m/>
    <m/>
    <x v="9"/>
    <n v="175520081"/>
    <s v="Khatib Jumat"/>
    <x v="11"/>
  </r>
  <r>
    <n v="500000"/>
    <m/>
    <m/>
    <x v="9"/>
    <n v="175020081"/>
    <s v="honor ust kajian ahad"/>
    <x v="11"/>
  </r>
  <r>
    <m/>
    <m/>
    <n v="2000000"/>
    <x v="9"/>
    <n v="177020081"/>
    <s v="tambah petty cash"/>
    <x v="2"/>
  </r>
  <r>
    <n v="180000"/>
    <m/>
    <m/>
    <x v="9"/>
    <n v="176840081"/>
    <s v="Batre mic"/>
    <x v="8"/>
  </r>
  <r>
    <n v="750000"/>
    <m/>
    <m/>
    <x v="9"/>
    <n v="176090081"/>
    <s v="Bantuan lahiran anak ust bayu"/>
    <x v="15"/>
  </r>
  <r>
    <n v="450000"/>
    <m/>
    <m/>
    <x v="9"/>
    <n v="175640081"/>
    <s v="Kajian Taman dan konsumsi"/>
    <x v="11"/>
  </r>
  <r>
    <n v="250000"/>
    <m/>
    <m/>
    <x v="9"/>
    <n v="175390081"/>
    <s v="Kopi gula the"/>
    <x v="17"/>
  </r>
  <r>
    <n v="400000"/>
    <m/>
    <m/>
    <x v="9"/>
    <n v="174990081"/>
    <s v="Bantuan guru ngaji NTB"/>
    <x v="11"/>
  </r>
  <r>
    <n v="500000"/>
    <m/>
    <m/>
    <x v="9"/>
    <n v="174490081"/>
    <s v="Khatib Jumat"/>
    <x v="11"/>
  </r>
  <r>
    <m/>
    <m/>
    <n v="2000000"/>
    <x v="10"/>
    <n v="176490081"/>
    <s v="tambah petty cash"/>
    <x v="2"/>
  </r>
  <r>
    <n v="250000"/>
    <m/>
    <m/>
    <x v="10"/>
    <n v="176240081"/>
    <s v="Kopi the dll"/>
    <x v="17"/>
  </r>
  <r>
    <n v="230000"/>
    <m/>
    <m/>
    <x v="10"/>
    <n v="176010081"/>
    <s v="tong sampah"/>
    <x v="8"/>
  </r>
  <r>
    <n v="250000"/>
    <m/>
    <m/>
    <x v="10"/>
    <n v="175760081"/>
    <s v="superpel dll"/>
    <x v="8"/>
  </r>
  <r>
    <n v="500000"/>
    <m/>
    <m/>
    <x v="10"/>
    <n v="175260081"/>
    <s v="Khatib Jumat"/>
    <x v="11"/>
  </r>
  <r>
    <m/>
    <m/>
    <n v="2000000"/>
    <x v="10"/>
    <n v="177260081"/>
    <s v="tambah petty cash"/>
    <x v="2"/>
  </r>
  <r>
    <n v="250000"/>
    <m/>
    <m/>
    <x v="10"/>
    <n v="177010081"/>
    <s v="Kopi gula oasis"/>
    <x v="17"/>
  </r>
  <r>
    <n v="1000000"/>
    <m/>
    <m/>
    <x v="10"/>
    <n v="176010081"/>
    <s v="Bantuan Ust Imron"/>
    <x v="15"/>
  </r>
  <r>
    <n v="1000000"/>
    <m/>
    <m/>
    <x v="10"/>
    <n v="175010081"/>
    <s v="Token listrik"/>
    <x v="7"/>
  </r>
  <r>
    <n v="150000"/>
    <m/>
    <m/>
    <x v="10"/>
    <n v="174860081"/>
    <s v="Pembersih keramik"/>
    <x v="8"/>
  </r>
  <r>
    <n v="500000"/>
    <m/>
    <m/>
    <x v="10"/>
    <n v="174360081"/>
    <s v="Khatib Jumat"/>
    <x v="11"/>
  </r>
  <r>
    <m/>
    <m/>
    <n v="2000000"/>
    <x v="10"/>
    <n v="176360081"/>
    <s v="tambah petty cash"/>
    <x v="2"/>
  </r>
  <r>
    <n v="250000"/>
    <m/>
    <m/>
    <x v="10"/>
    <n v="176110081"/>
    <s v="Kopi gula the"/>
    <x v="17"/>
  </r>
  <r>
    <n v="1300000"/>
    <m/>
    <m/>
    <x v="10"/>
    <n v="174810081"/>
    <s v="Konsumsi bukpus Senin Kamis"/>
    <x v="17"/>
  </r>
  <r>
    <n v="500000"/>
    <m/>
    <m/>
    <x v="10"/>
    <n v="174310081"/>
    <s v="Khatib Jumat"/>
    <x v="11"/>
  </r>
  <r>
    <m/>
    <m/>
    <n v="2000000"/>
    <x v="10"/>
    <n v="176310081"/>
    <s v="tambah petty cash"/>
    <x v="2"/>
  </r>
  <r>
    <n v="600000"/>
    <m/>
    <m/>
    <x v="10"/>
    <n v="175710081"/>
    <s v="Kajian Taman dan konsumsi"/>
    <x v="11"/>
  </r>
  <r>
    <n v="250000"/>
    <m/>
    <m/>
    <x v="10"/>
    <n v="175460081"/>
    <s v="Kopi gula the oasis tissue"/>
    <x v="17"/>
  </r>
  <r>
    <n v="100000"/>
    <m/>
    <m/>
    <x v="10"/>
    <n v="175360081"/>
    <s v="Pembersih kaca"/>
    <x v="8"/>
  </r>
  <r>
    <n v="480000"/>
    <m/>
    <m/>
    <x v="10"/>
    <n v="174880081"/>
    <s v="Lampu Taman dan Kabel"/>
    <x v="8"/>
  </r>
  <r>
    <m/>
    <m/>
    <n v="2000000"/>
    <x v="11"/>
    <n v="176880081"/>
    <s v="tambah petty cash"/>
    <x v="2"/>
  </r>
  <r>
    <n v="250000"/>
    <m/>
    <m/>
    <x v="11"/>
    <n v="176630081"/>
    <s v="Kopi gula the"/>
    <x v="17"/>
  </r>
  <r>
    <n v="200000"/>
    <m/>
    <m/>
    <x v="11"/>
    <n v="176430081"/>
    <s v="Roundup rumput"/>
    <x v="8"/>
  </r>
  <r>
    <n v="240000"/>
    <m/>
    <m/>
    <x v="11"/>
    <n v="176190081"/>
    <s v="Alat kebersihan"/>
    <x v="8"/>
  </r>
  <r>
    <n v="500000"/>
    <m/>
    <m/>
    <x v="11"/>
    <n v="175690081"/>
    <s v="Khatib Jumat"/>
    <x v="11"/>
  </r>
  <r>
    <m/>
    <m/>
    <n v="1000000"/>
    <x v="11"/>
    <n v="176690081"/>
    <s v="tambah petty cash"/>
    <x v="2"/>
  </r>
  <r>
    <n v="150000"/>
    <m/>
    <m/>
    <x v="11"/>
    <n v="176540081"/>
    <s v="OK OCE Botol dan tisue"/>
    <x v="17"/>
  </r>
  <r>
    <n v="250000"/>
    <m/>
    <m/>
    <x v="11"/>
    <n v="176290081"/>
    <s v="keset 10 bh"/>
    <x v="24"/>
  </r>
  <r>
    <n v="220000"/>
    <m/>
    <m/>
    <x v="11"/>
    <n v="176070081"/>
    <s v="bohlam dan tempat sampah"/>
    <x v="24"/>
  </r>
  <r>
    <n v="500000"/>
    <m/>
    <m/>
    <x v="11"/>
    <n v="175570081"/>
    <s v="Khatib Jumat"/>
    <x v="11"/>
  </r>
  <r>
    <m/>
    <m/>
    <n v="2000000"/>
    <x v="11"/>
    <n v="177570081"/>
    <s v="tambah petty cash"/>
    <x v="2"/>
  </r>
  <r>
    <n v="250000"/>
    <m/>
    <m/>
    <x v="11"/>
    <n v="177320081"/>
    <s v="Kopi gula the oasis tissue"/>
    <x v="17"/>
  </r>
  <r>
    <n v="350000"/>
    <m/>
    <m/>
    <x v="11"/>
    <n v="176970081"/>
    <s v="Alat kebersihan"/>
    <x v="8"/>
  </r>
  <r>
    <n v="1000000"/>
    <m/>
    <m/>
    <x v="11"/>
    <n v="175970081"/>
    <s v="Token listrik"/>
    <x v="7"/>
  </r>
  <r>
    <n v="500000"/>
    <m/>
    <m/>
    <x v="11"/>
    <n v="175470081"/>
    <s v="Khatib Jumat"/>
    <x v="11"/>
  </r>
  <r>
    <m/>
    <m/>
    <n v="1000000"/>
    <x v="11"/>
    <n v="176470081"/>
    <s v="Refund Voucher listrik Imron"/>
    <x v="2"/>
  </r>
  <r>
    <n v="250000"/>
    <m/>
    <m/>
    <x v="11"/>
    <n v="176220081"/>
    <s v="Kopi the gula oasis gelas"/>
    <x v="17"/>
  </r>
  <r>
    <n v="350000"/>
    <m/>
    <m/>
    <x v="11"/>
    <n v="175870081"/>
    <s v="3 kran air dan pasang"/>
    <x v="24"/>
  </r>
  <r>
    <n v="500000"/>
    <m/>
    <m/>
    <x v="11"/>
    <n v="175370081"/>
    <s v="Kajian Ahad Subuh"/>
    <x v="11"/>
  </r>
  <r>
    <n v="150000"/>
    <m/>
    <m/>
    <x v="11"/>
    <n v="175220081"/>
    <s v="Alat kebersihan"/>
    <x v="8"/>
  </r>
  <r>
    <n v="500000"/>
    <m/>
    <m/>
    <x v="11"/>
    <n v="174720081"/>
    <s v="Khatib Jumat"/>
    <x v="11"/>
  </r>
  <r>
    <m/>
    <m/>
    <n v="2000000"/>
    <x v="11"/>
    <n v="176720081"/>
    <s v="tambah petty cash"/>
    <x v="2"/>
  </r>
  <r>
    <n v="500000"/>
    <m/>
    <m/>
    <x v="11"/>
    <n v="176220081"/>
    <s v="Bantuan pembelian kursi roda"/>
    <x v="15"/>
  </r>
  <r>
    <n v="450000"/>
    <m/>
    <m/>
    <x v="11"/>
    <n v="175770081"/>
    <s v="Honor ustadz dan konsumsi kajian taman"/>
    <x v="11"/>
  </r>
  <r>
    <n v="250000"/>
    <m/>
    <m/>
    <x v="11"/>
    <n v="175520081"/>
    <s v="Service sound system"/>
    <x v="8"/>
  </r>
  <r>
    <n v="400000"/>
    <m/>
    <m/>
    <x v="11"/>
    <n v="175120081"/>
    <s v="Bantuan guru ngaji NTB"/>
    <x v="11"/>
  </r>
  <r>
    <n v="250000"/>
    <m/>
    <m/>
    <x v="11"/>
    <n v="174870081"/>
    <s v="Kopi the gula oasis gelas"/>
    <x v="17"/>
  </r>
  <r>
    <n v="250000"/>
    <m/>
    <m/>
    <x v="12"/>
    <n v="174620081"/>
    <s v="Bantuan musafir"/>
    <x v="15"/>
  </r>
  <r>
    <n v="500000"/>
    <m/>
    <m/>
    <x v="12"/>
    <n v="174120081"/>
    <s v="Khatib Jumat"/>
    <x v="11"/>
  </r>
  <r>
    <m/>
    <m/>
    <n v="2000000"/>
    <x v="12"/>
    <n v="176120081"/>
    <s v="tambah petty cash"/>
    <x v="2"/>
  </r>
  <r>
    <n v="160000"/>
    <m/>
    <m/>
    <x v="12"/>
    <n v="175960081"/>
    <s v="Pembersih mimbar"/>
    <x v="8"/>
  </r>
  <r>
    <n v="250000"/>
    <m/>
    <m/>
    <x v="12"/>
    <n v="175710081"/>
    <s v="Kopi gula the air mineral tisu"/>
    <x v="17"/>
  </r>
  <r>
    <n v="60000"/>
    <m/>
    <m/>
    <x v="12"/>
    <n v="175650081"/>
    <s v="Bensin motor operasional"/>
    <x v="1"/>
  </r>
  <r>
    <n v="1400000"/>
    <m/>
    <m/>
    <x v="12"/>
    <n v="174250081"/>
    <s v="Buka puasa senin kamis"/>
    <x v="17"/>
  </r>
  <r>
    <n v="500000"/>
    <m/>
    <m/>
    <x v="12"/>
    <n v="173750081"/>
    <s v="Khatib Jumat"/>
    <x v="11"/>
  </r>
  <r>
    <m/>
    <m/>
    <n v="3000000"/>
    <x v="12"/>
    <n v="176750081"/>
    <s v="tambah petty cash"/>
    <x v="2"/>
  </r>
  <r>
    <n v="250000"/>
    <m/>
    <m/>
    <x v="12"/>
    <n v="176500081"/>
    <s v="Kopi gula the air mineral tisu"/>
    <x v="17"/>
  </r>
  <r>
    <n v="115000"/>
    <m/>
    <m/>
    <x v="12"/>
    <n v="176385081"/>
    <s v="Administrasi dan air OK OC"/>
    <x v="1"/>
  </r>
  <r>
    <n v="500000"/>
    <m/>
    <m/>
    <x v="12"/>
    <n v="175885081"/>
    <s v="Token listrik"/>
    <x v="7"/>
  </r>
  <r>
    <n v="500000"/>
    <m/>
    <m/>
    <x v="12"/>
    <n v="175385081"/>
    <s v="Khatib Jumat"/>
    <x v="11"/>
  </r>
  <r>
    <m/>
    <m/>
    <n v="862000"/>
    <x v="12"/>
    <n v="176247081"/>
    <m/>
    <x v="12"/>
  </r>
  <r>
    <m/>
    <m/>
    <n v="3409000"/>
    <x v="12"/>
    <n v="179656081"/>
    <s v="tambah petty cash"/>
    <x v="2"/>
  </r>
  <r>
    <m/>
    <n v="4271000"/>
    <m/>
    <x v="1"/>
    <n v="179656081"/>
    <m/>
    <x v="4"/>
  </r>
  <r>
    <n v="250000"/>
    <m/>
    <m/>
    <x v="12"/>
    <n v="179406081"/>
    <s v="Bantuan musafir"/>
    <x v="15"/>
  </r>
  <r>
    <n v="65000"/>
    <m/>
    <m/>
    <x v="12"/>
    <n v="179341081"/>
    <s v="Batrai Mic"/>
    <x v="8"/>
  </r>
  <r>
    <n v="501000"/>
    <m/>
    <m/>
    <x v="12"/>
    <n v="178840081"/>
    <s v="Token listrik"/>
    <x v="8"/>
  </r>
  <r>
    <n v="750000"/>
    <m/>
    <m/>
    <x v="12"/>
    <n v="178090081"/>
    <s v="Kajian Sabtu"/>
    <x v="11"/>
  </r>
  <r>
    <n v="750000"/>
    <m/>
    <m/>
    <x v="12"/>
    <n v="177340081"/>
    <s v="Kajian Ahad"/>
    <x v="11"/>
  </r>
  <r>
    <n v="250000"/>
    <m/>
    <m/>
    <x v="12"/>
    <n v="177090081"/>
    <s v="Kopi gula the Oasis"/>
    <x v="17"/>
  </r>
  <r>
    <n v="3200000"/>
    <m/>
    <m/>
    <x v="12"/>
    <n v="173890081"/>
    <s v="Bantuan Pemakaman"/>
    <x v="25"/>
  </r>
  <r>
    <n v="500000"/>
    <m/>
    <m/>
    <x v="12"/>
    <n v="173390081"/>
    <s v="Khotib Jumat"/>
    <x v="11"/>
  </r>
  <r>
    <m/>
    <m/>
    <n v="2000000"/>
    <x v="12"/>
    <n v="175390081"/>
    <s v="tambah petty cash"/>
    <x v="2"/>
  </r>
  <r>
    <n v="750000"/>
    <m/>
    <m/>
    <x v="12"/>
    <n v="174640081"/>
    <s v="Kajian Ahad Subuh"/>
    <x v="11"/>
  </r>
  <r>
    <n v="150000"/>
    <m/>
    <m/>
    <x v="12"/>
    <n v="174490081"/>
    <s v="Pembersih lantai"/>
    <x v="8"/>
  </r>
  <r>
    <n v="250000"/>
    <m/>
    <m/>
    <x v="12"/>
    <n v="174240081"/>
    <s v="Kopi gula the Oasis"/>
    <x v="17"/>
  </r>
  <r>
    <n v="200000"/>
    <m/>
    <m/>
    <x v="12"/>
    <n v="174040081"/>
    <s v="Komsumsi rapat ba'da subuh"/>
    <x v="17"/>
  </r>
  <r>
    <n v="400000"/>
    <m/>
    <m/>
    <x v="12"/>
    <n v="173640081"/>
    <s v="Bantuan guru ngaji NTB"/>
    <x v="11"/>
  </r>
  <r>
    <n v="60000"/>
    <m/>
    <m/>
    <x v="12"/>
    <n v="173580081"/>
    <s v="Biaya Administrasi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d v="2026-01-02T00:00:00"/>
    <m/>
    <m/>
    <n v="400000"/>
    <x v="0"/>
    <n v="187527301"/>
    <s v="INFAQ PUTIE AMBUN SURI / RIVENDRA"/>
    <x v="0"/>
  </r>
  <r>
    <d v="2026-01-02T00:00:00"/>
    <m/>
    <m/>
    <n v="200000"/>
    <x v="0"/>
    <n v="187727301"/>
    <s v="INFAQ UMIHAMIDAH"/>
    <x v="0"/>
  </r>
  <r>
    <d v="2026-01-02T00:00:00"/>
    <m/>
    <m/>
    <n v="10000"/>
    <x v="0"/>
    <n v="187737301"/>
    <s v="INFAQ QRIS"/>
    <x v="0"/>
  </r>
  <r>
    <d v="2026-01-02T00:00:00"/>
    <m/>
    <m/>
    <n v="20000"/>
    <x v="0"/>
    <n v="187757301"/>
    <s v="INFAQ QRIS"/>
    <x v="0"/>
  </r>
  <r>
    <d v="2026-01-02T00:00:00"/>
    <m/>
    <m/>
    <n v="350000"/>
    <x v="0"/>
    <n v="188107301"/>
    <s v="INFAQ DESYANA SE"/>
    <x v="0"/>
  </r>
  <r>
    <d v="2026-01-02T00:00:00"/>
    <n v="75000"/>
    <m/>
    <m/>
    <x v="0"/>
    <n v="188032301"/>
    <s v="CETAK LAPORAN CASHFLOW MAJ 2025"/>
    <x v="1"/>
  </r>
  <r>
    <d v="2026-01-02T00:00:00"/>
    <n v="2500"/>
    <m/>
    <m/>
    <x v="0"/>
    <n v="188029801"/>
    <s v="CETAK LAPORAN CASHFLOW MAJ 2025"/>
    <x v="1"/>
  </r>
  <r>
    <d v="2026-01-02T00:00:00"/>
    <m/>
    <m/>
    <n v="300000"/>
    <x v="0"/>
    <n v="188329801"/>
    <s v="INFAQ FADJAR SATYANI"/>
    <x v="0"/>
  </r>
  <r>
    <d v="2026-01-02T00:00:00"/>
    <m/>
    <m/>
    <n v="500000"/>
    <x v="0"/>
    <n v="188829801"/>
    <s v="INFAQ INDRAEDISANTOSO"/>
    <x v="0"/>
  </r>
  <r>
    <d v="2026-01-05T00:00:00"/>
    <n v="750000"/>
    <m/>
    <m/>
    <x v="0"/>
    <n v="188079801"/>
    <s v="HONOR-MOHAMMAD SHODIQ"/>
    <x v="2"/>
  </r>
  <r>
    <d v="2026-01-05T00:00:00"/>
    <n v="6500"/>
    <m/>
    <m/>
    <x v="0"/>
    <n v="188073301"/>
    <s v="HONOR-MOHAMMAD SHODIQ"/>
    <x v="2"/>
  </r>
  <r>
    <d v="2026-01-05T00:00:00"/>
    <m/>
    <m/>
    <n v="50000"/>
    <x v="0"/>
    <n v="188123301"/>
    <s v="INFAQ QRIS"/>
    <x v="0"/>
  </r>
  <r>
    <d v="2026-01-05T00:00:00"/>
    <m/>
    <m/>
    <n v="100000"/>
    <x v="0"/>
    <n v="188223301"/>
    <s v="INFAQ QRIS"/>
    <x v="0"/>
  </r>
  <r>
    <d v="2026-01-05T00:00:00"/>
    <m/>
    <m/>
    <n v="30000"/>
    <x v="0"/>
    <n v="188253301"/>
    <s v="INFAQ QRIS"/>
    <x v="0"/>
  </r>
  <r>
    <d v="2026-01-05T00:00:00"/>
    <m/>
    <m/>
    <n v="200000"/>
    <x v="0"/>
    <n v="188453301"/>
    <s v="INFAQ QRIS"/>
    <x v="0"/>
  </r>
  <r>
    <d v="2026-01-05T00:00:00"/>
    <m/>
    <m/>
    <n v="50000"/>
    <x v="0"/>
    <n v="188503301"/>
    <s v="INFAQ QRIS"/>
    <x v="0"/>
  </r>
  <r>
    <d v="2026-01-05T00:00:00"/>
    <m/>
    <m/>
    <n v="25000"/>
    <x v="0"/>
    <n v="188528301"/>
    <s v="INFAQ QRIS"/>
    <x v="0"/>
  </r>
  <r>
    <d v="2026-01-05T00:00:00"/>
    <m/>
    <m/>
    <n v="50000"/>
    <x v="0"/>
    <n v="188578301"/>
    <s v="INFAQ QRIS"/>
    <x v="0"/>
  </r>
  <r>
    <d v="2026-01-05T00:00:00"/>
    <m/>
    <m/>
    <n v="100000"/>
    <x v="0"/>
    <n v="188678301"/>
    <s v="INFAQ QRIS"/>
    <x v="0"/>
  </r>
  <r>
    <d v="2026-01-05T00:00:00"/>
    <m/>
    <m/>
    <n v="50000"/>
    <x v="0"/>
    <n v="188728301"/>
    <s v="INFAQ QRIS"/>
    <x v="0"/>
  </r>
  <r>
    <d v="2026-01-05T00:00:00"/>
    <m/>
    <m/>
    <n v="20000"/>
    <x v="0"/>
    <n v="188748301"/>
    <s v="INFAQ QRIS"/>
    <x v="0"/>
  </r>
  <r>
    <d v="2026-01-05T00:00:00"/>
    <m/>
    <m/>
    <n v="1011"/>
    <x v="0"/>
    <n v="188749312"/>
    <s v="INFAQ QRIS"/>
    <x v="0"/>
  </r>
  <r>
    <d v="2026-01-05T00:00:00"/>
    <n v="750000"/>
    <m/>
    <m/>
    <x v="0"/>
    <n v="187999312"/>
    <s v="HONOR UST UMAR-ZULFA SYAHIDAH"/>
    <x v="2"/>
  </r>
  <r>
    <d v="2026-01-05T00:00:00"/>
    <n v="6500"/>
    <m/>
    <m/>
    <x v="0"/>
    <n v="187992812"/>
    <s v="HONOR UST UMAR-ZULFA SYAHIDAH"/>
    <x v="2"/>
  </r>
  <r>
    <d v="2026-01-05T00:00:00"/>
    <m/>
    <m/>
    <n v="25000"/>
    <x v="0"/>
    <n v="188017812"/>
    <s v="INFAQ QRIS"/>
    <x v="0"/>
  </r>
  <r>
    <d v="2026-01-05T00:00:00"/>
    <m/>
    <m/>
    <n v="20000"/>
    <x v="0"/>
    <n v="188037812"/>
    <s v="INFAQ QRIS"/>
    <x v="0"/>
  </r>
  <r>
    <d v="2026-01-05T00:00:00"/>
    <m/>
    <m/>
    <n v="200000"/>
    <x v="0"/>
    <n v="188237812"/>
    <s v="INFAQ WUSONO PRIHADI SANTO"/>
    <x v="0"/>
  </r>
  <r>
    <d v="2026-01-05T00:00:00"/>
    <m/>
    <m/>
    <n v="1011"/>
    <x v="0"/>
    <n v="188238823"/>
    <s v="INFAQ QRIS"/>
    <x v="0"/>
  </r>
  <r>
    <d v="2026-01-05T00:00:00"/>
    <m/>
    <m/>
    <n v="25000"/>
    <x v="0"/>
    <n v="188263823"/>
    <s v="INFAQ QRIS"/>
    <x v="0"/>
  </r>
  <r>
    <d v="2026-01-05T00:00:00"/>
    <m/>
    <m/>
    <n v="10000"/>
    <x v="0"/>
    <n v="188273823"/>
    <s v="INFAQ QRIS"/>
    <x v="0"/>
  </r>
  <r>
    <d v="2026-01-05T00:00:00"/>
    <m/>
    <m/>
    <n v="20000"/>
    <x v="0"/>
    <n v="188293823"/>
    <s v="INFAQ QRIS"/>
    <x v="0"/>
  </r>
  <r>
    <d v="2026-01-05T00:00:00"/>
    <n v="2500000"/>
    <m/>
    <m/>
    <x v="0"/>
    <n v="185793823"/>
    <s v="HONOR-AGUS SETIYONO MAJ Mukafaah Desember 2025"/>
    <x v="3"/>
  </r>
  <r>
    <d v="2026-01-05T00:00:00"/>
    <n v="6500"/>
    <m/>
    <m/>
    <x v="0"/>
    <n v="185787323"/>
    <s v="HONOR-AGUS SETIYONO MAJ Mukafaah Desember 2025"/>
    <x v="3"/>
  </r>
  <r>
    <d v="2026-01-06T00:00:00"/>
    <m/>
    <m/>
    <n v="20000"/>
    <x v="0"/>
    <n v="185807323"/>
    <s v="INFAQ QRIS"/>
    <x v="0"/>
  </r>
  <r>
    <d v="2026-01-06T00:00:00"/>
    <m/>
    <m/>
    <n v="1011"/>
    <x v="0"/>
    <n v="185808334"/>
    <s v="INFAQ QRIS"/>
    <x v="0"/>
  </r>
  <r>
    <d v="2026-01-06T00:00:00"/>
    <m/>
    <m/>
    <n v="1764000"/>
    <x v="0"/>
    <n v="187572334"/>
    <m/>
    <x v="4"/>
  </r>
  <r>
    <d v="2026-01-06T00:00:00"/>
    <m/>
    <m/>
    <n v="972000"/>
    <x v="0"/>
    <n v="188544334"/>
    <m/>
    <x v="0"/>
  </r>
  <r>
    <m/>
    <m/>
    <n v="2736000"/>
    <m/>
    <x v="1"/>
    <n v="188544334"/>
    <s v=" 001117200623 SETORAN INFAQ PER PEKAN  SETOR TUNAI "/>
    <x v="5"/>
  </r>
  <r>
    <d v="2026-01-07T00:00:00"/>
    <m/>
    <m/>
    <n v="1011"/>
    <x v="0"/>
    <n v="188545345"/>
    <s v="INFAQ QRIS"/>
    <x v="0"/>
  </r>
  <r>
    <d v="2026-01-07T00:00:00"/>
    <m/>
    <m/>
    <n v="10000"/>
    <x v="0"/>
    <n v="188555345"/>
    <s v="INFAQ QRIS"/>
    <x v="0"/>
  </r>
  <r>
    <d v="2026-01-07T00:00:00"/>
    <m/>
    <m/>
    <n v="20000"/>
    <x v="0"/>
    <n v="188575345"/>
    <s v="INFAQ QRIS"/>
    <x v="0"/>
  </r>
  <r>
    <d v="2026-01-07T00:00:00"/>
    <m/>
    <m/>
    <n v="100000"/>
    <x v="0"/>
    <n v="188675345"/>
    <s v="INFAQ QRIS"/>
    <x v="0"/>
  </r>
  <r>
    <d v="2026-01-08T00:00:00"/>
    <m/>
    <m/>
    <n v="100000"/>
    <x v="0"/>
    <n v="188775345"/>
    <s v="INFAQ DWI LISTYOWATI DRA"/>
    <x v="0"/>
  </r>
  <r>
    <d v="2026-01-08T00:00:00"/>
    <m/>
    <m/>
    <n v="10000"/>
    <x v="0"/>
    <n v="188785345"/>
    <s v="INFAQ QRIS"/>
    <x v="0"/>
  </r>
  <r>
    <d v="2026-01-08T00:00:00"/>
    <m/>
    <m/>
    <n v="1011"/>
    <x v="0"/>
    <n v="188786356"/>
    <s v="INFAQ QRIS"/>
    <x v="0"/>
  </r>
  <r>
    <d v="2026-01-08T00:00:00"/>
    <m/>
    <m/>
    <n v="100000"/>
    <x v="0"/>
    <n v="188886356"/>
    <s v="INFAQ QRIS"/>
    <x v="0"/>
  </r>
  <r>
    <d v="2026-01-08T00:00:00"/>
    <m/>
    <m/>
    <n v="10000"/>
    <x v="0"/>
    <n v="188896356"/>
    <s v="INFAQ QRIS"/>
    <x v="0"/>
  </r>
  <r>
    <d v="2026-01-09T00:00:00"/>
    <m/>
    <m/>
    <n v="20000"/>
    <x v="0"/>
    <n v="188916356"/>
    <s v="INFAQ QRIS"/>
    <x v="0"/>
  </r>
  <r>
    <d v="2026-01-09T00:00:00"/>
    <m/>
    <m/>
    <n v="10000"/>
    <x v="0"/>
    <n v="188926356"/>
    <s v="INFAQ QRIS"/>
    <x v="0"/>
  </r>
  <r>
    <d v="2026-01-09T00:00:00"/>
    <m/>
    <m/>
    <n v="2000000"/>
    <x v="0"/>
    <n v="190926356"/>
    <s v="INFAQ RIZKYHIDAYATSL"/>
    <x v="0"/>
  </r>
  <r>
    <d v="2026-01-10T00:00:00"/>
    <n v="750000"/>
    <m/>
    <m/>
    <x v="0"/>
    <n v="190176356"/>
    <s v="HONOR UST ABDUL HAMID"/>
    <x v="2"/>
  </r>
  <r>
    <d v="2026-01-10T00:00:00"/>
    <n v="6500"/>
    <m/>
    <m/>
    <x v="0"/>
    <n v="190169856"/>
    <s v="HONOR UST ABDUL HAMID"/>
    <x v="2"/>
  </r>
  <r>
    <d v="2026-01-10T00:00:00"/>
    <m/>
    <m/>
    <n v="50000"/>
    <x v="0"/>
    <n v="190219856"/>
    <s v="INFAQ QRIS"/>
    <x v="0"/>
  </r>
  <r>
    <d v="2026-01-10T00:00:00"/>
    <m/>
    <m/>
    <n v="20000"/>
    <x v="0"/>
    <n v="190239856"/>
    <s v="INFAQ QRIS"/>
    <x v="0"/>
  </r>
  <r>
    <d v="2026-01-10T00:00:00"/>
    <m/>
    <m/>
    <n v="10000"/>
    <x v="0"/>
    <n v="190249856"/>
    <s v="INFAQ QRIS"/>
    <x v="0"/>
  </r>
  <r>
    <d v="2026-01-10T00:00:00"/>
    <m/>
    <m/>
    <n v="20000"/>
    <x v="0"/>
    <n v="190269856"/>
    <s v="INFAQ QRIS"/>
    <x v="0"/>
  </r>
  <r>
    <d v="2026-01-10T00:00:00"/>
    <m/>
    <m/>
    <n v="10000"/>
    <x v="0"/>
    <n v="190279856"/>
    <s v="INFAQ QRIS"/>
    <x v="0"/>
  </r>
  <r>
    <d v="2026-01-10T00:00:00"/>
    <m/>
    <m/>
    <n v="600000"/>
    <x v="0"/>
    <n v="190879856"/>
    <s v="INFAQ SUPRIJADI"/>
    <x v="0"/>
  </r>
  <r>
    <d v="2026-01-11T00:00:00"/>
    <m/>
    <m/>
    <n v="10000"/>
    <x v="0"/>
    <n v="190889856"/>
    <s v="INFAQ QRIS"/>
    <x v="0"/>
  </r>
  <r>
    <d v="2026-01-11T00:00:00"/>
    <m/>
    <m/>
    <n v="5000"/>
    <x v="0"/>
    <n v="190894856"/>
    <s v="INFAQ QRIS"/>
    <x v="0"/>
  </r>
  <r>
    <d v="2026-01-12T00:00:00"/>
    <m/>
    <m/>
    <n v="10000"/>
    <x v="0"/>
    <n v="190904856"/>
    <s v="INFAQ QRIS"/>
    <x v="0"/>
  </r>
  <r>
    <d v="2026-01-13T00:00:00"/>
    <m/>
    <m/>
    <n v="20000"/>
    <x v="0"/>
    <n v="190924856"/>
    <s v="INFAQ QRIS"/>
    <x v="0"/>
  </r>
  <r>
    <d v="2026-01-13T00:00:00"/>
    <m/>
    <m/>
    <n v="10000"/>
    <x v="0"/>
    <n v="190934856"/>
    <s v="INFAQ QRIS"/>
    <x v="0"/>
  </r>
  <r>
    <d v="2026-01-13T00:00:00"/>
    <m/>
    <m/>
    <n v="1242000"/>
    <x v="0"/>
    <n v="192176856"/>
    <m/>
    <x v="4"/>
  </r>
  <r>
    <d v="2026-01-13T00:00:00"/>
    <m/>
    <m/>
    <n v="1106000"/>
    <x v="0"/>
    <n v="193282856"/>
    <m/>
    <x v="0"/>
  </r>
  <r>
    <m/>
    <m/>
    <n v="2348000"/>
    <m/>
    <x v="1"/>
    <n v="193282856"/>
    <s v=" 001117302494   SETOR TUNAI "/>
    <x v="5"/>
  </r>
  <r>
    <d v="2026-01-14T00:00:00"/>
    <m/>
    <m/>
    <n v="10000"/>
    <x v="0"/>
    <n v="193292856"/>
    <s v="INFAQ QRIS"/>
    <x v="0"/>
  </r>
  <r>
    <d v="2026-01-14T00:00:00"/>
    <m/>
    <m/>
    <n v="20000"/>
    <x v="0"/>
    <n v="193312856"/>
    <s v="INFAQ QRIS"/>
    <x v="0"/>
  </r>
  <r>
    <d v="2026-01-15T00:00:00"/>
    <m/>
    <m/>
    <n v="20000"/>
    <x v="0"/>
    <n v="193332856"/>
    <s v="INFAQ QRIS"/>
    <x v="0"/>
  </r>
  <r>
    <d v="2026-01-15T00:00:00"/>
    <n v="700000"/>
    <m/>
    <m/>
    <x v="0"/>
    <n v="192632856"/>
    <s v="HONOR UST AJI 110126"/>
    <x v="2"/>
  </r>
  <r>
    <d v="2026-01-15T00:00:00"/>
    <n v="6500"/>
    <m/>
    <m/>
    <x v="0"/>
    <n v="192626356"/>
    <s v="HONOR UST AJI 110126"/>
    <x v="2"/>
  </r>
  <r>
    <d v="2026-01-16T00:00:00"/>
    <m/>
    <m/>
    <n v="10000"/>
    <x v="0"/>
    <n v="192636356"/>
    <s v="INFAQ QRIS"/>
    <x v="0"/>
  </r>
  <r>
    <d v="2026-01-16T00:00:00"/>
    <m/>
    <m/>
    <n v="1011"/>
    <x v="0"/>
    <n v="192637367"/>
    <s v="INFAQ QRIS"/>
    <x v="0"/>
  </r>
  <r>
    <d v="2026-01-16T00:00:00"/>
    <m/>
    <m/>
    <n v="50000"/>
    <x v="0"/>
    <n v="192687367"/>
    <s v="INFAQ QRIS"/>
    <x v="0"/>
  </r>
  <r>
    <d v="2026-01-16T00:00:00"/>
    <m/>
    <m/>
    <n v="20000"/>
    <x v="0"/>
    <n v="192707367"/>
    <s v="INFAQ QRIS"/>
    <x v="0"/>
  </r>
  <r>
    <d v="2026-01-16T00:00:00"/>
    <m/>
    <m/>
    <n v="10000"/>
    <x v="0"/>
    <n v="192717367"/>
    <s v="INFAQ QRIS"/>
    <x v="0"/>
  </r>
  <r>
    <d v="2026-01-16T00:00:00"/>
    <m/>
    <m/>
    <n v="1260000"/>
    <x v="0"/>
    <n v="193977367"/>
    <s v="WAKAF KARPET"/>
    <x v="6"/>
  </r>
  <r>
    <d v="2026-01-16T00:00:00"/>
    <m/>
    <m/>
    <n v="100000"/>
    <x v="0"/>
    <n v="194077367"/>
    <s v="INFAQ QRIS"/>
    <x v="0"/>
  </r>
  <r>
    <d v="2026-01-16T00:00:00"/>
    <m/>
    <m/>
    <n v="12600005"/>
    <x v="0"/>
    <n v="206677372"/>
    <s v="WAKAF KARPET"/>
    <x v="6"/>
  </r>
  <r>
    <d v="2026-01-17T00:00:00"/>
    <n v="750000"/>
    <m/>
    <m/>
    <x v="0"/>
    <n v="205927372"/>
    <s v="HONOR UST FAISAL"/>
    <x v="2"/>
  </r>
  <r>
    <d v="2026-01-17T00:00:00"/>
    <m/>
    <m/>
    <n v="20000"/>
    <x v="0"/>
    <n v="205947372"/>
    <s v="INFAQ QRIS"/>
    <x v="0"/>
  </r>
  <r>
    <d v="2026-01-17T00:00:00"/>
    <m/>
    <m/>
    <n v="10000"/>
    <x v="0"/>
    <n v="205957372"/>
    <s v="INFAQ QRIS"/>
    <x v="0"/>
  </r>
  <r>
    <d v="2026-01-17T00:00:00"/>
    <m/>
    <m/>
    <n v="100000"/>
    <x v="0"/>
    <n v="206057372"/>
    <s v="INFAQ QRIS"/>
    <x v="0"/>
  </r>
  <r>
    <d v="2026-01-17T00:00:00"/>
    <m/>
    <m/>
    <n v="25000"/>
    <x v="0"/>
    <n v="206082372"/>
    <s v="INFAQ QRIS"/>
    <x v="0"/>
  </r>
  <r>
    <d v="2026-01-17T00:00:00"/>
    <m/>
    <m/>
    <n v="25000"/>
    <x v="0"/>
    <n v="206107372"/>
    <s v="INFAQ QRIS"/>
    <x v="0"/>
  </r>
  <r>
    <d v="2026-01-17T00:00:00"/>
    <m/>
    <m/>
    <n v="20000"/>
    <x v="0"/>
    <n v="206127372"/>
    <s v="INFAQ QRIS"/>
    <x v="0"/>
  </r>
  <r>
    <d v="2026-01-17T00:00:00"/>
    <m/>
    <m/>
    <n v="50000"/>
    <x v="0"/>
    <n v="206177372"/>
    <s v="INFAQ QRIS"/>
    <x v="0"/>
  </r>
  <r>
    <d v="2026-01-17T00:00:00"/>
    <m/>
    <m/>
    <n v="50000"/>
    <x v="0"/>
    <n v="206227372"/>
    <s v="INFAQ QRIS"/>
    <x v="0"/>
  </r>
  <r>
    <d v="2026-01-17T00:00:00"/>
    <m/>
    <m/>
    <n v="1011"/>
    <x v="0"/>
    <n v="206228383"/>
    <s v="INFAQ QRIS"/>
    <x v="0"/>
  </r>
  <r>
    <d v="2026-01-17T00:00:00"/>
    <m/>
    <m/>
    <n v="630005"/>
    <x v="0"/>
    <n v="206858388"/>
    <s v="WAKAF KARPET"/>
    <x v="6"/>
  </r>
  <r>
    <d v="2026-01-17T00:00:00"/>
    <m/>
    <m/>
    <n v="150005"/>
    <x v="0"/>
    <n v="207008393"/>
    <s v="WAKAF KARPET"/>
    <x v="6"/>
  </r>
  <r>
    <d v="2026-01-17T00:00:00"/>
    <m/>
    <m/>
    <n v="6000000"/>
    <x v="0"/>
    <n v="213008393"/>
    <s v="Infaq Pak Budiharto"/>
    <x v="0"/>
  </r>
  <r>
    <d v="2026-01-17T00:00:00"/>
    <m/>
    <m/>
    <n v="1260005"/>
    <x v="0"/>
    <n v="214268398"/>
    <s v="WAKAF KARPET"/>
    <x v="6"/>
  </r>
  <r>
    <d v="2026-01-17T00:00:00"/>
    <m/>
    <m/>
    <n v="500005"/>
    <x v="0"/>
    <n v="214768403"/>
    <s v="WAKAF KARPET"/>
    <x v="6"/>
  </r>
  <r>
    <d v="2026-01-17T00:00:00"/>
    <m/>
    <m/>
    <n v="1260000"/>
    <x v="0"/>
    <n v="216028403"/>
    <s v="WAKAF KARPET"/>
    <x v="6"/>
  </r>
  <r>
    <d v="2026-01-18T00:00:00"/>
    <n v="750000"/>
    <m/>
    <m/>
    <x v="0"/>
    <n v="215278403"/>
    <s v="HONOR UST-HASAN MUBAROK"/>
    <x v="2"/>
  </r>
  <r>
    <d v="2026-01-18T00:00:00"/>
    <n v="6500"/>
    <m/>
    <m/>
    <x v="0"/>
    <n v="215271903"/>
    <s v="HONOR UST-HASAN MUBAROK"/>
    <x v="2"/>
  </r>
  <r>
    <d v="2026-01-18T00:00:00"/>
    <m/>
    <m/>
    <n v="10000"/>
    <x v="0"/>
    <n v="215281903"/>
    <s v="INFAQ QRIS"/>
    <x v="0"/>
  </r>
  <r>
    <d v="2026-01-18T00:00:00"/>
    <m/>
    <m/>
    <n v="20000"/>
    <x v="0"/>
    <n v="215301903"/>
    <s v="INFAQ QRIS"/>
    <x v="0"/>
  </r>
  <r>
    <d v="2026-01-18T00:00:00"/>
    <m/>
    <m/>
    <n v="1011"/>
    <x v="0"/>
    <n v="215302914"/>
    <s v="INFAQ QRIS"/>
    <x v="0"/>
  </r>
  <r>
    <d v="2026-01-18T00:00:00"/>
    <m/>
    <m/>
    <n v="5040005"/>
    <x v="0"/>
    <n v="220342919"/>
    <s v="WAKAF KARPET"/>
    <x v="6"/>
  </r>
  <r>
    <d v="2026-01-18T00:00:00"/>
    <m/>
    <m/>
    <n v="6300005"/>
    <x v="0"/>
    <n v="226642924"/>
    <s v="WAKAF KARPET"/>
    <x v="6"/>
  </r>
  <r>
    <d v="2026-01-19T00:00:00"/>
    <m/>
    <m/>
    <n v="1011"/>
    <x v="0"/>
    <n v="226643935"/>
    <s v="INFAQ QRIS"/>
    <x v="0"/>
  </r>
  <r>
    <d v="2026-01-19T00:00:00"/>
    <m/>
    <m/>
    <n v="1260005"/>
    <x v="0"/>
    <n v="227903940"/>
    <s v="WAKAF KARPET"/>
    <x v="6"/>
  </r>
  <r>
    <d v="2026-01-19T00:00:00"/>
    <m/>
    <m/>
    <n v="1260000"/>
    <x v="0"/>
    <n v="229163940"/>
    <s v="WAKAF KARPET"/>
    <x v="6"/>
  </r>
  <r>
    <d v="2026-01-19T00:00:00"/>
    <m/>
    <m/>
    <n v="3780005"/>
    <x v="0"/>
    <n v="232943945"/>
    <s v="WAKAF KARPET"/>
    <x v="6"/>
  </r>
  <r>
    <d v="2026-01-19T00:00:00"/>
    <m/>
    <m/>
    <n v="100000"/>
    <x v="0"/>
    <n v="233043945"/>
    <s v="INFAQ DEVI SALANTI"/>
    <x v="0"/>
  </r>
  <r>
    <d v="2026-01-19T00:00:00"/>
    <m/>
    <m/>
    <n v="1800000"/>
    <x v="0"/>
    <n v="234843945"/>
    <s v="INFAQ DR FANANI / DASA SUKARSIWI, SE"/>
    <x v="0"/>
  </r>
  <r>
    <d v="2026-01-20T00:00:00"/>
    <m/>
    <m/>
    <n v="1011"/>
    <x v="0"/>
    <n v="234844956"/>
    <s v="INFAQ QRIS"/>
    <x v="0"/>
  </r>
  <r>
    <d v="2026-01-20T00:00:00"/>
    <m/>
    <m/>
    <n v="10000"/>
    <x v="0"/>
    <n v="234854956"/>
    <s v="INFAQ QRIS"/>
    <x v="0"/>
  </r>
  <r>
    <d v="2026-01-20T00:00:00"/>
    <m/>
    <m/>
    <n v="20000"/>
    <x v="0"/>
    <n v="234874956"/>
    <s v="INFAQ QRIS"/>
    <x v="0"/>
  </r>
  <r>
    <d v="2026-01-20T00:00:00"/>
    <m/>
    <m/>
    <n v="1800000"/>
    <x v="0"/>
    <n v="236674956"/>
    <s v="WAKAF KARPET"/>
    <x v="6"/>
  </r>
  <r>
    <d v="2026-01-20T00:00:00"/>
    <m/>
    <m/>
    <n v="2456000"/>
    <x v="0"/>
    <n v="239130956"/>
    <m/>
    <x v="4"/>
  </r>
  <r>
    <d v="2026-01-20T00:00:00"/>
    <m/>
    <m/>
    <n v="2981000"/>
    <x v="0"/>
    <n v="242111956"/>
    <m/>
    <x v="0"/>
  </r>
  <r>
    <m/>
    <m/>
    <n v="5437000"/>
    <m/>
    <x v="1"/>
    <n v="242111956"/>
    <s v="SETORAN INFAQ PERPEKAN  SETOR TUNAI "/>
    <x v="5"/>
  </r>
  <r>
    <d v="2026-01-20T00:00:00"/>
    <n v="11500000"/>
    <m/>
    <m/>
    <x v="0"/>
    <n v="230611956"/>
    <s v="Biaya Perbaikan Plafon MAJ via Mahmud"/>
    <x v="7"/>
  </r>
  <r>
    <d v="2026-01-20T00:00:00"/>
    <n v="6500"/>
    <m/>
    <m/>
    <x v="0"/>
    <n v="230605456"/>
    <s v="Biaya Perbaikan Plafon MAJ via Mahmud"/>
    <x v="7"/>
  </r>
  <r>
    <d v="2026-01-20T00:00:00"/>
    <m/>
    <m/>
    <n v="5040005"/>
    <x v="0"/>
    <n v="235645461"/>
    <s v="WAKAF KARPET"/>
    <x v="6"/>
  </r>
  <r>
    <d v="2026-01-20T00:00:00"/>
    <m/>
    <m/>
    <n v="1260000"/>
    <x v="0"/>
    <n v="236905461"/>
    <s v="WAKAF KARPET"/>
    <x v="6"/>
  </r>
  <r>
    <d v="2026-01-20T00:00:00"/>
    <m/>
    <m/>
    <n v="1260005"/>
    <x v="0"/>
    <n v="238165466"/>
    <s v="WAKAF KARPET"/>
    <x v="6"/>
  </r>
  <r>
    <d v="2026-01-20T00:00:00"/>
    <m/>
    <m/>
    <n v="2520000"/>
    <x v="0"/>
    <n v="240685466"/>
    <s v="WAKAF KARPET"/>
    <x v="6"/>
  </r>
  <r>
    <d v="2026-01-20T00:00:00"/>
    <m/>
    <m/>
    <n v="5040005"/>
    <x v="0"/>
    <n v="245725471"/>
    <s v="WAKAF KARPET"/>
    <x v="6"/>
  </r>
  <r>
    <d v="2026-01-21T00:00:00"/>
    <m/>
    <m/>
    <n v="1011"/>
    <x v="0"/>
    <n v="245726482"/>
    <s v="INFAQ QRIS"/>
    <x v="0"/>
  </r>
  <r>
    <d v="2026-01-21T00:00:00"/>
    <m/>
    <m/>
    <n v="10000"/>
    <x v="0"/>
    <n v="245736482"/>
    <s v="INFAQ QRIS"/>
    <x v="0"/>
  </r>
  <r>
    <d v="2026-01-21T00:00:00"/>
    <m/>
    <m/>
    <n v="10000"/>
    <x v="0"/>
    <n v="245746482"/>
    <s v="INFAQ QRIS"/>
    <x v="0"/>
  </r>
  <r>
    <d v="2026-01-21T00:00:00"/>
    <m/>
    <m/>
    <n v="20000"/>
    <x v="0"/>
    <n v="245766482"/>
    <s v="INFAQ QRIS"/>
    <x v="0"/>
  </r>
  <r>
    <d v="2026-01-21T00:00:00"/>
    <m/>
    <m/>
    <n v="1260005"/>
    <x v="0"/>
    <n v="247026487"/>
    <s v="WAKAF KARPET"/>
    <x v="6"/>
  </r>
  <r>
    <d v="2026-01-21T00:00:00"/>
    <m/>
    <m/>
    <n v="1260005"/>
    <x v="0"/>
    <n v="248286492"/>
    <s v="WAKAF KARPET"/>
    <x v="6"/>
  </r>
  <r>
    <d v="2026-01-21T00:00:00"/>
    <m/>
    <m/>
    <n v="750005"/>
    <x v="0"/>
    <n v="249036497"/>
    <s v="WAKAF KARPET"/>
    <x v="6"/>
  </r>
  <r>
    <d v="2026-01-21T00:00:00"/>
    <m/>
    <m/>
    <n v="5000005"/>
    <x v="0"/>
    <n v="254036502"/>
    <s v="WAKAF KARPET"/>
    <x v="6"/>
  </r>
  <r>
    <d v="2026-01-21T00:00:00"/>
    <m/>
    <m/>
    <n v="630005"/>
    <x v="0"/>
    <n v="254666507"/>
    <s v="WAKAF KARPET"/>
    <x v="6"/>
  </r>
  <r>
    <d v="2026-01-21T00:00:00"/>
    <m/>
    <m/>
    <n v="315005"/>
    <x v="0"/>
    <n v="254981512"/>
    <s v="WAKAF KARPET"/>
    <x v="6"/>
  </r>
  <r>
    <d v="2026-01-21T00:00:00"/>
    <m/>
    <m/>
    <n v="12600005"/>
    <x v="0"/>
    <n v="267581517"/>
    <s v="WAKAF KARPET"/>
    <x v="6"/>
  </r>
  <r>
    <d v="2026-01-22T00:00:00"/>
    <m/>
    <m/>
    <n v="5040005"/>
    <x v="0"/>
    <n v="272621522"/>
    <s v="WAKAF KARPET"/>
    <x v="6"/>
  </r>
  <r>
    <d v="2026-01-22T00:00:00"/>
    <m/>
    <m/>
    <n v="1890005"/>
    <x v="0"/>
    <n v="274511527"/>
    <s v="WAKAF KARPET"/>
    <x v="6"/>
  </r>
  <r>
    <d v="2026-01-22T00:00:00"/>
    <m/>
    <m/>
    <n v="3100000"/>
    <x v="0"/>
    <n v="277611527"/>
    <s v="WAKAF KARPET"/>
    <x v="6"/>
  </r>
  <r>
    <d v="2026-01-22T00:00:00"/>
    <m/>
    <m/>
    <n v="20000"/>
    <x v="0"/>
    <n v="277631527"/>
    <s v="INFAQ QRIS"/>
    <x v="0"/>
  </r>
  <r>
    <d v="2026-01-22T00:00:00"/>
    <m/>
    <m/>
    <n v="10000005"/>
    <x v="0"/>
    <n v="287631532"/>
    <s v="WAKAF KARPET"/>
    <x v="6"/>
  </r>
  <r>
    <d v="2026-01-22T00:00:00"/>
    <m/>
    <m/>
    <n v="630005"/>
    <x v="0"/>
    <n v="288261537"/>
    <s v="WAKAF KARPET"/>
    <x v="6"/>
  </r>
  <r>
    <d v="2026-01-22T00:00:00"/>
    <m/>
    <m/>
    <n v="12600000"/>
    <x v="0"/>
    <n v="300861537"/>
    <s v="WAKAF KARPET"/>
    <x v="6"/>
  </r>
  <r>
    <d v="2026-01-22T00:00:00"/>
    <m/>
    <m/>
    <n v="1000000"/>
    <x v="0"/>
    <n v="301861537"/>
    <s v="WAKAF KARPET"/>
    <x v="6"/>
  </r>
  <r>
    <d v="2026-01-22T00:00:00"/>
    <m/>
    <m/>
    <n v="6300005"/>
    <x v="0"/>
    <n v="308161542"/>
    <s v="WAKAF KARPET"/>
    <x v="6"/>
  </r>
  <r>
    <d v="2026-01-23T00:00:00"/>
    <m/>
    <m/>
    <n v="2520005"/>
    <x v="0"/>
    <n v="310681547"/>
    <s v="WAKAF KARPET"/>
    <x v="6"/>
  </r>
  <r>
    <d v="2026-01-23T00:00:00"/>
    <m/>
    <m/>
    <n v="1620005"/>
    <x v="0"/>
    <n v="312301552"/>
    <s v="WAKAF KARPET"/>
    <x v="6"/>
  </r>
  <r>
    <d v="2026-01-23T00:00:00"/>
    <m/>
    <m/>
    <n v="12600005"/>
    <x v="0"/>
    <n v="324901557"/>
    <s v="WAKAF KARPET"/>
    <x v="6"/>
  </r>
  <r>
    <d v="2026-01-23T00:00:00"/>
    <m/>
    <m/>
    <n v="1260005"/>
    <x v="0"/>
    <n v="326161562"/>
    <s v="WAKAF KARPET"/>
    <x v="6"/>
  </r>
  <r>
    <d v="2026-01-23T00:00:00"/>
    <m/>
    <m/>
    <n v="20000"/>
    <x v="0"/>
    <n v="326181562"/>
    <s v="INFAQ QRIS"/>
    <x v="0"/>
  </r>
  <r>
    <d v="2026-01-23T00:00:00"/>
    <m/>
    <m/>
    <n v="1011"/>
    <x v="0"/>
    <n v="326182573"/>
    <s v="INFAQ QRIS"/>
    <x v="0"/>
  </r>
  <r>
    <d v="2026-01-23T00:00:00"/>
    <m/>
    <m/>
    <n v="1500000"/>
    <x v="0"/>
    <n v="327682573"/>
    <s v="WAKAF KARPET"/>
    <x v="6"/>
  </r>
  <r>
    <d v="2026-01-23T00:00:00"/>
    <m/>
    <m/>
    <n v="2525000"/>
    <x v="0"/>
    <n v="330207573"/>
    <s v="WAKAF KARPET"/>
    <x v="6"/>
  </r>
  <r>
    <d v="2026-01-23T00:00:00"/>
    <m/>
    <m/>
    <n v="5000005"/>
    <x v="0"/>
    <n v="335207578"/>
    <s v="WAKAF KARPET"/>
    <x v="6"/>
  </r>
  <r>
    <d v="2026-01-23T00:00:00"/>
    <n v="3000000"/>
    <m/>
    <m/>
    <x v="0"/>
    <n v="332207578"/>
    <s v="Tenda dan Paket Ambulan Warga JB"/>
    <x v="8"/>
  </r>
  <r>
    <d v="2026-01-23T00:00:00"/>
    <n v="6500"/>
    <m/>
    <m/>
    <x v="0"/>
    <n v="332201078"/>
    <s v="Tenda dan Paket Ambulan Warga JB"/>
    <x v="8"/>
  </r>
  <r>
    <d v="2026-01-23T00:00:00"/>
    <m/>
    <m/>
    <n v="5000005"/>
    <x v="0"/>
    <n v="337201083"/>
    <s v="WAKAF KARPET"/>
    <x v="6"/>
  </r>
  <r>
    <d v="2026-01-23T00:00:00"/>
    <m/>
    <m/>
    <n v="10000000"/>
    <x v="0"/>
    <n v="347201083"/>
    <s v="WAKAF KARPET"/>
    <x v="6"/>
  </r>
  <r>
    <d v="2026-01-23T00:00:00"/>
    <m/>
    <m/>
    <n v="6300005"/>
    <x v="0"/>
    <n v="353501088"/>
    <s v="WAKAF KARPET"/>
    <x v="6"/>
  </r>
  <r>
    <d v="2026-01-23T00:00:00"/>
    <m/>
    <m/>
    <n v="1260005"/>
    <x v="0"/>
    <n v="354761093"/>
    <s v="WAKAF KARPET"/>
    <x v="6"/>
  </r>
  <r>
    <d v="2026-01-23T00:00:00"/>
    <m/>
    <m/>
    <n v="1260005"/>
    <x v="0"/>
    <n v="356021098"/>
    <s v="WAKAF KARPET"/>
    <x v="6"/>
  </r>
  <r>
    <d v="2026-01-23T00:00:00"/>
    <m/>
    <m/>
    <n v="5000000"/>
    <x v="0"/>
    <n v="361021098"/>
    <s v="WAKAF KARPET"/>
    <x v="6"/>
  </r>
  <r>
    <d v="2026-01-23T00:00:00"/>
    <m/>
    <m/>
    <n v="2520005"/>
    <x v="0"/>
    <n v="363541103"/>
    <s v="WAKAF KARPET"/>
    <x v="6"/>
  </r>
  <r>
    <d v="2026-01-23T00:00:00"/>
    <m/>
    <m/>
    <n v="2520005"/>
    <x v="0"/>
    <n v="366061108"/>
    <s v="WAKAF KARPET"/>
    <x v="6"/>
  </r>
  <r>
    <d v="2026-01-23T00:00:00"/>
    <m/>
    <m/>
    <n v="2505000"/>
    <x v="0"/>
    <n v="368566108"/>
    <s v="WAKAF KARPET"/>
    <x v="6"/>
  </r>
  <r>
    <d v="2026-01-23T00:00:00"/>
    <m/>
    <m/>
    <n v="200005"/>
    <x v="0"/>
    <n v="368766113"/>
    <s v="WAKAF KARPET"/>
    <x v="6"/>
  </r>
  <r>
    <d v="2026-01-23T00:00:00"/>
    <n v="500000"/>
    <m/>
    <m/>
    <x v="0"/>
    <n v="368266113"/>
    <s v="Tenda dan Paket Ambulan Warga JB2"/>
    <x v="8"/>
  </r>
  <r>
    <d v="2026-01-23T00:00:00"/>
    <n v="6500"/>
    <m/>
    <m/>
    <x v="0"/>
    <n v="368259613"/>
    <s v="Tenda dan Paket Ambulan Warga JB2"/>
    <x v="8"/>
  </r>
  <r>
    <d v="2026-01-23T00:00:00"/>
    <m/>
    <m/>
    <n v="1000000"/>
    <x v="0"/>
    <n v="369259613"/>
    <s v="INFAQ RAMADHAN NIENDRAPUTRA"/>
    <x v="0"/>
  </r>
  <r>
    <d v="2026-01-23T00:00:00"/>
    <m/>
    <m/>
    <n v="7560005"/>
    <x v="0"/>
    <n v="376819618"/>
    <s v="WAKAF KARPET"/>
    <x v="6"/>
  </r>
  <r>
    <d v="2026-01-23T00:00:00"/>
    <m/>
    <m/>
    <n v="500005"/>
    <x v="0"/>
    <n v="377319623"/>
    <s v="WAKAF KARPET"/>
    <x v="6"/>
  </r>
  <r>
    <d v="2026-01-24T00:00:00"/>
    <m/>
    <m/>
    <n v="1260000"/>
    <x v="0"/>
    <n v="378579623"/>
    <s v="WAKAF KARPET"/>
    <x v="6"/>
  </r>
  <r>
    <d v="2026-01-24T00:00:00"/>
    <m/>
    <m/>
    <n v="500000"/>
    <x v="0"/>
    <n v="379079623"/>
    <s v="INFAQ DENNY ABBAS"/>
    <x v="0"/>
  </r>
  <r>
    <d v="2026-01-24T00:00:00"/>
    <m/>
    <m/>
    <n v="1260005"/>
    <x v="0"/>
    <n v="380339628"/>
    <s v="WAKAF KARPET"/>
    <x v="6"/>
  </r>
  <r>
    <d v="2026-01-24T00:00:00"/>
    <m/>
    <m/>
    <n v="1260005"/>
    <x v="0"/>
    <n v="381599633"/>
    <s v="WAKAF KARPET"/>
    <x v="6"/>
  </r>
  <r>
    <d v="2026-01-24T00:00:00"/>
    <m/>
    <m/>
    <n v="10000"/>
    <x v="0"/>
    <n v="381609633"/>
    <s v="INFAQ QRIS"/>
    <x v="0"/>
  </r>
  <r>
    <d v="2026-01-24T00:00:00"/>
    <m/>
    <m/>
    <n v="100000"/>
    <x v="0"/>
    <n v="381709633"/>
    <s v="INFAQ QRIS"/>
    <x v="0"/>
  </r>
  <r>
    <d v="2026-01-24T00:00:00"/>
    <m/>
    <m/>
    <n v="20000"/>
    <x v="0"/>
    <n v="381729633"/>
    <s v="INFAQ QRIS"/>
    <x v="0"/>
  </r>
  <r>
    <d v="2026-01-24T00:00:00"/>
    <m/>
    <m/>
    <n v="20000"/>
    <x v="0"/>
    <n v="381749633"/>
    <s v="INFAQ QRIS"/>
    <x v="0"/>
  </r>
  <r>
    <d v="2026-01-24T00:00:00"/>
    <m/>
    <m/>
    <n v="1500005"/>
    <x v="0"/>
    <n v="383249638"/>
    <s v="WAKAF KARPET"/>
    <x v="6"/>
  </r>
  <r>
    <d v="2026-01-24T00:00:00"/>
    <m/>
    <m/>
    <n v="500005"/>
    <x v="0"/>
    <n v="383749643"/>
    <s v="WAKAF KARPET"/>
    <x v="6"/>
  </r>
  <r>
    <d v="2026-01-24T00:00:00"/>
    <m/>
    <m/>
    <n v="2520000"/>
    <x v="0"/>
    <n v="386269643"/>
    <s v="WAKAF KARPET"/>
    <x v="6"/>
  </r>
  <r>
    <d v="2026-01-24T00:00:00"/>
    <m/>
    <m/>
    <n v="1260005"/>
    <x v="0"/>
    <n v="387529648"/>
    <s v="WAKAF KARPET"/>
    <x v="6"/>
  </r>
  <r>
    <d v="2026-01-24T00:00:00"/>
    <m/>
    <m/>
    <n v="5000005"/>
    <x v="0"/>
    <n v="392529653"/>
    <s v="WAKAF KARPET"/>
    <x v="6"/>
  </r>
  <r>
    <d v="2026-01-24T00:00:00"/>
    <m/>
    <m/>
    <n v="2000005"/>
    <x v="0"/>
    <n v="394529658"/>
    <s v="WAKAF KARPET"/>
    <x v="6"/>
  </r>
  <r>
    <d v="2026-01-24T00:00:00"/>
    <m/>
    <m/>
    <n v="630005"/>
    <x v="0"/>
    <n v="395159663"/>
    <s v="WAKAF KARPET"/>
    <x v="6"/>
  </r>
  <r>
    <d v="2026-01-25T00:00:00"/>
    <n v="1000000"/>
    <m/>
    <m/>
    <x v="0"/>
    <n v="394159663"/>
    <s v="HONOR UST-WAHID RAHMAN"/>
    <x v="2"/>
  </r>
  <r>
    <d v="2026-01-25T00:00:00"/>
    <n v="6500"/>
    <m/>
    <m/>
    <x v="0"/>
    <n v="394153163"/>
    <s v="HONOR UST-WAHID RAHMAN"/>
    <x v="2"/>
  </r>
  <r>
    <d v="2026-01-25T00:00:00"/>
    <m/>
    <m/>
    <n v="200000"/>
    <x v="0"/>
    <n v="394353163"/>
    <s v="TPQ FATIH rivendra"/>
    <x v="9"/>
  </r>
  <r>
    <d v="2026-01-25T00:00:00"/>
    <m/>
    <m/>
    <n v="20000"/>
    <x v="0"/>
    <n v="394373163"/>
    <s v="INFAQ QRIS"/>
    <x v="0"/>
  </r>
  <r>
    <d v="2026-01-25T00:00:00"/>
    <m/>
    <m/>
    <n v="25000"/>
    <x v="0"/>
    <n v="394398163"/>
    <s v="INFAQ QRIS"/>
    <x v="0"/>
  </r>
  <r>
    <d v="2026-01-25T00:00:00"/>
    <m/>
    <m/>
    <n v="100005"/>
    <x v="0"/>
    <n v="394498168"/>
    <s v="WAKAF KARPET"/>
    <x v="6"/>
  </r>
  <r>
    <d v="2026-01-25T00:00:00"/>
    <n v="9650000"/>
    <m/>
    <m/>
    <x v="0"/>
    <n v="384848168"/>
    <s v="MAHMUD MADJID Perbaikan Gudang Lampu Dinding MAJ "/>
    <x v="7"/>
  </r>
  <r>
    <d v="2026-01-25T00:00:00"/>
    <n v="6500"/>
    <m/>
    <m/>
    <x v="0"/>
    <n v="384841668"/>
    <s v="MAHMUD MADJID Perbaikan Gudang Lampu Dinding MAJ "/>
    <x v="7"/>
  </r>
  <r>
    <d v="2026-01-25T00:00:00"/>
    <m/>
    <m/>
    <n v="630005"/>
    <x v="0"/>
    <n v="385471673"/>
    <s v="WAKAF KARPET"/>
    <x v="6"/>
  </r>
  <r>
    <d v="2026-01-25T00:00:00"/>
    <m/>
    <m/>
    <n v="800000"/>
    <x v="0"/>
    <n v="386271673"/>
    <s v="INFAQ JOHN BASUKI RAHMAD"/>
    <x v="0"/>
  </r>
  <r>
    <d v="2026-01-25T00:00:00"/>
    <m/>
    <m/>
    <n v="1350005"/>
    <x v="0"/>
    <n v="387621678"/>
    <s v="WAKAF KARPET"/>
    <x v="6"/>
  </r>
  <r>
    <d v="2026-01-26T00:00:00"/>
    <m/>
    <m/>
    <n v="25000"/>
    <x v="0"/>
    <n v="387646678"/>
    <s v="INFAQ QRIS"/>
    <x v="0"/>
  </r>
  <r>
    <d v="2026-01-26T00:00:00"/>
    <m/>
    <m/>
    <n v="1011"/>
    <x v="0"/>
    <n v="387647689"/>
    <s v="INFAQ QRIS"/>
    <x v="0"/>
  </r>
  <r>
    <d v="2026-01-26T00:00:00"/>
    <m/>
    <m/>
    <n v="20000"/>
    <x v="0"/>
    <n v="387667689"/>
    <s v="INFAQ QRIS"/>
    <x v="0"/>
  </r>
  <r>
    <d v="2026-01-26T00:00:00"/>
    <m/>
    <m/>
    <n v="1000005"/>
    <x v="0"/>
    <n v="388667694"/>
    <s v="WAKAF KARPET"/>
    <x v="6"/>
  </r>
  <r>
    <d v="2026-01-26T00:00:00"/>
    <m/>
    <m/>
    <n v="5000000"/>
    <x v="0"/>
    <n v="393667694"/>
    <s v="WAKAF KARPET"/>
    <x v="6"/>
  </r>
  <r>
    <d v="2026-01-26T00:00:00"/>
    <m/>
    <m/>
    <n v="350000"/>
    <x v="0"/>
    <n v="394017694"/>
    <s v="WAKAF KARPET"/>
    <x v="6"/>
  </r>
  <r>
    <d v="2026-01-26T00:00:00"/>
    <m/>
    <m/>
    <n v="650000"/>
    <x v="0"/>
    <n v="394667694"/>
    <s v="WAKAF KARPET"/>
    <x v="6"/>
  </r>
  <r>
    <d v="2026-01-26T00:00:00"/>
    <m/>
    <m/>
    <n v="1689000"/>
    <x v="0"/>
    <n v="396356694"/>
    <m/>
    <x v="4"/>
  </r>
  <r>
    <d v="2026-01-26T00:00:00"/>
    <m/>
    <m/>
    <n v="1177000"/>
    <x v="0"/>
    <n v="397533694"/>
    <m/>
    <x v="0"/>
  </r>
  <r>
    <d v="2026-01-26T00:00:00"/>
    <m/>
    <m/>
    <n v="3500000"/>
    <x v="0"/>
    <n v="401033694"/>
    <m/>
    <x v="6"/>
  </r>
  <r>
    <d v="2026-01-26T00:00:00"/>
    <m/>
    <m/>
    <n v="1250000"/>
    <x v="0"/>
    <n v="402283694"/>
    <m/>
    <x v="6"/>
  </r>
  <r>
    <d v="2026-01-26T00:00:00"/>
    <m/>
    <m/>
    <n v="600000"/>
    <x v="0"/>
    <n v="402883694"/>
    <m/>
    <x v="6"/>
  </r>
  <r>
    <m/>
    <m/>
    <n v="8216000"/>
    <m/>
    <x v="1"/>
    <n v="402883694"/>
    <s v="SETORAN NANANG"/>
    <x v="5"/>
  </r>
  <r>
    <d v="2026-01-27T00:00:00"/>
    <m/>
    <m/>
    <n v="1011"/>
    <x v="0"/>
    <n v="402884705"/>
    <s v="INFAQ QRIS"/>
    <x v="0"/>
  </r>
  <r>
    <d v="2026-01-27T00:00:00"/>
    <m/>
    <m/>
    <n v="200000"/>
    <x v="0"/>
    <n v="403084705"/>
    <s v="INFAQ QRIS"/>
    <x v="0"/>
  </r>
  <r>
    <d v="2026-01-27T00:00:00"/>
    <n v="2500000"/>
    <m/>
    <m/>
    <x v="0"/>
    <n v="400584705"/>
    <s v="AGUS SETIYONO MAJ Mukafaah Januari 2026"/>
    <x v="3"/>
  </r>
  <r>
    <d v="2026-01-27T00:00:00"/>
    <n v="6500"/>
    <m/>
    <m/>
    <x v="0"/>
    <n v="400578205"/>
    <s v="AGUS SETIYONO MAJ Mukafaah Januari 2026"/>
    <x v="3"/>
  </r>
  <r>
    <d v="2026-01-27T00:00:00"/>
    <n v="2250000"/>
    <m/>
    <m/>
    <x v="0"/>
    <n v="398328205"/>
    <s v="IMRON ROSADI MAJ Honor Januari 2026"/>
    <x v="10"/>
  </r>
  <r>
    <d v="2026-01-27T00:00:00"/>
    <n v="6500"/>
    <m/>
    <m/>
    <x v="0"/>
    <n v="398321705"/>
    <s v="IMRON ROSADI MAJ Honor Januari 2026"/>
    <x v="10"/>
  </r>
  <r>
    <d v="2026-01-27T00:00:00"/>
    <n v="550000"/>
    <m/>
    <m/>
    <x v="0"/>
    <n v="397771705"/>
    <s v="M BAYU CANDRA MAJ Honor Januari 2026"/>
    <x v="10"/>
  </r>
  <r>
    <d v="2026-01-27T00:00:00"/>
    <n v="6500"/>
    <m/>
    <m/>
    <x v="0"/>
    <n v="397765205"/>
    <s v="M BAYU CANDRA MAJ Honor Januari 2026"/>
    <x v="10"/>
  </r>
  <r>
    <d v="2026-01-27T00:00:00"/>
    <n v="2700000"/>
    <m/>
    <m/>
    <x v="0"/>
    <n v="395065205"/>
    <s v="M BAYU CANDRA MAJ Honor Mushrif Januari 2026"/>
    <x v="3"/>
  </r>
  <r>
    <d v="2026-01-27T00:00:00"/>
    <n v="6500"/>
    <m/>
    <m/>
    <x v="0"/>
    <n v="395058705"/>
    <s v="M BAYU CANDRA MAJ Honor Mushrif Januari 2026"/>
    <x v="3"/>
  </r>
  <r>
    <d v="2026-01-27T00:00:00"/>
    <n v="4000000"/>
    <m/>
    <m/>
    <x v="0"/>
    <n v="391058705"/>
    <s v="M BAYU CANDRA MAJ Biaya Perawatan Santri Januari 2026"/>
    <x v="3"/>
  </r>
  <r>
    <d v="2026-01-27T00:00:00"/>
    <n v="6500"/>
    <m/>
    <m/>
    <x v="0"/>
    <n v="391052205"/>
    <s v="M BAYU CANDRA MAJ Biaya Perawatan Santri Januari 2026"/>
    <x v="3"/>
  </r>
  <r>
    <d v="2026-01-27T00:00:00"/>
    <n v="1000000"/>
    <m/>
    <m/>
    <x v="0"/>
    <n v="390052205"/>
    <s v="AHMAD IMAM SAMUDRA MAJ Honor Januari 2026"/>
    <x v="10"/>
  </r>
  <r>
    <d v="2026-01-27T00:00:00"/>
    <n v="6500"/>
    <m/>
    <m/>
    <x v="0"/>
    <n v="390045705"/>
    <s v="AHMAD IMAM SAMUDRA MAJ Honor Januari 2026"/>
    <x v="10"/>
  </r>
  <r>
    <d v="2026-01-27T00:00:00"/>
    <n v="3500000"/>
    <m/>
    <m/>
    <x v="0"/>
    <n v="386545705"/>
    <s v="NANANG SUBAEDI MAJ Honor Januari 2026"/>
    <x v="10"/>
  </r>
  <r>
    <d v="2026-01-27T00:00:00"/>
    <n v="6500"/>
    <m/>
    <m/>
    <x v="0"/>
    <n v="386539205"/>
    <s v="NANANG SUBAEDI MAJ Honor Januari 2026"/>
    <x v="10"/>
  </r>
  <r>
    <d v="2026-01-27T00:00:00"/>
    <n v="2500000"/>
    <m/>
    <m/>
    <x v="0"/>
    <n v="384039205"/>
    <s v="MUHAMMAD ILHAM MAJ Honor Januari 2026"/>
    <x v="10"/>
  </r>
  <r>
    <d v="2026-01-27T00:00:00"/>
    <n v="6500"/>
    <m/>
    <m/>
    <x v="0"/>
    <n v="384032705"/>
    <s v="MUHAMMAD ILHAM MAJ Honor Januari 2026"/>
    <x v="10"/>
  </r>
  <r>
    <d v="2026-01-27T00:00:00"/>
    <n v="2000000"/>
    <m/>
    <m/>
    <x v="0"/>
    <n v="382032705"/>
    <s v="LINA HERLINA Biaya Adm Pengajian Ibu-Ibu MAJ Februari"/>
    <x v="2"/>
  </r>
  <r>
    <d v="2026-01-27T00:00:00"/>
    <n v="6500"/>
    <m/>
    <m/>
    <x v="0"/>
    <n v="382026205"/>
    <s v="LINA HERLINA Biaya Adm Pengajian Ibu-Ibu MAJ Februari"/>
    <x v="2"/>
  </r>
  <r>
    <d v="2026-01-27T00:00:00"/>
    <n v="2750000"/>
    <m/>
    <m/>
    <x v="0"/>
    <n v="379276205"/>
    <s v="SUPRIYADI Honor Januari 2026"/>
    <x v="10"/>
  </r>
  <r>
    <d v="2026-01-27T00:00:00"/>
    <m/>
    <m/>
    <n v="5000000"/>
    <x v="0"/>
    <n v="384276205"/>
    <s v="INFAQ CHRISTANTI WAHYUNI"/>
    <x v="0"/>
  </r>
  <r>
    <d v="2026-01-28T00:00:00"/>
    <m/>
    <m/>
    <n v="1011"/>
    <x v="0"/>
    <n v="384277216"/>
    <s v="INFAQ QRIS"/>
    <x v="0"/>
  </r>
  <r>
    <d v="2026-01-28T00:00:00"/>
    <m/>
    <m/>
    <n v="20000"/>
    <x v="0"/>
    <n v="384297216"/>
    <s v="INFAQ QRIS"/>
    <x v="0"/>
  </r>
  <r>
    <d v="2026-01-29T00:00:00"/>
    <m/>
    <m/>
    <n v="20000"/>
    <x v="0"/>
    <n v="384317216"/>
    <s v="INFAQ QRIS"/>
    <x v="0"/>
  </r>
  <r>
    <d v="2026-01-29T00:00:00"/>
    <m/>
    <m/>
    <n v="1011"/>
    <x v="0"/>
    <n v="384318227"/>
    <s v="INFAQ QRIS"/>
    <x v="0"/>
  </r>
  <r>
    <d v="2026-01-29T00:00:00"/>
    <m/>
    <m/>
    <n v="500000"/>
    <x v="0"/>
    <n v="384818227"/>
    <s v="WAKAF KARPET"/>
    <x v="6"/>
  </r>
  <r>
    <d v="2026-01-29T00:00:00"/>
    <n v="16960000"/>
    <m/>
    <m/>
    <x v="0"/>
    <n v="367858227"/>
    <s v="Perbaikan Plafon MAJ via Mahmud"/>
    <x v="7"/>
  </r>
  <r>
    <d v="2026-01-29T00:00:00"/>
    <n v="6500"/>
    <m/>
    <m/>
    <x v="0"/>
    <n v="367851727"/>
    <s v="Perbaikan Plafon MAJ via Mahmud"/>
    <x v="7"/>
  </r>
  <r>
    <d v="2026-01-29T00:00:00"/>
    <n v="1500000"/>
    <m/>
    <m/>
    <x v="0"/>
    <n v="366351727"/>
    <s v="Pasang Ganti Lampu MAJ via Matsani"/>
    <x v="11"/>
  </r>
  <r>
    <d v="2026-01-29T00:00:00"/>
    <n v="6500"/>
    <m/>
    <m/>
    <x v="0"/>
    <n v="366345227"/>
    <s v="Pasang Ganti Lampu MAJ via Matsani"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5">
  <r>
    <d v="2026-01-02T00:00:00"/>
    <m/>
    <m/>
    <n v="400000"/>
    <x v="0"/>
    <n v="187527301"/>
    <s v="INFAQ PUTIE AMBUN SURI / RIVENDRA"/>
    <x v="0"/>
  </r>
  <r>
    <d v="2026-01-02T00:00:00"/>
    <m/>
    <m/>
    <n v="200000"/>
    <x v="0"/>
    <n v="187727301"/>
    <s v="INFAQ UMIHAMIDAH"/>
    <x v="0"/>
  </r>
  <r>
    <d v="2026-01-02T00:00:00"/>
    <m/>
    <m/>
    <n v="10000"/>
    <x v="0"/>
    <n v="187737301"/>
    <s v="INFAQ QRIS"/>
    <x v="0"/>
  </r>
  <r>
    <d v="2026-01-02T00:00:00"/>
    <m/>
    <m/>
    <n v="20000"/>
    <x v="0"/>
    <n v="187757301"/>
    <s v="INFAQ QRIS"/>
    <x v="0"/>
  </r>
  <r>
    <d v="2026-01-02T00:00:00"/>
    <m/>
    <m/>
    <n v="350000"/>
    <x v="0"/>
    <n v="188107301"/>
    <s v="INFAQ DESYANA SE"/>
    <x v="0"/>
  </r>
  <r>
    <d v="2026-01-02T00:00:00"/>
    <n v="75000"/>
    <m/>
    <m/>
    <x v="0"/>
    <n v="188032301"/>
    <s v="CETAK LAPORAN CASHFLOW MAJ 2025"/>
    <x v="1"/>
  </r>
  <r>
    <d v="2026-01-02T00:00:00"/>
    <n v="2500"/>
    <m/>
    <m/>
    <x v="0"/>
    <n v="188029801"/>
    <s v="CETAK LAPORAN CASHFLOW MAJ 2025"/>
    <x v="1"/>
  </r>
  <r>
    <d v="2026-01-02T00:00:00"/>
    <m/>
    <m/>
    <n v="300000"/>
    <x v="0"/>
    <n v="188329801"/>
    <s v="INFAQ FADJAR SATYANI"/>
    <x v="0"/>
  </r>
  <r>
    <d v="2026-01-02T00:00:00"/>
    <m/>
    <m/>
    <n v="500000"/>
    <x v="0"/>
    <n v="188829801"/>
    <s v="INFAQ INDRAEDISANTOSO"/>
    <x v="0"/>
  </r>
  <r>
    <d v="2026-01-05T00:00:00"/>
    <n v="750000"/>
    <m/>
    <m/>
    <x v="0"/>
    <n v="188079801"/>
    <s v="HONOR-MOHAMMAD SHODIQ"/>
    <x v="2"/>
  </r>
  <r>
    <d v="2026-01-05T00:00:00"/>
    <n v="6500"/>
    <m/>
    <m/>
    <x v="0"/>
    <n v="188073301"/>
    <s v="HONOR-MOHAMMAD SHODIQ"/>
    <x v="2"/>
  </r>
  <r>
    <d v="2026-01-05T00:00:00"/>
    <m/>
    <m/>
    <n v="50000"/>
    <x v="0"/>
    <n v="188123301"/>
    <s v="INFAQ QRIS"/>
    <x v="0"/>
  </r>
  <r>
    <d v="2026-01-05T00:00:00"/>
    <m/>
    <m/>
    <n v="100000"/>
    <x v="0"/>
    <n v="188223301"/>
    <s v="INFAQ QRIS"/>
    <x v="0"/>
  </r>
  <r>
    <d v="2026-01-05T00:00:00"/>
    <m/>
    <m/>
    <n v="30000"/>
    <x v="0"/>
    <n v="188253301"/>
    <s v="INFAQ QRIS"/>
    <x v="0"/>
  </r>
  <r>
    <d v="2026-01-05T00:00:00"/>
    <m/>
    <m/>
    <n v="200000"/>
    <x v="0"/>
    <n v="188453301"/>
    <s v="INFAQ QRIS"/>
    <x v="0"/>
  </r>
  <r>
    <d v="2026-01-05T00:00:00"/>
    <m/>
    <m/>
    <n v="50000"/>
    <x v="0"/>
    <n v="188503301"/>
    <s v="INFAQ QRIS"/>
    <x v="0"/>
  </r>
  <r>
    <d v="2026-01-05T00:00:00"/>
    <m/>
    <m/>
    <n v="25000"/>
    <x v="0"/>
    <n v="188528301"/>
    <s v="INFAQ QRIS"/>
    <x v="0"/>
  </r>
  <r>
    <d v="2026-01-05T00:00:00"/>
    <m/>
    <m/>
    <n v="50000"/>
    <x v="0"/>
    <n v="188578301"/>
    <s v="INFAQ QRIS"/>
    <x v="0"/>
  </r>
  <r>
    <d v="2026-01-05T00:00:00"/>
    <m/>
    <m/>
    <n v="100000"/>
    <x v="0"/>
    <n v="188678301"/>
    <s v="INFAQ QRIS"/>
    <x v="0"/>
  </r>
  <r>
    <d v="2026-01-05T00:00:00"/>
    <m/>
    <m/>
    <n v="50000"/>
    <x v="0"/>
    <n v="188728301"/>
    <s v="INFAQ QRIS"/>
    <x v="0"/>
  </r>
  <r>
    <d v="2026-01-05T00:00:00"/>
    <m/>
    <m/>
    <n v="20000"/>
    <x v="0"/>
    <n v="188748301"/>
    <s v="INFAQ QRIS"/>
    <x v="0"/>
  </r>
  <r>
    <d v="2026-01-05T00:00:00"/>
    <m/>
    <m/>
    <n v="1011"/>
    <x v="0"/>
    <n v="188749312"/>
    <s v="INFAQ QRIS"/>
    <x v="0"/>
  </r>
  <r>
    <d v="2026-01-05T00:00:00"/>
    <n v="750000"/>
    <m/>
    <m/>
    <x v="0"/>
    <n v="187999312"/>
    <s v="HONOR UST UMAR-ZULFA SYAHIDAH"/>
    <x v="2"/>
  </r>
  <r>
    <d v="2026-01-05T00:00:00"/>
    <n v="6500"/>
    <m/>
    <m/>
    <x v="0"/>
    <n v="187992812"/>
    <s v="HONOR UST UMAR-ZULFA SYAHIDAH"/>
    <x v="2"/>
  </r>
  <r>
    <d v="2026-01-05T00:00:00"/>
    <m/>
    <m/>
    <n v="25000"/>
    <x v="0"/>
    <n v="188017812"/>
    <s v="INFAQ QRIS"/>
    <x v="0"/>
  </r>
  <r>
    <d v="2026-01-05T00:00:00"/>
    <m/>
    <m/>
    <n v="20000"/>
    <x v="0"/>
    <n v="188037812"/>
    <s v="INFAQ QRIS"/>
    <x v="0"/>
  </r>
  <r>
    <d v="2026-01-05T00:00:00"/>
    <m/>
    <m/>
    <n v="200000"/>
    <x v="0"/>
    <n v="188237812"/>
    <s v="INFAQ WUSONO PRIHADI SANTO"/>
    <x v="0"/>
  </r>
  <r>
    <d v="2026-01-05T00:00:00"/>
    <m/>
    <m/>
    <n v="1011"/>
    <x v="0"/>
    <n v="188238823"/>
    <s v="INFAQ QRIS"/>
    <x v="0"/>
  </r>
  <r>
    <d v="2026-01-05T00:00:00"/>
    <m/>
    <m/>
    <n v="25000"/>
    <x v="0"/>
    <n v="188263823"/>
    <s v="INFAQ QRIS"/>
    <x v="0"/>
  </r>
  <r>
    <d v="2026-01-05T00:00:00"/>
    <m/>
    <m/>
    <n v="10000"/>
    <x v="0"/>
    <n v="188273823"/>
    <s v="INFAQ QRIS"/>
    <x v="0"/>
  </r>
  <r>
    <d v="2026-01-05T00:00:00"/>
    <m/>
    <m/>
    <n v="20000"/>
    <x v="0"/>
    <n v="188293823"/>
    <s v="INFAQ QRIS"/>
    <x v="0"/>
  </r>
  <r>
    <d v="2026-01-05T00:00:00"/>
    <n v="2500000"/>
    <m/>
    <m/>
    <x v="0"/>
    <n v="185793823"/>
    <s v="HONOR-AGUS SETIYONO MAJ Mukafaah Desember 2025"/>
    <x v="3"/>
  </r>
  <r>
    <d v="2026-01-05T00:00:00"/>
    <n v="6500"/>
    <m/>
    <m/>
    <x v="0"/>
    <n v="185787323"/>
    <s v="HONOR-AGUS SETIYONO MAJ Mukafaah Desember 2025"/>
    <x v="3"/>
  </r>
  <r>
    <d v="2026-01-06T00:00:00"/>
    <m/>
    <m/>
    <n v="20000"/>
    <x v="0"/>
    <n v="185807323"/>
    <s v="INFAQ QRIS"/>
    <x v="0"/>
  </r>
  <r>
    <d v="2026-01-06T00:00:00"/>
    <m/>
    <m/>
    <n v="1011"/>
    <x v="0"/>
    <n v="185808334"/>
    <s v="INFAQ QRIS"/>
    <x v="0"/>
  </r>
  <r>
    <d v="2026-01-06T00:00:00"/>
    <m/>
    <m/>
    <n v="1764000"/>
    <x v="0"/>
    <n v="187572334"/>
    <m/>
    <x v="4"/>
  </r>
  <r>
    <d v="2026-01-06T00:00:00"/>
    <m/>
    <m/>
    <n v="972000"/>
    <x v="0"/>
    <n v="188544334"/>
    <m/>
    <x v="0"/>
  </r>
  <r>
    <m/>
    <m/>
    <n v="2736000"/>
    <m/>
    <x v="1"/>
    <n v="188544334"/>
    <s v=" 001117200623 SETORAN INFAQ PER PEKAN  SETOR TUNAI "/>
    <x v="5"/>
  </r>
  <r>
    <d v="2026-01-07T00:00:00"/>
    <m/>
    <m/>
    <n v="1011"/>
    <x v="0"/>
    <n v="188545345"/>
    <s v="INFAQ QRIS"/>
    <x v="0"/>
  </r>
  <r>
    <d v="2026-01-07T00:00:00"/>
    <m/>
    <m/>
    <n v="10000"/>
    <x v="0"/>
    <n v="188555345"/>
    <s v="INFAQ QRIS"/>
    <x v="0"/>
  </r>
  <r>
    <d v="2026-01-07T00:00:00"/>
    <m/>
    <m/>
    <n v="20000"/>
    <x v="0"/>
    <n v="188575345"/>
    <s v="INFAQ QRIS"/>
    <x v="0"/>
  </r>
  <r>
    <d v="2026-01-07T00:00:00"/>
    <m/>
    <m/>
    <n v="100000"/>
    <x v="0"/>
    <n v="188675345"/>
    <s v="INFAQ QRIS"/>
    <x v="0"/>
  </r>
  <r>
    <d v="2026-01-08T00:00:00"/>
    <m/>
    <m/>
    <n v="100000"/>
    <x v="0"/>
    <n v="188775345"/>
    <s v="INFAQ DWI LISTYOWATI DRA"/>
    <x v="0"/>
  </r>
  <r>
    <d v="2026-01-08T00:00:00"/>
    <m/>
    <m/>
    <n v="10000"/>
    <x v="0"/>
    <n v="188785345"/>
    <s v="INFAQ QRIS"/>
    <x v="0"/>
  </r>
  <r>
    <d v="2026-01-08T00:00:00"/>
    <m/>
    <m/>
    <n v="1011"/>
    <x v="0"/>
    <n v="188786356"/>
    <s v="INFAQ QRIS"/>
    <x v="0"/>
  </r>
  <r>
    <d v="2026-01-08T00:00:00"/>
    <m/>
    <m/>
    <n v="100000"/>
    <x v="0"/>
    <n v="188886356"/>
    <s v="INFAQ QRIS"/>
    <x v="0"/>
  </r>
  <r>
    <d v="2026-01-08T00:00:00"/>
    <m/>
    <m/>
    <n v="10000"/>
    <x v="0"/>
    <n v="188896356"/>
    <s v="INFAQ QRIS"/>
    <x v="0"/>
  </r>
  <r>
    <d v="2026-01-09T00:00:00"/>
    <m/>
    <m/>
    <n v="20000"/>
    <x v="0"/>
    <n v="188916356"/>
    <s v="INFAQ QRIS"/>
    <x v="0"/>
  </r>
  <r>
    <d v="2026-01-09T00:00:00"/>
    <m/>
    <m/>
    <n v="10000"/>
    <x v="0"/>
    <n v="188926356"/>
    <s v="INFAQ QRIS"/>
    <x v="0"/>
  </r>
  <r>
    <d v="2026-01-09T00:00:00"/>
    <m/>
    <m/>
    <n v="2000000"/>
    <x v="0"/>
    <n v="190926356"/>
    <s v="INFAQ RIZKYHIDAYATSL"/>
    <x v="0"/>
  </r>
  <r>
    <d v="2026-01-10T00:00:00"/>
    <n v="750000"/>
    <m/>
    <m/>
    <x v="0"/>
    <n v="190176356"/>
    <s v="HONOR UST ABDUL HAMID"/>
    <x v="2"/>
  </r>
  <r>
    <d v="2026-01-10T00:00:00"/>
    <n v="6500"/>
    <m/>
    <m/>
    <x v="0"/>
    <n v="190169856"/>
    <s v="HONOR UST ABDUL HAMID"/>
    <x v="2"/>
  </r>
  <r>
    <d v="2026-01-10T00:00:00"/>
    <m/>
    <m/>
    <n v="50000"/>
    <x v="0"/>
    <n v="190219856"/>
    <s v="INFAQ QRIS"/>
    <x v="0"/>
  </r>
  <r>
    <d v="2026-01-10T00:00:00"/>
    <m/>
    <m/>
    <n v="20000"/>
    <x v="0"/>
    <n v="190239856"/>
    <s v="INFAQ QRIS"/>
    <x v="0"/>
  </r>
  <r>
    <d v="2026-01-10T00:00:00"/>
    <m/>
    <m/>
    <n v="10000"/>
    <x v="0"/>
    <n v="190249856"/>
    <s v="INFAQ QRIS"/>
    <x v="0"/>
  </r>
  <r>
    <d v="2026-01-10T00:00:00"/>
    <m/>
    <m/>
    <n v="20000"/>
    <x v="0"/>
    <n v="190269856"/>
    <s v="INFAQ QRIS"/>
    <x v="0"/>
  </r>
  <r>
    <d v="2026-01-10T00:00:00"/>
    <m/>
    <m/>
    <n v="10000"/>
    <x v="0"/>
    <n v="190279856"/>
    <s v="INFAQ QRIS"/>
    <x v="0"/>
  </r>
  <r>
    <d v="2026-01-10T00:00:00"/>
    <m/>
    <m/>
    <n v="600000"/>
    <x v="0"/>
    <n v="190879856"/>
    <s v="INFAQ SUPRIJADI"/>
    <x v="0"/>
  </r>
  <r>
    <d v="2026-01-11T00:00:00"/>
    <m/>
    <m/>
    <n v="10000"/>
    <x v="0"/>
    <n v="190889856"/>
    <s v="INFAQ QRIS"/>
    <x v="0"/>
  </r>
  <r>
    <d v="2026-01-11T00:00:00"/>
    <m/>
    <m/>
    <n v="5000"/>
    <x v="0"/>
    <n v="190894856"/>
    <s v="INFAQ QRIS"/>
    <x v="0"/>
  </r>
  <r>
    <d v="2026-01-12T00:00:00"/>
    <m/>
    <m/>
    <n v="10000"/>
    <x v="0"/>
    <n v="190904856"/>
    <s v="INFAQ QRIS"/>
    <x v="0"/>
  </r>
  <r>
    <d v="2026-01-13T00:00:00"/>
    <m/>
    <m/>
    <n v="20000"/>
    <x v="0"/>
    <n v="190924856"/>
    <s v="INFAQ QRIS"/>
    <x v="0"/>
  </r>
  <r>
    <d v="2026-01-13T00:00:00"/>
    <m/>
    <m/>
    <n v="10000"/>
    <x v="0"/>
    <n v="190934856"/>
    <s v="INFAQ QRIS"/>
    <x v="0"/>
  </r>
  <r>
    <d v="2026-01-13T00:00:00"/>
    <m/>
    <m/>
    <n v="1242000"/>
    <x v="0"/>
    <n v="192176856"/>
    <m/>
    <x v="4"/>
  </r>
  <r>
    <d v="2026-01-13T00:00:00"/>
    <m/>
    <m/>
    <n v="1106000"/>
    <x v="0"/>
    <n v="193282856"/>
    <m/>
    <x v="0"/>
  </r>
  <r>
    <m/>
    <m/>
    <n v="2348000"/>
    <m/>
    <x v="1"/>
    <n v="193282856"/>
    <s v=" 001117302494   SETOR TUNAI "/>
    <x v="5"/>
  </r>
  <r>
    <d v="2026-01-14T00:00:00"/>
    <m/>
    <m/>
    <n v="10000"/>
    <x v="0"/>
    <n v="193292856"/>
    <s v="INFAQ QRIS"/>
    <x v="0"/>
  </r>
  <r>
    <d v="2026-01-14T00:00:00"/>
    <m/>
    <m/>
    <n v="20000"/>
    <x v="0"/>
    <n v="193312856"/>
    <s v="INFAQ QRIS"/>
    <x v="0"/>
  </r>
  <r>
    <d v="2026-01-15T00:00:00"/>
    <m/>
    <m/>
    <n v="20000"/>
    <x v="0"/>
    <n v="193332856"/>
    <s v="INFAQ QRIS"/>
    <x v="0"/>
  </r>
  <r>
    <d v="2026-01-15T00:00:00"/>
    <n v="700000"/>
    <m/>
    <m/>
    <x v="0"/>
    <n v="192632856"/>
    <s v="HONOR UST AJI 110126"/>
    <x v="2"/>
  </r>
  <r>
    <d v="2026-01-15T00:00:00"/>
    <n v="6500"/>
    <m/>
    <m/>
    <x v="0"/>
    <n v="192626356"/>
    <s v="HONOR UST AJI 110126"/>
    <x v="2"/>
  </r>
  <r>
    <d v="2026-01-16T00:00:00"/>
    <m/>
    <m/>
    <n v="10000"/>
    <x v="0"/>
    <n v="192636356"/>
    <s v="INFAQ QRIS"/>
    <x v="0"/>
  </r>
  <r>
    <d v="2026-01-16T00:00:00"/>
    <m/>
    <m/>
    <n v="1011"/>
    <x v="0"/>
    <n v="192637367"/>
    <s v="INFAQ QRIS"/>
    <x v="0"/>
  </r>
  <r>
    <d v="2026-01-16T00:00:00"/>
    <m/>
    <m/>
    <n v="50000"/>
    <x v="0"/>
    <n v="192687367"/>
    <s v="INFAQ QRIS"/>
    <x v="0"/>
  </r>
  <r>
    <d v="2026-01-16T00:00:00"/>
    <m/>
    <m/>
    <n v="20000"/>
    <x v="0"/>
    <n v="192707367"/>
    <s v="INFAQ QRIS"/>
    <x v="0"/>
  </r>
  <r>
    <d v="2026-01-16T00:00:00"/>
    <m/>
    <m/>
    <n v="10000"/>
    <x v="0"/>
    <n v="192717367"/>
    <s v="INFAQ QRIS"/>
    <x v="0"/>
  </r>
  <r>
    <d v="2026-01-16T00:00:00"/>
    <m/>
    <m/>
    <n v="1260000"/>
    <x v="0"/>
    <n v="193977367"/>
    <s v="WAKAF KARPET"/>
    <x v="6"/>
  </r>
  <r>
    <d v="2026-01-16T00:00:00"/>
    <m/>
    <m/>
    <n v="100000"/>
    <x v="0"/>
    <n v="194077367"/>
    <s v="INFAQ QRIS"/>
    <x v="0"/>
  </r>
  <r>
    <d v="2026-01-16T00:00:00"/>
    <m/>
    <m/>
    <n v="12600005"/>
    <x v="0"/>
    <n v="206677372"/>
    <s v="WAKAF KARPET"/>
    <x v="6"/>
  </r>
  <r>
    <d v="2026-01-17T00:00:00"/>
    <n v="750000"/>
    <m/>
    <m/>
    <x v="0"/>
    <n v="205927372"/>
    <s v="HONOR UST FAISAL"/>
    <x v="2"/>
  </r>
  <r>
    <d v="2026-01-17T00:00:00"/>
    <m/>
    <m/>
    <n v="20000"/>
    <x v="0"/>
    <n v="205947372"/>
    <s v="INFAQ QRIS"/>
    <x v="0"/>
  </r>
  <r>
    <d v="2026-01-17T00:00:00"/>
    <m/>
    <m/>
    <n v="10000"/>
    <x v="0"/>
    <n v="205957372"/>
    <s v="INFAQ QRIS"/>
    <x v="0"/>
  </r>
  <r>
    <d v="2026-01-17T00:00:00"/>
    <m/>
    <m/>
    <n v="100000"/>
    <x v="0"/>
    <n v="206057372"/>
    <s v="INFAQ QRIS"/>
    <x v="0"/>
  </r>
  <r>
    <d v="2026-01-17T00:00:00"/>
    <m/>
    <m/>
    <n v="25000"/>
    <x v="0"/>
    <n v="206082372"/>
    <s v="INFAQ QRIS"/>
    <x v="0"/>
  </r>
  <r>
    <d v="2026-01-17T00:00:00"/>
    <m/>
    <m/>
    <n v="25000"/>
    <x v="0"/>
    <n v="206107372"/>
    <s v="INFAQ QRIS"/>
    <x v="0"/>
  </r>
  <r>
    <d v="2026-01-17T00:00:00"/>
    <m/>
    <m/>
    <n v="20000"/>
    <x v="0"/>
    <n v="206127372"/>
    <s v="INFAQ QRIS"/>
    <x v="0"/>
  </r>
  <r>
    <d v="2026-01-17T00:00:00"/>
    <m/>
    <m/>
    <n v="50000"/>
    <x v="0"/>
    <n v="206177372"/>
    <s v="INFAQ QRIS"/>
    <x v="0"/>
  </r>
  <r>
    <d v="2026-01-17T00:00:00"/>
    <m/>
    <m/>
    <n v="50000"/>
    <x v="0"/>
    <n v="206227372"/>
    <s v="INFAQ QRIS"/>
    <x v="0"/>
  </r>
  <r>
    <d v="2026-01-17T00:00:00"/>
    <m/>
    <m/>
    <n v="1011"/>
    <x v="0"/>
    <n v="206228383"/>
    <s v="INFAQ QRIS"/>
    <x v="0"/>
  </r>
  <r>
    <d v="2026-01-17T00:00:00"/>
    <m/>
    <m/>
    <n v="630005"/>
    <x v="0"/>
    <n v="206858388"/>
    <s v="WAKAF KARPET"/>
    <x v="6"/>
  </r>
  <r>
    <d v="2026-01-17T00:00:00"/>
    <m/>
    <m/>
    <n v="150005"/>
    <x v="0"/>
    <n v="207008393"/>
    <s v="WAKAF KARPET"/>
    <x v="6"/>
  </r>
  <r>
    <d v="2026-01-17T00:00:00"/>
    <m/>
    <m/>
    <n v="6000000"/>
    <x v="0"/>
    <n v="213008393"/>
    <s v="Infaq Pak Budiharto"/>
    <x v="0"/>
  </r>
  <r>
    <d v="2026-01-17T00:00:00"/>
    <m/>
    <m/>
    <n v="1260005"/>
    <x v="0"/>
    <n v="214268398"/>
    <s v="WAKAF KARPET"/>
    <x v="6"/>
  </r>
  <r>
    <d v="2026-01-17T00:00:00"/>
    <m/>
    <m/>
    <n v="500005"/>
    <x v="0"/>
    <n v="214768403"/>
    <s v="WAKAF KARPET"/>
    <x v="6"/>
  </r>
  <r>
    <d v="2026-01-17T00:00:00"/>
    <m/>
    <m/>
    <n v="1260000"/>
    <x v="0"/>
    <n v="216028403"/>
    <s v="WAKAF KARPET"/>
    <x v="6"/>
  </r>
  <r>
    <d v="2026-01-18T00:00:00"/>
    <n v="750000"/>
    <m/>
    <m/>
    <x v="0"/>
    <n v="215278403"/>
    <s v="HONOR UST-HASAN MUBAROK"/>
    <x v="2"/>
  </r>
  <r>
    <d v="2026-01-18T00:00:00"/>
    <n v="6500"/>
    <m/>
    <m/>
    <x v="0"/>
    <n v="215271903"/>
    <s v="HONOR UST-HASAN MUBAROK"/>
    <x v="2"/>
  </r>
  <r>
    <d v="2026-01-18T00:00:00"/>
    <m/>
    <m/>
    <n v="10000"/>
    <x v="0"/>
    <n v="215281903"/>
    <s v="INFAQ QRIS"/>
    <x v="0"/>
  </r>
  <r>
    <d v="2026-01-18T00:00:00"/>
    <m/>
    <m/>
    <n v="20000"/>
    <x v="0"/>
    <n v="215301903"/>
    <s v="INFAQ QRIS"/>
    <x v="0"/>
  </r>
  <r>
    <d v="2026-01-18T00:00:00"/>
    <m/>
    <m/>
    <n v="1011"/>
    <x v="0"/>
    <n v="215302914"/>
    <s v="INFAQ QRIS"/>
    <x v="0"/>
  </r>
  <r>
    <d v="2026-01-18T00:00:00"/>
    <m/>
    <m/>
    <n v="5040005"/>
    <x v="0"/>
    <n v="220342919"/>
    <s v="WAKAF KARPET"/>
    <x v="6"/>
  </r>
  <r>
    <d v="2026-01-18T00:00:00"/>
    <m/>
    <m/>
    <n v="6300005"/>
    <x v="0"/>
    <n v="226642924"/>
    <s v="WAKAF KARPET"/>
    <x v="6"/>
  </r>
  <r>
    <d v="2026-01-19T00:00:00"/>
    <m/>
    <m/>
    <n v="1011"/>
    <x v="0"/>
    <n v="226643935"/>
    <s v="INFAQ QRIS"/>
    <x v="0"/>
  </r>
  <r>
    <d v="2026-01-19T00:00:00"/>
    <m/>
    <m/>
    <n v="1260005"/>
    <x v="0"/>
    <n v="227903940"/>
    <s v="WAKAF KARPET"/>
    <x v="6"/>
  </r>
  <r>
    <d v="2026-01-19T00:00:00"/>
    <m/>
    <m/>
    <n v="1260000"/>
    <x v="0"/>
    <n v="229163940"/>
    <s v="WAKAF KARPET"/>
    <x v="6"/>
  </r>
  <r>
    <d v="2026-01-19T00:00:00"/>
    <m/>
    <m/>
    <n v="3780005"/>
    <x v="0"/>
    <n v="232943945"/>
    <s v="WAKAF KARPET"/>
    <x v="6"/>
  </r>
  <r>
    <d v="2026-01-19T00:00:00"/>
    <m/>
    <m/>
    <n v="100000"/>
    <x v="0"/>
    <n v="233043945"/>
    <s v="INFAQ DEVI SALANTI"/>
    <x v="0"/>
  </r>
  <r>
    <d v="2026-01-19T00:00:00"/>
    <m/>
    <m/>
    <n v="1800000"/>
    <x v="0"/>
    <n v="234843945"/>
    <s v="INFAQ DR FANANI / DASA SUKARSIWI, SE"/>
    <x v="0"/>
  </r>
  <r>
    <d v="2026-01-20T00:00:00"/>
    <m/>
    <m/>
    <n v="1011"/>
    <x v="0"/>
    <n v="234844956"/>
    <s v="INFAQ QRIS"/>
    <x v="0"/>
  </r>
  <r>
    <d v="2026-01-20T00:00:00"/>
    <m/>
    <m/>
    <n v="10000"/>
    <x v="0"/>
    <n v="234854956"/>
    <s v="INFAQ QRIS"/>
    <x v="0"/>
  </r>
  <r>
    <d v="2026-01-20T00:00:00"/>
    <m/>
    <m/>
    <n v="20000"/>
    <x v="0"/>
    <n v="234874956"/>
    <s v="INFAQ QRIS"/>
    <x v="0"/>
  </r>
  <r>
    <d v="2026-01-20T00:00:00"/>
    <m/>
    <m/>
    <n v="1800000"/>
    <x v="0"/>
    <n v="236674956"/>
    <s v="INFAQ SARI ARGO WARDANI"/>
    <x v="0"/>
  </r>
  <r>
    <d v="2026-01-20T00:00:00"/>
    <m/>
    <m/>
    <n v="2456000"/>
    <x v="0"/>
    <n v="239130956"/>
    <m/>
    <x v="4"/>
  </r>
  <r>
    <d v="2026-01-20T00:00:00"/>
    <m/>
    <m/>
    <n v="2981000"/>
    <x v="0"/>
    <n v="242111956"/>
    <m/>
    <x v="0"/>
  </r>
  <r>
    <m/>
    <m/>
    <n v="5437000"/>
    <m/>
    <x v="1"/>
    <n v="242111956"/>
    <s v="SETORAN INFAQ PERPEKAN  SETOR TUNAI "/>
    <x v="5"/>
  </r>
  <r>
    <d v="2026-01-20T00:00:00"/>
    <n v="11500000"/>
    <m/>
    <m/>
    <x v="0"/>
    <n v="230611956"/>
    <s v="Biaya Perbaikan Plafon MAJ via Mahmud"/>
    <x v="7"/>
  </r>
  <r>
    <d v="2026-01-20T00:00:00"/>
    <n v="6500"/>
    <m/>
    <m/>
    <x v="0"/>
    <n v="230605456"/>
    <s v="Biaya Perbaikan Plafon MAJ via Mahmud"/>
    <x v="8"/>
  </r>
  <r>
    <d v="2026-01-20T00:00:00"/>
    <m/>
    <m/>
    <n v="1260005"/>
    <x v="0"/>
    <n v="231865461"/>
    <s v="WAKAF KARPET EDI NURHADI"/>
    <x v="6"/>
  </r>
  <r>
    <d v="2026-01-20T00:00:00"/>
    <m/>
    <m/>
    <n v="3780000"/>
    <x v="0"/>
    <n v="235645461"/>
    <s v="WAKAF KARPET EDI NURHADI"/>
    <x v="0"/>
  </r>
  <r>
    <m/>
    <m/>
    <n v="5040005"/>
    <m/>
    <x v="1"/>
    <n v="235645461"/>
    <m/>
    <x v="5"/>
  </r>
  <r>
    <d v="2026-01-20T00:00:00"/>
    <m/>
    <m/>
    <n v="1260000"/>
    <x v="0"/>
    <n v="236905461"/>
    <s v="WAKAF KARPET"/>
    <x v="6"/>
  </r>
  <r>
    <d v="2026-01-20T00:00:00"/>
    <m/>
    <m/>
    <n v="1260005"/>
    <x v="0"/>
    <n v="238165466"/>
    <s v="WAKAF KARPET"/>
    <x v="6"/>
  </r>
  <r>
    <d v="2026-01-20T00:00:00"/>
    <m/>
    <m/>
    <n v="2520000"/>
    <x v="0"/>
    <n v="240685466"/>
    <s v="WAKAF KARPET MAJ DARI TUBAGUS NASIRUDDIN"/>
    <x v="0"/>
  </r>
  <r>
    <d v="2026-01-20T00:00:00"/>
    <m/>
    <m/>
    <n v="5040005"/>
    <x v="0"/>
    <n v="245725471"/>
    <s v="WAKAF KARPET"/>
    <x v="6"/>
  </r>
  <r>
    <d v="2026-01-21T00:00:00"/>
    <m/>
    <m/>
    <n v="1011"/>
    <x v="0"/>
    <n v="245726482"/>
    <s v="INFAQ QRIS"/>
    <x v="0"/>
  </r>
  <r>
    <d v="2026-01-21T00:00:00"/>
    <m/>
    <m/>
    <n v="10000"/>
    <x v="0"/>
    <n v="245736482"/>
    <s v="INFAQ QRIS"/>
    <x v="0"/>
  </r>
  <r>
    <d v="2026-01-21T00:00:00"/>
    <m/>
    <m/>
    <n v="10000"/>
    <x v="0"/>
    <n v="245746482"/>
    <s v="INFAQ QRIS"/>
    <x v="0"/>
  </r>
  <r>
    <d v="2026-01-21T00:00:00"/>
    <m/>
    <m/>
    <n v="20000"/>
    <x v="0"/>
    <n v="245766482"/>
    <s v="INFAQ QRIS"/>
    <x v="0"/>
  </r>
  <r>
    <d v="2026-01-21T00:00:00"/>
    <m/>
    <m/>
    <n v="1260005"/>
    <x v="0"/>
    <n v="247026487"/>
    <s v="WAKAF KARPET"/>
    <x v="6"/>
  </r>
  <r>
    <d v="2026-01-21T00:00:00"/>
    <m/>
    <m/>
    <n v="1260005"/>
    <x v="0"/>
    <n v="248286492"/>
    <s v="WAKAF KARPET"/>
    <x v="6"/>
  </r>
  <r>
    <d v="2026-01-21T00:00:00"/>
    <m/>
    <m/>
    <n v="750005"/>
    <x v="0"/>
    <n v="249036497"/>
    <s v="WAKAF KARPET"/>
    <x v="6"/>
  </r>
  <r>
    <d v="2026-01-21T00:00:00"/>
    <m/>
    <m/>
    <n v="5000005"/>
    <x v="0"/>
    <n v="254036502"/>
    <s v="WAKAF KARPET"/>
    <x v="6"/>
  </r>
  <r>
    <d v="2026-01-21T00:00:00"/>
    <m/>
    <m/>
    <n v="630005"/>
    <x v="0"/>
    <n v="254666507"/>
    <s v="WAKAF KARPET"/>
    <x v="6"/>
  </r>
  <r>
    <d v="2026-01-21T00:00:00"/>
    <m/>
    <m/>
    <n v="315005"/>
    <x v="0"/>
    <n v="254981512"/>
    <s v="WAKAF KARPET"/>
    <x v="6"/>
  </r>
  <r>
    <d v="2026-01-21T00:00:00"/>
    <m/>
    <m/>
    <n v="12600005"/>
    <x v="0"/>
    <n v="267581517"/>
    <s v="WAKAF KARPET"/>
    <x v="6"/>
  </r>
  <r>
    <d v="2026-01-22T00:00:00"/>
    <m/>
    <m/>
    <n v="5040005"/>
    <x v="0"/>
    <n v="272621522"/>
    <s v="WAKAF KARPET"/>
    <x v="6"/>
  </r>
  <r>
    <d v="2026-01-22T00:00:00"/>
    <m/>
    <m/>
    <n v="1890005"/>
    <x v="0"/>
    <n v="274511527"/>
    <s v="WAKAF KARPET"/>
    <x v="6"/>
  </r>
  <r>
    <d v="2026-01-22T00:00:00"/>
    <m/>
    <m/>
    <n v="3100000"/>
    <x v="0"/>
    <n v="277611527"/>
    <s v="WAKAF KARPET"/>
    <x v="6"/>
  </r>
  <r>
    <d v="2026-01-22T00:00:00"/>
    <m/>
    <m/>
    <n v="20000"/>
    <x v="0"/>
    <n v="277631527"/>
    <s v="INFAQ QRIS"/>
    <x v="0"/>
  </r>
  <r>
    <d v="2026-01-22T00:00:00"/>
    <m/>
    <m/>
    <n v="10000005"/>
    <x v="0"/>
    <n v="287631532"/>
    <s v="WAKAF KARPET"/>
    <x v="6"/>
  </r>
  <r>
    <d v="2026-01-22T00:00:00"/>
    <m/>
    <m/>
    <n v="630005"/>
    <x v="0"/>
    <n v="288261537"/>
    <s v="WAKAF KARPET"/>
    <x v="6"/>
  </r>
  <r>
    <d v="2026-01-22T00:00:00"/>
    <m/>
    <m/>
    <n v="12600000"/>
    <x v="0"/>
    <n v="300861537"/>
    <s v="WAKAF KARPET"/>
    <x v="6"/>
  </r>
  <r>
    <d v="2026-01-22T00:00:00"/>
    <m/>
    <m/>
    <n v="1000000"/>
    <x v="0"/>
    <n v="301861537"/>
    <s v="WAKAF KARPET"/>
    <x v="6"/>
  </r>
  <r>
    <d v="2026-01-22T00:00:00"/>
    <m/>
    <m/>
    <n v="6300005"/>
    <x v="0"/>
    <n v="308161542"/>
    <s v="WAKAF KARPET"/>
    <x v="6"/>
  </r>
  <r>
    <d v="2026-01-23T00:00:00"/>
    <m/>
    <m/>
    <n v="2520005"/>
    <x v="0"/>
    <n v="310681547"/>
    <s v="WAKAF KARPET"/>
    <x v="6"/>
  </r>
  <r>
    <d v="2026-01-23T00:00:00"/>
    <m/>
    <m/>
    <n v="1620005"/>
    <x v="0"/>
    <n v="312301552"/>
    <s v="WAKAF KARPET"/>
    <x v="6"/>
  </r>
  <r>
    <d v="2026-01-23T00:00:00"/>
    <m/>
    <m/>
    <n v="12600005"/>
    <x v="0"/>
    <n v="324901557"/>
    <s v="WAKAF KARPET"/>
    <x v="6"/>
  </r>
  <r>
    <d v="2026-01-23T00:00:00"/>
    <m/>
    <m/>
    <n v="1260005"/>
    <x v="0"/>
    <n v="326161562"/>
    <s v="WAKAF KARPET"/>
    <x v="6"/>
  </r>
  <r>
    <d v="2026-01-23T00:00:00"/>
    <m/>
    <m/>
    <n v="20000"/>
    <x v="0"/>
    <n v="326181562"/>
    <s v="INFAQ QRIS"/>
    <x v="0"/>
  </r>
  <r>
    <d v="2026-01-23T00:00:00"/>
    <m/>
    <m/>
    <n v="1011"/>
    <x v="0"/>
    <n v="326182573"/>
    <s v="INFAQ QRIS"/>
    <x v="0"/>
  </r>
  <r>
    <d v="2026-01-23T00:00:00"/>
    <m/>
    <m/>
    <n v="1500000"/>
    <x v="0"/>
    <n v="327682573"/>
    <s v="WAKAF KARPET"/>
    <x v="6"/>
  </r>
  <r>
    <d v="2026-01-23T00:00:00"/>
    <m/>
    <m/>
    <n v="2525000"/>
    <x v="0"/>
    <n v="330207573"/>
    <s v="WAKAF KARPET"/>
    <x v="6"/>
  </r>
  <r>
    <d v="2026-01-23T00:00:00"/>
    <m/>
    <m/>
    <n v="5000005"/>
    <x v="0"/>
    <n v="335207578"/>
    <s v="WAKAF KARPET"/>
    <x v="6"/>
  </r>
  <r>
    <d v="2026-01-23T00:00:00"/>
    <n v="3000000"/>
    <m/>
    <m/>
    <x v="0"/>
    <n v="332207578"/>
    <s v="Tenda dan Paket Ambulan Warga JB"/>
    <x v="9"/>
  </r>
  <r>
    <d v="2026-01-23T00:00:00"/>
    <n v="6500"/>
    <m/>
    <m/>
    <x v="0"/>
    <n v="332201078"/>
    <s v="Tenda dan Paket Ambulan Warga JB"/>
    <x v="9"/>
  </r>
  <r>
    <d v="2026-01-23T00:00:00"/>
    <m/>
    <m/>
    <n v="5000005"/>
    <x v="0"/>
    <n v="337201083"/>
    <s v="WAKAF KARPET"/>
    <x v="6"/>
  </r>
  <r>
    <d v="2026-01-23T00:00:00"/>
    <m/>
    <m/>
    <n v="6220000"/>
    <x v="0"/>
    <n v="343421083"/>
    <s v="WAKAF KARPET ACHMAD FANANI ,DR. SPB"/>
    <x v="6"/>
  </r>
  <r>
    <d v="2026-01-23T00:00:00"/>
    <m/>
    <m/>
    <n v="3780000"/>
    <x v="0"/>
    <n v="347201083"/>
    <s v="WAKAF KARPET ACHMAD FANANI ,DR. SPB"/>
    <x v="0"/>
  </r>
  <r>
    <m/>
    <m/>
    <n v="10000000"/>
    <m/>
    <x v="1"/>
    <n v="347201083"/>
    <m/>
    <x v="5"/>
  </r>
  <r>
    <d v="2026-01-23T00:00:00"/>
    <m/>
    <m/>
    <n v="6300005"/>
    <x v="0"/>
    <n v="353501088"/>
    <s v="WAKAF KARPET"/>
    <x v="6"/>
  </r>
  <r>
    <d v="2026-01-23T00:00:00"/>
    <m/>
    <m/>
    <n v="1260005"/>
    <x v="0"/>
    <n v="354761093"/>
    <s v="WAKAF KARPET"/>
    <x v="6"/>
  </r>
  <r>
    <d v="2026-01-23T00:00:00"/>
    <m/>
    <m/>
    <n v="1260005"/>
    <x v="0"/>
    <n v="356021098"/>
    <s v="WAKAF KARPET"/>
    <x v="6"/>
  </r>
  <r>
    <d v="2026-01-23T00:00:00"/>
    <m/>
    <m/>
    <n v="5000000"/>
    <x v="0"/>
    <n v="361021098"/>
    <s v="WAKAF KARPET"/>
    <x v="6"/>
  </r>
  <r>
    <d v="2026-01-23T00:00:00"/>
    <m/>
    <m/>
    <n v="2520005"/>
    <x v="0"/>
    <n v="363541103"/>
    <s v="WAKAF KARPET"/>
    <x v="6"/>
  </r>
  <r>
    <d v="2026-01-23T00:00:00"/>
    <m/>
    <m/>
    <n v="2520005"/>
    <x v="0"/>
    <n v="366061108"/>
    <s v="WAKAF KARPET"/>
    <x v="6"/>
  </r>
  <r>
    <d v="2026-01-23T00:00:00"/>
    <m/>
    <m/>
    <n v="2505000"/>
    <x v="0"/>
    <n v="368566108"/>
    <s v="WAKAF KARPET"/>
    <x v="6"/>
  </r>
  <r>
    <d v="2026-01-23T00:00:00"/>
    <m/>
    <m/>
    <n v="200005"/>
    <x v="0"/>
    <n v="368766113"/>
    <s v="WAKAF KARPET"/>
    <x v="6"/>
  </r>
  <r>
    <d v="2026-01-23T00:00:00"/>
    <n v="500000"/>
    <m/>
    <m/>
    <x v="0"/>
    <n v="368266113"/>
    <s v="Tenda dan Paket Ambulan Warga JB2"/>
    <x v="9"/>
  </r>
  <r>
    <d v="2026-01-23T00:00:00"/>
    <n v="6500"/>
    <m/>
    <m/>
    <x v="0"/>
    <n v="368259613"/>
    <s v="Tenda dan Paket Ambulan Warga JB2"/>
    <x v="9"/>
  </r>
  <r>
    <d v="2026-01-23T00:00:00"/>
    <m/>
    <m/>
    <n v="1000000"/>
    <x v="0"/>
    <n v="369259613"/>
    <s v="INFAQ RAMADHAN NIENDRAPUTRA"/>
    <x v="0"/>
  </r>
  <r>
    <d v="2026-01-23T00:00:00"/>
    <m/>
    <m/>
    <n v="1260005"/>
    <x v="0"/>
    <n v="370519618"/>
    <s v="WAKAF KARPET DARI ANIS"/>
    <x v="6"/>
  </r>
  <r>
    <d v="2026-01-23T00:00:00"/>
    <m/>
    <m/>
    <n v="6300000"/>
    <x v="0"/>
    <n v="376819618"/>
    <s v="WAKAF KARPET DARI ANIS"/>
    <x v="0"/>
  </r>
  <r>
    <m/>
    <m/>
    <n v="7560005"/>
    <m/>
    <x v="1"/>
    <n v="376819618"/>
    <m/>
    <x v="5"/>
  </r>
  <r>
    <d v="2026-01-23T00:00:00"/>
    <m/>
    <m/>
    <n v="500005"/>
    <x v="0"/>
    <n v="377319623"/>
    <s v="WAKAF KARPET"/>
    <x v="6"/>
  </r>
  <r>
    <d v="2026-01-24T00:00:00"/>
    <m/>
    <m/>
    <n v="1260000"/>
    <x v="0"/>
    <n v="378579623"/>
    <s v="WAKAF KARPET"/>
    <x v="6"/>
  </r>
  <r>
    <d v="2026-01-24T00:00:00"/>
    <m/>
    <m/>
    <n v="500000"/>
    <x v="0"/>
    <n v="379079623"/>
    <s v="INFAQ DENNY ABBAS"/>
    <x v="0"/>
  </r>
  <r>
    <d v="2026-01-24T00:00:00"/>
    <m/>
    <m/>
    <n v="1260005"/>
    <x v="0"/>
    <n v="380339628"/>
    <s v="WAKAF KARPET"/>
    <x v="6"/>
  </r>
  <r>
    <d v="2026-01-24T00:00:00"/>
    <m/>
    <m/>
    <n v="1260005"/>
    <x v="0"/>
    <n v="381599633"/>
    <s v="WAKAF KARPET"/>
    <x v="6"/>
  </r>
  <r>
    <d v="2026-01-24T00:00:00"/>
    <m/>
    <m/>
    <n v="10000"/>
    <x v="0"/>
    <n v="381609633"/>
    <s v="INFAQ QRIS"/>
    <x v="0"/>
  </r>
  <r>
    <d v="2026-01-24T00:00:00"/>
    <m/>
    <m/>
    <n v="100000"/>
    <x v="0"/>
    <n v="381709633"/>
    <s v="INFAQ QRIS"/>
    <x v="0"/>
  </r>
  <r>
    <d v="2026-01-24T00:00:00"/>
    <m/>
    <m/>
    <n v="20000"/>
    <x v="0"/>
    <n v="381729633"/>
    <s v="INFAQ QRIS"/>
    <x v="0"/>
  </r>
  <r>
    <d v="2026-01-24T00:00:00"/>
    <m/>
    <m/>
    <n v="20000"/>
    <x v="0"/>
    <n v="381749633"/>
    <s v="INFAQ QRIS"/>
    <x v="0"/>
  </r>
  <r>
    <d v="2026-01-24T00:00:00"/>
    <m/>
    <m/>
    <n v="1500005"/>
    <x v="0"/>
    <n v="383249638"/>
    <s v="WAKAF KARPET"/>
    <x v="6"/>
  </r>
  <r>
    <d v="2026-01-24T00:00:00"/>
    <m/>
    <m/>
    <n v="500005"/>
    <x v="0"/>
    <n v="383749643"/>
    <s v="WAKAF KARPET"/>
    <x v="6"/>
  </r>
  <r>
    <d v="2026-01-24T00:00:00"/>
    <m/>
    <m/>
    <n v="2520000"/>
    <x v="0"/>
    <n v="386269643"/>
    <s v="WAKAF KARPET"/>
    <x v="6"/>
  </r>
  <r>
    <d v="2026-01-24T00:00:00"/>
    <m/>
    <m/>
    <n v="1260005"/>
    <x v="0"/>
    <n v="387529648"/>
    <s v="WAKAF KARPET"/>
    <x v="6"/>
  </r>
  <r>
    <d v="2026-01-24T00:00:00"/>
    <m/>
    <m/>
    <n v="5000005"/>
    <x v="0"/>
    <n v="392529653"/>
    <s v="WAKAF KARPET"/>
    <x v="6"/>
  </r>
  <r>
    <d v="2026-01-24T00:00:00"/>
    <m/>
    <m/>
    <n v="2000005"/>
    <x v="0"/>
    <n v="394529658"/>
    <s v="WAKAF KARPET"/>
    <x v="6"/>
  </r>
  <r>
    <d v="2026-01-24T00:00:00"/>
    <m/>
    <m/>
    <n v="630005"/>
    <x v="0"/>
    <n v="395159663"/>
    <s v="WAKAF KARPET"/>
    <x v="6"/>
  </r>
  <r>
    <d v="2026-01-25T00:00:00"/>
    <n v="1000000"/>
    <m/>
    <m/>
    <x v="0"/>
    <n v="394159663"/>
    <s v="HONOR UST-WAHID RAHMAN"/>
    <x v="2"/>
  </r>
  <r>
    <d v="2026-01-25T00:00:00"/>
    <n v="6500"/>
    <m/>
    <m/>
    <x v="0"/>
    <n v="394153163"/>
    <s v="HONOR UST-WAHID RAHMAN"/>
    <x v="2"/>
  </r>
  <r>
    <d v="2026-01-25T00:00:00"/>
    <m/>
    <m/>
    <n v="200000"/>
    <x v="0"/>
    <n v="394353163"/>
    <s v="TPQ FATIH rivendra"/>
    <x v="10"/>
  </r>
  <r>
    <d v="2026-01-25T00:00:00"/>
    <m/>
    <m/>
    <n v="20000"/>
    <x v="0"/>
    <n v="394373163"/>
    <s v="INFAQ QRIS"/>
    <x v="0"/>
  </r>
  <r>
    <d v="2026-01-25T00:00:00"/>
    <m/>
    <m/>
    <n v="25000"/>
    <x v="0"/>
    <n v="394398163"/>
    <s v="INFAQ QRIS"/>
    <x v="0"/>
  </r>
  <r>
    <d v="2026-01-25T00:00:00"/>
    <m/>
    <m/>
    <n v="100005"/>
    <x v="0"/>
    <n v="394498168"/>
    <s v="WAKAF KARPET"/>
    <x v="6"/>
  </r>
  <r>
    <d v="2026-01-25T00:00:00"/>
    <n v="9650000"/>
    <m/>
    <m/>
    <x v="0"/>
    <n v="384848168"/>
    <s v="MAHMUD MADJID Perbaikan Gudang Lampu Dinding MAJ "/>
    <x v="11"/>
  </r>
  <r>
    <d v="2026-01-25T00:00:00"/>
    <n v="6500"/>
    <m/>
    <m/>
    <x v="0"/>
    <n v="384841668"/>
    <s v="MAHMUD MADJID Perbaikan Gudang Lampu Dinding MAJ "/>
    <x v="7"/>
  </r>
  <r>
    <d v="2026-01-25T00:00:00"/>
    <m/>
    <m/>
    <n v="630005"/>
    <x v="0"/>
    <n v="385471673"/>
    <s v="WAKAF KARPET"/>
    <x v="6"/>
  </r>
  <r>
    <d v="2026-01-25T00:00:00"/>
    <m/>
    <m/>
    <n v="800000"/>
    <x v="0"/>
    <n v="386271673"/>
    <s v="INFAQ JOHN BASUKI RAHMAD"/>
    <x v="0"/>
  </r>
  <r>
    <d v="2026-01-25T00:00:00"/>
    <m/>
    <m/>
    <n v="1350005"/>
    <x v="0"/>
    <n v="387621678"/>
    <s v="WAKAF KARPET"/>
    <x v="6"/>
  </r>
  <r>
    <d v="2026-01-26T00:00:00"/>
    <m/>
    <m/>
    <n v="25000"/>
    <x v="0"/>
    <n v="387646678"/>
    <s v="INFAQ QRIS"/>
    <x v="0"/>
  </r>
  <r>
    <d v="2026-01-26T00:00:00"/>
    <m/>
    <m/>
    <n v="1011"/>
    <x v="0"/>
    <n v="387647689"/>
    <s v="INFAQ QRIS"/>
    <x v="0"/>
  </r>
  <r>
    <d v="2026-01-26T00:00:00"/>
    <m/>
    <m/>
    <n v="20000"/>
    <x v="0"/>
    <n v="387667689"/>
    <s v="INFAQ QRIS"/>
    <x v="0"/>
  </r>
  <r>
    <d v="2026-01-26T00:00:00"/>
    <m/>
    <m/>
    <n v="1000005"/>
    <x v="0"/>
    <n v="388667694"/>
    <s v="WAKAF KARPET"/>
    <x v="6"/>
  </r>
  <r>
    <d v="2026-01-26T00:00:00"/>
    <m/>
    <m/>
    <n v="5000000"/>
    <x v="0"/>
    <n v="393667694"/>
    <s v="WAKAF KARPET"/>
    <x v="6"/>
  </r>
  <r>
    <d v="2026-01-26T00:00:00"/>
    <m/>
    <m/>
    <n v="350000"/>
    <x v="0"/>
    <n v="394017694"/>
    <s v="WAKAF KARPET"/>
    <x v="6"/>
  </r>
  <r>
    <d v="2026-01-26T00:00:00"/>
    <m/>
    <m/>
    <n v="650000"/>
    <x v="0"/>
    <n v="394667694"/>
    <s v="WAKAF KARPET"/>
    <x v="6"/>
  </r>
  <r>
    <d v="2026-01-26T00:00:00"/>
    <m/>
    <m/>
    <n v="1689000"/>
    <x v="0"/>
    <n v="396356694"/>
    <m/>
    <x v="4"/>
  </r>
  <r>
    <d v="2026-01-26T00:00:00"/>
    <m/>
    <m/>
    <n v="1177000"/>
    <x v="0"/>
    <n v="397533694"/>
    <m/>
    <x v="0"/>
  </r>
  <r>
    <d v="2026-01-26T00:00:00"/>
    <m/>
    <m/>
    <n v="3500000"/>
    <x v="0"/>
    <n v="401033694"/>
    <m/>
    <x v="6"/>
  </r>
  <r>
    <d v="2026-01-26T00:00:00"/>
    <m/>
    <m/>
    <n v="1250000"/>
    <x v="0"/>
    <n v="402283694"/>
    <m/>
    <x v="6"/>
  </r>
  <r>
    <d v="2026-01-26T00:00:00"/>
    <m/>
    <m/>
    <n v="600000"/>
    <x v="0"/>
    <n v="402883694"/>
    <m/>
    <x v="6"/>
  </r>
  <r>
    <m/>
    <m/>
    <n v="8216000"/>
    <m/>
    <x v="1"/>
    <n v="402883694"/>
    <s v="SETORAN NANANG"/>
    <x v="5"/>
  </r>
  <r>
    <d v="2026-01-27T00:00:00"/>
    <m/>
    <m/>
    <n v="1011"/>
    <x v="0"/>
    <n v="402884705"/>
    <s v="INFAQ QRIS"/>
    <x v="0"/>
  </r>
  <r>
    <d v="2026-01-27T00:00:00"/>
    <m/>
    <m/>
    <n v="200000"/>
    <x v="0"/>
    <n v="403084705"/>
    <s v="INFAQ QRIS"/>
    <x v="0"/>
  </r>
  <r>
    <d v="2026-01-27T00:00:00"/>
    <n v="2500000"/>
    <m/>
    <m/>
    <x v="0"/>
    <n v="400584705"/>
    <s v="AGUS SETIYONO MAJ Mukafaah Januari 2026"/>
    <x v="3"/>
  </r>
  <r>
    <d v="2026-01-27T00:00:00"/>
    <n v="6500"/>
    <m/>
    <m/>
    <x v="0"/>
    <n v="400578205"/>
    <s v="AGUS SETIYONO MAJ Mukafaah Januari 2026"/>
    <x v="3"/>
  </r>
  <r>
    <d v="2026-01-27T00:00:00"/>
    <n v="2250000"/>
    <m/>
    <m/>
    <x v="0"/>
    <n v="398328205"/>
    <s v="IMRON ROSADI MAJ Honor Januari 2026"/>
    <x v="12"/>
  </r>
  <r>
    <d v="2026-01-27T00:00:00"/>
    <n v="6500"/>
    <m/>
    <m/>
    <x v="0"/>
    <n v="398321705"/>
    <s v="IMRON ROSADI MAJ Honor Januari 2026"/>
    <x v="12"/>
  </r>
  <r>
    <d v="2026-01-27T00:00:00"/>
    <n v="550000"/>
    <m/>
    <m/>
    <x v="0"/>
    <n v="397771705"/>
    <s v="M BAYU CANDRA MAJ Honor Januari 2026"/>
    <x v="12"/>
  </r>
  <r>
    <d v="2026-01-27T00:00:00"/>
    <n v="6500"/>
    <m/>
    <m/>
    <x v="0"/>
    <n v="397765205"/>
    <s v="M BAYU CANDRA MAJ Honor Januari 2026"/>
    <x v="12"/>
  </r>
  <r>
    <d v="2026-01-27T00:00:00"/>
    <n v="2700000"/>
    <m/>
    <m/>
    <x v="0"/>
    <n v="395065205"/>
    <s v="M BAYU CANDRA MAJ Honor Mushrif Januari 2026"/>
    <x v="3"/>
  </r>
  <r>
    <d v="2026-01-27T00:00:00"/>
    <n v="6500"/>
    <m/>
    <m/>
    <x v="0"/>
    <n v="395058705"/>
    <s v="M BAYU CANDRA MAJ Honor Mushrif Januari 2026"/>
    <x v="3"/>
  </r>
  <r>
    <d v="2026-01-27T00:00:00"/>
    <n v="4000000"/>
    <m/>
    <m/>
    <x v="0"/>
    <n v="391058705"/>
    <s v="M BAYU CANDRA MAJ Biaya Perawatan Santri Januari 2026"/>
    <x v="3"/>
  </r>
  <r>
    <d v="2026-01-27T00:00:00"/>
    <n v="6500"/>
    <m/>
    <m/>
    <x v="0"/>
    <n v="391052205"/>
    <s v="M BAYU CANDRA MAJ Biaya Perawatan Santri Januari 2026"/>
    <x v="3"/>
  </r>
  <r>
    <d v="2026-01-27T00:00:00"/>
    <n v="1000000"/>
    <m/>
    <m/>
    <x v="0"/>
    <n v="390052205"/>
    <s v="AHMAD IMAM SAMUDRA MAJ Honor Januari 2026"/>
    <x v="12"/>
  </r>
  <r>
    <d v="2026-01-27T00:00:00"/>
    <n v="6500"/>
    <m/>
    <m/>
    <x v="0"/>
    <n v="390045705"/>
    <s v="AHMAD IMAM SAMUDRA MAJ Honor Januari 2026"/>
    <x v="12"/>
  </r>
  <r>
    <d v="2026-01-27T00:00:00"/>
    <n v="3500000"/>
    <m/>
    <m/>
    <x v="0"/>
    <n v="386545705"/>
    <s v="NANANG SUBAEDI MAJ Honor Januari 2026"/>
    <x v="12"/>
  </r>
  <r>
    <d v="2026-01-27T00:00:00"/>
    <n v="6500"/>
    <m/>
    <m/>
    <x v="0"/>
    <n v="386539205"/>
    <s v="NANANG SUBAEDI MAJ Honor Januari 2026"/>
    <x v="12"/>
  </r>
  <r>
    <d v="2026-01-27T00:00:00"/>
    <n v="2500000"/>
    <m/>
    <m/>
    <x v="0"/>
    <n v="384039205"/>
    <s v="MUHAMMAD ILHAM MAJ Honor Januari 2026"/>
    <x v="12"/>
  </r>
  <r>
    <d v="2026-01-27T00:00:00"/>
    <n v="6500"/>
    <m/>
    <m/>
    <x v="0"/>
    <n v="384032705"/>
    <s v="MUHAMMAD ILHAM MAJ Honor Januari 2026"/>
    <x v="12"/>
  </r>
  <r>
    <d v="2026-01-27T00:00:00"/>
    <n v="2000000"/>
    <m/>
    <m/>
    <x v="0"/>
    <n v="382032705"/>
    <s v="LINA HERLINA Biaya Adm Pengajian Ibu-Ibu MAJ Februari"/>
    <x v="2"/>
  </r>
  <r>
    <d v="2026-01-27T00:00:00"/>
    <n v="6500"/>
    <m/>
    <m/>
    <x v="0"/>
    <n v="382026205"/>
    <s v="LINA HERLINA Biaya Adm Pengajian Ibu-Ibu MAJ Februari"/>
    <x v="2"/>
  </r>
  <r>
    <d v="2026-01-27T00:00:00"/>
    <n v="2750000"/>
    <m/>
    <m/>
    <x v="0"/>
    <n v="379276205"/>
    <s v="SUPRIYADI Honor Januari 2026"/>
    <x v="12"/>
  </r>
  <r>
    <d v="2026-01-27T00:00:00"/>
    <m/>
    <m/>
    <n v="5000000"/>
    <x v="0"/>
    <n v="384276205"/>
    <s v="INFAQ CHRISTANTI WAHYUNI"/>
    <x v="0"/>
  </r>
  <r>
    <d v="2026-01-28T00:00:00"/>
    <m/>
    <m/>
    <n v="1011"/>
    <x v="0"/>
    <n v="384277216"/>
    <s v="INFAQ QRIS"/>
    <x v="0"/>
  </r>
  <r>
    <d v="2026-01-28T00:00:00"/>
    <m/>
    <m/>
    <n v="20000"/>
    <x v="0"/>
    <n v="384297216"/>
    <s v="INFAQ QRIS"/>
    <x v="0"/>
  </r>
  <r>
    <d v="2026-01-29T00:00:00"/>
    <m/>
    <m/>
    <n v="20000"/>
    <x v="0"/>
    <n v="384317216"/>
    <s v="INFAQ QRIS"/>
    <x v="0"/>
  </r>
  <r>
    <d v="2026-01-29T00:00:00"/>
    <m/>
    <m/>
    <n v="1011"/>
    <x v="0"/>
    <n v="384318227"/>
    <s v="INFAQ QRIS"/>
    <x v="0"/>
  </r>
  <r>
    <d v="2026-01-29T00:00:00"/>
    <m/>
    <m/>
    <n v="500000"/>
    <x v="0"/>
    <n v="384818227"/>
    <s v="WAKAF KARPET IRFAN ZAINUDDIN"/>
    <x v="0"/>
  </r>
  <r>
    <d v="2026-01-29T00:00:00"/>
    <n v="16960000"/>
    <m/>
    <m/>
    <x v="0"/>
    <n v="367858227"/>
    <s v="Perbaikan Plafon MAJ via Mahmud"/>
    <x v="7"/>
  </r>
  <r>
    <d v="2026-01-29T00:00:00"/>
    <n v="6500"/>
    <m/>
    <m/>
    <x v="0"/>
    <n v="367851727"/>
    <s v="Perbaikan Plafon MAJ via Mahmud"/>
    <x v="7"/>
  </r>
  <r>
    <d v="2026-01-29T00:00:00"/>
    <n v="1500000"/>
    <m/>
    <m/>
    <x v="0"/>
    <n v="366351727"/>
    <s v="Pasang Ganti Lampu MAJ via Matsani"/>
    <x v="13"/>
  </r>
  <r>
    <d v="2026-01-29T00:00:00"/>
    <n v="6500"/>
    <m/>
    <m/>
    <x v="0"/>
    <n v="366345227"/>
    <s v="Pasang Ganti Lampu MAJ via Matsani"/>
    <x v="13"/>
  </r>
  <r>
    <d v="2026-01-29T00:00:00"/>
    <n v="4025000"/>
    <m/>
    <m/>
    <x v="0"/>
    <n v="362320227"/>
    <s v="Pembelian cctv MAJ"/>
    <x v="11"/>
  </r>
  <r>
    <d v="2026-01-29T00:00:00"/>
    <n v="6500"/>
    <m/>
    <m/>
    <x v="0"/>
    <n v="362313727"/>
    <s v="Pembelian cctv MAJ"/>
    <x v="8"/>
  </r>
  <r>
    <d v="2026-01-29T00:00:00"/>
    <m/>
    <m/>
    <n v="2000000"/>
    <x v="0"/>
    <n v="364313727"/>
    <s v="WAKAF KARPET SUGENG SANTOSO"/>
    <x v="6"/>
  </r>
  <r>
    <d v="2026-01-29T00:00:00"/>
    <m/>
    <m/>
    <n v="1260005"/>
    <x v="0"/>
    <n v="365573732"/>
    <s v="WAKAF KARPET"/>
    <x v="6"/>
  </r>
  <r>
    <d v="2026-01-29T00:00:00"/>
    <m/>
    <m/>
    <n v="1000000"/>
    <x v="0"/>
    <n v="366573732"/>
    <s v="WAKAF KARPET CAUSA IMAN KARANA"/>
    <x v="6"/>
  </r>
  <r>
    <d v="2026-01-29T00:00:00"/>
    <m/>
    <m/>
    <n v="320000"/>
    <x v="0"/>
    <n v="366893732"/>
    <s v="INFAQ DJAJA KUSUMA AUZAR"/>
    <x v="6"/>
  </r>
  <r>
    <d v="2026-01-30T00:00:00"/>
    <m/>
    <m/>
    <n v="1000000"/>
    <x v="0"/>
    <n v="367893732"/>
    <s v="INFAQ ANGGONO IRIAWAN"/>
    <x v="0"/>
  </r>
  <r>
    <d v="2026-01-30T00:00:00"/>
    <m/>
    <m/>
    <n v="1011"/>
    <x v="0"/>
    <n v="367894743"/>
    <s v="INFAQ QRIS"/>
    <x v="0"/>
  </r>
  <r>
    <d v="2026-01-30T00:00:00"/>
    <m/>
    <m/>
    <n v="20000"/>
    <x v="0"/>
    <n v="367914743"/>
    <s v="INFAQ QRIS"/>
    <x v="0"/>
  </r>
  <r>
    <d v="2026-01-30T00:00:00"/>
    <m/>
    <m/>
    <n v="1260005"/>
    <x v="0"/>
    <n v="369174748"/>
    <s v="WAKAF KARPET"/>
    <x v="6"/>
  </r>
  <r>
    <d v="2026-01-30T00:00:00"/>
    <m/>
    <m/>
    <n v="1260005"/>
    <x v="0"/>
    <n v="370434753"/>
    <s v="WAKAF KARPET ALI BADARUDDIN"/>
    <x v="6"/>
  </r>
  <r>
    <d v="2026-01-30T00:00:00"/>
    <m/>
    <m/>
    <n v="8740000"/>
    <x v="0"/>
    <n v="379174753"/>
    <s v="WAKAF KARPET ALI BADARUDDIN"/>
    <x v="0"/>
  </r>
  <r>
    <m/>
    <m/>
    <n v="10000005"/>
    <m/>
    <x v="1"/>
    <n v="379174753"/>
    <m/>
    <x v="5"/>
  </r>
  <r>
    <d v="2026-01-30T00:00:00"/>
    <m/>
    <m/>
    <n v="630000"/>
    <x v="0"/>
    <n v="379804753"/>
    <s v="WAKAF KARPET"/>
    <x v="6"/>
  </r>
  <r>
    <d v="2026-01-30T00:00:00"/>
    <m/>
    <m/>
    <n v="12600000"/>
    <x v="0"/>
    <n v="392404753"/>
    <s v="WAKAF KARPET"/>
    <x v="6"/>
  </r>
  <r>
    <d v="2026-01-30T00:00:00"/>
    <m/>
    <m/>
    <n v="6300000"/>
    <x v="0"/>
    <n v="398704753"/>
    <s v="WAKAF KARPET"/>
    <x v="6"/>
  </r>
  <r>
    <d v="2026-01-30T00:00:00"/>
    <n v="9000"/>
    <m/>
    <m/>
    <x v="0"/>
    <n v="398695753"/>
    <s v="Fee Payroll Desember 2025"/>
    <x v="1"/>
  </r>
  <r>
    <d v="2026-01-30T00:00:00"/>
    <n v="1923000"/>
    <m/>
    <m/>
    <x v="0"/>
    <n v="396772753"/>
    <s v="SUGENG PRIYONO KEPERLUAN MAJ..EX AZKO"/>
    <x v="11"/>
  </r>
  <r>
    <d v="2026-01-30T00:00:00"/>
    <n v="2500"/>
    <m/>
    <m/>
    <x v="0"/>
    <n v="396770253"/>
    <s v="SUGENG PRIYONO KEPERLUAN MAJ..EX AZKO"/>
    <x v="8"/>
  </r>
  <r>
    <d v="2026-01-31T00:00:00"/>
    <n v="900000"/>
    <m/>
    <m/>
    <x v="0"/>
    <n v="395870253"/>
    <s v="Jasa Pasang CCTV via Edi Nurhadi"/>
    <x v="11"/>
  </r>
  <r>
    <d v="2026-01-31T00:00:00"/>
    <n v="750000"/>
    <m/>
    <m/>
    <x v="0"/>
    <n v="395120253"/>
    <s v="HONOR UST-SIHABUDDIN UMAR SE MM"/>
    <x v="2"/>
  </r>
  <r>
    <d v="2026-01-31T00:00:00"/>
    <n v="6500"/>
    <m/>
    <m/>
    <x v="0"/>
    <n v="395113753"/>
    <s v="HONOR UST-SIHABUDDIN UMAR SE MM"/>
    <x v="2"/>
  </r>
  <r>
    <d v="2026-01-31T00:00:00"/>
    <n v="4500000"/>
    <m/>
    <m/>
    <x v="0"/>
    <n v="390613753"/>
    <s v="Lampu Injeksi Pintu Gudang via Mahmud"/>
    <x v="7"/>
  </r>
  <r>
    <d v="2026-01-31T00:00:00"/>
    <n v="6500"/>
    <m/>
    <m/>
    <x v="0"/>
    <n v="390607253"/>
    <s v="Lampu Injeksi Pintu Gudang via Mahmud"/>
    <x v="8"/>
  </r>
  <r>
    <d v="2026-01-31T00:00:00"/>
    <m/>
    <m/>
    <n v="1000000"/>
    <x v="0"/>
    <n v="391607253"/>
    <s v="WAKAF KARPET YOYOK S.SAKIDI"/>
    <x v="6"/>
  </r>
  <r>
    <d v="2026-01-31T00:00:00"/>
    <m/>
    <m/>
    <n v="50000"/>
    <x v="0"/>
    <n v="391657253"/>
    <s v="INFAQ QRIS"/>
    <x v="0"/>
  </r>
  <r>
    <d v="2026-01-31T00:00:00"/>
    <m/>
    <m/>
    <n v="50000"/>
    <x v="0"/>
    <n v="391707253"/>
    <s v="INFAQ QRIS"/>
    <x v="0"/>
  </r>
  <r>
    <d v="2026-01-31T00:00:00"/>
    <m/>
    <m/>
    <n v="50000"/>
    <x v="0"/>
    <n v="391757253"/>
    <s v="INFAQ QRIS"/>
    <x v="0"/>
  </r>
  <r>
    <d v="2026-01-31T00:00:00"/>
    <m/>
    <m/>
    <n v="100000"/>
    <x v="0"/>
    <n v="391857253"/>
    <s v="INFAQ QRIS"/>
    <x v="0"/>
  </r>
  <r>
    <d v="2026-01-31T00:00:00"/>
    <m/>
    <m/>
    <n v="20000"/>
    <x v="0"/>
    <n v="391877253"/>
    <s v="INFAQ QRIS"/>
    <x v="0"/>
  </r>
  <r>
    <d v="2026-01-31T00:00:00"/>
    <m/>
    <m/>
    <n v="1011"/>
    <x v="0"/>
    <n v="391878264"/>
    <s v="INFAQ QRIS"/>
    <x v="0"/>
  </r>
  <r>
    <d v="2026-01-31T00:00:00"/>
    <n v="20000000"/>
    <m/>
    <m/>
    <x v="0"/>
    <n v="371878264"/>
    <s v="DP Karpet MAJ"/>
    <x v="11"/>
  </r>
  <r>
    <d v="2026-01-31T00:00:00"/>
    <n v="6500"/>
    <m/>
    <m/>
    <x v="0"/>
    <n v="371871764"/>
    <s v="DP Karpet MAJ"/>
    <x v="8"/>
  </r>
  <r>
    <d v="2026-02-01T00:00:00"/>
    <n v="750000"/>
    <m/>
    <m/>
    <x v="2"/>
    <n v="371121764"/>
    <s v="HONOR UST UMAR-ZULFA SYAHIDAH"/>
    <x v="2"/>
  </r>
  <r>
    <d v="2026-02-01T00:00:00"/>
    <n v="6500"/>
    <m/>
    <m/>
    <x v="2"/>
    <n v="371115264"/>
    <s v="HONOR UST UMAR-ZULFA SYAHIDAH"/>
    <x v="2"/>
  </r>
  <r>
    <d v="2026-02-01T00:00:00"/>
    <n v="1500000"/>
    <m/>
    <m/>
    <x v="2"/>
    <n v="369615264"/>
    <s v="SUSI SUHARTINI Ganti kontak dan Lampu MAJ"/>
    <x v="8"/>
  </r>
  <r>
    <d v="2026-02-01T00:00:00"/>
    <n v="6500"/>
    <m/>
    <m/>
    <x v="2"/>
    <n v="369608764"/>
    <s v="SUSI SUHARTINI Ganti kontak dan Lampu MAJ"/>
    <x v="8"/>
  </r>
  <r>
    <d v="2026-02-01T00:00:00"/>
    <m/>
    <m/>
    <n v="350000"/>
    <x v="2"/>
    <n v="369958764"/>
    <s v="INFAQ DESYANA SE"/>
    <x v="0"/>
  </r>
  <r>
    <d v="2026-02-01T00:00:00"/>
    <m/>
    <m/>
    <n v="200000"/>
    <x v="2"/>
    <n v="370158764"/>
    <s v="INFAQ UMIHAMIDAH"/>
    <x v="0"/>
  </r>
  <r>
    <d v="2026-02-01T00:00:00"/>
    <m/>
    <m/>
    <n v="1011"/>
    <x v="2"/>
    <n v="370159775"/>
    <s v="INFAQ QRIS"/>
    <x v="0"/>
  </r>
  <r>
    <d v="2026-02-01T00:00:00"/>
    <m/>
    <m/>
    <n v="200000"/>
    <x v="2"/>
    <n v="370359775"/>
    <s v="INFAQ WUSONO PRIHADI SANTO"/>
    <x v="0"/>
  </r>
  <r>
    <d v="2026-02-01T00:00:00"/>
    <m/>
    <m/>
    <n v="500005"/>
    <x v="2"/>
    <n v="370859780"/>
    <s v="WAKAF KARPET JOHN BASUKI RAHMAD"/>
    <x v="6"/>
  </r>
  <r>
    <d v="2026-02-01T00:00:00"/>
    <m/>
    <m/>
    <n v="300000"/>
    <x v="2"/>
    <n v="371159780"/>
    <s v="INFAQ FADJAR SATYANI"/>
    <x v="0"/>
  </r>
  <r>
    <d v="2026-02-02T00:00:00"/>
    <m/>
    <m/>
    <n v="25000"/>
    <x v="2"/>
    <n v="371184780"/>
    <s v="INFAQ QRIS"/>
    <x v="0"/>
  </r>
  <r>
    <d v="2026-02-02T00:00:00"/>
    <m/>
    <m/>
    <n v="213000"/>
    <x v="2"/>
    <n v="371397780"/>
    <m/>
    <x v="0"/>
  </r>
  <r>
    <d v="2026-02-02T00:00:00"/>
    <m/>
    <m/>
    <n v="1414000"/>
    <x v="2"/>
    <n v="372811780"/>
    <m/>
    <x v="4"/>
  </r>
  <r>
    <m/>
    <m/>
    <n v="1627000"/>
    <m/>
    <x v="1"/>
    <n v="372811780"/>
    <s v="SETORAN NANANG"/>
    <x v="5"/>
  </r>
  <r>
    <d v="2026-02-02T00:00:00"/>
    <m/>
    <m/>
    <n v="5000000"/>
    <x v="2"/>
    <n v="377811780"/>
    <s v="INFAQ FIRMANSJAH"/>
    <x v="0"/>
  </r>
  <r>
    <d v="2026-02-03T00:00:00"/>
    <m/>
    <m/>
    <n v="500000"/>
    <x v="2"/>
    <n v="378311780"/>
    <s v="INFAQ DRS SARWONO"/>
    <x v="0"/>
  </r>
  <r>
    <d v="2026-02-03T00:00:00"/>
    <m/>
    <m/>
    <n v="20000"/>
    <x v="2"/>
    <n v="378331780"/>
    <s v="INFAQ QRIS"/>
    <x v="0"/>
  </r>
  <r>
    <d v="2026-02-03T00:00:00"/>
    <m/>
    <m/>
    <n v="500000"/>
    <x v="2"/>
    <n v="378831780"/>
    <s v="INFAQ INDRAEDISANTOSO"/>
    <x v="0"/>
  </r>
  <r>
    <d v="2026-02-03T00:00:00"/>
    <n v="1090000"/>
    <m/>
    <m/>
    <x v="2"/>
    <n v="377741780"/>
    <s v="Service AC MAJ via Imron"/>
    <x v="13"/>
  </r>
  <r>
    <d v="2026-02-03T00:00:00"/>
    <n v="6500"/>
    <m/>
    <m/>
    <x v="2"/>
    <n v="377735280"/>
    <s v="Service AC MAJ via Imron"/>
    <x v="13"/>
  </r>
  <r>
    <d v="2026-02-03T00:00:00"/>
    <m/>
    <m/>
    <n v="400000"/>
    <x v="2"/>
    <n v="378135280"/>
    <s v="INFAQ PUTIE AMBUN SURI/RIVENDRA"/>
    <x v="0"/>
  </r>
  <r>
    <d v="2026-02-03T00:00:00"/>
    <n v="1598000"/>
    <m/>
    <m/>
    <x v="2"/>
    <n v="376537280"/>
    <s v="Rak Buku Akhwat MAJ via Sugeng P"/>
    <x v="11"/>
  </r>
  <r>
    <d v="2026-02-03T00:00:00"/>
    <n v="6500"/>
    <m/>
    <m/>
    <x v="2"/>
    <n v="376530780"/>
    <s v="Rak Buku Akhwat MAJ via Sugeng P"/>
    <x v="8"/>
  </r>
  <r>
    <d v="2026-02-04T00:00:00"/>
    <m/>
    <m/>
    <n v="10000"/>
    <x v="2"/>
    <n v="376540780"/>
    <s v="INFAQ QRIS"/>
    <x v="0"/>
  </r>
  <r>
    <d v="2026-02-04T00:00:00"/>
    <m/>
    <m/>
    <n v="20000"/>
    <x v="2"/>
    <n v="376560780"/>
    <s v="INFAQ QRIS"/>
    <x v="0"/>
  </r>
  <r>
    <d v="2026-02-04T00:00:00"/>
    <m/>
    <m/>
    <n v="2520000"/>
    <x v="2"/>
    <n v="379080780"/>
    <s v="WAKAF KARPET MAJ DARI FARHAN PRAMODA ADHYASTA"/>
    <x v="6"/>
  </r>
  <r>
    <d v="2026-02-05T00:00:00"/>
    <m/>
    <m/>
    <n v="10000"/>
    <x v="2"/>
    <n v="379090780"/>
    <s v="INFAQ QRIS"/>
    <x v="0"/>
  </r>
  <r>
    <d v="2026-02-05T00:00:00"/>
    <m/>
    <m/>
    <n v="1011"/>
    <x v="2"/>
    <n v="379091791"/>
    <s v="INFAQ QRIS"/>
    <x v="0"/>
  </r>
  <r>
    <d v="2026-02-05T00:00:00"/>
    <m/>
    <m/>
    <n v="10000"/>
    <x v="2"/>
    <n v="379101791"/>
    <s v="INFAQ QRIS"/>
    <x v="0"/>
  </r>
  <r>
    <d v="2026-02-05T00:00:00"/>
    <m/>
    <m/>
    <n v="20000"/>
    <x v="2"/>
    <n v="379121791"/>
    <s v="INFAQ QRIS"/>
    <x v="0"/>
  </r>
  <r>
    <d v="2026-02-05T00:00:00"/>
    <n v="14820000"/>
    <m/>
    <m/>
    <x v="2"/>
    <n v="364301791"/>
    <s v="PERBAIKAN PLAFON MAJ VIA MAHMUD"/>
    <x v="13"/>
  </r>
  <r>
    <d v="2026-02-05T00:00:00"/>
    <n v="2500"/>
    <m/>
    <m/>
    <x v="2"/>
    <n v="364299291"/>
    <s v="PERBAIKAN PLAFON MAJ VIA MAHMUD"/>
    <x v="13"/>
  </r>
  <r>
    <d v="2026-02-05T00:00:00"/>
    <m/>
    <m/>
    <n v="2520005"/>
    <x v="2"/>
    <n v="366819296"/>
    <s v="WAKAF KARPET ANTHONY"/>
    <x v="6"/>
  </r>
  <r>
    <d v="2026-02-05T00:00:00"/>
    <n v="1000000"/>
    <m/>
    <m/>
    <x v="2"/>
    <n v="365819296"/>
    <s v="TEBANG POHON MAJ VIA MATSANI"/>
    <x v="13"/>
  </r>
  <r>
    <d v="2026-02-05T00:00:00"/>
    <n v="2500"/>
    <m/>
    <m/>
    <x v="2"/>
    <n v="365816796"/>
    <s v="TEBANG POHON MAJ VIA MATSANI"/>
    <x v="13"/>
  </r>
  <r>
    <d v="2026-02-05T00:00:00"/>
    <m/>
    <m/>
    <n v="3000005"/>
    <x v="2"/>
    <n v="368816801"/>
    <s v="WAKAF KARPET BUDI TURSILO"/>
    <x v="6"/>
  </r>
  <r>
    <d v="2026-02-06T00:00:00"/>
    <m/>
    <m/>
    <n v="500005"/>
    <x v="2"/>
    <n v="369316806"/>
    <s v="WAKAF KARPET MAY SOEKMONO"/>
    <x v="6"/>
  </r>
  <r>
    <d v="2026-02-06T00:00:00"/>
    <m/>
    <m/>
    <n v="20000"/>
    <x v="2"/>
    <n v="369336806"/>
    <s v="INFAQ QRIS"/>
    <x v="0"/>
  </r>
  <r>
    <d v="2026-02-06T00:00:00"/>
    <m/>
    <m/>
    <n v="2000000"/>
    <x v="2"/>
    <n v="371336806"/>
    <s v="INFAQ RIZKYHIDAYATSL"/>
    <x v="0"/>
  </r>
  <r>
    <d v="2026-02-06T00:00:00"/>
    <m/>
    <m/>
    <n v="1260005"/>
    <x v="2"/>
    <n v="372596811"/>
    <s v="WAKAF KARPET ABDULLAH FAQIH "/>
    <x v="6"/>
  </r>
  <r>
    <d v="2026-02-06T00:00:00"/>
    <m/>
    <m/>
    <n v="100005"/>
    <x v="2"/>
    <n v="372696816"/>
    <s v="WAKAF KARPET SURJATI SUTARJA"/>
    <x v="6"/>
  </r>
  <r>
    <d v="2026-02-07T00:00:00"/>
    <n v="750000"/>
    <m/>
    <m/>
    <x v="2"/>
    <n v="371946816"/>
    <s v="HONOR UST-MOHAMMAD SHODIQ"/>
    <x v="2"/>
  </r>
  <r>
    <d v="2026-02-07T00:00:00"/>
    <n v="6500"/>
    <m/>
    <m/>
    <x v="2"/>
    <n v="371940316"/>
    <s v="HONOR UST-MOHAMMAD SHODIQ"/>
    <x v="2"/>
  </r>
  <r>
    <d v="2026-02-07T00:00:00"/>
    <m/>
    <m/>
    <n v="20000"/>
    <x v="2"/>
    <n v="371960316"/>
    <s v="INFAQ QRIS"/>
    <x v="0"/>
  </r>
  <r>
    <d v="2026-02-07T00:00:00"/>
    <m/>
    <m/>
    <n v="50000"/>
    <x v="2"/>
    <n v="372010316"/>
    <s v="INFAQ QRIS"/>
    <x v="0"/>
  </r>
  <r>
    <d v="2026-02-07T00:00:00"/>
    <m/>
    <m/>
    <n v="20000"/>
    <x v="2"/>
    <n v="372030316"/>
    <s v="INFAQ QRIS"/>
    <x v="0"/>
  </r>
  <r>
    <d v="2026-02-07T00:00:00"/>
    <m/>
    <m/>
    <n v="20000"/>
    <x v="2"/>
    <n v="372050316"/>
    <s v="INFAQ QRIS"/>
    <x v="0"/>
  </r>
  <r>
    <d v="2026-02-07T00:00:00"/>
    <m/>
    <m/>
    <n v="100000"/>
    <x v="2"/>
    <n v="372150316"/>
    <s v="INFAQ QRIS"/>
    <x v="0"/>
  </r>
  <r>
    <d v="2026-02-07T00:00:00"/>
    <m/>
    <m/>
    <n v="20000"/>
    <x v="2"/>
    <n v="372170316"/>
    <s v="INFAQ QRIS"/>
    <x v="0"/>
  </r>
  <r>
    <d v="2026-02-07T00:00:00"/>
    <m/>
    <m/>
    <n v="1011"/>
    <x v="2"/>
    <n v="372171327"/>
    <s v="INFAQ QRIS"/>
    <x v="0"/>
  </r>
  <r>
    <d v="2026-02-07T00:00:00"/>
    <m/>
    <m/>
    <n v="50000"/>
    <x v="2"/>
    <n v="372221327"/>
    <s v="INFAQ RADITYA GALIH SUNUTOMO"/>
    <x v="0"/>
  </r>
  <r>
    <d v="2026-02-07T00:00:00"/>
    <n v="1500000"/>
    <m/>
    <m/>
    <x v="2"/>
    <n v="370721327"/>
    <s v="MABRURI Perbaikan AC MAJ"/>
    <x v="8"/>
  </r>
  <r>
    <d v="2026-02-07T00:00:00"/>
    <n v="6500"/>
    <m/>
    <m/>
    <x v="2"/>
    <n v="370714827"/>
    <s v="MABRURI Perbaikan AC MAJ"/>
    <x v="13"/>
  </r>
  <r>
    <d v="2026-02-08T00:00:00"/>
    <n v="750000"/>
    <m/>
    <m/>
    <x v="2"/>
    <n v="369964827"/>
    <s v="HONOR UST DARWIS Hadiah Kajian MAJ 080226"/>
    <x v="2"/>
  </r>
  <r>
    <d v="2026-02-08T00:00:00"/>
    <m/>
    <m/>
    <n v="10000"/>
    <x v="2"/>
    <n v="369974827"/>
    <s v="INFAQ QRIS"/>
    <x v="0"/>
  </r>
  <r>
    <d v="2026-02-08T00:00:00"/>
    <m/>
    <m/>
    <n v="25000"/>
    <x v="2"/>
    <n v="369999827"/>
    <s v="INFAQ QRIS"/>
    <x v="0"/>
  </r>
  <r>
    <d v="2026-02-08T00:00:00"/>
    <m/>
    <m/>
    <n v="10000"/>
    <x v="2"/>
    <n v="370009827"/>
    <s v="INFAQ QRIS"/>
    <x v="0"/>
  </r>
  <r>
    <d v="2026-02-08T00:00:00"/>
    <n v="300000"/>
    <m/>
    <m/>
    <x v="2"/>
    <n v="369709827"/>
    <s v="EDI NURHADI,IR Pasang CCTV MAJ"/>
    <x v="11"/>
  </r>
  <r>
    <d v="2026-02-08T00:00:00"/>
    <n v="18022888"/>
    <m/>
    <m/>
    <x v="2"/>
    <n v="351686939"/>
    <s v="Beli Peralatan Digital MAJ via Hopy"/>
    <x v="11"/>
  </r>
  <r>
    <d v="2026-02-08T00:00:00"/>
    <n v="6500"/>
    <m/>
    <m/>
    <x v="2"/>
    <n v="351680439"/>
    <s v="Beli Peralatan Digital MAJ via Hopy"/>
    <x v="8"/>
  </r>
  <r>
    <d v="2026-02-09T00:00:00"/>
    <m/>
    <m/>
    <n v="25000"/>
    <x v="2"/>
    <n v="351705439"/>
    <s v="INFAQ QRIS"/>
    <x v="0"/>
  </r>
  <r>
    <d v="2026-02-09T00:00:00"/>
    <m/>
    <m/>
    <n v="1066000"/>
    <x v="2"/>
    <n v="352771439"/>
    <m/>
    <x v="4"/>
  </r>
  <r>
    <d v="2026-02-09T00:00:00"/>
    <m/>
    <m/>
    <n v="935000"/>
    <x v="2"/>
    <n v="353706439"/>
    <m/>
    <x v="0"/>
  </r>
  <r>
    <m/>
    <m/>
    <n v="2001000"/>
    <m/>
    <x v="1"/>
    <n v="353706439"/>
    <s v=" 001117663343 SETORAN INFAK PER PEKAN  SETOR TUNAI "/>
    <x v="5"/>
  </r>
  <r>
    <d v="2026-02-10T00:00:00"/>
    <m/>
    <m/>
    <n v="20000"/>
    <x v="2"/>
    <n v="353726439"/>
    <s v="INFAQ QRIS"/>
    <x v="0"/>
  </r>
  <r>
    <d v="2026-02-10T00:00:00"/>
    <m/>
    <m/>
    <n v="10000"/>
    <x v="2"/>
    <n v="353736439"/>
    <s v="INFAQ QRIS"/>
    <x v="0"/>
  </r>
  <r>
    <d v="2026-02-11T00:00:00"/>
    <m/>
    <m/>
    <n v="1011"/>
    <x v="2"/>
    <n v="353737450"/>
    <s v="INFAQ QRIS"/>
    <x v="0"/>
  </r>
  <r>
    <d v="2026-02-11T00:00:00"/>
    <m/>
    <m/>
    <n v="20000"/>
    <x v="2"/>
    <n v="353757450"/>
    <s v="INFAQ QRIS"/>
    <x v="0"/>
  </r>
  <r>
    <d v="2026-02-11T00:00:00"/>
    <m/>
    <m/>
    <n v="10000"/>
    <x v="2"/>
    <n v="353767450"/>
    <s v="INFAQ QRIS"/>
    <x v="0"/>
  </r>
  <r>
    <d v="2026-02-12T00:00:00"/>
    <n v="1300000"/>
    <m/>
    <m/>
    <x v="2"/>
    <n v="352467450"/>
    <s v="AMRAN ANWAR IR Lampu di area depan MAJ"/>
    <x v="7"/>
  </r>
  <r>
    <d v="2026-02-12T00:00:00"/>
    <n v="6500"/>
    <m/>
    <m/>
    <x v="2"/>
    <n v="352460950"/>
    <s v="AMRAN ANWAR IR Lampu di area depan MAJ"/>
    <x v="7"/>
  </r>
  <r>
    <d v="2026-02-12T00:00:00"/>
    <n v="5298550"/>
    <m/>
    <m/>
    <x v="2"/>
    <n v="347162400"/>
    <m/>
    <x v="7"/>
  </r>
  <r>
    <d v="2026-02-12T00:00:00"/>
    <n v="2451450"/>
    <m/>
    <m/>
    <x v="2"/>
    <n v="344710950"/>
    <m/>
    <x v="13"/>
  </r>
  <r>
    <m/>
    <m/>
    <n v="7750000"/>
    <m/>
    <x v="1"/>
    <n v="344710950"/>
    <s v="Pemindahan tempat wudhu MAJ via Mahmud"/>
    <x v="5"/>
  </r>
  <r>
    <d v="2026-02-12T00:00:00"/>
    <n v="6500"/>
    <m/>
    <m/>
    <x v="2"/>
    <n v="344704450"/>
    <s v="Pemindahan tempat wudhu MAJ via Mahmud"/>
    <x v="1"/>
  </r>
  <r>
    <d v="2026-02-12T00:00:00"/>
    <n v="2725000"/>
    <m/>
    <m/>
    <x v="2"/>
    <n v="341979450"/>
    <s v="Setup Karpet Lantai 2 MAJ"/>
    <x v="11"/>
  </r>
  <r>
    <d v="2026-02-12T00:00:00"/>
    <n v="6500"/>
    <m/>
    <m/>
    <x v="2"/>
    <n v="341972950"/>
    <s v="Setup Karpet Lantai 2 MAJ"/>
    <x v="8"/>
  </r>
  <r>
    <d v="2026-02-12T00:00:00"/>
    <m/>
    <m/>
    <n v="150000"/>
    <x v="2"/>
    <n v="342122950"/>
    <s v="INFAQ DWI LISTYOWATI DRA"/>
    <x v="0"/>
  </r>
  <r>
    <d v="2026-02-13T00:00:00"/>
    <m/>
    <m/>
    <n v="10000"/>
    <x v="2"/>
    <n v="342132950"/>
    <s v="INFAQ QRIS"/>
    <x v="0"/>
  </r>
  <r>
    <d v="2026-02-13T00:00:00"/>
    <m/>
    <m/>
    <n v="20000"/>
    <x v="2"/>
    <n v="342152950"/>
    <s v="INFAQ QRIS"/>
    <x v="0"/>
  </r>
  <r>
    <d v="2026-02-13T00:00:00"/>
    <m/>
    <m/>
    <n v="5000"/>
    <x v="2"/>
    <n v="342157950"/>
    <s v="INFAQ QRIS"/>
    <x v="0"/>
  </r>
  <r>
    <d v="2026-02-13T00:00:00"/>
    <n v="180780000"/>
    <m/>
    <m/>
    <x v="2"/>
    <n v="161377950"/>
    <s v="Pelunasan Karpet baru MAJ"/>
    <x v="11"/>
  </r>
  <r>
    <d v="2026-02-13T00:00:00"/>
    <n v="2500"/>
    <m/>
    <m/>
    <x v="2"/>
    <n v="161375450"/>
    <s v="Pelunasan Karpet baru MAJ"/>
    <x v="8"/>
  </r>
  <r>
    <d v="2026-02-14T00:00:00"/>
    <m/>
    <m/>
    <n v="50000"/>
    <x v="2"/>
    <n v="161425450"/>
    <s v="INFAQ QRIS"/>
    <x v="0"/>
  </r>
  <r>
    <d v="2026-02-14T00:00:00"/>
    <m/>
    <m/>
    <n v="50000"/>
    <x v="2"/>
    <n v="161475450"/>
    <s v="INFAQ QRIS"/>
    <x v="0"/>
  </r>
  <r>
    <d v="2026-02-14T00:00:00"/>
    <m/>
    <m/>
    <n v="25000"/>
    <x v="2"/>
    <n v="161500450"/>
    <s v="INFAQ QRIS"/>
    <x v="0"/>
  </r>
  <r>
    <d v="2026-02-14T00:00:00"/>
    <m/>
    <m/>
    <n v="200000"/>
    <x v="2"/>
    <n v="161700450"/>
    <s v="INFAQ QRIS"/>
    <x v="0"/>
  </r>
  <r>
    <d v="2026-02-14T00:00:00"/>
    <m/>
    <m/>
    <n v="20000"/>
    <x v="2"/>
    <n v="161720450"/>
    <s v="INFAQ QRIS"/>
    <x v="0"/>
  </r>
  <r>
    <d v="2026-02-14T00:00:00"/>
    <m/>
    <m/>
    <n v="100000"/>
    <x v="2"/>
    <n v="161820450"/>
    <s v="INFAQ QRIS"/>
    <x v="0"/>
  </r>
  <r>
    <d v="2026-02-14T00:00:00"/>
    <m/>
    <m/>
    <n v="10000"/>
    <x v="2"/>
    <n v="161830450"/>
    <s v="INFAQ QRIS"/>
    <x v="0"/>
  </r>
  <r>
    <d v="2026-02-14T00:00:00"/>
    <m/>
    <m/>
    <n v="20000"/>
    <x v="2"/>
    <n v="161850450"/>
    <s v="INFAQ QRIS"/>
    <x v="0"/>
  </r>
  <r>
    <d v="2026-02-15T00:00:00"/>
    <m/>
    <m/>
    <n v="10000"/>
    <x v="2"/>
    <n v="161860450"/>
    <s v="INFAQ QRIS"/>
    <x v="0"/>
  </r>
  <r>
    <d v="2026-02-15T00:00:00"/>
    <m/>
    <m/>
    <n v="20000"/>
    <x v="2"/>
    <n v="161880450"/>
    <s v="INFAQ QRIS"/>
    <x v="0"/>
  </r>
  <r>
    <d v="2026-02-15T00:00:00"/>
    <m/>
    <m/>
    <n v="10000"/>
    <x v="2"/>
    <n v="161890450"/>
    <s v="INFAQ QRIS"/>
    <x v="0"/>
  </r>
  <r>
    <d v="2026-02-15T00:00:00"/>
    <m/>
    <m/>
    <n v="1011"/>
    <x v="2"/>
    <n v="161891461"/>
    <s v="INFAQ QRIS"/>
    <x v="0"/>
  </r>
  <r>
    <d v="2026-02-15T00:00:00"/>
    <m/>
    <m/>
    <n v="2520005"/>
    <x v="2"/>
    <n v="164411466"/>
    <s v="WAKAF KARPET DYAH HANDAYANI"/>
    <x v="6"/>
  </r>
  <r>
    <d v="2026-02-16T00:00:00"/>
    <m/>
    <m/>
    <n v="20000"/>
    <x v="2"/>
    <n v="164431466"/>
    <s v="INFAQ QRIS"/>
    <x v="0"/>
  </r>
  <r>
    <d v="2026-02-16T00:00:00"/>
    <m/>
    <m/>
    <n v="50000"/>
    <x v="2"/>
    <n v="164481466"/>
    <s v="INFAQ QRIS"/>
    <x v="0"/>
  </r>
  <r>
    <d v="2026-02-17T00:00:00"/>
    <m/>
    <m/>
    <n v="20000"/>
    <x v="2"/>
    <n v="164501466"/>
    <s v="INFAQ QRIS"/>
    <x v="0"/>
  </r>
  <r>
    <d v="2026-02-17T00:00:00"/>
    <n v="2800000"/>
    <m/>
    <m/>
    <x v="2"/>
    <n v="161701466"/>
    <s v="Pengecatan dinding luar MAJ via Mahmud"/>
    <x v="13"/>
  </r>
  <r>
    <d v="2026-02-17T00:00:00"/>
    <n v="6500"/>
    <m/>
    <m/>
    <x v="2"/>
    <n v="161694966"/>
    <s v="Pengecatan dinding luar MAJ via Mahmud"/>
    <x v="13"/>
  </r>
  <r>
    <d v="2026-02-18T00:00:00"/>
    <m/>
    <m/>
    <n v="20000"/>
    <x v="2"/>
    <n v="161714966"/>
    <s v="INFAQ QRIS"/>
    <x v="0"/>
  </r>
  <r>
    <d v="2026-02-18T00:00:00"/>
    <n v="1000000"/>
    <m/>
    <m/>
    <x v="2"/>
    <n v="160714966"/>
    <s v="TENDA VIA IMRON"/>
    <x v="9"/>
  </r>
  <r>
    <d v="2026-02-18T00:00:00"/>
    <n v="2500"/>
    <m/>
    <m/>
    <x v="2"/>
    <n v="160712466"/>
    <s v="TENDA VIA IMRON"/>
    <x v="9"/>
  </r>
  <r>
    <d v="2026-02-18T00:00:00"/>
    <m/>
    <m/>
    <n v="13000"/>
    <x v="2"/>
    <n v="160725466"/>
    <s v="INFAQ TPQ RIVENDRA"/>
    <x v="10"/>
  </r>
  <r>
    <d v="2026-02-18T00:00:00"/>
    <m/>
    <m/>
    <n v="2300000"/>
    <x v="2"/>
    <n v="163025466"/>
    <m/>
    <x v="4"/>
  </r>
  <r>
    <d v="2026-02-18T00:00:00"/>
    <m/>
    <m/>
    <n v="457000"/>
    <x v="2"/>
    <n v="163482466"/>
    <m/>
    <x v="0"/>
  </r>
  <r>
    <d v="2026-02-18T00:00:00"/>
    <m/>
    <m/>
    <n v="170000"/>
    <x v="2"/>
    <n v="163652466"/>
    <m/>
    <x v="6"/>
  </r>
  <r>
    <m/>
    <m/>
    <n v="2927000"/>
    <m/>
    <x v="1"/>
    <n v="163652466"/>
    <s v="SETORAN NANANG"/>
    <x v="5"/>
  </r>
  <r>
    <d v="2026-02-18T00:00:00"/>
    <n v="600000"/>
    <m/>
    <m/>
    <x v="2"/>
    <n v="163052466"/>
    <s v="IMRON ROSADI HONOR GURU TPQ"/>
    <x v="14"/>
  </r>
  <r>
    <d v="2026-02-18T00:00:00"/>
    <n v="2500"/>
    <m/>
    <m/>
    <x v="2"/>
    <n v="163049966"/>
    <s v="IMRON ROSADI HONOR GURU TPQ"/>
    <x v="1"/>
  </r>
  <r>
    <d v="2026-02-18T00:00:00"/>
    <m/>
    <m/>
    <n v="20000"/>
    <x v="2"/>
    <n v="163069966"/>
    <s v="INFAQ WENNY WIDIYANI"/>
    <x v="0"/>
  </r>
  <r>
    <d v="2026-02-18T00:00:00"/>
    <n v="750000"/>
    <m/>
    <m/>
    <x v="2"/>
    <n v="162319966"/>
    <s v="HONOR USTAD HASAN-DAARUL IHSAN MUBAROK"/>
    <x v="2"/>
  </r>
  <r>
    <d v="2026-02-18T00:00:00"/>
    <n v="6500"/>
    <m/>
    <m/>
    <x v="2"/>
    <n v="162313466"/>
    <s v="HONOR USTAD HASAN-DAARUL IHSAN MUBAROK"/>
    <x v="2"/>
  </r>
  <r>
    <d v="2026-02-19T00:00:00"/>
    <m/>
    <m/>
    <n v="100000"/>
    <x v="2"/>
    <n v="162413466"/>
    <s v="INFAQ QRIS"/>
    <x v="0"/>
  </r>
  <r>
    <d v="2026-02-19T00:00:00"/>
    <m/>
    <m/>
    <n v="10000"/>
    <x v="2"/>
    <n v="162423466"/>
    <s v="INFAQ QRIS"/>
    <x v="0"/>
  </r>
  <r>
    <d v="2026-02-19T00:00:00"/>
    <m/>
    <m/>
    <n v="30000"/>
    <x v="2"/>
    <n v="162453466"/>
    <s v="INFAQ QRIS"/>
    <x v="0"/>
  </r>
  <r>
    <d v="2026-02-19T00:00:00"/>
    <m/>
    <m/>
    <n v="10000"/>
    <x v="2"/>
    <n v="162463466"/>
    <s v="INFAQ QRIS"/>
    <x v="0"/>
  </r>
  <r>
    <d v="2026-02-19T00:00:00"/>
    <m/>
    <m/>
    <n v="17000"/>
    <x v="2"/>
    <n v="162480466"/>
    <s v="INFAQ QRIS"/>
    <x v="0"/>
  </r>
  <r>
    <d v="2026-02-19T00:00:00"/>
    <m/>
    <m/>
    <n v="2000"/>
    <x v="2"/>
    <n v="162482466"/>
    <s v="INFAQ QRIS"/>
    <x v="0"/>
  </r>
  <r>
    <d v="2026-02-19T00:00:00"/>
    <m/>
    <m/>
    <n v="10000"/>
    <x v="2"/>
    <n v="162492466"/>
    <s v="INFAQ QRIS"/>
    <x v="0"/>
  </r>
  <r>
    <d v="2026-02-19T00:00:00"/>
    <m/>
    <m/>
    <n v="10000"/>
    <x v="2"/>
    <n v="162502466"/>
    <s v="INFAQ QRIS"/>
    <x v="0"/>
  </r>
  <r>
    <d v="2026-02-19T00:00:00"/>
    <m/>
    <m/>
    <n v="25000"/>
    <x v="2"/>
    <n v="162527466"/>
    <s v="INFAQ QRIS"/>
    <x v="0"/>
  </r>
  <r>
    <d v="2026-02-19T00:00:00"/>
    <m/>
    <m/>
    <n v="5000"/>
    <x v="2"/>
    <n v="162532466"/>
    <s v="INFAQ QRIS"/>
    <x v="0"/>
  </r>
  <r>
    <d v="2026-02-19T00:00:00"/>
    <m/>
    <m/>
    <n v="10000"/>
    <x v="2"/>
    <n v="162542466"/>
    <s v="INFAQ QRIS"/>
    <x v="0"/>
  </r>
  <r>
    <d v="2026-02-19T00:00:00"/>
    <m/>
    <m/>
    <n v="20000"/>
    <x v="2"/>
    <n v="162562466"/>
    <s v="INFAQ QRIS"/>
    <x v="0"/>
  </r>
  <r>
    <d v="2026-02-19T00:00:00"/>
    <m/>
    <m/>
    <n v="20000"/>
    <x v="2"/>
    <n v="162582466"/>
    <s v="INFAQ QRIS"/>
    <x v="0"/>
  </r>
  <r>
    <d v="2026-02-19T00:00:00"/>
    <m/>
    <m/>
    <n v="10000"/>
    <x v="2"/>
    <n v="162592466"/>
    <s v="INFAQ QRIS"/>
    <x v="0"/>
  </r>
  <r>
    <d v="2026-02-19T00:00:00"/>
    <m/>
    <m/>
    <n v="100000"/>
    <x v="2"/>
    <n v="162692466"/>
    <s v="INFAQ QRIS"/>
    <x v="0"/>
  </r>
  <r>
    <d v="2026-02-19T00:00:00"/>
    <m/>
    <m/>
    <n v="50000"/>
    <x v="2"/>
    <n v="162742466"/>
    <s v="INFAQ QRIS"/>
    <x v="0"/>
  </r>
  <r>
    <d v="2026-02-19T00:00:00"/>
    <m/>
    <m/>
    <n v="10000"/>
    <x v="2"/>
    <n v="162752466"/>
    <s v="INFAQ QRIS"/>
    <x v="0"/>
  </r>
  <r>
    <d v="2026-02-19T00:00:00"/>
    <m/>
    <m/>
    <n v="5000"/>
    <x v="2"/>
    <n v="162757466"/>
    <s v="INFAQ QRIS"/>
    <x v="0"/>
  </r>
  <r>
    <d v="2026-02-19T00:00:00"/>
    <m/>
    <m/>
    <n v="5000"/>
    <x v="2"/>
    <n v="162762466"/>
    <s v="INFAQ QRIS"/>
    <x v="0"/>
  </r>
  <r>
    <d v="2026-02-19T00:00:00"/>
    <m/>
    <m/>
    <n v="100000"/>
    <x v="2"/>
    <n v="162862466"/>
    <s v="INFAQ QRIS"/>
    <x v="0"/>
  </r>
  <r>
    <d v="2026-02-19T00:00:00"/>
    <m/>
    <m/>
    <n v="15000"/>
    <x v="2"/>
    <n v="162877466"/>
    <s v="INFAQ QRIS"/>
    <x v="0"/>
  </r>
  <r>
    <d v="2026-02-19T00:00:00"/>
    <m/>
    <m/>
    <n v="2000"/>
    <x v="2"/>
    <n v="162879466"/>
    <s v="INFAQ QRIS"/>
    <x v="0"/>
  </r>
  <r>
    <d v="2026-02-19T00:00:00"/>
    <m/>
    <m/>
    <n v="10000"/>
    <x v="2"/>
    <n v="162889466"/>
    <s v="INFAQ QRIS"/>
    <x v="0"/>
  </r>
  <r>
    <d v="2026-02-19T00:00:00"/>
    <m/>
    <m/>
    <n v="25000"/>
    <x v="2"/>
    <n v="162914466"/>
    <s v="INFAQ QRIS"/>
    <x v="0"/>
  </r>
  <r>
    <d v="2026-02-19T00:00:00"/>
    <m/>
    <m/>
    <n v="50000"/>
    <x v="2"/>
    <n v="162964466"/>
    <s v="INFAQ QRIS"/>
    <x v="0"/>
  </r>
  <r>
    <d v="2026-02-19T00:00:00"/>
    <m/>
    <m/>
    <n v="100000"/>
    <x v="2"/>
    <n v="163064466"/>
    <s v="INFAQ QRIS"/>
    <x v="0"/>
  </r>
  <r>
    <d v="2026-02-19T00:00:00"/>
    <m/>
    <m/>
    <n v="5000"/>
    <x v="2"/>
    <n v="163069466"/>
    <s v="INFAQ QRIS"/>
    <x v="0"/>
  </r>
  <r>
    <d v="2026-02-19T00:00:00"/>
    <m/>
    <m/>
    <n v="10000"/>
    <x v="2"/>
    <n v="163079466"/>
    <s v="INFAQ QRIS"/>
    <x v="0"/>
  </r>
  <r>
    <d v="2026-02-19T00:00:00"/>
    <m/>
    <m/>
    <n v="25000"/>
    <x v="2"/>
    <n v="163104466"/>
    <s v="INFAQ QRIS"/>
    <x v="0"/>
  </r>
  <r>
    <d v="2026-02-19T00:00:00"/>
    <m/>
    <m/>
    <n v="15000"/>
    <x v="2"/>
    <n v="163119466"/>
    <s v="INFAQ QRIS"/>
    <x v="0"/>
  </r>
  <r>
    <d v="2026-02-19T00:00:00"/>
    <m/>
    <m/>
    <n v="50000"/>
    <x v="2"/>
    <n v="163169466"/>
    <s v="INFAQ QRIS"/>
    <x v="0"/>
  </r>
  <r>
    <d v="2026-02-19T00:00:00"/>
    <m/>
    <m/>
    <n v="100000"/>
    <x v="2"/>
    <n v="163269466"/>
    <s v="INFAQ QRIS"/>
    <x v="0"/>
  </r>
  <r>
    <d v="2026-02-19T00:00:00"/>
    <m/>
    <m/>
    <n v="10000"/>
    <x v="2"/>
    <n v="163279466"/>
    <s v="INFAQ QRIS"/>
    <x v="0"/>
  </r>
  <r>
    <d v="2026-02-19T00:00:00"/>
    <m/>
    <m/>
    <n v="5000"/>
    <x v="2"/>
    <n v="163284466"/>
    <s v="INFAQ QRIS"/>
    <x v="0"/>
  </r>
  <r>
    <d v="2026-02-19T00:00:00"/>
    <m/>
    <m/>
    <n v="50000"/>
    <x v="2"/>
    <n v="163334466"/>
    <s v="INFAQ QRIS"/>
    <x v="0"/>
  </r>
  <r>
    <d v="2026-02-20T00:00:00"/>
    <m/>
    <m/>
    <n v="100000"/>
    <x v="2"/>
    <n v="163434466"/>
    <s v="INFAQ QRIS"/>
    <x v="0"/>
  </r>
  <r>
    <d v="2026-02-20T00:00:00"/>
    <m/>
    <m/>
    <n v="40000"/>
    <x v="2"/>
    <n v="163474466"/>
    <s v="INFAQ QRIS"/>
    <x v="0"/>
  </r>
  <r>
    <d v="2026-02-20T00:00:00"/>
    <m/>
    <m/>
    <n v="100000"/>
    <x v="2"/>
    <n v="163574466"/>
    <s v="INFAQ QRIS"/>
    <x v="0"/>
  </r>
  <r>
    <d v="2026-02-20T00:00:00"/>
    <m/>
    <m/>
    <n v="5000"/>
    <x v="2"/>
    <n v="163579466"/>
    <s v="INFAQ QRIS"/>
    <x v="0"/>
  </r>
  <r>
    <d v="2026-02-20T00:00:00"/>
    <m/>
    <m/>
    <n v="20000"/>
    <x v="2"/>
    <n v="163599466"/>
    <s v="INFAQ QRIS"/>
    <x v="0"/>
  </r>
  <r>
    <d v="2026-02-20T00:00:00"/>
    <m/>
    <m/>
    <n v="3000"/>
    <x v="2"/>
    <n v="163602466"/>
    <s v="INFAQ QRIS"/>
    <x v="0"/>
  </r>
  <r>
    <d v="2026-02-20T00:00:00"/>
    <m/>
    <m/>
    <n v="100000"/>
    <x v="2"/>
    <n v="163702466"/>
    <s v="INFAQ QRIS"/>
    <x v="0"/>
  </r>
  <r>
    <d v="2026-02-20T00:00:00"/>
    <m/>
    <m/>
    <n v="10000"/>
    <x v="2"/>
    <n v="163712466"/>
    <s v="INFAQ QRIS"/>
    <x v="0"/>
  </r>
  <r>
    <d v="2026-02-20T00:00:00"/>
    <m/>
    <m/>
    <n v="3000"/>
    <x v="2"/>
    <n v="163715466"/>
    <s v="INFAQ QRIS"/>
    <x v="0"/>
  </r>
  <r>
    <d v="2026-02-20T00:00:00"/>
    <m/>
    <m/>
    <n v="100000"/>
    <x v="2"/>
    <n v="163815466"/>
    <s v="INFAQ QRIS"/>
    <x v="0"/>
  </r>
  <r>
    <d v="2026-02-20T00:00:00"/>
    <m/>
    <m/>
    <n v="25000"/>
    <x v="2"/>
    <n v="163840466"/>
    <s v="INFAQ QRIS"/>
    <x v="0"/>
  </r>
  <r>
    <d v="2026-02-20T00:00:00"/>
    <m/>
    <m/>
    <n v="5000"/>
    <x v="2"/>
    <n v="163845466"/>
    <s v="INFAQ QRIS"/>
    <x v="0"/>
  </r>
  <r>
    <d v="2026-02-20T00:00:00"/>
    <m/>
    <m/>
    <n v="20000"/>
    <x v="2"/>
    <n v="163865466"/>
    <s v="INFAQ QRIS"/>
    <x v="0"/>
  </r>
  <r>
    <d v="2026-02-20T00:00:00"/>
    <m/>
    <m/>
    <n v="5000"/>
    <x v="2"/>
    <n v="163870466"/>
    <s v="INFAQ QRIS"/>
    <x v="0"/>
  </r>
  <r>
    <d v="2026-02-20T00:00:00"/>
    <m/>
    <m/>
    <n v="2000"/>
    <x v="2"/>
    <n v="163872466"/>
    <s v="INFAQ QRIS"/>
    <x v="0"/>
  </r>
  <r>
    <d v="2026-02-20T00:00:00"/>
    <m/>
    <m/>
    <n v="50000"/>
    <x v="2"/>
    <n v="163922466"/>
    <s v="INFAQ QRIS"/>
    <x v="0"/>
  </r>
  <r>
    <d v="2026-02-20T00:00:00"/>
    <m/>
    <m/>
    <n v="50000"/>
    <x v="2"/>
    <n v="163972466"/>
    <s v="INFAQ QRIS"/>
    <x v="0"/>
  </r>
  <r>
    <d v="2026-02-20T00:00:00"/>
    <m/>
    <m/>
    <n v="20000"/>
    <x v="2"/>
    <n v="163992466"/>
    <s v="INFAQ QRIS"/>
    <x v="0"/>
  </r>
  <r>
    <d v="2026-02-20T00:00:00"/>
    <m/>
    <m/>
    <n v="2500"/>
    <x v="2"/>
    <n v="163994966"/>
    <s v="INFAQ QRIS"/>
    <x v="0"/>
  </r>
  <r>
    <d v="2026-02-20T00:00:00"/>
    <m/>
    <m/>
    <n v="50000"/>
    <x v="2"/>
    <n v="164044966"/>
    <s v="INFAQ QRIS"/>
    <x v="0"/>
  </r>
  <r>
    <d v="2026-02-20T00:00:00"/>
    <m/>
    <m/>
    <n v="10000"/>
    <x v="2"/>
    <n v="164054966"/>
    <s v="INFAQ QRIS"/>
    <x v="0"/>
  </r>
  <r>
    <d v="2026-02-20T00:00:00"/>
    <m/>
    <m/>
    <n v="5000"/>
    <x v="2"/>
    <n v="164059966"/>
    <s v="INFAQ QRIS"/>
    <x v="0"/>
  </r>
  <r>
    <d v="2026-02-20T00:00:00"/>
    <m/>
    <m/>
    <n v="5000"/>
    <x v="2"/>
    <n v="164064966"/>
    <s v="INFAQ QRIS"/>
    <x v="0"/>
  </r>
  <r>
    <d v="2026-02-20T00:00:00"/>
    <m/>
    <m/>
    <n v="2000"/>
    <x v="2"/>
    <n v="164066966"/>
    <s v="INFAQ QRIS"/>
    <x v="0"/>
  </r>
  <r>
    <d v="2026-02-20T00:00:00"/>
    <m/>
    <m/>
    <n v="14000"/>
    <x v="2"/>
    <n v="164080966"/>
    <s v="INFAQ QRIS"/>
    <x v="0"/>
  </r>
  <r>
    <d v="2026-02-20T00:00:00"/>
    <m/>
    <m/>
    <n v="20000"/>
    <x v="2"/>
    <n v="164100966"/>
    <s v="INFAQ QRIS"/>
    <x v="0"/>
  </r>
  <r>
    <d v="2026-02-20T00:00:00"/>
    <m/>
    <m/>
    <n v="4000"/>
    <x v="2"/>
    <n v="164104966"/>
    <s v="INFAQ QRIS"/>
    <x v="0"/>
  </r>
  <r>
    <d v="2026-02-20T00:00:00"/>
    <m/>
    <m/>
    <n v="1011"/>
    <x v="2"/>
    <n v="164105977"/>
    <s v="INFAQ QRIS"/>
    <x v="0"/>
  </r>
  <r>
    <d v="2026-02-20T00:00:00"/>
    <m/>
    <m/>
    <n v="100000"/>
    <x v="2"/>
    <n v="164205977"/>
    <s v="INFAQ DEVI SALANTI"/>
    <x v="0"/>
  </r>
  <r>
    <d v="2026-02-20T00:00:00"/>
    <n v="5317200"/>
    <m/>
    <m/>
    <x v="2"/>
    <n v="158888777"/>
    <s v="GULUNGAN ALAS LANTAI MAJ VIA AMRAN ANWAR"/>
    <x v="8"/>
  </r>
  <r>
    <d v="2026-02-20T00:00:00"/>
    <n v="2500"/>
    <m/>
    <m/>
    <x v="2"/>
    <n v="158886277"/>
    <s v="GULUNGAN ALAS LANTAI MAJ VIA AMRAN ANWAR"/>
    <x v="8"/>
  </r>
  <r>
    <d v="2026-02-21T00:00:00"/>
    <m/>
    <m/>
    <n v="10000"/>
    <x v="2"/>
    <n v="158896277"/>
    <s v="INFAQ QRIS"/>
    <x v="0"/>
  </r>
  <r>
    <d v="2026-02-21T00:00:00"/>
    <m/>
    <m/>
    <n v="100000"/>
    <x v="2"/>
    <n v="158996277"/>
    <s v="INFAQ QRIS"/>
    <x v="0"/>
  </r>
  <r>
    <d v="2026-02-21T00:00:00"/>
    <m/>
    <m/>
    <n v="2000"/>
    <x v="2"/>
    <n v="158998277"/>
    <s v="INFAQ QRIS"/>
    <x v="0"/>
  </r>
  <r>
    <d v="2026-02-21T00:00:00"/>
    <m/>
    <m/>
    <n v="10000"/>
    <x v="2"/>
    <n v="159008277"/>
    <s v="INFAQ QRIS"/>
    <x v="0"/>
  </r>
  <r>
    <d v="2026-02-21T00:00:00"/>
    <m/>
    <m/>
    <n v="10000"/>
    <x v="2"/>
    <n v="159018277"/>
    <s v="INFAQ QRIS"/>
    <x v="0"/>
  </r>
  <r>
    <d v="2026-02-21T00:00:00"/>
    <m/>
    <m/>
    <n v="5000"/>
    <x v="2"/>
    <n v="159023277"/>
    <s v="INFAQ QRIS"/>
    <x v="0"/>
  </r>
  <r>
    <d v="2026-02-21T00:00:00"/>
    <m/>
    <m/>
    <n v="50000"/>
    <x v="2"/>
    <n v="159073277"/>
    <s v="INFAQ QRIS"/>
    <x v="0"/>
  </r>
  <r>
    <d v="2026-02-21T00:00:00"/>
    <m/>
    <m/>
    <n v="3000"/>
    <x v="2"/>
    <n v="159076277"/>
    <s v="INFAQ QRIS"/>
    <x v="0"/>
  </r>
  <r>
    <d v="2026-02-21T00:00:00"/>
    <m/>
    <m/>
    <n v="25000"/>
    <x v="2"/>
    <n v="159101277"/>
    <s v="INFAQ QRIS"/>
    <x v="0"/>
  </r>
  <r>
    <d v="2026-02-21T00:00:00"/>
    <m/>
    <m/>
    <n v="15000"/>
    <x v="2"/>
    <n v="159116277"/>
    <s v="INFAQ QRIS"/>
    <x v="0"/>
  </r>
  <r>
    <d v="2026-02-21T00:00:00"/>
    <m/>
    <m/>
    <n v="5000"/>
    <x v="2"/>
    <n v="159121277"/>
    <s v="INFAQ QRIS"/>
    <x v="0"/>
  </r>
  <r>
    <d v="2026-02-21T00:00:00"/>
    <m/>
    <m/>
    <n v="10000"/>
    <x v="2"/>
    <n v="159131277"/>
    <s v="INFAQ QRIS"/>
    <x v="0"/>
  </r>
  <r>
    <d v="2026-02-21T00:00:00"/>
    <m/>
    <m/>
    <n v="50000"/>
    <x v="2"/>
    <n v="159181277"/>
    <s v="INFAQ QRIS"/>
    <x v="0"/>
  </r>
  <r>
    <d v="2026-02-21T00:00:00"/>
    <m/>
    <m/>
    <n v="20000"/>
    <x v="2"/>
    <n v="159201277"/>
    <s v="INFAQ QRIS"/>
    <x v="0"/>
  </r>
  <r>
    <d v="2026-02-21T00:00:00"/>
    <m/>
    <m/>
    <n v="25000"/>
    <x v="2"/>
    <n v="159226277"/>
    <s v="INFAQ QRIS"/>
    <x v="0"/>
  </r>
  <r>
    <d v="2026-02-21T00:00:00"/>
    <m/>
    <m/>
    <n v="50000"/>
    <x v="2"/>
    <n v="159276277"/>
    <s v="INFAQ QRIS"/>
    <x v="0"/>
  </r>
  <r>
    <d v="2026-02-21T00:00:00"/>
    <m/>
    <m/>
    <n v="20000"/>
    <x v="2"/>
    <n v="159296277"/>
    <s v="INFAQ QRIS"/>
    <x v="0"/>
  </r>
  <r>
    <d v="2026-02-21T00:00:00"/>
    <m/>
    <m/>
    <n v="20000"/>
    <x v="2"/>
    <n v="159316277"/>
    <s v="INFAQ QRIS"/>
    <x v="0"/>
  </r>
  <r>
    <d v="2026-02-21T00:00:00"/>
    <m/>
    <m/>
    <n v="100000"/>
    <x v="2"/>
    <n v="159416277"/>
    <s v="INFAQ QRIS"/>
    <x v="0"/>
  </r>
  <r>
    <d v="2026-02-21T00:00:00"/>
    <m/>
    <m/>
    <n v="50000"/>
    <x v="2"/>
    <n v="159466277"/>
    <s v="INFAQ QRIS"/>
    <x v="0"/>
  </r>
  <r>
    <d v="2026-02-21T00:00:00"/>
    <m/>
    <m/>
    <n v="50000"/>
    <x v="2"/>
    <n v="159516277"/>
    <s v="INFAQ QRIS"/>
    <x v="0"/>
  </r>
  <r>
    <d v="2026-02-21T00:00:00"/>
    <m/>
    <m/>
    <n v="50000"/>
    <x v="2"/>
    <n v="159566277"/>
    <s v="INFAQ QRIS"/>
    <x v="0"/>
  </r>
  <r>
    <d v="2026-02-21T00:00:00"/>
    <m/>
    <m/>
    <n v="10000"/>
    <x v="2"/>
    <n v="159576277"/>
    <s v="INFAQ QRIS"/>
    <x v="0"/>
  </r>
  <r>
    <d v="2026-02-21T00:00:00"/>
    <m/>
    <m/>
    <n v="50000"/>
    <x v="2"/>
    <n v="159626277"/>
    <s v="INFAQ QRIS"/>
    <x v="0"/>
  </r>
  <r>
    <d v="2026-02-21T00:00:00"/>
    <m/>
    <m/>
    <n v="15000"/>
    <x v="2"/>
    <n v="159641277"/>
    <s v="INFAQ QRIS"/>
    <x v="0"/>
  </r>
  <r>
    <d v="2026-02-21T00:00:00"/>
    <m/>
    <m/>
    <n v="50000"/>
    <x v="2"/>
    <n v="159691277"/>
    <s v="INFAQ QRIS"/>
    <x v="0"/>
  </r>
  <r>
    <d v="2026-02-21T00:00:00"/>
    <m/>
    <m/>
    <n v="100000"/>
    <x v="2"/>
    <n v="159791277"/>
    <s v="INFAQ QRIS"/>
    <x v="0"/>
  </r>
  <r>
    <d v="2026-02-21T00:00:00"/>
    <m/>
    <m/>
    <n v="20000"/>
    <x v="2"/>
    <n v="159811277"/>
    <s v="INFAQ QRIS"/>
    <x v="0"/>
  </r>
  <r>
    <d v="2026-02-21T00:00:00"/>
    <m/>
    <m/>
    <n v="5000"/>
    <x v="2"/>
    <n v="159816277"/>
    <s v="INFAQ QRIS"/>
    <x v="0"/>
  </r>
  <r>
    <d v="2026-02-21T00:00:00"/>
    <m/>
    <m/>
    <n v="50000"/>
    <x v="2"/>
    <n v="159866277"/>
    <s v="INFAQ QRIS"/>
    <x v="0"/>
  </r>
  <r>
    <d v="2026-02-21T00:00:00"/>
    <m/>
    <m/>
    <n v="3000"/>
    <x v="2"/>
    <n v="159869277"/>
    <s v="INFAQ QRIS"/>
    <x v="0"/>
  </r>
  <r>
    <d v="2026-02-21T00:00:00"/>
    <m/>
    <m/>
    <n v="5000"/>
    <x v="2"/>
    <n v="159874277"/>
    <s v="INFAQ QRIS"/>
    <x v="0"/>
  </r>
  <r>
    <d v="2026-02-21T00:00:00"/>
    <m/>
    <m/>
    <n v="50000"/>
    <x v="2"/>
    <n v="159924277"/>
    <s v="INFAQ QRIS"/>
    <x v="0"/>
  </r>
  <r>
    <d v="2026-02-21T00:00:00"/>
    <m/>
    <m/>
    <n v="10000"/>
    <x v="2"/>
    <n v="159934277"/>
    <s v="INFAQ QRIS"/>
    <x v="0"/>
  </r>
  <r>
    <d v="2026-02-21T00:00:00"/>
    <m/>
    <m/>
    <n v="20000"/>
    <x v="2"/>
    <n v="159954277"/>
    <s v="INFAQ QRIS"/>
    <x v="0"/>
  </r>
  <r>
    <d v="2026-02-21T00:00:00"/>
    <m/>
    <m/>
    <n v="3000"/>
    <x v="2"/>
    <n v="159957277"/>
    <s v="INFAQ QRIS"/>
    <x v="0"/>
  </r>
  <r>
    <d v="2026-02-21T00:00:00"/>
    <m/>
    <m/>
    <n v="761500"/>
    <x v="2"/>
    <n v="160718777"/>
    <s v="INFAQ COLLECTIVE A IMRON ROSADI"/>
    <x v="0"/>
  </r>
  <r>
    <d v="2026-02-21T00:00:00"/>
    <n v="2749000"/>
    <m/>
    <m/>
    <x v="2"/>
    <n v="157969777"/>
    <s v="Beli keset pasang lampu MAJ via Amran"/>
    <x v="8"/>
  </r>
  <r>
    <d v="2026-02-21T00:00:00"/>
    <n v="6500"/>
    <m/>
    <m/>
    <x v="2"/>
    <n v="157963277"/>
    <s v="Beli keset pasang lampu MAJ via Amran"/>
    <x v="8"/>
  </r>
  <r>
    <d v="2026-02-21T00:00:00"/>
    <n v="2000000"/>
    <m/>
    <m/>
    <x v="2"/>
    <n v="155963277"/>
    <s v="Beli Voucher Listrik MAJ via Imron"/>
    <x v="15"/>
  </r>
  <r>
    <d v="2026-02-21T00:00:00"/>
    <n v="6500"/>
    <m/>
    <m/>
    <x v="2"/>
    <n v="155956777"/>
    <s v="Beli Voucher Listrik MAJ via Imron"/>
    <x v="15"/>
  </r>
  <r>
    <d v="2026-02-21T00:00:00"/>
    <m/>
    <m/>
    <n v="10000"/>
    <x v="2"/>
    <n v="155966777"/>
    <s v="INFAQ FADEL MUHAMMAD IKHWAN"/>
    <x v="0"/>
  </r>
  <r>
    <d v="2026-02-22T00:00:00"/>
    <m/>
    <m/>
    <n v="100000"/>
    <x v="2"/>
    <n v="156066777"/>
    <s v="INFAQ QRIS"/>
    <x v="0"/>
  </r>
  <r>
    <d v="2026-02-22T00:00:00"/>
    <m/>
    <m/>
    <n v="100000"/>
    <x v="2"/>
    <n v="156166777"/>
    <s v="INFAQ QRIS"/>
    <x v="0"/>
  </r>
  <r>
    <d v="2026-02-22T00:00:00"/>
    <m/>
    <m/>
    <n v="15000"/>
    <x v="2"/>
    <n v="156181777"/>
    <s v="INFAQ QRIS"/>
    <x v="0"/>
  </r>
  <r>
    <d v="2026-02-22T00:00:00"/>
    <m/>
    <m/>
    <n v="20000"/>
    <x v="2"/>
    <n v="156201777"/>
    <s v="INFAQ QRIS"/>
    <x v="0"/>
  </r>
  <r>
    <d v="2026-02-22T00:00:00"/>
    <m/>
    <m/>
    <n v="50000"/>
    <x v="2"/>
    <n v="156251777"/>
    <s v="INFAQ QRIS"/>
    <x v="0"/>
  </r>
  <r>
    <d v="2026-02-22T00:00:00"/>
    <m/>
    <m/>
    <n v="5000"/>
    <x v="2"/>
    <n v="156256777"/>
    <s v="INFAQ QRIS"/>
    <x v="0"/>
  </r>
  <r>
    <d v="2026-02-22T00:00:00"/>
    <m/>
    <m/>
    <n v="5000"/>
    <x v="2"/>
    <n v="156261777"/>
    <s v="INFAQ QRIS"/>
    <x v="0"/>
  </r>
  <r>
    <d v="2026-02-22T00:00:00"/>
    <m/>
    <m/>
    <n v="50000"/>
    <x v="2"/>
    <n v="156311777"/>
    <s v="INFAQ QRIS"/>
    <x v="0"/>
  </r>
  <r>
    <d v="2026-02-22T00:00:00"/>
    <m/>
    <m/>
    <n v="100000"/>
    <x v="2"/>
    <n v="156411777"/>
    <s v="INFAQ QRIS"/>
    <x v="0"/>
  </r>
  <r>
    <d v="2026-02-22T00:00:00"/>
    <m/>
    <m/>
    <n v="50000"/>
    <x v="2"/>
    <n v="156461777"/>
    <s v="INFAQ QRIS"/>
    <x v="0"/>
  </r>
  <r>
    <d v="2026-02-22T00:00:00"/>
    <m/>
    <m/>
    <n v="5000"/>
    <x v="2"/>
    <n v="156466777"/>
    <s v="INFAQ QRIS"/>
    <x v="0"/>
  </r>
  <r>
    <d v="2026-02-22T00:00:00"/>
    <m/>
    <m/>
    <n v="50000"/>
    <x v="2"/>
    <n v="156516777"/>
    <s v="INFAQ QRIS"/>
    <x v="0"/>
  </r>
  <r>
    <d v="2026-02-22T00:00:00"/>
    <m/>
    <m/>
    <n v="10000"/>
    <x v="2"/>
    <n v="156526777"/>
    <s v="INFAQ QRIS"/>
    <x v="0"/>
  </r>
  <r>
    <d v="2026-02-22T00:00:00"/>
    <m/>
    <m/>
    <n v="100000"/>
    <x v="2"/>
    <n v="156626777"/>
    <s v="INFAQ QRIS"/>
    <x v="0"/>
  </r>
  <r>
    <d v="2026-02-22T00:00:00"/>
    <m/>
    <m/>
    <n v="5000"/>
    <x v="2"/>
    <n v="156631777"/>
    <s v="INFAQ QRIS"/>
    <x v="0"/>
  </r>
  <r>
    <d v="2026-02-22T00:00:00"/>
    <m/>
    <m/>
    <n v="20000"/>
    <x v="2"/>
    <n v="156651777"/>
    <s v="INFAQ QRIS"/>
    <x v="0"/>
  </r>
  <r>
    <d v="2026-02-22T00:00:00"/>
    <m/>
    <m/>
    <n v="35000"/>
    <x v="2"/>
    <n v="156686777"/>
    <s v="INFAQ QRIS"/>
    <x v="0"/>
  </r>
  <r>
    <d v="2026-02-22T00:00:00"/>
    <m/>
    <m/>
    <n v="50000"/>
    <x v="2"/>
    <n v="156736777"/>
    <s v="INFAQ QRIS"/>
    <x v="0"/>
  </r>
  <r>
    <d v="2026-02-22T00:00:00"/>
    <m/>
    <m/>
    <n v="10000"/>
    <x v="2"/>
    <n v="156746777"/>
    <s v="INFAQ QRIS"/>
    <x v="0"/>
  </r>
  <r>
    <d v="2026-02-22T00:00:00"/>
    <m/>
    <m/>
    <n v="3000"/>
    <x v="2"/>
    <n v="156749777"/>
    <s v="INFAQ QRIS"/>
    <x v="0"/>
  </r>
  <r>
    <d v="2026-02-22T00:00:00"/>
    <m/>
    <m/>
    <n v="25000"/>
    <x v="2"/>
    <n v="156774777"/>
    <s v="INFAQ QRIS"/>
    <x v="0"/>
  </r>
  <r>
    <d v="2026-02-22T00:00:00"/>
    <m/>
    <m/>
    <n v="50000"/>
    <x v="2"/>
    <n v="156824777"/>
    <s v="INFAQ QRIS"/>
    <x v="0"/>
  </r>
  <r>
    <d v="2026-02-22T00:00:00"/>
    <m/>
    <m/>
    <n v="50000"/>
    <x v="2"/>
    <n v="156874777"/>
    <s v="INFAQ QRIS"/>
    <x v="0"/>
  </r>
  <r>
    <d v="2026-02-22T00:00:00"/>
    <m/>
    <m/>
    <n v="5000"/>
    <x v="2"/>
    <n v="156879777"/>
    <s v="INFAQ QRIS"/>
    <x v="0"/>
  </r>
  <r>
    <d v="2026-02-22T00:00:00"/>
    <m/>
    <m/>
    <n v="25000"/>
    <x v="2"/>
    <n v="156904777"/>
    <s v="INFAQ QRIS"/>
    <x v="0"/>
  </r>
  <r>
    <d v="2026-02-22T00:00:00"/>
    <m/>
    <m/>
    <n v="15000"/>
    <x v="2"/>
    <n v="156919777"/>
    <s v="INFAQ QRIS"/>
    <x v="0"/>
  </r>
  <r>
    <d v="2026-02-22T00:00:00"/>
    <m/>
    <m/>
    <n v="20000"/>
    <x v="2"/>
    <n v="156939777"/>
    <s v="INFAQ QRIS"/>
    <x v="0"/>
  </r>
  <r>
    <d v="2026-02-22T00:00:00"/>
    <m/>
    <m/>
    <n v="100000"/>
    <x v="2"/>
    <n v="157039777"/>
    <s v="INFAQ QRIS"/>
    <x v="0"/>
  </r>
  <r>
    <d v="2026-02-22T00:00:00"/>
    <m/>
    <m/>
    <n v="20000"/>
    <x v="2"/>
    <n v="157059777"/>
    <s v="INFAQ QRIS"/>
    <x v="0"/>
  </r>
  <r>
    <d v="2026-02-22T00:00:00"/>
    <m/>
    <m/>
    <n v="2000"/>
    <x v="2"/>
    <n v="157061777"/>
    <s v="INFAQ QRIS"/>
    <x v="0"/>
  </r>
  <r>
    <d v="2026-02-22T00:00:00"/>
    <m/>
    <m/>
    <n v="2500"/>
    <x v="2"/>
    <n v="157064277"/>
    <s v="INFAQ QRIS"/>
    <x v="0"/>
  </r>
  <r>
    <d v="2026-02-22T00:00:00"/>
    <m/>
    <m/>
    <n v="50000"/>
    <x v="2"/>
    <n v="157114277"/>
    <s v="INFAQ QRIS"/>
    <x v="0"/>
  </r>
  <r>
    <d v="2026-02-22T00:00:00"/>
    <m/>
    <m/>
    <n v="10000"/>
    <x v="2"/>
    <n v="157124277"/>
    <s v="INFAQ FADEL MUHAMMAD IKHWAN"/>
    <x v="0"/>
  </r>
  <r>
    <d v="2026-02-23T00:00:00"/>
    <m/>
    <m/>
    <n v="10000"/>
    <x v="2"/>
    <n v="157134277"/>
    <s v="INFAQ QRIS"/>
    <x v="0"/>
  </r>
  <r>
    <d v="2026-02-23T00:00:00"/>
    <m/>
    <m/>
    <n v="20000"/>
    <x v="2"/>
    <n v="157154277"/>
    <s v="INFAQ QRIS"/>
    <x v="0"/>
  </r>
  <r>
    <d v="2026-02-23T00:00:00"/>
    <m/>
    <m/>
    <n v="25000"/>
    <x v="2"/>
    <n v="157179277"/>
    <s v="INFAQ QRIS"/>
    <x v="0"/>
  </r>
  <r>
    <d v="2026-02-23T00:00:00"/>
    <m/>
    <m/>
    <n v="100000"/>
    <x v="2"/>
    <n v="157279277"/>
    <s v="INFAQ QRIS"/>
    <x v="0"/>
  </r>
  <r>
    <d v="2026-02-23T00:00:00"/>
    <m/>
    <m/>
    <n v="50000"/>
    <x v="2"/>
    <n v="157329277"/>
    <s v="INFAQ QRIS"/>
    <x v="0"/>
  </r>
  <r>
    <d v="2026-02-23T00:00:00"/>
    <m/>
    <m/>
    <n v="50000"/>
    <x v="2"/>
    <n v="157379277"/>
    <s v="INFAQ QRIS"/>
    <x v="0"/>
  </r>
  <r>
    <d v="2026-02-23T00:00:00"/>
    <m/>
    <m/>
    <n v="10000"/>
    <x v="2"/>
    <n v="157389277"/>
    <s v="INFAQ QRIS"/>
    <x v="0"/>
  </r>
  <r>
    <d v="2026-02-23T00:00:00"/>
    <m/>
    <m/>
    <n v="50000"/>
    <x v="2"/>
    <n v="157439277"/>
    <s v="INFAQ QRIS"/>
    <x v="0"/>
  </r>
  <r>
    <d v="2026-02-23T00:00:00"/>
    <m/>
    <m/>
    <n v="20000"/>
    <x v="2"/>
    <n v="157459277"/>
    <s v="INFAQ QRIS"/>
    <x v="0"/>
  </r>
  <r>
    <d v="2026-02-23T00:00:00"/>
    <m/>
    <m/>
    <n v="15000"/>
    <x v="2"/>
    <n v="157474277"/>
    <s v="INFAQ QRIS"/>
    <x v="0"/>
  </r>
  <r>
    <d v="2026-02-23T00:00:00"/>
    <m/>
    <m/>
    <n v="5000"/>
    <x v="2"/>
    <n v="157479277"/>
    <s v="INFAQ QRIS"/>
    <x v="0"/>
  </r>
  <r>
    <d v="2026-02-23T00:00:00"/>
    <m/>
    <m/>
    <n v="20000"/>
    <x v="2"/>
    <n v="157499277"/>
    <s v="INFAQ QRIS"/>
    <x v="0"/>
  </r>
  <r>
    <d v="2026-02-23T00:00:00"/>
    <m/>
    <m/>
    <n v="5000"/>
    <x v="2"/>
    <n v="157504277"/>
    <s v="INFAQ QRIS"/>
    <x v="0"/>
  </r>
  <r>
    <d v="2026-02-23T00:00:00"/>
    <m/>
    <m/>
    <n v="5000"/>
    <x v="2"/>
    <n v="157509277"/>
    <s v="INFAQ QRIS"/>
    <x v="0"/>
  </r>
  <r>
    <d v="2026-02-23T00:00:00"/>
    <m/>
    <m/>
    <n v="15000"/>
    <x v="2"/>
    <n v="157524277"/>
    <s v="INFAQ QRIS"/>
    <x v="0"/>
  </r>
  <r>
    <d v="2026-02-23T00:00:00"/>
    <m/>
    <m/>
    <n v="10000"/>
    <x v="2"/>
    <n v="157534277"/>
    <s v="INFAQ QRIS"/>
    <x v="0"/>
  </r>
  <r>
    <d v="2026-02-23T00:00:00"/>
    <m/>
    <m/>
    <n v="2502"/>
    <x v="2"/>
    <n v="157536779"/>
    <s v="INFAQ QRIS"/>
    <x v="0"/>
  </r>
  <r>
    <d v="2026-02-23T00:00:00"/>
    <m/>
    <m/>
    <n v="50000"/>
    <x v="2"/>
    <n v="157586779"/>
    <s v="INFAQ QRIS"/>
    <x v="0"/>
  </r>
  <r>
    <d v="2026-02-23T00:00:00"/>
    <m/>
    <m/>
    <n v="10000"/>
    <x v="2"/>
    <n v="157596779"/>
    <s v="INFAQ QRIS"/>
    <x v="0"/>
  </r>
  <r>
    <d v="2026-02-23T00:00:00"/>
    <m/>
    <m/>
    <n v="10000"/>
    <x v="2"/>
    <n v="157606779"/>
    <s v="INFAQ QRIS"/>
    <x v="0"/>
  </r>
  <r>
    <d v="2026-02-23T00:00:00"/>
    <m/>
    <m/>
    <n v="50000"/>
    <x v="2"/>
    <n v="157656779"/>
    <s v="INFAQ QRIS"/>
    <x v="0"/>
  </r>
  <r>
    <d v="2026-02-23T00:00:00"/>
    <m/>
    <m/>
    <n v="15000"/>
    <x v="2"/>
    <n v="157671779"/>
    <s v="INFAQ QRIS"/>
    <x v="0"/>
  </r>
  <r>
    <d v="2026-02-23T00:00:00"/>
    <m/>
    <m/>
    <n v="2000"/>
    <x v="2"/>
    <n v="157673779"/>
    <s v="INFAQ QRIS"/>
    <x v="0"/>
  </r>
  <r>
    <d v="2026-02-23T00:00:00"/>
    <m/>
    <m/>
    <n v="20000"/>
    <x v="2"/>
    <n v="157693779"/>
    <s v="INFAQ QRIS"/>
    <x v="0"/>
  </r>
  <r>
    <d v="2026-02-23T00:00:00"/>
    <m/>
    <m/>
    <n v="10000"/>
    <x v="2"/>
    <n v="157703779"/>
    <s v="INFAQ QRIS"/>
    <x v="0"/>
  </r>
  <r>
    <d v="2026-02-23T00:00:00"/>
    <m/>
    <m/>
    <n v="35000"/>
    <x v="2"/>
    <n v="157738779"/>
    <s v="INFAQ QRIS"/>
    <x v="0"/>
  </r>
  <r>
    <d v="2026-02-24T00:00:00"/>
    <m/>
    <m/>
    <n v="10000"/>
    <x v="2"/>
    <n v="157748779"/>
    <s v="INFAQ QRIS"/>
    <x v="0"/>
  </r>
  <r>
    <d v="2026-02-24T00:00:00"/>
    <m/>
    <m/>
    <n v="20000"/>
    <x v="2"/>
    <n v="157768779"/>
    <s v="INFAQ QRIS"/>
    <x v="0"/>
  </r>
  <r>
    <d v="2026-02-24T00:00:00"/>
    <m/>
    <m/>
    <n v="10000"/>
    <x v="2"/>
    <n v="157778779"/>
    <s v="INFAQ QRIS"/>
    <x v="0"/>
  </r>
  <r>
    <d v="2026-02-24T00:00:00"/>
    <m/>
    <m/>
    <n v="20000"/>
    <x v="2"/>
    <n v="157798779"/>
    <s v="INFAQ QRIS"/>
    <x v="0"/>
  </r>
  <r>
    <d v="2026-02-24T00:00:00"/>
    <m/>
    <m/>
    <n v="5000"/>
    <x v="2"/>
    <n v="157803779"/>
    <s v="INFAQ QRIS"/>
    <x v="0"/>
  </r>
  <r>
    <d v="2026-02-24T00:00:00"/>
    <m/>
    <m/>
    <n v="50000"/>
    <x v="2"/>
    <n v="157853779"/>
    <s v="INFAQ QRIS"/>
    <x v="0"/>
  </r>
  <r>
    <d v="2026-02-24T00:00:00"/>
    <m/>
    <m/>
    <n v="10000"/>
    <x v="2"/>
    <n v="157863779"/>
    <s v="INFAQ QRIS"/>
    <x v="0"/>
  </r>
  <r>
    <d v="2026-02-24T00:00:00"/>
    <m/>
    <m/>
    <n v="20000"/>
    <x v="2"/>
    <n v="157883779"/>
    <s v="INFAQ QRIS"/>
    <x v="0"/>
  </r>
  <r>
    <d v="2026-02-24T00:00:00"/>
    <m/>
    <m/>
    <n v="50000"/>
    <x v="2"/>
    <n v="157933779"/>
    <s v="INFAQ QRIS"/>
    <x v="0"/>
  </r>
  <r>
    <d v="2026-02-24T00:00:00"/>
    <m/>
    <m/>
    <n v="25000"/>
    <x v="2"/>
    <n v="157958779"/>
    <s v="INFAQ QRIS"/>
    <x v="0"/>
  </r>
  <r>
    <d v="2026-02-24T00:00:00"/>
    <m/>
    <m/>
    <n v="10000"/>
    <x v="2"/>
    <n v="157968779"/>
    <s v="INFAQ QRIS"/>
    <x v="0"/>
  </r>
  <r>
    <d v="2026-02-24T00:00:00"/>
    <m/>
    <m/>
    <n v="50000"/>
    <x v="2"/>
    <n v="158018779"/>
    <s v="INFAQ QRIS"/>
    <x v="0"/>
  </r>
  <r>
    <d v="2026-02-24T00:00:00"/>
    <m/>
    <m/>
    <n v="50000"/>
    <x v="2"/>
    <n v="158068779"/>
    <s v="INFAQ QRIS"/>
    <x v="0"/>
  </r>
  <r>
    <d v="2026-02-24T00:00:00"/>
    <m/>
    <m/>
    <n v="10000"/>
    <x v="2"/>
    <n v="158078779"/>
    <s v="INFAQ QRIS"/>
    <x v="0"/>
  </r>
  <r>
    <d v="2026-02-24T00:00:00"/>
    <m/>
    <m/>
    <n v="50000"/>
    <x v="2"/>
    <n v="158128779"/>
    <s v="INFAQ QRIS"/>
    <x v="0"/>
  </r>
  <r>
    <d v="2026-02-24T00:00:00"/>
    <m/>
    <m/>
    <n v="1011"/>
    <x v="2"/>
    <n v="158129790"/>
    <s v="INFAQ QRIS"/>
    <x v="0"/>
  </r>
  <r>
    <d v="2026-02-24T00:00:00"/>
    <m/>
    <m/>
    <n v="50000"/>
    <x v="2"/>
    <n v="158179790"/>
    <s v="INFAQ QRIS"/>
    <x v="0"/>
  </r>
  <r>
    <d v="2026-02-24T00:00:00"/>
    <m/>
    <m/>
    <n v="50000"/>
    <x v="2"/>
    <n v="158229790"/>
    <s v="INFAQ QRIS"/>
    <x v="0"/>
  </r>
  <r>
    <d v="2026-02-24T00:00:00"/>
    <m/>
    <m/>
    <n v="5000"/>
    <x v="2"/>
    <n v="158234790"/>
    <s v="INFAQ QRIS"/>
    <x v="0"/>
  </r>
  <r>
    <d v="2026-02-24T00:00:00"/>
    <m/>
    <m/>
    <n v="15000"/>
    <x v="2"/>
    <n v="158249790"/>
    <s v="INFAQ QRIS"/>
    <x v="0"/>
  </r>
  <r>
    <d v="2026-02-24T00:00:00"/>
    <m/>
    <m/>
    <n v="10000"/>
    <x v="2"/>
    <n v="158259790"/>
    <s v="INFAQ QRIS"/>
    <x v="0"/>
  </r>
  <r>
    <d v="2026-02-24T00:00:00"/>
    <m/>
    <m/>
    <n v="50000"/>
    <x v="2"/>
    <n v="158309790"/>
    <s v="INFAQ QRIS"/>
    <x v="0"/>
  </r>
  <r>
    <d v="2026-02-24T00:00:00"/>
    <m/>
    <m/>
    <n v="5000"/>
    <x v="2"/>
    <n v="158314790"/>
    <s v="INFAQ QRIS"/>
    <x v="0"/>
  </r>
  <r>
    <d v="2026-02-24T00:00:00"/>
    <m/>
    <m/>
    <n v="30000"/>
    <x v="2"/>
    <n v="158344790"/>
    <s v="INFAQ QRIS"/>
    <x v="0"/>
  </r>
  <r>
    <d v="2026-02-24T00:00:00"/>
    <m/>
    <m/>
    <n v="2500"/>
    <x v="2"/>
    <n v="158347290"/>
    <s v="INFAQ QRIS"/>
    <x v="0"/>
  </r>
  <r>
    <d v="2026-02-24T00:00:00"/>
    <m/>
    <m/>
    <n v="17000"/>
    <x v="2"/>
    <n v="158364290"/>
    <s v="INFAQ QRIS"/>
    <x v="0"/>
  </r>
  <r>
    <d v="2026-02-24T00:00:00"/>
    <m/>
    <m/>
    <n v="2778000"/>
    <x v="2"/>
    <n v="161142290"/>
    <m/>
    <x v="4"/>
  </r>
  <r>
    <d v="2026-02-24T00:00:00"/>
    <m/>
    <m/>
    <n v="805000"/>
    <x v="2"/>
    <n v="161947290"/>
    <m/>
    <x v="0"/>
  </r>
  <r>
    <d v="2026-02-24T00:00:00"/>
    <m/>
    <m/>
    <n v="4628000"/>
    <x v="2"/>
    <n v="166575290"/>
    <m/>
    <x v="16"/>
  </r>
  <r>
    <m/>
    <m/>
    <n v="8211000"/>
    <m/>
    <x v="1"/>
    <n v="166575290"/>
    <s v="SETOR NANANG"/>
    <x v="5"/>
  </r>
  <r>
    <d v="2026-02-24T00:00:00"/>
    <m/>
    <m/>
    <n v="20000"/>
    <x v="2"/>
    <n v="166595290"/>
    <s v="INFAQ QRIS"/>
    <x v="0"/>
  </r>
  <r>
    <d v="2026-02-25T00:00:00"/>
    <m/>
    <m/>
    <n v="100000"/>
    <x v="2"/>
    <n v="166695290"/>
    <s v="INFAQ QRIS"/>
    <x v="0"/>
  </r>
  <r>
    <d v="2026-02-25T00:00:00"/>
    <m/>
    <m/>
    <n v="15000"/>
    <x v="2"/>
    <n v="166710290"/>
    <s v="INFAQ QRIS"/>
    <x v="0"/>
  </r>
  <r>
    <d v="2026-02-25T00:00:00"/>
    <m/>
    <m/>
    <n v="20000"/>
    <x v="2"/>
    <n v="166730290"/>
    <s v="INFAQ QRIS"/>
    <x v="0"/>
  </r>
  <r>
    <d v="2026-02-25T00:00:00"/>
    <m/>
    <m/>
    <n v="20000"/>
    <x v="2"/>
    <n v="166750290"/>
    <s v="INFAQ QRIS"/>
    <x v="0"/>
  </r>
  <r>
    <d v="2026-02-25T00:00:00"/>
    <m/>
    <m/>
    <n v="5000"/>
    <x v="2"/>
    <n v="166755290"/>
    <s v="INFAQ QRIS"/>
    <x v="0"/>
  </r>
  <r>
    <d v="2026-02-25T00:00:00"/>
    <m/>
    <m/>
    <n v="50000"/>
    <x v="2"/>
    <n v="166805290"/>
    <s v="INFAQ QRIS"/>
    <x v="0"/>
  </r>
  <r>
    <d v="2026-02-25T00:00:00"/>
    <m/>
    <m/>
    <n v="25000"/>
    <x v="2"/>
    <n v="166830290"/>
    <s v="INFAQ QRIS"/>
    <x v="0"/>
  </r>
  <r>
    <d v="2026-02-25T00:00:00"/>
    <m/>
    <m/>
    <n v="50000"/>
    <x v="2"/>
    <n v="166880290"/>
    <s v="INFAQ QRIS"/>
    <x v="0"/>
  </r>
  <r>
    <d v="2026-02-25T00:00:00"/>
    <m/>
    <m/>
    <n v="50000"/>
    <x v="2"/>
    <n v="166930290"/>
    <s v="INFAQ QRIS"/>
    <x v="0"/>
  </r>
  <r>
    <d v="2026-02-25T00:00:00"/>
    <m/>
    <m/>
    <n v="10000"/>
    <x v="2"/>
    <n v="166940290"/>
    <s v="INFAQ QRIS"/>
    <x v="0"/>
  </r>
  <r>
    <d v="2026-02-25T00:00:00"/>
    <m/>
    <m/>
    <n v="25000"/>
    <x v="2"/>
    <n v="166965290"/>
    <s v="INFAQ QRIS"/>
    <x v="0"/>
  </r>
  <r>
    <d v="2026-02-25T00:00:00"/>
    <m/>
    <m/>
    <n v="25000"/>
    <x v="2"/>
    <n v="166990290"/>
    <s v="INFAQ QRIS"/>
    <x v="0"/>
  </r>
  <r>
    <d v="2026-02-25T00:00:00"/>
    <m/>
    <m/>
    <n v="15000"/>
    <x v="2"/>
    <n v="167005290"/>
    <s v="INFAQ QRIS"/>
    <x v="0"/>
  </r>
  <r>
    <d v="2026-02-25T00:00:00"/>
    <m/>
    <m/>
    <n v="100000"/>
    <x v="2"/>
    <n v="167105290"/>
    <s v="INFAQ QRIS"/>
    <x v="0"/>
  </r>
  <r>
    <d v="2026-02-25T00:00:00"/>
    <m/>
    <m/>
    <n v="10000"/>
    <x v="2"/>
    <n v="167115290"/>
    <s v="INFAQ QRIS"/>
    <x v="0"/>
  </r>
  <r>
    <d v="2026-02-25T00:00:00"/>
    <m/>
    <m/>
    <n v="25000"/>
    <x v="2"/>
    <n v="167140290"/>
    <s v="INFAQ QRIS"/>
    <x v="0"/>
  </r>
  <r>
    <d v="2026-02-25T00:00:00"/>
    <m/>
    <m/>
    <n v="15000"/>
    <x v="2"/>
    <n v="167155290"/>
    <s v="INFAQ QRIS"/>
    <x v="0"/>
  </r>
  <r>
    <d v="2026-02-25T00:00:00"/>
    <m/>
    <m/>
    <n v="10000"/>
    <x v="2"/>
    <n v="167165290"/>
    <s v="INFAQ QRIS"/>
    <x v="0"/>
  </r>
  <r>
    <d v="2026-02-25T00:00:00"/>
    <m/>
    <m/>
    <n v="100000"/>
    <x v="2"/>
    <n v="167265290"/>
    <s v="INFAQ QRIS"/>
    <x v="0"/>
  </r>
  <r>
    <d v="2026-02-25T00:00:00"/>
    <m/>
    <m/>
    <n v="5000"/>
    <x v="2"/>
    <n v="167270290"/>
    <s v="INFAQ QRIS"/>
    <x v="0"/>
  </r>
  <r>
    <d v="2026-02-25T00:00:00"/>
    <m/>
    <m/>
    <n v="20000"/>
    <x v="2"/>
    <n v="167290290"/>
    <s v="INFAQ QRIS"/>
    <x v="0"/>
  </r>
  <r>
    <d v="2026-02-25T00:00:00"/>
    <m/>
    <m/>
    <n v="10000"/>
    <x v="2"/>
    <n v="167300290"/>
    <s v="INFAQ QRIS"/>
    <x v="0"/>
  </r>
  <r>
    <d v="2026-02-25T00:00:00"/>
    <m/>
    <m/>
    <n v="2500"/>
    <x v="2"/>
    <n v="167302790"/>
    <s v="INFAQ QRIS"/>
    <x v="0"/>
  </r>
  <r>
    <d v="2026-02-25T00:00:00"/>
    <m/>
    <m/>
    <n v="50000"/>
    <x v="2"/>
    <n v="167352790"/>
    <s v="INFAQ QRIS"/>
    <x v="0"/>
  </r>
  <r>
    <d v="2026-02-25T00:00:00"/>
    <m/>
    <m/>
    <n v="20000"/>
    <x v="2"/>
    <n v="167372790"/>
    <s v="INFAQ QRIS"/>
    <x v="0"/>
  </r>
  <r>
    <d v="2026-02-25T00:00:00"/>
    <m/>
    <m/>
    <n v="10000"/>
    <x v="2"/>
    <n v="167382790"/>
    <s v="INFAQ QRIS"/>
    <x v="0"/>
  </r>
  <r>
    <d v="2026-02-25T00:00:00"/>
    <n v="10000000"/>
    <m/>
    <m/>
    <x v="2"/>
    <n v="157382790"/>
    <s v="KONSUMSI TABLIGH AKBAR MAJ VIA MARIYAM"/>
    <x v="17"/>
  </r>
  <r>
    <d v="2026-02-25T00:00:00"/>
    <n v="2500"/>
    <m/>
    <m/>
    <x v="2"/>
    <n v="157380290"/>
    <s v="Biaya Adm"/>
    <x v="1"/>
  </r>
  <r>
    <d v="2026-02-26T00:00:00"/>
    <m/>
    <m/>
    <n v="50000"/>
    <x v="2"/>
    <n v="157430290"/>
    <s v="INFAQ QRIS"/>
    <x v="0"/>
  </r>
  <r>
    <d v="2026-02-26T00:00:00"/>
    <m/>
    <m/>
    <n v="10000"/>
    <x v="2"/>
    <n v="157440290"/>
    <s v="INFAQ QRIS"/>
    <x v="0"/>
  </r>
  <r>
    <d v="2026-02-26T00:00:00"/>
    <m/>
    <m/>
    <n v="50000"/>
    <x v="2"/>
    <n v="157490290"/>
    <s v="INFAQ QRIS"/>
    <x v="0"/>
  </r>
  <r>
    <d v="2026-02-26T00:00:00"/>
    <m/>
    <m/>
    <n v="30000"/>
    <x v="2"/>
    <n v="157520290"/>
    <s v="INFAQ QRIS"/>
    <x v="0"/>
  </r>
  <r>
    <d v="2026-02-26T00:00:00"/>
    <m/>
    <m/>
    <n v="100000"/>
    <x v="2"/>
    <n v="157620290"/>
    <s v="INFAQ QRIS"/>
    <x v="0"/>
  </r>
  <r>
    <d v="2026-02-26T00:00:00"/>
    <m/>
    <m/>
    <n v="5000"/>
    <x v="2"/>
    <n v="157625290"/>
    <s v="INFAQ QRIS"/>
    <x v="0"/>
  </r>
  <r>
    <d v="2026-02-26T00:00:00"/>
    <m/>
    <m/>
    <n v="6000"/>
    <x v="2"/>
    <n v="157631290"/>
    <s v="INFAQ QRIS"/>
    <x v="0"/>
  </r>
  <r>
    <d v="2026-02-26T00:00:00"/>
    <m/>
    <m/>
    <n v="50000"/>
    <x v="2"/>
    <n v="157681290"/>
    <s v="INFAQ QRIS"/>
    <x v="0"/>
  </r>
  <r>
    <d v="2026-02-26T00:00:00"/>
    <m/>
    <m/>
    <n v="20000"/>
    <x v="2"/>
    <n v="157701290"/>
    <s v="INFAQ QRIS"/>
    <x v="0"/>
  </r>
  <r>
    <d v="2026-02-26T00:00:00"/>
    <m/>
    <m/>
    <n v="5000"/>
    <x v="2"/>
    <n v="157706290"/>
    <s v="INFAQ QRIS"/>
    <x v="0"/>
  </r>
  <r>
    <d v="2026-02-26T00:00:00"/>
    <m/>
    <m/>
    <n v="10000"/>
    <x v="2"/>
    <n v="157716290"/>
    <s v="INFAQ QRIS"/>
    <x v="0"/>
  </r>
  <r>
    <d v="2026-02-26T00:00:00"/>
    <m/>
    <m/>
    <n v="50000"/>
    <x v="2"/>
    <n v="157766290"/>
    <s v="INFAQ QRIS"/>
    <x v="0"/>
  </r>
  <r>
    <d v="2026-02-26T00:00:00"/>
    <m/>
    <m/>
    <n v="20000"/>
    <x v="2"/>
    <n v="157786290"/>
    <s v="INFAQ QRIS"/>
    <x v="0"/>
  </r>
  <r>
    <d v="2026-02-26T00:00:00"/>
    <m/>
    <m/>
    <n v="50000"/>
    <x v="2"/>
    <n v="157836290"/>
    <s v="INFAQ QRIS"/>
    <x v="0"/>
  </r>
  <r>
    <d v="2026-02-26T00:00:00"/>
    <m/>
    <m/>
    <n v="50000"/>
    <x v="2"/>
    <n v="157886290"/>
    <s v="INFAQ QRIS"/>
    <x v="0"/>
  </r>
  <r>
    <d v="2026-02-26T00:00:00"/>
    <m/>
    <m/>
    <n v="2500"/>
    <x v="2"/>
    <n v="157888790"/>
    <s v="INFAQ QRIS"/>
    <x v="0"/>
  </r>
  <r>
    <d v="2026-02-26T00:00:00"/>
    <m/>
    <m/>
    <n v="10000"/>
    <x v="2"/>
    <n v="157898790"/>
    <s v="INFAQ QRIS"/>
    <x v="0"/>
  </r>
  <r>
    <d v="2026-02-26T00:00:00"/>
    <m/>
    <m/>
    <n v="200000"/>
    <x v="2"/>
    <n v="158098790"/>
    <s v="TPQ Fatih Rivendra"/>
    <x v="10"/>
  </r>
  <r>
    <d v="2026-02-26T00:00:00"/>
    <m/>
    <m/>
    <n v="20000"/>
    <x v="2"/>
    <n v="158118790"/>
    <s v="INFAQ QRIS"/>
    <x v="0"/>
  </r>
  <r>
    <d v="2026-02-26T00:00:00"/>
    <n v="750000"/>
    <m/>
    <m/>
    <x v="2"/>
    <n v="157368790"/>
    <s v="AGUS SETIYONO Hadiah Kajian Taraweh MAJ 260226"/>
    <x v="18"/>
  </r>
  <r>
    <d v="2026-02-26T00:00:00"/>
    <n v="6500"/>
    <m/>
    <m/>
    <x v="2"/>
    <n v="157362290"/>
    <s v="Biaya Adm"/>
    <x v="1"/>
  </r>
  <r>
    <d v="2026-02-27T00:00:00"/>
    <m/>
    <m/>
    <n v="1500000"/>
    <x v="2"/>
    <n v="158862290"/>
    <s v="INFAQ ANGGONO IRIAWAN"/>
    <x v="0"/>
  </r>
  <r>
    <d v="2026-02-27T00:00:00"/>
    <m/>
    <m/>
    <n v="25000"/>
    <x v="2"/>
    <n v="158887290"/>
    <s v="INFAQ QRIS"/>
    <x v="0"/>
  </r>
  <r>
    <d v="2026-02-27T00:00:00"/>
    <m/>
    <m/>
    <n v="100000"/>
    <x v="2"/>
    <n v="158987290"/>
    <s v="INFAQ QRIS"/>
    <x v="0"/>
  </r>
  <r>
    <d v="2026-02-27T00:00:00"/>
    <m/>
    <m/>
    <n v="50000"/>
    <x v="2"/>
    <n v="159037290"/>
    <s v="INFAQ QRIS"/>
    <x v="0"/>
  </r>
  <r>
    <d v="2026-02-27T00:00:00"/>
    <m/>
    <m/>
    <n v="15000"/>
    <x v="2"/>
    <n v="159052290"/>
    <s v="INFAQ QRIS"/>
    <x v="0"/>
  </r>
  <r>
    <d v="2026-02-27T00:00:00"/>
    <m/>
    <m/>
    <n v="50000"/>
    <x v="2"/>
    <n v="159102290"/>
    <s v="INFAQ QRIS"/>
    <x v="0"/>
  </r>
  <r>
    <d v="2026-02-27T00:00:00"/>
    <m/>
    <m/>
    <n v="50000"/>
    <x v="2"/>
    <n v="159152290"/>
    <s v="INFAQ QRIS"/>
    <x v="0"/>
  </r>
  <r>
    <d v="2026-02-27T00:00:00"/>
    <m/>
    <m/>
    <n v="10000"/>
    <x v="2"/>
    <n v="159162290"/>
    <s v="INFAQ QRIS"/>
    <x v="0"/>
  </r>
  <r>
    <d v="2026-02-27T00:00:00"/>
    <m/>
    <m/>
    <n v="50000"/>
    <x v="2"/>
    <n v="159212290"/>
    <s v="INFAQ QRIS"/>
    <x v="0"/>
  </r>
  <r>
    <d v="2026-02-27T00:00:00"/>
    <m/>
    <m/>
    <n v="20000"/>
    <x v="2"/>
    <n v="159232290"/>
    <s v="INFAQ QRIS"/>
    <x v="0"/>
  </r>
  <r>
    <d v="2026-02-27T00:00:00"/>
    <m/>
    <m/>
    <n v="10000"/>
    <x v="2"/>
    <n v="159242290"/>
    <s v="INFAQ QRIS"/>
    <x v="0"/>
  </r>
  <r>
    <d v="2026-02-27T00:00:00"/>
    <m/>
    <m/>
    <n v="3000"/>
    <x v="2"/>
    <n v="159245290"/>
    <s v="INFAQ QRIS"/>
    <x v="0"/>
  </r>
  <r>
    <d v="2026-02-27T00:00:00"/>
    <m/>
    <m/>
    <n v="15000"/>
    <x v="2"/>
    <n v="159260290"/>
    <s v="INFAQ QRIS"/>
    <x v="0"/>
  </r>
  <r>
    <d v="2026-02-27T00:00:00"/>
    <m/>
    <m/>
    <n v="20000"/>
    <x v="2"/>
    <n v="159280290"/>
    <s v="INFAQ QRIS"/>
    <x v="0"/>
  </r>
  <r>
    <d v="2026-02-27T00:00:00"/>
    <m/>
    <m/>
    <n v="2000"/>
    <x v="2"/>
    <n v="159282290"/>
    <s v="INFAQ QRIS"/>
    <x v="0"/>
  </r>
  <r>
    <d v="2026-02-27T00:00:00"/>
    <m/>
    <m/>
    <n v="5000"/>
    <x v="2"/>
    <n v="159287290"/>
    <s v="INFAQ QRIS"/>
    <x v="0"/>
  </r>
  <r>
    <d v="2026-02-27T00:00:00"/>
    <m/>
    <m/>
    <n v="50000"/>
    <x v="2"/>
    <n v="159337290"/>
    <s v="INFAQ QRIS"/>
    <x v="0"/>
  </r>
  <r>
    <d v="2026-02-27T00:00:00"/>
    <m/>
    <m/>
    <n v="50000"/>
    <x v="2"/>
    <n v="159387290"/>
    <s v="INFAQ QRIS"/>
    <x v="0"/>
  </r>
  <r>
    <d v="2026-02-27T00:00:00"/>
    <m/>
    <m/>
    <n v="2500"/>
    <x v="2"/>
    <n v="159389790"/>
    <s v="INFAQ QRIS"/>
    <x v="0"/>
  </r>
  <r>
    <d v="2026-02-27T00:00:00"/>
    <m/>
    <m/>
    <n v="1011"/>
    <x v="2"/>
    <n v="159390801"/>
    <s v="INFAQ QRIS"/>
    <x v="0"/>
  </r>
  <r>
    <d v="2026-02-27T00:00:00"/>
    <m/>
    <m/>
    <n v="20000"/>
    <x v="2"/>
    <n v="159410801"/>
    <s v="INFAQ QRIS"/>
    <x v="0"/>
  </r>
  <r>
    <d v="2026-02-27T00:00:00"/>
    <n v="2700000"/>
    <m/>
    <m/>
    <x v="2"/>
    <n v="156710801"/>
    <s v="M BAYU CANDRA MAJ Honor Mushrif Februari 2026"/>
    <x v="3"/>
  </r>
  <r>
    <d v="2026-02-27T00:00:00"/>
    <n v="6500"/>
    <m/>
    <m/>
    <x v="2"/>
    <n v="156704301"/>
    <s v="M BAYU CANDRA MAJ Honor Mushrif Februari 2026"/>
    <x v="3"/>
  </r>
  <r>
    <d v="2026-02-27T00:00:00"/>
    <n v="1000000"/>
    <m/>
    <m/>
    <x v="2"/>
    <n v="155704301"/>
    <s v="AHMAD IMAM SAMUDRA MAJ"/>
    <x v="12"/>
  </r>
  <r>
    <d v="2026-02-27T00:00:00"/>
    <n v="6500"/>
    <m/>
    <m/>
    <x v="2"/>
    <n v="155697801"/>
    <s v="AHMAD IMAM SAMUDRA MAJ"/>
    <x v="12"/>
  </r>
  <r>
    <d v="2026-02-27T00:00:00"/>
    <n v="2500000"/>
    <m/>
    <m/>
    <x v="2"/>
    <n v="153197801"/>
    <s v="MUHAMMAD ILHAM MAJ Honor Februari 2026"/>
    <x v="12"/>
  </r>
  <r>
    <d v="2026-02-27T00:00:00"/>
    <n v="6500"/>
    <m/>
    <m/>
    <x v="2"/>
    <n v="153191301"/>
    <s v="MUHAMMAD ILHAM MAJ Honor Februari 2026"/>
    <x v="12"/>
  </r>
  <r>
    <d v="2026-02-27T00:00:00"/>
    <n v="4000000"/>
    <m/>
    <m/>
    <x v="2"/>
    <n v="149191301"/>
    <s v="M BAYU CANDRA MAJ Biaya Perawatan Santri Februari 2026"/>
    <x v="3"/>
  </r>
  <r>
    <d v="2026-02-27T00:00:00"/>
    <n v="6500"/>
    <m/>
    <m/>
    <x v="2"/>
    <n v="149184801"/>
    <s v="M BAYU CANDRA MAJ Biaya Perawatan Santri Februari 2026"/>
    <x v="3"/>
  </r>
  <r>
    <d v="2026-02-27T00:00:00"/>
    <n v="2250000"/>
    <m/>
    <m/>
    <x v="2"/>
    <n v="146934801"/>
    <s v="A IMRON ROSADI MAJ Honor Februari 2026"/>
    <x v="12"/>
  </r>
  <r>
    <d v="2026-02-27T00:00:00"/>
    <n v="6500"/>
    <m/>
    <m/>
    <x v="2"/>
    <n v="146928301"/>
    <s v="A IMRON ROSADI MAJ Honor Februari 2026"/>
    <x v="12"/>
  </r>
  <r>
    <d v="2026-02-27T00:00:00"/>
    <n v="3500000"/>
    <m/>
    <m/>
    <x v="2"/>
    <n v="143428301"/>
    <s v="NANANG SUBAEDI MAJ"/>
    <x v="12"/>
  </r>
  <r>
    <d v="2026-02-27T00:00:00"/>
    <n v="6500"/>
    <m/>
    <m/>
    <x v="2"/>
    <n v="143421801"/>
    <s v="NANANG SUBAEDI MAJ"/>
    <x v="12"/>
  </r>
  <r>
    <d v="2026-02-27T00:00:00"/>
    <n v="2500000"/>
    <m/>
    <m/>
    <x v="2"/>
    <n v="140921801"/>
    <s v="AGUS SETIYONO MAJ Mukafaah Februari 2026"/>
    <x v="3"/>
  </r>
  <r>
    <d v="2026-02-27T00:00:00"/>
    <n v="6500"/>
    <m/>
    <m/>
    <x v="2"/>
    <n v="140915301"/>
    <s v="AGUS SETIYONO MAJ Mukafaah Februari 2026"/>
    <x v="3"/>
  </r>
  <r>
    <d v="2026-02-27T00:00:00"/>
    <n v="2000000"/>
    <m/>
    <m/>
    <x v="2"/>
    <n v="138915301"/>
    <s v="LINA HERLINA Biaya Adm Pengajian Ibu-Ibu MAJ Maret 20"/>
    <x v="2"/>
  </r>
  <r>
    <d v="2026-02-27T00:00:00"/>
    <n v="6500"/>
    <m/>
    <m/>
    <x v="2"/>
    <n v="138908801"/>
    <s v="LINA HERLINA Biaya Adm Pengajian Ibu-Ibu MAJ Maret 20"/>
    <x v="2"/>
  </r>
  <r>
    <d v="2026-02-27T00:00:00"/>
    <n v="550000"/>
    <m/>
    <m/>
    <x v="2"/>
    <n v="138358801"/>
    <s v="M BAYU CANDRA MAJ"/>
    <x v="12"/>
  </r>
  <r>
    <d v="2026-02-27T00:00:00"/>
    <n v="6500"/>
    <m/>
    <m/>
    <x v="2"/>
    <n v="138352301"/>
    <s v="M BAYU CANDRA MAJ"/>
    <x v="12"/>
  </r>
  <r>
    <d v="2026-02-27T00:00:00"/>
    <n v="2750000"/>
    <m/>
    <m/>
    <x v="2"/>
    <n v="135602301"/>
    <s v="HONOR SURYADI"/>
    <x v="12"/>
  </r>
  <r>
    <d v="2026-02-27T00:00:00"/>
    <m/>
    <m/>
    <n v="5000000"/>
    <x v="2"/>
    <n v="140602301"/>
    <s v="RETUR TABLIGH AKBAR MARIYAM"/>
    <x v="0"/>
  </r>
  <r>
    <d v="2026-02-28T00:00:00"/>
    <m/>
    <m/>
    <n v="14000"/>
    <x v="2"/>
    <n v="140616301"/>
    <s v="INFAQ QRIS"/>
    <x v="0"/>
  </r>
  <r>
    <d v="2026-02-28T00:00:00"/>
    <m/>
    <m/>
    <n v="20000"/>
    <x v="2"/>
    <n v="140636301"/>
    <s v="INFAQ QRIS"/>
    <x v="0"/>
  </r>
  <r>
    <d v="2026-02-28T00:00:00"/>
    <m/>
    <m/>
    <n v="50000"/>
    <x v="2"/>
    <n v="140686301"/>
    <s v="INFAQ QRIS"/>
    <x v="0"/>
  </r>
  <r>
    <d v="2026-02-28T00:00:00"/>
    <m/>
    <m/>
    <n v="100000"/>
    <x v="2"/>
    <n v="140786301"/>
    <s v="INFAQ QRIS"/>
    <x v="0"/>
  </r>
  <r>
    <d v="2026-02-28T00:00:00"/>
    <m/>
    <m/>
    <n v="50000"/>
    <x v="2"/>
    <n v="140836301"/>
    <s v="INFAQ QRIS"/>
    <x v="0"/>
  </r>
  <r>
    <d v="2026-02-28T00:00:00"/>
    <m/>
    <m/>
    <n v="50000"/>
    <x v="2"/>
    <n v="140886301"/>
    <s v="INFAQ QRIS"/>
    <x v="0"/>
  </r>
  <r>
    <d v="2026-02-28T00:00:00"/>
    <m/>
    <m/>
    <n v="50000"/>
    <x v="2"/>
    <n v="140936301"/>
    <s v="INFAQ QRIS"/>
    <x v="0"/>
  </r>
  <r>
    <d v="2026-02-28T00:00:00"/>
    <m/>
    <m/>
    <n v="50000"/>
    <x v="2"/>
    <n v="140986301"/>
    <s v="INFAQ QRIS"/>
    <x v="0"/>
  </r>
  <r>
    <d v="2026-02-28T00:00:00"/>
    <m/>
    <m/>
    <n v="15000"/>
    <x v="2"/>
    <n v="141001301"/>
    <s v="INFAQ QRIS"/>
    <x v="0"/>
  </r>
  <r>
    <d v="2026-02-28T00:00:00"/>
    <m/>
    <m/>
    <n v="5000"/>
    <x v="2"/>
    <n v="141006301"/>
    <s v="INFAQ QRIS"/>
    <x v="0"/>
  </r>
  <r>
    <d v="2026-02-28T00:00:00"/>
    <m/>
    <m/>
    <n v="50000"/>
    <x v="2"/>
    <n v="141056301"/>
    <s v="INFAQ QRIS"/>
    <x v="0"/>
  </r>
  <r>
    <d v="2026-02-28T00:00:00"/>
    <m/>
    <m/>
    <n v="50000"/>
    <x v="2"/>
    <n v="141106301"/>
    <s v="INFAQ QRIS"/>
    <x v="0"/>
  </r>
  <r>
    <d v="2026-02-28T00:00:00"/>
    <m/>
    <m/>
    <n v="20000"/>
    <x v="2"/>
    <n v="141126301"/>
    <s v="INFAQ QRIS"/>
    <x v="0"/>
  </r>
  <r>
    <d v="2026-02-28T00:00:00"/>
    <m/>
    <m/>
    <n v="10000"/>
    <x v="2"/>
    <n v="141136301"/>
    <s v="INFAQ QRIS"/>
    <x v="0"/>
  </r>
  <r>
    <d v="2026-02-28T00:00:00"/>
    <m/>
    <m/>
    <n v="25000"/>
    <x v="2"/>
    <n v="141161301"/>
    <s v="INFAQ QRIS"/>
    <x v="0"/>
  </r>
  <r>
    <d v="2026-02-28T00:00:00"/>
    <m/>
    <m/>
    <n v="50000"/>
    <x v="2"/>
    <n v="141211301"/>
    <s v="INFAQ QRIS"/>
    <x v="0"/>
  </r>
  <r>
    <d v="2026-02-28T00:00:00"/>
    <m/>
    <m/>
    <n v="1000000"/>
    <x v="2"/>
    <n v="142211301"/>
    <s v="INFAQ QRIS"/>
    <x v="0"/>
  </r>
  <r>
    <d v="2026-02-28T00:00:00"/>
    <m/>
    <m/>
    <n v="5000"/>
    <x v="2"/>
    <n v="142216301"/>
    <s v="INFAQ QRIS"/>
    <x v="0"/>
  </r>
  <r>
    <d v="2026-02-28T00:00:00"/>
    <m/>
    <m/>
    <n v="25000"/>
    <x v="2"/>
    <n v="142241301"/>
    <s v="INFAQ QRIS"/>
    <x v="0"/>
  </r>
  <r>
    <d v="2026-02-28T00:00:00"/>
    <m/>
    <m/>
    <n v="50000"/>
    <x v="2"/>
    <n v="142291301"/>
    <s v="INFAQ QRIS"/>
    <x v="0"/>
  </r>
  <r>
    <d v="2026-02-28T00:00:00"/>
    <m/>
    <m/>
    <n v="100000"/>
    <x v="2"/>
    <n v="142391301"/>
    <s v="INFAQ QRIS"/>
    <x v="0"/>
  </r>
  <r>
    <d v="2026-02-28T00:00:00"/>
    <m/>
    <m/>
    <n v="50000"/>
    <x v="2"/>
    <n v="142441301"/>
    <s v="INFAQ QRIS"/>
    <x v="0"/>
  </r>
  <r>
    <d v="2026-02-28T00:00:00"/>
    <m/>
    <m/>
    <n v="2000"/>
    <x v="2"/>
    <n v="142443301"/>
    <s v="INFAQ QRIS"/>
    <x v="0"/>
  </r>
  <r>
    <d v="2026-02-28T00:00:00"/>
    <m/>
    <m/>
    <n v="50000"/>
    <x v="2"/>
    <n v="142493301"/>
    <s v="INFAQ QRIS"/>
    <x v="0"/>
  </r>
  <r>
    <d v="2026-02-28T00:00:00"/>
    <m/>
    <m/>
    <n v="10000"/>
    <x v="2"/>
    <n v="142503301"/>
    <s v="INFAQ QRIS"/>
    <x v="0"/>
  </r>
  <r>
    <d v="2026-02-28T00:00:00"/>
    <m/>
    <m/>
    <n v="3920"/>
    <x v="2"/>
    <n v="142507221"/>
    <s v="INFAQ QRIS"/>
    <x v="0"/>
  </r>
  <r>
    <d v="2026-02-28T00:00:00"/>
    <m/>
    <m/>
    <n v="1011"/>
    <x v="2"/>
    <n v="142508232"/>
    <s v="INFAQ QRIS"/>
    <x v="0"/>
  </r>
  <r>
    <d v="2026-02-28T00:00:00"/>
    <m/>
    <m/>
    <n v="100000"/>
    <x v="2"/>
    <n v="142608232"/>
    <s v="INFAQ QRIS"/>
    <x v="0"/>
  </r>
  <r>
    <d v="2026-02-28T00:00:00"/>
    <m/>
    <m/>
    <n v="20000"/>
    <x v="2"/>
    <n v="142628232"/>
    <s v="INFAQ QRIS"/>
    <x v="0"/>
  </r>
  <r>
    <d v="2026-03-01T00:00:00"/>
    <m/>
    <m/>
    <n v="100000"/>
    <x v="3"/>
    <n v="142728232"/>
    <s v="INFAQ QRIS"/>
    <x v="0"/>
  </r>
  <r>
    <d v="2026-03-01T00:00:00"/>
    <m/>
    <m/>
    <n v="20000"/>
    <x v="3"/>
    <n v="142748232"/>
    <s v="INFAQ QRIS"/>
    <x v="0"/>
  </r>
  <r>
    <d v="2026-03-01T00:00:00"/>
    <m/>
    <m/>
    <n v="50000"/>
    <x v="3"/>
    <n v="142798232"/>
    <s v="INFAQ QRIS"/>
    <x v="0"/>
  </r>
  <r>
    <d v="2026-03-01T00:00:00"/>
    <m/>
    <m/>
    <n v="100000"/>
    <x v="3"/>
    <n v="142898232"/>
    <s v="INFAQ QRIS"/>
    <x v="0"/>
  </r>
  <r>
    <d v="2026-03-01T00:00:00"/>
    <m/>
    <m/>
    <n v="5000"/>
    <x v="3"/>
    <n v="142903232"/>
    <s v="INFAQ QRIS"/>
    <x v="0"/>
  </r>
  <r>
    <d v="2026-03-01T00:00:00"/>
    <m/>
    <m/>
    <n v="100000"/>
    <x v="3"/>
    <n v="143003232"/>
    <s v="INFAQ QRIS"/>
    <x v="0"/>
  </r>
  <r>
    <d v="2026-03-01T00:00:00"/>
    <m/>
    <m/>
    <n v="10000"/>
    <x v="3"/>
    <n v="143013232"/>
    <s v="INFAQ QRIS"/>
    <x v="0"/>
  </r>
  <r>
    <d v="2026-03-01T00:00:00"/>
    <m/>
    <m/>
    <n v="2600"/>
    <x v="3"/>
    <n v="143015832"/>
    <s v="INFAQ QRIS"/>
    <x v="0"/>
  </r>
  <r>
    <d v="2026-03-01T00:00:00"/>
    <m/>
    <m/>
    <n v="50000"/>
    <x v="3"/>
    <n v="143065832"/>
    <s v="INFAQ QRIS"/>
    <x v="0"/>
  </r>
  <r>
    <d v="2026-03-01T00:00:00"/>
    <m/>
    <m/>
    <n v="5000"/>
    <x v="3"/>
    <n v="143070832"/>
    <s v="INFAQ QRIS"/>
    <x v="0"/>
  </r>
  <r>
    <d v="2026-03-01T00:00:00"/>
    <m/>
    <m/>
    <n v="14000"/>
    <x v="3"/>
    <n v="143084832"/>
    <s v="INFAQ QRIS"/>
    <x v="0"/>
  </r>
  <r>
    <d v="2026-03-01T00:00:00"/>
    <m/>
    <m/>
    <n v="35000"/>
    <x v="3"/>
    <n v="143119832"/>
    <s v="INFAQ QRIS"/>
    <x v="0"/>
  </r>
  <r>
    <d v="2026-03-01T00:00:00"/>
    <m/>
    <m/>
    <n v="20000"/>
    <x v="3"/>
    <n v="143139832"/>
    <s v="INFAQ QRIS"/>
    <x v="0"/>
  </r>
  <r>
    <d v="2026-03-01T00:00:00"/>
    <m/>
    <m/>
    <n v="500000"/>
    <x v="3"/>
    <n v="143639832"/>
    <s v="INFAQ QRIS"/>
    <x v="0"/>
  </r>
  <r>
    <d v="2026-03-01T00:00:00"/>
    <m/>
    <m/>
    <n v="50000"/>
    <x v="3"/>
    <n v="143689832"/>
    <s v="INFAQ QRIS"/>
    <x v="0"/>
  </r>
  <r>
    <d v="2026-03-01T00:00:00"/>
    <m/>
    <m/>
    <n v="25000"/>
    <x v="3"/>
    <n v="143714832"/>
    <s v="INFAQ QRIS"/>
    <x v="0"/>
  </r>
  <r>
    <d v="2026-03-01T00:00:00"/>
    <m/>
    <m/>
    <n v="20000"/>
    <x v="3"/>
    <n v="143734832"/>
    <s v="INFAQ QRIS"/>
    <x v="0"/>
  </r>
  <r>
    <d v="2026-03-01T00:00:00"/>
    <m/>
    <m/>
    <n v="10000"/>
    <x v="3"/>
    <n v="143744832"/>
    <s v="INFAQ QRIS"/>
    <x v="0"/>
  </r>
  <r>
    <d v="2026-03-01T00:00:00"/>
    <m/>
    <m/>
    <n v="50000"/>
    <x v="3"/>
    <n v="143794832"/>
    <s v="INFAQ QRIS"/>
    <x v="0"/>
  </r>
  <r>
    <d v="2026-03-01T00:00:00"/>
    <m/>
    <m/>
    <n v="50000"/>
    <x v="3"/>
    <n v="143844832"/>
    <s v="INFAQ QRIS"/>
    <x v="0"/>
  </r>
  <r>
    <d v="2026-03-01T00:00:00"/>
    <m/>
    <m/>
    <n v="10000"/>
    <x v="3"/>
    <n v="143854832"/>
    <s v="INFAQ QRIS"/>
    <x v="0"/>
  </r>
  <r>
    <d v="2026-03-01T00:00:00"/>
    <m/>
    <m/>
    <n v="10000"/>
    <x v="3"/>
    <n v="143864832"/>
    <s v="INFAQ QRIS"/>
    <x v="0"/>
  </r>
  <r>
    <d v="2026-03-01T00:00:00"/>
    <m/>
    <m/>
    <n v="50000"/>
    <x v="3"/>
    <n v="143914832"/>
    <s v="INFAQ QRIS"/>
    <x v="0"/>
  </r>
  <r>
    <d v="2026-03-01T00:00:00"/>
    <m/>
    <m/>
    <n v="10000"/>
    <x v="3"/>
    <n v="143924832"/>
    <s v="INFAQ QRIS"/>
    <x v="0"/>
  </r>
  <r>
    <d v="2026-03-01T00:00:00"/>
    <m/>
    <m/>
    <n v="2000"/>
    <x v="3"/>
    <n v="143926832"/>
    <s v="INFAQ QRIS"/>
    <x v="0"/>
  </r>
  <r>
    <d v="2026-03-01T00:00:00"/>
    <m/>
    <m/>
    <n v="200000"/>
    <x v="3"/>
    <n v="144126832"/>
    <s v="INFAQ UMIHAMIDAH"/>
    <x v="0"/>
  </r>
  <r>
    <d v="2026-03-01T00:00:00"/>
    <m/>
    <m/>
    <n v="15000000"/>
    <x v="3"/>
    <n v="159126832"/>
    <s v="ZAKAT MAL HARMEN"/>
    <x v="19"/>
  </r>
  <r>
    <d v="2026-03-01T00:00:00"/>
    <m/>
    <m/>
    <n v="350000"/>
    <x v="3"/>
    <n v="159476832"/>
    <s v="INFAQ DESYANA SE"/>
    <x v="0"/>
  </r>
  <r>
    <d v="2026-03-01T00:00:00"/>
    <m/>
    <m/>
    <n v="500000"/>
    <x v="3"/>
    <n v="159976832"/>
    <s v="INFAQ DRS SARWONO"/>
    <x v="0"/>
  </r>
  <r>
    <d v="2026-03-01T00:00:00"/>
    <n v="750000"/>
    <m/>
    <m/>
    <x v="3"/>
    <n v="159226832"/>
    <s v="AGUS SETIYONO Hadiah Kajian Taraweh MAJ 010326"/>
    <x v="18"/>
  </r>
  <r>
    <d v="2026-03-01T00:00:00"/>
    <n v="6500"/>
    <m/>
    <m/>
    <x v="3"/>
    <n v="159220332"/>
    <s v="AGUS SETIYONO Hadiah Kajian Taraweh MAJ 010326"/>
    <x v="1"/>
  </r>
  <r>
    <d v="2026-03-02T00:00:00"/>
    <m/>
    <m/>
    <n v="500000"/>
    <x v="3"/>
    <n v="159720332"/>
    <s v="INFAQ INDRAEDISANTOSO"/>
    <x v="0"/>
  </r>
  <r>
    <d v="2026-03-02T00:00:00"/>
    <m/>
    <m/>
    <n v="5000"/>
    <x v="3"/>
    <n v="159725332"/>
    <s v="INFAQ QRIS"/>
    <x v="0"/>
  </r>
  <r>
    <d v="2026-03-02T00:00:00"/>
    <m/>
    <m/>
    <n v="50000"/>
    <x v="3"/>
    <n v="159775332"/>
    <s v="INFAQ QRIS"/>
    <x v="0"/>
  </r>
  <r>
    <d v="2026-03-02T00:00:00"/>
    <m/>
    <m/>
    <n v="20000"/>
    <x v="3"/>
    <n v="159795332"/>
    <s v="INFAQ QRIS"/>
    <x v="0"/>
  </r>
  <r>
    <d v="2026-03-02T00:00:00"/>
    <m/>
    <m/>
    <n v="5000"/>
    <x v="3"/>
    <n v="159800332"/>
    <s v="INFAQ QRIS"/>
    <x v="0"/>
  </r>
  <r>
    <d v="2026-03-02T00:00:00"/>
    <m/>
    <m/>
    <n v="50000"/>
    <x v="3"/>
    <n v="159850332"/>
    <s v="INFAQ QRIS"/>
    <x v="0"/>
  </r>
  <r>
    <d v="2026-03-02T00:00:00"/>
    <m/>
    <m/>
    <n v="25000"/>
    <x v="3"/>
    <n v="159875332"/>
    <s v="INFAQ QRIS"/>
    <x v="0"/>
  </r>
  <r>
    <d v="2026-03-02T00:00:00"/>
    <m/>
    <m/>
    <n v="30000"/>
    <x v="3"/>
    <n v="159905332"/>
    <s v="INFAQ QRIS"/>
    <x v="0"/>
  </r>
  <r>
    <d v="2026-03-02T00:00:00"/>
    <m/>
    <m/>
    <n v="20000"/>
    <x v="3"/>
    <n v="159925332"/>
    <s v="INFAQ QRIS"/>
    <x v="0"/>
  </r>
  <r>
    <d v="2026-03-02T00:00:00"/>
    <m/>
    <m/>
    <n v="20000"/>
    <x v="3"/>
    <n v="159945332"/>
    <s v="INFAQ QRIS"/>
    <x v="0"/>
  </r>
  <r>
    <d v="2026-03-02T00:00:00"/>
    <m/>
    <m/>
    <n v="20000"/>
    <x v="3"/>
    <n v="159965332"/>
    <s v="INFAQ QRIS"/>
    <x v="0"/>
  </r>
  <r>
    <d v="2026-03-02T00:00:00"/>
    <m/>
    <m/>
    <n v="50000"/>
    <x v="3"/>
    <n v="160015332"/>
    <s v="INFAQ QRIS"/>
    <x v="0"/>
  </r>
  <r>
    <d v="2026-03-02T00:00:00"/>
    <m/>
    <m/>
    <n v="10000"/>
    <x v="3"/>
    <n v="160025332"/>
    <s v="INFAQ QRIS"/>
    <x v="0"/>
  </r>
  <r>
    <d v="2026-03-02T00:00:00"/>
    <m/>
    <m/>
    <n v="2671000"/>
    <x v="3"/>
    <n v="162696332"/>
    <m/>
    <x v="4"/>
  </r>
  <r>
    <d v="2026-03-02T00:00:00"/>
    <m/>
    <m/>
    <n v="1271000"/>
    <x v="3"/>
    <n v="163967332"/>
    <m/>
    <x v="0"/>
  </r>
  <r>
    <d v="2026-03-02T00:00:00"/>
    <m/>
    <m/>
    <n v="4992000"/>
    <x v="3"/>
    <n v="168959332"/>
    <m/>
    <x v="16"/>
  </r>
  <r>
    <m/>
    <m/>
    <n v="8934000"/>
    <m/>
    <x v="1"/>
    <n v="168959332"/>
    <s v=" 001117933312 INFAQ PERPEKAN DAN TARAWIH  SETOR TUNAI  "/>
    <x v="5"/>
  </r>
  <r>
    <d v="2026-03-02T00:00:00"/>
    <m/>
    <m/>
    <n v="2760"/>
    <x v="3"/>
    <n v="168962092"/>
    <s v="INFAQ QRIS"/>
    <x v="0"/>
  </r>
  <r>
    <d v="2026-03-02T00:00:00"/>
    <m/>
    <m/>
    <n v="5000"/>
    <x v="3"/>
    <n v="168967092"/>
    <s v="INFAQ QRIS"/>
    <x v="0"/>
  </r>
  <r>
    <d v="2026-03-02T00:00:00"/>
    <m/>
    <m/>
    <n v="30000"/>
    <x v="3"/>
    <n v="168997092"/>
    <s v="INFAQ QRIS"/>
    <x v="0"/>
  </r>
  <r>
    <d v="2026-03-02T00:00:00"/>
    <m/>
    <m/>
    <n v="10000"/>
    <x v="3"/>
    <n v="169007092"/>
    <s v="INFAQ QRIS"/>
    <x v="0"/>
  </r>
  <r>
    <d v="2026-03-02T00:00:00"/>
    <m/>
    <m/>
    <n v="35000"/>
    <x v="3"/>
    <n v="169042092"/>
    <s v="INFAQ QRIS"/>
    <x v="0"/>
  </r>
  <r>
    <d v="2026-03-02T00:00:00"/>
    <m/>
    <m/>
    <n v="100000"/>
    <x v="3"/>
    <n v="169142092"/>
    <s v="INFAQ QRIS"/>
    <x v="0"/>
  </r>
  <r>
    <d v="2026-03-02T00:00:00"/>
    <m/>
    <m/>
    <n v="20000"/>
    <x v="3"/>
    <n v="169162092"/>
    <s v="INFAQ QRIS"/>
    <x v="0"/>
  </r>
  <r>
    <d v="2026-03-03T00:00:00"/>
    <m/>
    <m/>
    <n v="20000"/>
    <x v="3"/>
    <n v="169182092"/>
    <s v="INFAQ QRIS"/>
    <x v="0"/>
  </r>
  <r>
    <d v="2026-03-03T00:00:00"/>
    <m/>
    <m/>
    <n v="50000"/>
    <x v="3"/>
    <n v="169232092"/>
    <s v="INFAQ QRIS"/>
    <x v="0"/>
  </r>
  <r>
    <d v="2026-03-03T00:00:00"/>
    <m/>
    <m/>
    <n v="50000"/>
    <x v="3"/>
    <n v="169282092"/>
    <s v="INFAQ QRIS"/>
    <x v="0"/>
  </r>
  <r>
    <d v="2026-03-03T00:00:00"/>
    <m/>
    <m/>
    <n v="10000"/>
    <x v="3"/>
    <n v="169292092"/>
    <s v="INFAQ QRIS"/>
    <x v="0"/>
  </r>
  <r>
    <d v="2026-03-03T00:00:00"/>
    <m/>
    <m/>
    <n v="25000"/>
    <x v="3"/>
    <n v="169317092"/>
    <s v="INFAQ QRIS"/>
    <x v="0"/>
  </r>
  <r>
    <d v="2026-03-03T00:00:00"/>
    <m/>
    <m/>
    <n v="20000"/>
    <x v="3"/>
    <n v="169337092"/>
    <s v="INFAQ QRIS"/>
    <x v="0"/>
  </r>
  <r>
    <d v="2026-03-03T00:00:00"/>
    <m/>
    <m/>
    <n v="10000"/>
    <x v="3"/>
    <n v="169347092"/>
    <s v="INFAQ QRIS"/>
    <x v="0"/>
  </r>
  <r>
    <d v="2026-03-03T00:00:00"/>
    <m/>
    <m/>
    <n v="35000"/>
    <x v="3"/>
    <n v="169382092"/>
    <s v="INFAQ QRIS"/>
    <x v="0"/>
  </r>
  <r>
    <d v="2026-03-03T00:00:00"/>
    <m/>
    <m/>
    <n v="2500"/>
    <x v="3"/>
    <n v="169384592"/>
    <s v="INFAQ QRIS"/>
    <x v="0"/>
  </r>
  <r>
    <d v="2026-03-03T00:00:00"/>
    <m/>
    <m/>
    <n v="20000"/>
    <x v="3"/>
    <n v="169404592"/>
    <s v="INFAQ QRIS"/>
    <x v="0"/>
  </r>
  <r>
    <d v="2026-03-03T00:00:00"/>
    <m/>
    <m/>
    <n v="2000"/>
    <x v="3"/>
    <n v="169406592"/>
    <s v="INFAQ QRIS"/>
    <x v="0"/>
  </r>
  <r>
    <d v="2026-03-03T00:00:00"/>
    <m/>
    <m/>
    <n v="50000"/>
    <x v="3"/>
    <n v="169456592"/>
    <s v="INFAQ QRIS"/>
    <x v="0"/>
  </r>
  <r>
    <d v="2026-03-03T00:00:00"/>
    <m/>
    <m/>
    <n v="50000"/>
    <x v="3"/>
    <n v="169506592"/>
    <s v="INFAQ QRIS"/>
    <x v="0"/>
  </r>
  <r>
    <d v="2026-03-03T00:00:00"/>
    <m/>
    <m/>
    <n v="50000"/>
    <x v="3"/>
    <n v="169556592"/>
    <s v="INFAQ QRIS"/>
    <x v="0"/>
  </r>
  <r>
    <d v="2026-03-03T00:00:00"/>
    <m/>
    <m/>
    <n v="15000"/>
    <x v="3"/>
    <n v="169571592"/>
    <s v="INFAQ QRIS"/>
    <x v="0"/>
  </r>
  <r>
    <d v="2026-03-03T00:00:00"/>
    <m/>
    <m/>
    <n v="100000"/>
    <x v="3"/>
    <n v="169671592"/>
    <s v="INFAQ QRIS"/>
    <x v="0"/>
  </r>
  <r>
    <d v="2026-03-03T00:00:00"/>
    <m/>
    <m/>
    <n v="5000"/>
    <x v="3"/>
    <n v="169676592"/>
    <s v="INFAQ QRIS"/>
    <x v="0"/>
  </r>
  <r>
    <d v="2026-03-03T00:00:00"/>
    <m/>
    <m/>
    <n v="50000"/>
    <x v="3"/>
    <n v="169726592"/>
    <s v="INFAQ QRIS"/>
    <x v="0"/>
  </r>
  <r>
    <d v="2026-03-03T00:00:00"/>
    <m/>
    <m/>
    <n v="15000"/>
    <x v="3"/>
    <n v="169741592"/>
    <s v="INFAQ QRIS"/>
    <x v="0"/>
  </r>
  <r>
    <d v="2026-03-03T00:00:00"/>
    <m/>
    <m/>
    <n v="5000"/>
    <x v="3"/>
    <n v="169746592"/>
    <s v="INFAQ QRIS"/>
    <x v="0"/>
  </r>
  <r>
    <d v="2026-03-03T00:00:00"/>
    <m/>
    <m/>
    <n v="10000"/>
    <x v="3"/>
    <n v="169756592"/>
    <s v="INFAQ QRIS"/>
    <x v="0"/>
  </r>
  <r>
    <d v="2026-03-03T00:00:00"/>
    <m/>
    <m/>
    <n v="5000"/>
    <x v="3"/>
    <n v="169761592"/>
    <s v="INFAQ QRIS"/>
    <x v="0"/>
  </r>
  <r>
    <d v="2026-03-03T00:00:00"/>
    <m/>
    <m/>
    <n v="50000"/>
    <x v="3"/>
    <n v="169811592"/>
    <s v="INFAQ QRIS"/>
    <x v="0"/>
  </r>
  <r>
    <d v="2026-03-03T00:00:00"/>
    <m/>
    <m/>
    <n v="25000"/>
    <x v="3"/>
    <n v="169836592"/>
    <s v="INFAQ QRIS"/>
    <x v="0"/>
  </r>
  <r>
    <d v="2026-03-03T00:00:00"/>
    <m/>
    <m/>
    <n v="5000"/>
    <x v="3"/>
    <n v="169841592"/>
    <s v="INFAQ QRIS"/>
    <x v="0"/>
  </r>
  <r>
    <d v="2026-03-03T00:00:00"/>
    <m/>
    <m/>
    <n v="5000"/>
    <x v="3"/>
    <n v="169846592"/>
    <s v="INFAQ QRIS"/>
    <x v="0"/>
  </r>
  <r>
    <d v="2026-03-03T00:00:00"/>
    <m/>
    <m/>
    <n v="1792"/>
    <x v="3"/>
    <n v="169848384"/>
    <s v="INFAQ QRIS"/>
    <x v="0"/>
  </r>
  <r>
    <d v="2026-03-03T00:00:00"/>
    <m/>
    <m/>
    <n v="25000000"/>
    <x v="3"/>
    <n v="194848384"/>
    <s v="ZAKAT MAL DEVI NOFITRI"/>
    <x v="19"/>
  </r>
  <r>
    <d v="2026-03-03T00:00:00"/>
    <n v="10000"/>
    <m/>
    <m/>
    <x v="3"/>
    <n v="194838384"/>
    <s v="  627 3200028199 Fee Payroll Januari 2026 CMS BIAYA PAYROLL  "/>
    <x v="1"/>
  </r>
  <r>
    <d v="2026-03-04T00:00:00"/>
    <m/>
    <m/>
    <n v="100000"/>
    <x v="3"/>
    <n v="194938384"/>
    <s v="INFAQ QRIS"/>
    <x v="0"/>
  </r>
  <r>
    <d v="2026-03-04T00:00:00"/>
    <m/>
    <m/>
    <n v="50000"/>
    <x v="3"/>
    <n v="194988384"/>
    <s v="INFAQ QRIS"/>
    <x v="0"/>
  </r>
  <r>
    <d v="2026-03-04T00:00:00"/>
    <m/>
    <m/>
    <n v="50000"/>
    <x v="3"/>
    <n v="195038384"/>
    <s v="INFAQ QRIS"/>
    <x v="0"/>
  </r>
  <r>
    <d v="2026-03-04T00:00:00"/>
    <m/>
    <m/>
    <n v="50000"/>
    <x v="3"/>
    <n v="195088384"/>
    <s v="INFAQ QRIS"/>
    <x v="0"/>
  </r>
  <r>
    <d v="2026-03-04T00:00:00"/>
    <m/>
    <m/>
    <n v="5000"/>
    <x v="3"/>
    <n v="195093384"/>
    <s v="INFAQ QRIS"/>
    <x v="0"/>
  </r>
  <r>
    <d v="2026-03-04T00:00:00"/>
    <m/>
    <m/>
    <n v="4000"/>
    <x v="3"/>
    <n v="195097384"/>
    <s v="INFAQ QRIS"/>
    <x v="0"/>
  </r>
  <r>
    <d v="2026-03-04T00:00:00"/>
    <m/>
    <m/>
    <n v="10000"/>
    <x v="3"/>
    <n v="195107384"/>
    <s v="INFAQ QRIS"/>
    <x v="0"/>
  </r>
  <r>
    <d v="2026-03-04T00:00:00"/>
    <m/>
    <m/>
    <n v="3000"/>
    <x v="3"/>
    <n v="195110384"/>
    <s v="INFAQ QRIS"/>
    <x v="0"/>
  </r>
  <r>
    <d v="2026-03-04T00:00:00"/>
    <m/>
    <m/>
    <n v="20000"/>
    <x v="3"/>
    <n v="195130384"/>
    <s v="INFAQ QRIS"/>
    <x v="0"/>
  </r>
  <r>
    <d v="2026-03-04T00:00:00"/>
    <m/>
    <m/>
    <n v="100000"/>
    <x v="3"/>
    <n v="195230384"/>
    <s v="INFAQ QRIS"/>
    <x v="0"/>
  </r>
  <r>
    <d v="2026-03-04T00:00:00"/>
    <m/>
    <m/>
    <n v="50000"/>
    <x v="3"/>
    <n v="195280384"/>
    <s v="INFAQ QRIS"/>
    <x v="0"/>
  </r>
  <r>
    <d v="2026-03-04T00:00:00"/>
    <m/>
    <m/>
    <n v="50000"/>
    <x v="3"/>
    <n v="195330384"/>
    <s v="INFAQ QRIS"/>
    <x v="0"/>
  </r>
  <r>
    <d v="2026-03-04T00:00:00"/>
    <m/>
    <m/>
    <n v="15000"/>
    <x v="3"/>
    <n v="195345384"/>
    <s v="INFAQ QRIS"/>
    <x v="0"/>
  </r>
  <r>
    <d v="2026-03-04T00:00:00"/>
    <m/>
    <m/>
    <n v="50000"/>
    <x v="3"/>
    <n v="195395384"/>
    <s v="INFAQ QRIS"/>
    <x v="0"/>
  </r>
  <r>
    <d v="2026-03-04T00:00:00"/>
    <m/>
    <m/>
    <n v="30000"/>
    <x v="3"/>
    <n v="195425384"/>
    <s v="INFAQ QRIS"/>
    <x v="0"/>
  </r>
  <r>
    <d v="2026-03-04T00:00:00"/>
    <m/>
    <m/>
    <n v="50000"/>
    <x v="3"/>
    <n v="195475384"/>
    <s v="INFAQ QRIS"/>
    <x v="0"/>
  </r>
  <r>
    <d v="2026-03-04T00:00:00"/>
    <m/>
    <m/>
    <n v="5000"/>
    <x v="3"/>
    <n v="195480384"/>
    <s v="INFAQ QRIS"/>
    <x v="0"/>
  </r>
  <r>
    <d v="2026-03-04T00:00:00"/>
    <m/>
    <m/>
    <n v="50000"/>
    <x v="3"/>
    <n v="195530384"/>
    <s v="INFAQ QRIS"/>
    <x v="0"/>
  </r>
  <r>
    <d v="2026-03-04T00:00:00"/>
    <m/>
    <m/>
    <n v="20000"/>
    <x v="3"/>
    <n v="195550384"/>
    <s v="INFAQ QRIS"/>
    <x v="0"/>
  </r>
  <r>
    <d v="2026-03-05T00:00:00"/>
    <m/>
    <m/>
    <n v="20000"/>
    <x v="3"/>
    <n v="195570384"/>
    <s v="INFAQ QRIS"/>
    <x v="0"/>
  </r>
  <r>
    <d v="2026-03-05T00:00:00"/>
    <m/>
    <m/>
    <n v="20000"/>
    <x v="3"/>
    <n v="195590384"/>
    <s v="INFAQ QRIS"/>
    <x v="0"/>
  </r>
  <r>
    <d v="2026-03-05T00:00:00"/>
    <m/>
    <m/>
    <n v="5000"/>
    <x v="3"/>
    <n v="195595384"/>
    <s v="INFAQ QRIS"/>
    <x v="0"/>
  </r>
  <r>
    <d v="2026-03-05T00:00:00"/>
    <m/>
    <m/>
    <n v="10000"/>
    <x v="3"/>
    <n v="195605384"/>
    <s v="INFAQ QRIS"/>
    <x v="0"/>
  </r>
  <r>
    <d v="2026-03-05T00:00:00"/>
    <m/>
    <m/>
    <n v="3000"/>
    <x v="3"/>
    <n v="195608384"/>
    <s v="INFAQ QRIS"/>
    <x v="0"/>
  </r>
  <r>
    <d v="2026-03-05T00:00:00"/>
    <m/>
    <m/>
    <n v="10000"/>
    <x v="3"/>
    <n v="195618384"/>
    <s v="INFAQ QRIS"/>
    <x v="0"/>
  </r>
  <r>
    <d v="2026-03-05T00:00:00"/>
    <m/>
    <m/>
    <n v="50000"/>
    <x v="3"/>
    <n v="195668384"/>
    <s v="INFAQ QRIS"/>
    <x v="0"/>
  </r>
  <r>
    <d v="2026-03-05T00:00:00"/>
    <m/>
    <m/>
    <n v="50000"/>
    <x v="3"/>
    <n v="195718384"/>
    <s v="INFAQ QRIS"/>
    <x v="0"/>
  </r>
  <r>
    <d v="2026-03-05T00:00:00"/>
    <m/>
    <m/>
    <n v="5000"/>
    <x v="3"/>
    <n v="195723384"/>
    <s v="INFAQ QRIS"/>
    <x v="0"/>
  </r>
  <r>
    <d v="2026-03-05T00:00:00"/>
    <m/>
    <m/>
    <n v="100000"/>
    <x v="3"/>
    <n v="195823384"/>
    <s v="INFAQ QRIS"/>
    <x v="0"/>
  </r>
  <r>
    <d v="2026-03-05T00:00:00"/>
    <m/>
    <m/>
    <n v="20000"/>
    <x v="3"/>
    <n v="195843384"/>
    <s v="INFAQ QRIS"/>
    <x v="0"/>
  </r>
  <r>
    <d v="2026-03-05T00:00:00"/>
    <m/>
    <m/>
    <n v="15000"/>
    <x v="3"/>
    <n v="195858384"/>
    <s v="INFAQ QRIS"/>
    <x v="0"/>
  </r>
  <r>
    <d v="2026-03-05T00:00:00"/>
    <m/>
    <m/>
    <n v="2000"/>
    <x v="3"/>
    <n v="195860384"/>
    <s v="INFAQ QRIS"/>
    <x v="0"/>
  </r>
  <r>
    <d v="2026-03-05T00:00:00"/>
    <m/>
    <m/>
    <n v="2412"/>
    <x v="3"/>
    <n v="195862796"/>
    <s v="INFAQ QRIS"/>
    <x v="0"/>
  </r>
  <r>
    <d v="2026-03-05T00:00:00"/>
    <m/>
    <m/>
    <n v="50000"/>
    <x v="3"/>
    <n v="195912796"/>
    <s v="INFAQ QRIS"/>
    <x v="0"/>
  </r>
  <r>
    <d v="2026-03-05T00:00:00"/>
    <m/>
    <m/>
    <n v="25000"/>
    <x v="3"/>
    <n v="195937796"/>
    <s v="INFAQ QRIS"/>
    <x v="0"/>
  </r>
  <r>
    <d v="2026-03-05T00:00:00"/>
    <m/>
    <m/>
    <n v="50000"/>
    <x v="3"/>
    <n v="195987796"/>
    <s v="INFAQ QRIS"/>
    <x v="0"/>
  </r>
  <r>
    <d v="2026-03-05T00:00:00"/>
    <m/>
    <m/>
    <n v="20000"/>
    <x v="3"/>
    <n v="196007796"/>
    <s v="INFAQ QRIS"/>
    <x v="0"/>
  </r>
  <r>
    <d v="2026-03-05T00:00:00"/>
    <m/>
    <m/>
    <n v="2500"/>
    <x v="3"/>
    <n v="196010296"/>
    <s v="INFAQ QRIS"/>
    <x v="0"/>
  </r>
  <r>
    <d v="2026-03-06T00:00:00"/>
    <m/>
    <m/>
    <n v="50000"/>
    <x v="4"/>
    <n v="196060296"/>
    <s v="INFAQ QRIS"/>
    <x v="0"/>
  </r>
  <r>
    <d v="2026-03-06T00:00:00"/>
    <m/>
    <m/>
    <n v="100000"/>
    <x v="4"/>
    <n v="196160296"/>
    <s v="INFAQ QRIS"/>
    <x v="0"/>
  </r>
  <r>
    <d v="2026-03-06T00:00:00"/>
    <m/>
    <m/>
    <n v="50000"/>
    <x v="4"/>
    <n v="196210296"/>
    <s v="INFAQ QRIS"/>
    <x v="0"/>
  </r>
  <r>
    <d v="2026-03-06T00:00:00"/>
    <m/>
    <m/>
    <n v="50000"/>
    <x v="4"/>
    <n v="196260296"/>
    <s v="INFAQ QRIS"/>
    <x v="0"/>
  </r>
  <r>
    <d v="2026-03-06T00:00:00"/>
    <m/>
    <m/>
    <n v="50000"/>
    <x v="4"/>
    <n v="196310296"/>
    <s v="INFAQ QRIS"/>
    <x v="0"/>
  </r>
  <r>
    <d v="2026-03-06T00:00:00"/>
    <m/>
    <m/>
    <n v="20000"/>
    <x v="4"/>
    <n v="196330296"/>
    <s v="INFAQ QRIS"/>
    <x v="0"/>
  </r>
  <r>
    <d v="2026-03-06T00:00:00"/>
    <m/>
    <m/>
    <n v="50000"/>
    <x v="4"/>
    <n v="196380296"/>
    <s v="INFAQ QRIS"/>
    <x v="0"/>
  </r>
  <r>
    <d v="2026-03-06T00:00:00"/>
    <m/>
    <m/>
    <n v="15000"/>
    <x v="4"/>
    <n v="196395296"/>
    <s v="INFAQ QRIS"/>
    <x v="0"/>
  </r>
  <r>
    <d v="2026-03-06T00:00:00"/>
    <m/>
    <m/>
    <n v="50000"/>
    <x v="4"/>
    <n v="196445296"/>
    <s v="INFAQ QRIS"/>
    <x v="0"/>
  </r>
  <r>
    <d v="2026-03-06T00:00:00"/>
    <m/>
    <m/>
    <n v="20000"/>
    <x v="4"/>
    <n v="196465296"/>
    <s v="INFAQ QRIS"/>
    <x v="0"/>
  </r>
  <r>
    <d v="2026-03-06T00:00:00"/>
    <m/>
    <m/>
    <n v="5000"/>
    <x v="4"/>
    <n v="196470296"/>
    <s v="INFAQ QRIS"/>
    <x v="0"/>
  </r>
  <r>
    <d v="2026-03-06T00:00:00"/>
    <m/>
    <m/>
    <n v="2000"/>
    <x v="4"/>
    <n v="196472296"/>
    <s v="INFAQ QRIS"/>
    <x v="0"/>
  </r>
  <r>
    <d v="2026-03-06T00:00:00"/>
    <m/>
    <m/>
    <n v="2601"/>
    <x v="4"/>
    <n v="196474897"/>
    <s v="INFAQ QRIS"/>
    <x v="0"/>
  </r>
  <r>
    <d v="2026-03-06T00:00:00"/>
    <m/>
    <m/>
    <n v="10000"/>
    <x v="4"/>
    <n v="196484897"/>
    <s v="INFAQ QRIS"/>
    <x v="0"/>
  </r>
  <r>
    <d v="2026-03-06T00:00:00"/>
    <m/>
    <m/>
    <n v="25000"/>
    <x v="4"/>
    <n v="196509897"/>
    <s v="INFAQ QRIS"/>
    <x v="0"/>
  </r>
  <r>
    <d v="2026-03-06T00:00:00"/>
    <m/>
    <m/>
    <n v="400000"/>
    <x v="4"/>
    <n v="196909897"/>
    <s v="INFAQ PUTIE AMBUN SURI/RIVENDRA"/>
    <x v="0"/>
  </r>
  <r>
    <d v="2026-03-06T00:00:00"/>
    <n v="62750000"/>
    <m/>
    <m/>
    <x v="4"/>
    <n v="134159897"/>
    <s v="MAHMUD MADJID SANTUNAN ANAK YATIM DHUAFA. SISWA BINAAN"/>
    <x v="9"/>
  </r>
  <r>
    <d v="2026-03-06T00:00:00"/>
    <n v="2500"/>
    <m/>
    <m/>
    <x v="4"/>
    <n v="134157397"/>
    <s v="MAHMUD MADJID SANTUNAN ANAK YATIM DHUAFA. SISWA BINAAN"/>
    <x v="9"/>
  </r>
  <r>
    <d v="2026-03-06T00:00:00"/>
    <m/>
    <m/>
    <n v="20000"/>
    <x v="4"/>
    <n v="134177397"/>
    <s v="INFAQ PUTIE AMBUN SURI/RIVENDRA"/>
    <x v="0"/>
  </r>
  <r>
    <d v="2026-03-06T00:00:00"/>
    <m/>
    <m/>
    <n v="2000000"/>
    <x v="4"/>
    <n v="136177397"/>
    <s v="INFAQ TABLIGH AKBAR MULYADI"/>
    <x v="0"/>
  </r>
  <r>
    <d v="2026-03-07T00:00:00"/>
    <m/>
    <m/>
    <n v="50000"/>
    <x v="4"/>
    <n v="136227397"/>
    <s v="INFAQ QRIS"/>
    <x v="0"/>
  </r>
  <r>
    <d v="2026-03-07T00:00:00"/>
    <m/>
    <m/>
    <n v="50000"/>
    <x v="4"/>
    <n v="136277397"/>
    <s v="INFAQ QRIS"/>
    <x v="0"/>
  </r>
  <r>
    <d v="2026-03-07T00:00:00"/>
    <m/>
    <m/>
    <n v="50000"/>
    <x v="4"/>
    <n v="136327397"/>
    <s v="INFAQ QRIS"/>
    <x v="0"/>
  </r>
  <r>
    <d v="2026-03-07T00:00:00"/>
    <m/>
    <m/>
    <n v="15000"/>
    <x v="4"/>
    <n v="136342397"/>
    <s v="INFAQ QRIS"/>
    <x v="0"/>
  </r>
  <r>
    <d v="2026-03-07T00:00:00"/>
    <m/>
    <m/>
    <n v="5000"/>
    <x v="4"/>
    <n v="136347397"/>
    <s v="INFAQ QRIS"/>
    <x v="0"/>
  </r>
  <r>
    <d v="2026-03-07T00:00:00"/>
    <m/>
    <m/>
    <n v="50000"/>
    <x v="4"/>
    <n v="136397397"/>
    <s v="INFAQ QRIS"/>
    <x v="0"/>
  </r>
  <r>
    <d v="2026-03-07T00:00:00"/>
    <m/>
    <m/>
    <n v="50000"/>
    <x v="4"/>
    <n v="136447397"/>
    <s v="INFAQ QRIS"/>
    <x v="0"/>
  </r>
  <r>
    <d v="2026-03-07T00:00:00"/>
    <m/>
    <m/>
    <n v="100000"/>
    <x v="4"/>
    <n v="136547397"/>
    <s v="INFAQ QRIS"/>
    <x v="0"/>
  </r>
  <r>
    <d v="2026-03-07T00:00:00"/>
    <m/>
    <m/>
    <n v="100000"/>
    <x v="4"/>
    <n v="136647397"/>
    <s v="INFAQ QRIS"/>
    <x v="0"/>
  </r>
  <r>
    <d v="2026-03-07T00:00:00"/>
    <m/>
    <m/>
    <n v="2000"/>
    <x v="4"/>
    <n v="136649397"/>
    <s v="INFAQ QRIS"/>
    <x v="0"/>
  </r>
  <r>
    <d v="2026-03-07T00:00:00"/>
    <m/>
    <m/>
    <n v="5000"/>
    <x v="4"/>
    <n v="136654397"/>
    <s v="INFAQ QRIS"/>
    <x v="0"/>
  </r>
  <r>
    <d v="2026-03-07T00:00:00"/>
    <m/>
    <m/>
    <n v="10000"/>
    <x v="4"/>
    <n v="136664397"/>
    <s v="INFAQ QRIS"/>
    <x v="0"/>
  </r>
  <r>
    <d v="2026-03-07T00:00:00"/>
    <m/>
    <m/>
    <n v="20000"/>
    <x v="4"/>
    <n v="136684397"/>
    <s v="INFAQ QRIS"/>
    <x v="0"/>
  </r>
  <r>
    <d v="2026-03-07T00:00:00"/>
    <m/>
    <m/>
    <n v="50000"/>
    <x v="4"/>
    <n v="136734397"/>
    <s v="INFAQ QRIS"/>
    <x v="0"/>
  </r>
  <r>
    <d v="2026-03-07T00:00:00"/>
    <m/>
    <m/>
    <n v="10000"/>
    <x v="4"/>
    <n v="136744397"/>
    <s v="INFAQ QRIS"/>
    <x v="0"/>
  </r>
  <r>
    <d v="2026-03-07T00:00:00"/>
    <m/>
    <m/>
    <n v="25000"/>
    <x v="4"/>
    <n v="136769397"/>
    <s v="INFAQ QRIS"/>
    <x v="0"/>
  </r>
  <r>
    <d v="2026-03-07T00:00:00"/>
    <n v="4500000"/>
    <m/>
    <m/>
    <x v="4"/>
    <n v="132269397"/>
    <s v="Pasang Kabel dan Lampu via Amran"/>
    <x v="8"/>
  </r>
  <r>
    <d v="2026-03-07T00:00:00"/>
    <n v="6500"/>
    <m/>
    <m/>
    <x v="4"/>
    <n v="132262897"/>
    <s v="Pasang Kabel dan Lampu via Amran"/>
    <x v="8"/>
  </r>
  <r>
    <d v="2026-03-07T00:00:00"/>
    <m/>
    <m/>
    <n v="200000"/>
    <x v="4"/>
    <n v="132462897"/>
    <s v="INFAQ WUSONO PRIHADI SANTO"/>
    <x v="0"/>
  </r>
  <r>
    <d v="2026-03-08T00:00:00"/>
    <m/>
    <m/>
    <n v="1500000"/>
    <x v="4"/>
    <n v="133962897"/>
    <s v="Zakat Maal Budi Tursilo"/>
    <x v="19"/>
  </r>
  <r>
    <d v="2026-03-08T00:00:00"/>
    <m/>
    <m/>
    <n v="50000"/>
    <x v="4"/>
    <n v="134012897"/>
    <s v="INFAQ QRIS"/>
    <x v="0"/>
  </r>
  <r>
    <d v="2026-03-08T00:00:00"/>
    <m/>
    <m/>
    <n v="20000"/>
    <x v="4"/>
    <n v="134032897"/>
    <s v="INFAQ QRIS"/>
    <x v="0"/>
  </r>
  <r>
    <d v="2026-03-08T00:00:00"/>
    <m/>
    <m/>
    <n v="50000"/>
    <x v="4"/>
    <n v="134082897"/>
    <s v="INFAQ QRIS"/>
    <x v="0"/>
  </r>
  <r>
    <d v="2026-03-08T00:00:00"/>
    <m/>
    <m/>
    <n v="50000"/>
    <x v="4"/>
    <n v="134132897"/>
    <s v="INFAQ QRIS"/>
    <x v="0"/>
  </r>
  <r>
    <d v="2026-03-08T00:00:00"/>
    <m/>
    <m/>
    <n v="20000"/>
    <x v="4"/>
    <n v="134152897"/>
    <s v="INFAQ QRIS"/>
    <x v="0"/>
  </r>
  <r>
    <d v="2026-03-08T00:00:00"/>
    <m/>
    <m/>
    <n v="100000"/>
    <x v="4"/>
    <n v="134252897"/>
    <s v="INFAQ QRIS"/>
    <x v="0"/>
  </r>
  <r>
    <d v="2026-03-08T00:00:00"/>
    <m/>
    <m/>
    <n v="50000"/>
    <x v="4"/>
    <n v="134302897"/>
    <s v="INFAQ QRIS"/>
    <x v="0"/>
  </r>
  <r>
    <d v="2026-03-08T00:00:00"/>
    <m/>
    <m/>
    <n v="50000"/>
    <x v="4"/>
    <n v="134352897"/>
    <s v="INFAQ QRIS"/>
    <x v="0"/>
  </r>
  <r>
    <d v="2026-03-08T00:00:00"/>
    <m/>
    <m/>
    <n v="20000"/>
    <x v="4"/>
    <n v="134372897"/>
    <s v="INFAQ QRIS"/>
    <x v="0"/>
  </r>
  <r>
    <d v="2026-03-08T00:00:00"/>
    <m/>
    <m/>
    <n v="50000"/>
    <x v="4"/>
    <n v="134422897"/>
    <s v="INFAQ QRIS"/>
    <x v="0"/>
  </r>
  <r>
    <d v="2026-03-08T00:00:00"/>
    <m/>
    <m/>
    <n v="2915"/>
    <x v="4"/>
    <n v="134425812"/>
    <s v="INFAQ QRIS"/>
    <x v="0"/>
  </r>
  <r>
    <d v="2026-03-08T00:00:00"/>
    <m/>
    <m/>
    <n v="10000"/>
    <x v="4"/>
    <n v="134435812"/>
    <s v="INFAQ QRIS"/>
    <x v="0"/>
  </r>
  <r>
    <d v="2026-03-08T00:00:00"/>
    <m/>
    <m/>
    <n v="50000"/>
    <x v="4"/>
    <n v="134485812"/>
    <s v="INFAQ QRIS"/>
    <x v="0"/>
  </r>
  <r>
    <d v="2026-03-08T00:00:00"/>
    <m/>
    <m/>
    <n v="25000"/>
    <x v="4"/>
    <n v="134510812"/>
    <s v="INFAQ QRIS"/>
    <x v="0"/>
  </r>
  <r>
    <d v="2026-03-08T00:00:00"/>
    <m/>
    <m/>
    <n v="20000"/>
    <x v="4"/>
    <n v="134530812"/>
    <s v="INFAQ QRIS"/>
    <x v="0"/>
  </r>
  <r>
    <d v="2026-03-08T00:00:00"/>
    <m/>
    <m/>
    <n v="35000"/>
    <x v="4"/>
    <n v="134565812"/>
    <s v="INFAQ QRIS"/>
    <x v="0"/>
  </r>
  <r>
    <d v="2026-03-08T00:00:00"/>
    <m/>
    <m/>
    <n v="10000"/>
    <x v="4"/>
    <n v="134575812"/>
    <s v="INFAQ QRIS"/>
    <x v="0"/>
  </r>
  <r>
    <d v="2026-03-08T00:00:00"/>
    <m/>
    <m/>
    <n v="50000"/>
    <x v="4"/>
    <n v="134625812"/>
    <s v="INFAQ QRIS"/>
    <x v="0"/>
  </r>
  <r>
    <d v="2026-03-08T00:00:00"/>
    <m/>
    <m/>
    <n v="35000"/>
    <x v="4"/>
    <n v="134660812"/>
    <s v="INFAQ QRIS"/>
    <x v="0"/>
  </r>
  <r>
    <d v="2026-03-08T00:00:00"/>
    <m/>
    <m/>
    <n v="100000"/>
    <x v="4"/>
    <n v="134760812"/>
    <s v="INFAQ QRIS"/>
    <x v="0"/>
  </r>
  <r>
    <d v="2026-03-08T00:00:00"/>
    <m/>
    <m/>
    <n v="2000000"/>
    <x v="4"/>
    <n v="136760812"/>
    <s v="INFAQ RIZKYHIDAYATSL"/>
    <x v="0"/>
  </r>
  <r>
    <d v="2026-03-08T00:00:00"/>
    <n v="3000000"/>
    <m/>
    <m/>
    <x v="4"/>
    <n v="133760812"/>
    <s v="Honor Cash Ustadz Tabligh Akbar MAJ 1447"/>
    <x v="2"/>
  </r>
  <r>
    <d v="2026-03-08T00:00:00"/>
    <n v="6500"/>
    <m/>
    <m/>
    <x v="4"/>
    <n v="133754312"/>
    <s v="Biaya Adm"/>
    <x v="1"/>
  </r>
  <r>
    <d v="2026-03-08T00:00:00"/>
    <m/>
    <m/>
    <n v="1000000"/>
    <x v="4"/>
    <n v="134754312"/>
    <s v="INFAQ RAMADHAN NIENDRAPUTRA"/>
    <x v="0"/>
  </r>
  <r>
    <d v="2026-03-09T00:00:00"/>
    <m/>
    <m/>
    <n v="10000"/>
    <x v="4"/>
    <n v="134764312"/>
    <s v="INFAQ QRIS"/>
    <x v="0"/>
  </r>
  <r>
    <d v="2026-03-09T00:00:00"/>
    <m/>
    <m/>
    <n v="20000"/>
    <x v="4"/>
    <n v="134784312"/>
    <s v="INFAQ QRIS"/>
    <x v="0"/>
  </r>
  <r>
    <d v="2026-03-09T00:00:00"/>
    <m/>
    <m/>
    <n v="2500"/>
    <x v="4"/>
    <n v="134786812"/>
    <s v="INFAQ QRIS"/>
    <x v="0"/>
  </r>
  <r>
    <d v="2026-03-09T00:00:00"/>
    <m/>
    <m/>
    <n v="20000"/>
    <x v="4"/>
    <n v="134806812"/>
    <s v="INFAQ QRIS"/>
    <x v="0"/>
  </r>
  <r>
    <d v="2026-03-09T00:00:00"/>
    <m/>
    <m/>
    <n v="25000"/>
    <x v="4"/>
    <n v="134831812"/>
    <s v="INFAQ QRIS"/>
    <x v="0"/>
  </r>
  <r>
    <d v="2026-03-09T00:00:00"/>
    <m/>
    <m/>
    <n v="35000"/>
    <x v="4"/>
    <n v="134866812"/>
    <s v="INFAQ QRIS"/>
    <x v="0"/>
  </r>
  <r>
    <d v="2026-03-09T00:00:00"/>
    <m/>
    <m/>
    <n v="10000"/>
    <x v="4"/>
    <n v="134876812"/>
    <s v="INFAQ QRIS"/>
    <x v="0"/>
  </r>
  <r>
    <d v="2026-03-09T00:00:00"/>
    <m/>
    <m/>
    <n v="3000"/>
    <x v="4"/>
    <n v="134879812"/>
    <s v="INFAQ QRIS"/>
    <x v="0"/>
  </r>
  <r>
    <d v="2026-03-09T00:00:00"/>
    <m/>
    <m/>
    <n v="50000"/>
    <x v="4"/>
    <n v="134929812"/>
    <s v="INFAQ QRIS"/>
    <x v="0"/>
  </r>
  <r>
    <d v="2026-03-09T00:00:00"/>
    <m/>
    <m/>
    <n v="50000"/>
    <x v="4"/>
    <n v="134979812"/>
    <s v="INFAQ QRIS"/>
    <x v="0"/>
  </r>
  <r>
    <d v="2026-03-09T00:00:00"/>
    <m/>
    <m/>
    <n v="20000"/>
    <x v="4"/>
    <n v="134999812"/>
    <s v="INFAQ QRIS"/>
    <x v="0"/>
  </r>
  <r>
    <d v="2026-03-09T00:00:00"/>
    <m/>
    <m/>
    <n v="50000"/>
    <x v="4"/>
    <n v="135049812"/>
    <s v="INFAQ QRIS"/>
    <x v="0"/>
  </r>
  <r>
    <d v="2026-03-09T00:00:00"/>
    <m/>
    <m/>
    <n v="50000"/>
    <x v="4"/>
    <n v="135099812"/>
    <s v="INFAQ QRIS"/>
    <x v="0"/>
  </r>
  <r>
    <d v="2026-03-09T00:00:00"/>
    <m/>
    <m/>
    <n v="10000"/>
    <x v="4"/>
    <n v="135109812"/>
    <s v="INFAQ QRIS"/>
    <x v="0"/>
  </r>
  <r>
    <d v="2026-03-09T00:00:00"/>
    <m/>
    <m/>
    <n v="2500"/>
    <x v="4"/>
    <n v="135112312"/>
    <s v="INFAQ QRIS"/>
    <x v="0"/>
  </r>
  <r>
    <d v="2026-03-09T00:00:00"/>
    <m/>
    <m/>
    <n v="50000"/>
    <x v="4"/>
    <n v="135162312"/>
    <s v="INFAQ QRIS"/>
    <x v="0"/>
  </r>
  <r>
    <d v="2026-03-09T00:00:00"/>
    <m/>
    <m/>
    <n v="3659000"/>
    <x v="4"/>
    <n v="138821312"/>
    <m/>
    <x v="4"/>
  </r>
  <r>
    <d v="2026-03-09T00:00:00"/>
    <m/>
    <m/>
    <n v="877000"/>
    <x v="4"/>
    <n v="139698312"/>
    <m/>
    <x v="0"/>
  </r>
  <r>
    <d v="2026-03-09T00:00:00"/>
    <m/>
    <m/>
    <n v="2192000"/>
    <x v="4"/>
    <n v="141890312"/>
    <m/>
    <x v="16"/>
  </r>
  <r>
    <d v="2026-03-09T00:00:00"/>
    <m/>
    <m/>
    <n v="5000000"/>
    <x v="4"/>
    <n v="146890312"/>
    <m/>
    <x v="19"/>
  </r>
  <r>
    <m/>
    <m/>
    <n v="11728000"/>
    <m/>
    <x v="4"/>
    <n v="146890312"/>
    <s v=" 001118078729 INFAQ PER PEKAN  SETOR TUNAI  "/>
    <x v="5"/>
  </r>
  <r>
    <d v="2026-03-09T00:00:00"/>
    <m/>
    <m/>
    <n v="25000000"/>
    <x v="4"/>
    <n v="171890312"/>
    <s v="ZAKAT MAL SUGENG PRIYONO"/>
    <x v="19"/>
  </r>
  <r>
    <d v="2026-03-09T00:00:00"/>
    <m/>
    <m/>
    <n v="20000"/>
    <x v="4"/>
    <n v="171910312"/>
    <s v="INFAQ QRIS"/>
    <x v="0"/>
  </r>
  <r>
    <d v="2026-03-10T00:00:00"/>
    <m/>
    <m/>
    <n v="25000"/>
    <x v="4"/>
    <n v="171935312"/>
    <s v="INFAQ QRIS"/>
    <x v="0"/>
  </r>
  <r>
    <d v="2026-03-10T00:00:00"/>
    <m/>
    <m/>
    <n v="20000"/>
    <x v="4"/>
    <n v="171955312"/>
    <s v="INFAQ QRIS"/>
    <x v="0"/>
  </r>
  <r>
    <d v="2026-03-10T00:00:00"/>
    <m/>
    <m/>
    <n v="10000"/>
    <x v="4"/>
    <n v="171965312"/>
    <s v="INFAQ QRIS"/>
    <x v="0"/>
  </r>
  <r>
    <d v="2026-03-10T00:00:00"/>
    <m/>
    <m/>
    <n v="50000"/>
    <x v="4"/>
    <n v="172015312"/>
    <s v="INFAQ QRIS"/>
    <x v="0"/>
  </r>
  <r>
    <d v="2026-03-10T00:00:00"/>
    <m/>
    <m/>
    <n v="10000"/>
    <x v="4"/>
    <n v="172025312"/>
    <s v="INFAQ QRIS"/>
    <x v="0"/>
  </r>
  <r>
    <d v="2026-03-10T00:00:00"/>
    <m/>
    <m/>
    <n v="25000"/>
    <x v="4"/>
    <n v="172050312"/>
    <s v="INFAQ QRIS"/>
    <x v="0"/>
  </r>
  <r>
    <d v="2026-03-10T00:00:00"/>
    <m/>
    <m/>
    <n v="5000"/>
    <x v="4"/>
    <n v="172055312"/>
    <s v="INFAQ QRIS"/>
    <x v="0"/>
  </r>
  <r>
    <d v="2026-03-10T00:00:00"/>
    <m/>
    <m/>
    <n v="50000"/>
    <x v="4"/>
    <n v="172105312"/>
    <s v="INFAQ QRIS"/>
    <x v="0"/>
  </r>
  <r>
    <d v="2026-03-10T00:00:00"/>
    <m/>
    <m/>
    <n v="2400"/>
    <x v="4"/>
    <n v="172107712"/>
    <s v="INFAQ QRIS"/>
    <x v="0"/>
  </r>
  <r>
    <d v="2026-03-10T00:00:00"/>
    <m/>
    <m/>
    <n v="5000"/>
    <x v="4"/>
    <n v="172112712"/>
    <s v="INFAQ QRIS"/>
    <x v="0"/>
  </r>
  <r>
    <d v="2026-03-10T00:00:00"/>
    <m/>
    <m/>
    <n v="25000"/>
    <x v="4"/>
    <n v="172137712"/>
    <s v="INFAQ QRIS"/>
    <x v="0"/>
  </r>
  <r>
    <d v="2026-03-10T00:00:00"/>
    <m/>
    <m/>
    <n v="25000"/>
    <x v="4"/>
    <n v="172162712"/>
    <s v="INFAQ QRIS"/>
    <x v="0"/>
  </r>
  <r>
    <d v="2026-03-10T00:00:00"/>
    <m/>
    <m/>
    <n v="50000"/>
    <x v="4"/>
    <n v="172212712"/>
    <s v="INFAQ QRIS"/>
    <x v="0"/>
  </r>
  <r>
    <d v="2026-03-10T00:00:00"/>
    <m/>
    <m/>
    <n v="10000"/>
    <x v="4"/>
    <n v="172222712"/>
    <s v="INFAQ QRIS"/>
    <x v="0"/>
  </r>
  <r>
    <d v="2026-03-10T00:00:00"/>
    <m/>
    <m/>
    <n v="5000"/>
    <x v="4"/>
    <n v="172227712"/>
    <s v="INFAQ QRIS"/>
    <x v="0"/>
  </r>
  <r>
    <d v="2026-03-10T00:00:00"/>
    <m/>
    <m/>
    <n v="100000"/>
    <x v="4"/>
    <n v="172327712"/>
    <s v="INFAQ QRIS"/>
    <x v="0"/>
  </r>
  <r>
    <d v="2026-03-10T00:00:00"/>
    <m/>
    <m/>
    <n v="300000"/>
    <x v="4"/>
    <n v="172627712"/>
    <s v="INFAQ IR JOSE OKTAVI AZMIRAL"/>
    <x v="0"/>
  </r>
  <r>
    <d v="2026-03-10T00:00:00"/>
    <m/>
    <m/>
    <n v="20000"/>
    <x v="4"/>
    <n v="172647712"/>
    <s v="INFAQ QRIS"/>
    <x v="0"/>
  </r>
  <r>
    <d v="2026-03-10T00:00:00"/>
    <n v="3000000"/>
    <m/>
    <m/>
    <x v="4"/>
    <n v="169647712"/>
    <s v="Perbaikan pintu Lap tenis via Amran"/>
    <x v="13"/>
  </r>
  <r>
    <d v="2026-03-10T00:00:00"/>
    <n v="6500"/>
    <m/>
    <m/>
    <x v="4"/>
    <n v="169641212"/>
    <s v="Perbaikan pintu Lap tenis via Amran"/>
    <x v="13"/>
  </r>
  <r>
    <d v="2026-03-11T00:00:00"/>
    <m/>
    <m/>
    <n v="100000"/>
    <x v="4"/>
    <n v="169741212"/>
    <s v="INFAQ QRIS"/>
    <x v="0"/>
  </r>
  <r>
    <d v="2026-03-11T00:00:00"/>
    <m/>
    <m/>
    <n v="100000"/>
    <x v="4"/>
    <n v="169841212"/>
    <s v="INFAQ QRIS"/>
    <x v="0"/>
  </r>
  <r>
    <d v="2026-03-11T00:00:00"/>
    <m/>
    <m/>
    <n v="25000"/>
    <x v="4"/>
    <n v="169866212"/>
    <s v="INFAQ QRIS"/>
    <x v="0"/>
  </r>
  <r>
    <d v="2026-03-11T00:00:00"/>
    <m/>
    <m/>
    <n v="50000"/>
    <x v="4"/>
    <n v="169916212"/>
    <s v="INFAQ QRIS"/>
    <x v="0"/>
  </r>
  <r>
    <d v="2026-03-11T00:00:00"/>
    <m/>
    <m/>
    <n v="10000"/>
    <x v="4"/>
    <n v="169926212"/>
    <s v="INFAQ QRIS"/>
    <x v="0"/>
  </r>
  <r>
    <d v="2026-03-11T00:00:00"/>
    <m/>
    <m/>
    <n v="100000"/>
    <x v="4"/>
    <n v="170026212"/>
    <s v="INFAQ QRIS"/>
    <x v="0"/>
  </r>
  <r>
    <d v="2026-03-11T00:00:00"/>
    <m/>
    <m/>
    <n v="5000"/>
    <x v="4"/>
    <n v="170031212"/>
    <s v="INFAQ QRIS"/>
    <x v="0"/>
  </r>
  <r>
    <d v="2026-03-11T00:00:00"/>
    <m/>
    <m/>
    <n v="2700"/>
    <x v="4"/>
    <n v="170033912"/>
    <s v="INFAQ QRIS"/>
    <x v="0"/>
  </r>
  <r>
    <d v="2026-03-11T00:00:00"/>
    <m/>
    <m/>
    <n v="25000"/>
    <x v="4"/>
    <n v="170058912"/>
    <s v="INFAQ QRIS"/>
    <x v="0"/>
  </r>
  <r>
    <d v="2026-03-11T00:00:00"/>
    <m/>
    <m/>
    <n v="22500"/>
    <x v="4"/>
    <n v="170081412"/>
    <s v="INFAQ QRIS"/>
    <x v="0"/>
  </r>
  <r>
    <d v="2026-03-11T00:00:00"/>
    <m/>
    <m/>
    <n v="2000"/>
    <x v="4"/>
    <n v="170083412"/>
    <s v="INFAQ QRIS"/>
    <x v="0"/>
  </r>
  <r>
    <d v="2026-03-11T00:00:00"/>
    <m/>
    <m/>
    <n v="50000"/>
    <x v="4"/>
    <n v="170133412"/>
    <s v="INFAQ QRIS"/>
    <x v="0"/>
  </r>
  <r>
    <d v="2026-03-11T00:00:00"/>
    <m/>
    <m/>
    <n v="20000"/>
    <x v="4"/>
    <n v="170153412"/>
    <s v="INFAQ QRIS"/>
    <x v="0"/>
  </r>
  <r>
    <d v="2026-03-11T00:00:00"/>
    <m/>
    <m/>
    <n v="10000"/>
    <x v="4"/>
    <n v="170163412"/>
    <s v="INFAQ QRIS"/>
    <x v="0"/>
  </r>
  <r>
    <d v="2026-03-11T00:00:00"/>
    <m/>
    <m/>
    <n v="50000"/>
    <x v="4"/>
    <n v="170213412"/>
    <s v="INFAQ QRIS"/>
    <x v="0"/>
  </r>
  <r>
    <d v="2026-03-11T00:00:00"/>
    <m/>
    <m/>
    <n v="10000"/>
    <x v="4"/>
    <n v="170223412"/>
    <s v="INFAQ QRIS"/>
    <x v="0"/>
  </r>
  <r>
    <d v="2026-03-11T00:00:00"/>
    <m/>
    <m/>
    <n v="50000"/>
    <x v="4"/>
    <n v="170273412"/>
    <s v="INFAQ QRIS"/>
    <x v="0"/>
  </r>
  <r>
    <d v="2026-03-11T00:00:00"/>
    <m/>
    <m/>
    <n v="5000"/>
    <x v="4"/>
    <n v="170278412"/>
    <s v="INFAQ QRIS"/>
    <x v="0"/>
  </r>
  <r>
    <d v="2026-03-11T00:00:00"/>
    <m/>
    <m/>
    <n v="50000"/>
    <x v="4"/>
    <n v="170328412"/>
    <s v="INFAQ QRIS"/>
    <x v="0"/>
  </r>
  <r>
    <d v="2026-03-11T00:00:00"/>
    <m/>
    <m/>
    <n v="10000"/>
    <x v="4"/>
    <n v="170338412"/>
    <s v="INFAQ QRIS"/>
    <x v="0"/>
  </r>
  <r>
    <d v="2026-03-11T00:00:00"/>
    <m/>
    <m/>
    <n v="50000"/>
    <x v="4"/>
    <n v="170388412"/>
    <s v="INFAQ QRIS"/>
    <x v="0"/>
  </r>
  <r>
    <d v="2026-03-11T00:00:00"/>
    <m/>
    <m/>
    <n v="15000"/>
    <x v="4"/>
    <n v="170403412"/>
    <s v="INFAQ QRIS"/>
    <x v="0"/>
  </r>
  <r>
    <d v="2026-03-11T00:00:00"/>
    <m/>
    <m/>
    <n v="10000"/>
    <x v="4"/>
    <n v="170413412"/>
    <s v="INFAQ QRIS"/>
    <x v="0"/>
  </r>
  <r>
    <d v="2026-03-11T00:00:00"/>
    <m/>
    <m/>
    <n v="20000"/>
    <x v="4"/>
    <n v="170433412"/>
    <s v="INFAQ QRIS"/>
    <x v="0"/>
  </r>
  <r>
    <d v="2026-03-11T00:00:00"/>
    <m/>
    <m/>
    <n v="35000"/>
    <x v="4"/>
    <n v="170468412"/>
    <s v="INFAQ QRIS"/>
    <x v="0"/>
  </r>
  <r>
    <d v="2026-03-11T00:00:00"/>
    <n v="950000"/>
    <m/>
    <m/>
    <x v="4"/>
    <n v="169518412"/>
    <s v="BELI DISPENSER MAJ VIA MAHMUD"/>
    <x v="8"/>
  </r>
  <r>
    <d v="2026-03-11T00:00:00"/>
    <n v="2500"/>
    <m/>
    <m/>
    <x v="4"/>
    <n v="169515912"/>
    <s v="BELI DISPENSER MAJ VIA MAHMUD"/>
    <x v="8"/>
  </r>
  <r>
    <d v="2026-03-12T00:00:00"/>
    <m/>
    <m/>
    <n v="20000"/>
    <x v="4"/>
    <n v="169535912"/>
    <s v="INFAQ QRIS"/>
    <x v="0"/>
  </r>
  <r>
    <d v="2026-03-12T00:00:00"/>
    <m/>
    <m/>
    <n v="20000"/>
    <x v="4"/>
    <n v="169555912"/>
    <s v="INFAQ QRIS"/>
    <x v="0"/>
  </r>
  <r>
    <d v="2026-03-12T00:00:00"/>
    <m/>
    <m/>
    <n v="100000"/>
    <x v="4"/>
    <n v="169655912"/>
    <s v="INFAQ QRIS"/>
    <x v="0"/>
  </r>
  <r>
    <d v="2026-03-12T00:00:00"/>
    <m/>
    <m/>
    <n v="10000"/>
    <x v="4"/>
    <n v="169665912"/>
    <s v="INFAQ QRIS"/>
    <x v="0"/>
  </r>
  <r>
    <d v="2026-03-12T00:00:00"/>
    <m/>
    <m/>
    <n v="50000"/>
    <x v="4"/>
    <n v="169715912"/>
    <s v="INFAQ QRIS"/>
    <x v="0"/>
  </r>
  <r>
    <d v="2026-03-12T00:00:00"/>
    <m/>
    <m/>
    <n v="15000"/>
    <x v="4"/>
    <n v="169730912"/>
    <s v="INFAQ QRIS"/>
    <x v="0"/>
  </r>
  <r>
    <d v="2026-03-12T00:00:00"/>
    <m/>
    <m/>
    <n v="20000"/>
    <x v="4"/>
    <n v="169750912"/>
    <s v="INFAQ QRIS"/>
    <x v="0"/>
  </r>
  <r>
    <d v="2026-03-12T00:00:00"/>
    <m/>
    <m/>
    <n v="50000"/>
    <x v="4"/>
    <n v="169800912"/>
    <s v="INFAQ QRIS"/>
    <x v="0"/>
  </r>
  <r>
    <d v="2026-03-12T00:00:00"/>
    <m/>
    <m/>
    <n v="2753"/>
    <x v="4"/>
    <n v="169803665"/>
    <s v="INFAQ QRIS"/>
    <x v="0"/>
  </r>
  <r>
    <d v="2026-03-12T00:00:00"/>
    <m/>
    <m/>
    <n v="25000"/>
    <x v="4"/>
    <n v="169828665"/>
    <s v="INFAQ QRIS"/>
    <x v="0"/>
  </r>
  <r>
    <d v="2026-03-12T00:00:00"/>
    <m/>
    <m/>
    <n v="50000"/>
    <x v="4"/>
    <n v="169878665"/>
    <s v="INFAQ QRIS"/>
    <x v="0"/>
  </r>
  <r>
    <d v="2026-03-12T00:00:00"/>
    <m/>
    <m/>
    <n v="5000"/>
    <x v="4"/>
    <n v="169883665"/>
    <s v="INFAQ QRIS"/>
    <x v="0"/>
  </r>
  <r>
    <d v="2026-03-12T00:00:00"/>
    <m/>
    <m/>
    <n v="15000"/>
    <x v="4"/>
    <n v="169898665"/>
    <s v="INFAQ QRIS"/>
    <x v="0"/>
  </r>
  <r>
    <d v="2026-03-12T00:00:00"/>
    <m/>
    <m/>
    <n v="10000"/>
    <x v="4"/>
    <n v="169908665"/>
    <s v="INFAQ QRIS"/>
    <x v="0"/>
  </r>
  <r>
    <d v="2026-03-12T00:00:00"/>
    <m/>
    <m/>
    <n v="1500000"/>
    <x v="4"/>
    <n v="171408665"/>
    <s v="INFAQ QRIS"/>
    <x v="0"/>
  </r>
  <r>
    <d v="2026-03-13T00:00:00"/>
    <m/>
    <m/>
    <n v="10000"/>
    <x v="4"/>
    <n v="171418665"/>
    <s v="INFAQ QRIS"/>
    <x v="0"/>
  </r>
  <r>
    <d v="2026-03-13T00:00:00"/>
    <m/>
    <m/>
    <n v="4700"/>
    <x v="4"/>
    <n v="171423365"/>
    <s v="INFAQ QRIS"/>
    <x v="0"/>
  </r>
  <r>
    <d v="2026-03-13T00:00:00"/>
    <m/>
    <m/>
    <n v="20000"/>
    <x v="4"/>
    <n v="171443365"/>
    <s v="INFAQ QRIS"/>
    <x v="0"/>
  </r>
  <r>
    <d v="2026-03-13T00:00:00"/>
    <m/>
    <m/>
    <n v="10000"/>
    <x v="4"/>
    <n v="171453365"/>
    <s v="INFAQ QRIS"/>
    <x v="0"/>
  </r>
  <r>
    <d v="2026-03-13T00:00:00"/>
    <m/>
    <m/>
    <n v="5000"/>
    <x v="4"/>
    <n v="171458365"/>
    <s v="INFAQ QRIS"/>
    <x v="0"/>
  </r>
  <r>
    <d v="2026-03-13T00:00:00"/>
    <m/>
    <m/>
    <n v="20000"/>
    <x v="4"/>
    <n v="171478365"/>
    <s v="INFAQ QRIS"/>
    <x v="0"/>
  </r>
  <r>
    <d v="2026-03-13T00:00:00"/>
    <m/>
    <m/>
    <n v="35000"/>
    <x v="4"/>
    <n v="171513365"/>
    <s v="INFAQ QRIS"/>
    <x v="0"/>
  </r>
  <r>
    <d v="2026-03-13T00:00:00"/>
    <m/>
    <m/>
    <n v="300000"/>
    <x v="4"/>
    <n v="171813365"/>
    <s v="INFAQ QRIS"/>
    <x v="0"/>
  </r>
  <r>
    <d v="2026-03-13T00:00:00"/>
    <m/>
    <m/>
    <n v="50000"/>
    <x v="4"/>
    <n v="171863365"/>
    <s v="INFAQ QRIS"/>
    <x v="0"/>
  </r>
  <r>
    <d v="2026-03-13T00:00:00"/>
    <m/>
    <m/>
    <n v="30000"/>
    <x v="4"/>
    <n v="171893365"/>
    <s v="INFAQ QRIS"/>
    <x v="0"/>
  </r>
  <r>
    <d v="2026-03-13T00:00:00"/>
    <m/>
    <m/>
    <n v="50000"/>
    <x v="4"/>
    <n v="171943365"/>
    <s v="INFAQ QRIS"/>
    <x v="0"/>
  </r>
  <r>
    <d v="2026-03-13T00:00:00"/>
    <m/>
    <m/>
    <n v="100000"/>
    <x v="4"/>
    <n v="172043365"/>
    <s v="INFAQ QRIS"/>
    <x v="0"/>
  </r>
  <r>
    <d v="2026-03-13T00:00:00"/>
    <m/>
    <m/>
    <n v="100000"/>
    <x v="4"/>
    <n v="172143365"/>
    <s v="INFAQ QRIS"/>
    <x v="0"/>
  </r>
  <r>
    <d v="2026-03-13T00:00:00"/>
    <m/>
    <m/>
    <n v="20000"/>
    <x v="4"/>
    <n v="172163365"/>
    <s v="INFAQ QRIS"/>
    <x v="0"/>
  </r>
  <r>
    <d v="2026-03-13T00:00:00"/>
    <m/>
    <m/>
    <n v="15000"/>
    <x v="4"/>
    <n v="172178365"/>
    <s v="INFAQ QRIS"/>
    <x v="0"/>
  </r>
  <r>
    <d v="2026-03-13T00:00:00"/>
    <m/>
    <m/>
    <n v="50000"/>
    <x v="4"/>
    <n v="172228365"/>
    <s v="INFAQ QRIS"/>
    <x v="0"/>
  </r>
  <r>
    <d v="2026-03-13T00:00:00"/>
    <m/>
    <m/>
    <n v="20000"/>
    <x v="4"/>
    <n v="172248365"/>
    <s v="INFAQ QRIS"/>
    <x v="0"/>
  </r>
  <r>
    <d v="2026-03-13T00:00:00"/>
    <m/>
    <m/>
    <n v="50000"/>
    <x v="4"/>
    <n v="172298365"/>
    <s v="INFAQ QRIS"/>
    <x v="0"/>
  </r>
  <r>
    <d v="2026-03-13T00:00:00"/>
    <m/>
    <m/>
    <n v="100000"/>
    <x v="4"/>
    <n v="172398365"/>
    <s v="INFAQ QRIS"/>
    <x v="0"/>
  </r>
  <r>
    <d v="2026-03-13T00:00:00"/>
    <m/>
    <m/>
    <n v="10000"/>
    <x v="4"/>
    <n v="172408365"/>
    <s v="INFAQ QRIS"/>
    <x v="0"/>
  </r>
  <r>
    <d v="2026-03-14T00:00:00"/>
    <m/>
    <m/>
    <n v="1000"/>
    <x v="5"/>
    <n v="172409365"/>
    <s v="INFAQ QRIS"/>
    <x v="0"/>
  </r>
  <r>
    <d v="2026-03-14T00:00:00"/>
    <m/>
    <m/>
    <n v="5000"/>
    <x v="5"/>
    <n v="172414365"/>
    <s v="INFAQ QRIS"/>
    <x v="0"/>
  </r>
  <r>
    <d v="2026-03-14T00:00:00"/>
    <m/>
    <m/>
    <n v="350000"/>
    <x v="5"/>
    <n v="172764365"/>
    <s v="INFAQ QRIS"/>
    <x v="0"/>
  </r>
  <r>
    <d v="2026-03-14T00:00:00"/>
    <m/>
    <m/>
    <n v="20000"/>
    <x v="5"/>
    <n v="172784365"/>
    <s v="INFAQ QRIS"/>
    <x v="0"/>
  </r>
  <r>
    <d v="2026-03-14T00:00:00"/>
    <m/>
    <m/>
    <n v="2000"/>
    <x v="5"/>
    <n v="172786365"/>
    <s v="INFAQ QRIS"/>
    <x v="0"/>
  </r>
  <r>
    <d v="2026-03-14T00:00:00"/>
    <m/>
    <m/>
    <n v="50000"/>
    <x v="5"/>
    <n v="172836365"/>
    <s v="INFAQ QRIS"/>
    <x v="0"/>
  </r>
  <r>
    <d v="2026-03-14T00:00:00"/>
    <m/>
    <m/>
    <n v="25000"/>
    <x v="5"/>
    <n v="172861365"/>
    <s v="INFAQ QRIS"/>
    <x v="0"/>
  </r>
  <r>
    <d v="2026-03-14T00:00:00"/>
    <m/>
    <m/>
    <n v="5000"/>
    <x v="5"/>
    <n v="172866365"/>
    <s v="INFAQ QRIS"/>
    <x v="0"/>
  </r>
  <r>
    <d v="2026-03-14T00:00:00"/>
    <m/>
    <m/>
    <n v="10000"/>
    <x v="5"/>
    <n v="172876365"/>
    <s v="INFAQ QRIS"/>
    <x v="0"/>
  </r>
  <r>
    <d v="2026-03-14T00:00:00"/>
    <m/>
    <m/>
    <n v="50000"/>
    <x v="5"/>
    <n v="172926365"/>
    <s v="INFAQ QRIS"/>
    <x v="0"/>
  </r>
  <r>
    <d v="2026-03-14T00:00:00"/>
    <m/>
    <m/>
    <n v="5000"/>
    <x v="5"/>
    <n v="172931365"/>
    <s v="INFAQ QRIS"/>
    <x v="0"/>
  </r>
  <r>
    <d v="2026-03-14T00:00:00"/>
    <m/>
    <m/>
    <n v="50000"/>
    <x v="5"/>
    <n v="172981365"/>
    <s v="INFAQ QRIS"/>
    <x v="0"/>
  </r>
  <r>
    <d v="2026-03-14T00:00:00"/>
    <m/>
    <m/>
    <n v="134000"/>
    <x v="5"/>
    <n v="173115365"/>
    <s v="INFAQ QRIS"/>
    <x v="0"/>
  </r>
  <r>
    <d v="2026-03-14T00:00:00"/>
    <m/>
    <m/>
    <n v="10000"/>
    <x v="5"/>
    <n v="173125365"/>
    <s v="INFAQ QRIS"/>
    <x v="0"/>
  </r>
  <r>
    <d v="2026-03-14T00:00:00"/>
    <m/>
    <m/>
    <n v="50000"/>
    <x v="5"/>
    <n v="173175365"/>
    <s v="INFAQ QRIS"/>
    <x v="0"/>
  </r>
  <r>
    <d v="2026-03-14T00:00:00"/>
    <m/>
    <m/>
    <n v="10000"/>
    <x v="5"/>
    <n v="173185365"/>
    <s v="INFAQ QRIS"/>
    <x v="0"/>
  </r>
  <r>
    <d v="2026-03-14T00:00:00"/>
    <m/>
    <m/>
    <n v="10000"/>
    <x v="5"/>
    <n v="173195365"/>
    <s v="INFAQ QRIS"/>
    <x v="0"/>
  </r>
  <r>
    <d v="2026-03-14T00:00:00"/>
    <m/>
    <m/>
    <n v="20000"/>
    <x v="5"/>
    <n v="173215365"/>
    <s v="INFAQ QRIS"/>
    <x v="0"/>
  </r>
  <r>
    <d v="2026-03-14T00:00:00"/>
    <m/>
    <m/>
    <n v="50000"/>
    <x v="5"/>
    <n v="173265365"/>
    <s v="INFAQ QRIS"/>
    <x v="0"/>
  </r>
  <r>
    <d v="2026-03-14T00:00:00"/>
    <m/>
    <m/>
    <n v="50000"/>
    <x v="5"/>
    <n v="173315365"/>
    <s v="INFAQ QRIS"/>
    <x v="0"/>
  </r>
  <r>
    <d v="2026-03-14T00:00:00"/>
    <m/>
    <m/>
    <n v="25000"/>
    <x v="5"/>
    <n v="173340365"/>
    <s v="INFAQ QRIS"/>
    <x v="0"/>
  </r>
  <r>
    <d v="2026-03-14T00:00:00"/>
    <m/>
    <m/>
    <n v="100000"/>
    <x v="5"/>
    <n v="173440365"/>
    <s v="INFAQ QRIS"/>
    <x v="0"/>
  </r>
  <r>
    <d v="2026-03-14T00:00:00"/>
    <m/>
    <m/>
    <n v="15000"/>
    <x v="5"/>
    <n v="173455365"/>
    <s v="INFAQ QRIS"/>
    <x v="0"/>
  </r>
  <r>
    <d v="2026-03-14T00:00:00"/>
    <m/>
    <m/>
    <n v="25000"/>
    <x v="5"/>
    <n v="173480365"/>
    <s v="INFAQ QRIS"/>
    <x v="0"/>
  </r>
  <r>
    <d v="2026-03-14T00:00:00"/>
    <m/>
    <m/>
    <n v="20000"/>
    <x v="5"/>
    <n v="173500365"/>
    <s v="INFAQ QRIS"/>
    <x v="0"/>
  </r>
  <r>
    <d v="2026-03-14T00:00:00"/>
    <m/>
    <m/>
    <n v="50000"/>
    <x v="5"/>
    <n v="173550365"/>
    <s v="INFAQ QRIS"/>
    <x v="0"/>
  </r>
  <r>
    <d v="2026-03-14T00:00:00"/>
    <m/>
    <m/>
    <n v="20000"/>
    <x v="5"/>
    <n v="173570365"/>
    <s v="INFAQ QRIS"/>
    <x v="0"/>
  </r>
  <r>
    <d v="2026-03-14T00:00:00"/>
    <m/>
    <m/>
    <n v="50000"/>
    <x v="5"/>
    <n v="173620365"/>
    <s v="INFAQ QRIS"/>
    <x v="0"/>
  </r>
  <r>
    <d v="2026-03-14T00:00:00"/>
    <m/>
    <m/>
    <n v="30000"/>
    <x v="5"/>
    <n v="173650365"/>
    <s v="INFAQ QRIS"/>
    <x v="0"/>
  </r>
  <r>
    <d v="2026-03-14T00:00:00"/>
    <m/>
    <m/>
    <n v="50000"/>
    <x v="5"/>
    <n v="173700365"/>
    <s v="INFAQ QRIS"/>
    <x v="0"/>
  </r>
  <r>
    <d v="2026-03-14T00:00:00"/>
    <n v="550000"/>
    <m/>
    <m/>
    <x v="5"/>
    <n v="173150365"/>
    <s v="M BAYU CANDRA MAJ THR 2026"/>
    <x v="12"/>
  </r>
  <r>
    <d v="2026-03-14T00:00:00"/>
    <n v="6500"/>
    <m/>
    <m/>
    <x v="5"/>
    <n v="173143865"/>
    <s v="M BAYU CANDRA MAJ THR 2026"/>
    <x v="12"/>
  </r>
  <r>
    <d v="2026-03-14T00:00:00"/>
    <n v="1000000"/>
    <m/>
    <m/>
    <x v="5"/>
    <n v="172143865"/>
    <s v="AHMAD IMAM SAMUDRA MAJ THR 2026"/>
    <x v="12"/>
  </r>
  <r>
    <d v="2026-03-14T00:00:00"/>
    <n v="6500"/>
    <m/>
    <m/>
    <x v="5"/>
    <n v="172137365"/>
    <s v="AHMAD IMAM SAMUDRA MAJ THR 2026"/>
    <x v="12"/>
  </r>
  <r>
    <d v="2026-03-14T00:00:00"/>
    <n v="2700000"/>
    <m/>
    <m/>
    <x v="5"/>
    <n v="169437365"/>
    <s v="M BAYU CANDRA MAJ THR Mushrif 2026"/>
    <x v="3"/>
  </r>
  <r>
    <d v="2026-03-14T00:00:00"/>
    <n v="6500"/>
    <m/>
    <m/>
    <x v="5"/>
    <n v="169430865"/>
    <s v="M BAYU CANDRA MAJ THR Mushrif 2026"/>
    <x v="3"/>
  </r>
  <r>
    <d v="2026-03-14T00:00:00"/>
    <n v="1000000"/>
    <m/>
    <m/>
    <x v="5"/>
    <n v="168430865"/>
    <s v="AGUS SETIYONO MAJ THR Mukafaah 2026"/>
    <x v="3"/>
  </r>
  <r>
    <d v="2026-03-14T00:00:00"/>
    <n v="6500"/>
    <m/>
    <m/>
    <x v="5"/>
    <n v="168424365"/>
    <s v="AGUS SETIYONO MAJ THR Mukafaah 2026"/>
    <x v="3"/>
  </r>
  <r>
    <d v="2026-03-14T00:00:00"/>
    <n v="3500000"/>
    <m/>
    <m/>
    <x v="5"/>
    <n v="164924365"/>
    <s v="NANANG SUBAEDI MAJ THR 2026"/>
    <x v="12"/>
  </r>
  <r>
    <d v="2026-03-14T00:00:00"/>
    <n v="6500"/>
    <m/>
    <m/>
    <x v="5"/>
    <n v="164917865"/>
    <s v="NANANG SUBAEDI MAJ THR 2026"/>
    <x v="12"/>
  </r>
  <r>
    <d v="2026-03-14T00:00:00"/>
    <n v="2500000"/>
    <m/>
    <m/>
    <x v="5"/>
    <n v="162417865"/>
    <s v="MUHAMMAD ILHAM MAJ THR 2026"/>
    <x v="12"/>
  </r>
  <r>
    <d v="2026-03-14T00:00:00"/>
    <n v="6500"/>
    <m/>
    <m/>
    <x v="5"/>
    <n v="162411365"/>
    <s v="MUHAMMAD ILHAM MAJ THR 2026"/>
    <x v="12"/>
  </r>
  <r>
    <d v="2026-03-14T00:00:00"/>
    <n v="2250000"/>
    <m/>
    <m/>
    <x v="5"/>
    <n v="160161365"/>
    <s v="A IMRON ROSADI MAJ THR 2026"/>
    <x v="12"/>
  </r>
  <r>
    <d v="2026-03-14T00:00:00"/>
    <n v="6500"/>
    <m/>
    <m/>
    <x v="5"/>
    <n v="160154865"/>
    <s v="A IMRON ROSADI MAJ THR 2026"/>
    <x v="12"/>
  </r>
  <r>
    <d v="2026-03-14T00:00:00"/>
    <n v="2750000"/>
    <m/>
    <m/>
    <x v="5"/>
    <n v="157404865"/>
    <s v="THR UST SUPRIYADI"/>
    <x v="12"/>
  </r>
  <r>
    <d v="2026-03-14T00:00:00"/>
    <n v="6000000"/>
    <m/>
    <m/>
    <x v="5"/>
    <n v="151404865"/>
    <s v="MAHMUD MADJID Konsumsi Itikaf Ramadhan 1447H"/>
    <x v="20"/>
  </r>
  <r>
    <d v="2026-03-14T00:00:00"/>
    <n v="6500"/>
    <m/>
    <m/>
    <x v="5"/>
    <n v="151398365"/>
    <s v="MAHMUD MADJID Konsumsi Itikaf Ramadhan 1447H"/>
    <x v="20"/>
  </r>
  <r>
    <d v="2026-03-14T00:00:00"/>
    <n v="750000"/>
    <m/>
    <m/>
    <x v="5"/>
    <n v="150648365"/>
    <s v="ABDUL HAMID Hadiah Kajian Taraweh MAJ 140326"/>
    <x v="18"/>
  </r>
  <r>
    <d v="2026-03-14T00:00:00"/>
    <n v="6500"/>
    <m/>
    <m/>
    <x v="5"/>
    <n v="150641865"/>
    <s v="ABDUL HAMID Hadiah Kajian Taraweh MAJ 140326"/>
    <x v="18"/>
  </r>
  <r>
    <d v="2026-03-15T00:00:00"/>
    <m/>
    <m/>
    <n v="100000"/>
    <x v="5"/>
    <n v="150741865"/>
    <s v="INFAQ AGUNG PRAMONO"/>
    <x v="0"/>
  </r>
  <r>
    <d v="2026-03-15T00:00:00"/>
    <m/>
    <m/>
    <n v="20000"/>
    <x v="5"/>
    <n v="150761865"/>
    <s v="INFAQ QRIS"/>
    <x v="0"/>
  </r>
  <r>
    <d v="2026-03-15T00:00:00"/>
    <m/>
    <m/>
    <n v="35000"/>
    <x v="5"/>
    <n v="150796865"/>
    <s v="INFAQ QRIS"/>
    <x v="0"/>
  </r>
  <r>
    <d v="2026-03-15T00:00:00"/>
    <m/>
    <m/>
    <n v="100000"/>
    <x v="5"/>
    <n v="150896865"/>
    <s v="INFAQ QRIS"/>
    <x v="0"/>
  </r>
  <r>
    <d v="2026-03-15T00:00:00"/>
    <m/>
    <m/>
    <n v="15000"/>
    <x v="5"/>
    <n v="150911865"/>
    <s v="INFAQ QRIS"/>
    <x v="0"/>
  </r>
  <r>
    <d v="2026-03-15T00:00:00"/>
    <m/>
    <m/>
    <n v="6750"/>
    <x v="5"/>
    <n v="150918615"/>
    <s v="INFAQ QRIS"/>
    <x v="0"/>
  </r>
  <r>
    <d v="2026-03-15T00:00:00"/>
    <m/>
    <m/>
    <n v="2570"/>
    <x v="5"/>
    <n v="150921185"/>
    <s v="INFAQ QRIS"/>
    <x v="0"/>
  </r>
  <r>
    <d v="2026-03-15T00:00:00"/>
    <m/>
    <m/>
    <n v="5000"/>
    <x v="5"/>
    <n v="150926185"/>
    <s v="INFAQ QRIS"/>
    <x v="0"/>
  </r>
  <r>
    <d v="2026-03-15T00:00:00"/>
    <m/>
    <m/>
    <n v="20000"/>
    <x v="5"/>
    <n v="150946185"/>
    <s v="INFAQ QRIS"/>
    <x v="0"/>
  </r>
  <r>
    <d v="2026-03-15T00:00:00"/>
    <m/>
    <m/>
    <n v="20000"/>
    <x v="5"/>
    <n v="150966185"/>
    <s v="INFAQ QRIS"/>
    <x v="0"/>
  </r>
  <r>
    <d v="2026-03-15T00:00:00"/>
    <m/>
    <m/>
    <n v="25000"/>
    <x v="5"/>
    <n v="150991185"/>
    <s v="INFAQ QRIS"/>
    <x v="0"/>
  </r>
  <r>
    <d v="2026-03-15T00:00:00"/>
    <m/>
    <m/>
    <n v="25000"/>
    <x v="5"/>
    <n v="151016185"/>
    <s v="INFAQ QRIS"/>
    <x v="0"/>
  </r>
  <r>
    <d v="2026-03-15T00:00:00"/>
    <m/>
    <m/>
    <n v="3000"/>
    <x v="5"/>
    <n v="151019185"/>
    <s v="INFAQ QRIS"/>
    <x v="0"/>
  </r>
  <r>
    <d v="2026-03-15T00:00:00"/>
    <m/>
    <m/>
    <n v="2000"/>
    <x v="5"/>
    <n v="151021185"/>
    <s v="INFAQ QRIS"/>
    <x v="0"/>
  </r>
  <r>
    <d v="2026-03-15T00:00:00"/>
    <m/>
    <m/>
    <n v="30000"/>
    <x v="5"/>
    <n v="151051185"/>
    <s v="INFAQ QRIS"/>
    <x v="0"/>
  </r>
  <r>
    <d v="2026-03-15T00:00:00"/>
    <m/>
    <m/>
    <n v="50000"/>
    <x v="5"/>
    <n v="151101185"/>
    <s v="INFAQ QRIS"/>
    <x v="0"/>
  </r>
  <r>
    <d v="2026-03-15T00:00:00"/>
    <m/>
    <m/>
    <n v="2700"/>
    <x v="5"/>
    <n v="151103885"/>
    <s v="INFAQ QRIS"/>
    <x v="0"/>
  </r>
  <r>
    <d v="2026-03-15T00:00:00"/>
    <m/>
    <m/>
    <n v="20000"/>
    <x v="5"/>
    <n v="151123885"/>
    <s v="INFAQ QRIS"/>
    <x v="0"/>
  </r>
  <r>
    <d v="2026-03-15T00:00:00"/>
    <m/>
    <m/>
    <n v="50000"/>
    <x v="5"/>
    <n v="151173885"/>
    <s v="INFAQ QRIS"/>
    <x v="0"/>
  </r>
  <r>
    <d v="2026-03-15T00:00:00"/>
    <m/>
    <m/>
    <n v="10000"/>
    <x v="5"/>
    <n v="151183885"/>
    <s v="INFAQ QRIS"/>
    <x v="0"/>
  </r>
  <r>
    <d v="2026-03-15T00:00:00"/>
    <m/>
    <m/>
    <n v="35000"/>
    <x v="5"/>
    <n v="151218885"/>
    <s v="INFAQ QRIS"/>
    <x v="0"/>
  </r>
  <r>
    <d v="2026-03-15T00:00:00"/>
    <m/>
    <m/>
    <n v="10000"/>
    <x v="5"/>
    <n v="151228885"/>
    <s v="INFAQ QRIS"/>
    <x v="0"/>
  </r>
  <r>
    <d v="2026-03-15T00:00:00"/>
    <m/>
    <m/>
    <n v="25000"/>
    <x v="5"/>
    <n v="151253885"/>
    <s v="INFAQ QRIS"/>
    <x v="0"/>
  </r>
  <r>
    <d v="2026-03-15T00:00:00"/>
    <m/>
    <m/>
    <n v="50000"/>
    <x v="5"/>
    <n v="151303885"/>
    <s v="INFAQ QRIS"/>
    <x v="0"/>
  </r>
  <r>
    <d v="2026-03-15T00:00:00"/>
    <m/>
    <m/>
    <n v="50000"/>
    <x v="5"/>
    <n v="151353885"/>
    <s v="INFAQ QRIS"/>
    <x v="0"/>
  </r>
  <r>
    <d v="2026-03-15T00:00:00"/>
    <m/>
    <m/>
    <n v="300000"/>
    <x v="5"/>
    <n v="151653885"/>
    <s v="INFAQ QRIS"/>
    <x v="0"/>
  </r>
  <r>
    <d v="2026-03-15T00:00:00"/>
    <m/>
    <m/>
    <n v="100000"/>
    <x v="5"/>
    <n v="151753885"/>
    <s v="INFAQ QRIS"/>
    <x v="0"/>
  </r>
  <r>
    <d v="2026-03-15T00:00:00"/>
    <m/>
    <m/>
    <n v="20000000"/>
    <x v="5"/>
    <n v="171753885"/>
    <s v="ZAKAT MAL hasnanto w bin alm samsudi"/>
    <x v="19"/>
  </r>
  <r>
    <d v="2026-03-15T00:00:00"/>
    <m/>
    <m/>
    <n v="2000000"/>
    <x v="5"/>
    <n v="173753885"/>
    <s v="ZAKAT MAL Ari Pratiwi "/>
    <x v="19"/>
  </r>
  <r>
    <d v="2026-03-15T00:00:00"/>
    <m/>
    <m/>
    <n v="2000000"/>
    <x v="5"/>
    <n v="175753885"/>
    <s v="INFAQ Ari Pratiwi "/>
    <x v="0"/>
  </r>
  <r>
    <m/>
    <m/>
    <n v="4000000"/>
    <m/>
    <x v="5"/>
    <n v="175753885"/>
    <s v="ZAKAT MAL Ari Pratiwi "/>
    <x v="5"/>
  </r>
  <r>
    <d v="2026-03-15T00:00:00"/>
    <n v="1800000"/>
    <m/>
    <m/>
    <x v="5"/>
    <n v="173953885"/>
    <s v="Biaya buat pagar MAJ via Amran"/>
    <x v="13"/>
  </r>
  <r>
    <d v="2026-03-15T00:00:00"/>
    <n v="6500"/>
    <m/>
    <m/>
    <x v="5"/>
    <n v="173947385"/>
    <s v="Biaya buat pagar MAJ via Amran"/>
    <x v="13"/>
  </r>
  <r>
    <d v="2026-03-15T00:00:00"/>
    <m/>
    <m/>
    <n v="10000"/>
    <x v="5"/>
    <n v="173957385"/>
    <s v="INFAQ QRIS"/>
    <x v="0"/>
  </r>
  <r>
    <d v="2026-03-15T00:00:00"/>
    <m/>
    <m/>
    <n v="800000"/>
    <x v="5"/>
    <n v="174757385"/>
    <s v="INFAQ JOHN BASUKI RAHMAD"/>
    <x v="0"/>
  </r>
  <r>
    <d v="2026-03-15T00:00:00"/>
    <n v="750000"/>
    <m/>
    <m/>
    <x v="5"/>
    <n v="174007385"/>
    <s v="HONOR UST UMAR"/>
    <x v="18"/>
  </r>
  <r>
    <d v="2026-03-15T00:00:00"/>
    <n v="6500"/>
    <m/>
    <m/>
    <x v="5"/>
    <n v="174000885"/>
    <s v="HONOR UST UMAR"/>
    <x v="18"/>
  </r>
  <r>
    <d v="2026-03-16T00:00:00"/>
    <m/>
    <m/>
    <n v="50000"/>
    <x v="5"/>
    <n v="174050885"/>
    <s v="INFAQ QRIS"/>
    <x v="0"/>
  </r>
  <r>
    <d v="2026-03-16T00:00:00"/>
    <m/>
    <m/>
    <n v="10000"/>
    <x v="5"/>
    <n v="174060885"/>
    <s v="INFAQ QRIS"/>
    <x v="0"/>
  </r>
  <r>
    <d v="2026-03-16T00:00:00"/>
    <n v="15950000"/>
    <m/>
    <m/>
    <x v="5"/>
    <n v="158110885"/>
    <s v="RR DWI WIJAYANTI Beli 2 Unit TV Xiaomi dan Bracket MAJ"/>
    <x v="8"/>
  </r>
  <r>
    <d v="2026-03-16T00:00:00"/>
    <n v="6500"/>
    <m/>
    <m/>
    <x v="5"/>
    <n v="158104385"/>
    <s v="RR DWI WIJAYANTI Beli 2 Unit TV Xiaomi dan Bracket MAJ"/>
    <x v="8"/>
  </r>
  <r>
    <d v="2026-03-16T00:00:00"/>
    <m/>
    <m/>
    <n v="2432000"/>
    <x v="5"/>
    <n v="160536385"/>
    <m/>
    <x v="4"/>
  </r>
  <r>
    <d v="2026-03-16T00:00:00"/>
    <m/>
    <m/>
    <n v="3692000"/>
    <x v="5"/>
    <n v="164228385"/>
    <m/>
    <x v="0"/>
  </r>
  <r>
    <d v="2026-03-16T00:00:00"/>
    <m/>
    <m/>
    <n v="3231000"/>
    <x v="5"/>
    <n v="167459385"/>
    <m/>
    <x v="16"/>
  </r>
  <r>
    <d v="2026-03-16T00:00:00"/>
    <m/>
    <m/>
    <n v="21150000"/>
    <x v="5"/>
    <n v="188609385"/>
    <m/>
    <x v="19"/>
  </r>
  <r>
    <d v="2026-03-16T00:00:00"/>
    <m/>
    <m/>
    <n v="1000000"/>
    <x v="5"/>
    <n v="189609385"/>
    <m/>
    <x v="21"/>
  </r>
  <r>
    <d v="2026-03-16T00:00:00"/>
    <m/>
    <m/>
    <n v="825000"/>
    <x v="5"/>
    <n v="190434385"/>
    <m/>
    <x v="0"/>
  </r>
  <r>
    <m/>
    <m/>
    <n v="32330000"/>
    <m/>
    <x v="5"/>
    <n v="190434385"/>
    <s v=" 001118222422 INFAQ, ZAKAT MAL, DAN PEMBANGUNAN  SETOR TUNAI  "/>
    <x v="5"/>
  </r>
  <r>
    <d v="2026-03-16T00:00:00"/>
    <n v="2500000"/>
    <m/>
    <m/>
    <x v="5"/>
    <n v="187934385"/>
    <s v="NANANG SUBAEDI HONOR BANTUAN OPERASIONAL RAMADHAN MAJ"/>
    <x v="12"/>
  </r>
  <r>
    <d v="2026-03-16T00:00:00"/>
    <n v="2500"/>
    <m/>
    <m/>
    <x v="5"/>
    <n v="187931885"/>
    <s v="NANANG SUBAEDI HONOR BANTUAN OPERASIONAL RAMADHAN MAJ"/>
    <x v="12"/>
  </r>
  <r>
    <d v="2026-03-16T00:00:00"/>
    <n v="12814500"/>
    <m/>
    <m/>
    <x v="5"/>
    <n v="175117385"/>
    <s v="PERBAIKAN KUBAH MAJ VIA AMRAN"/>
    <x v="13"/>
  </r>
  <r>
    <d v="2026-03-16T00:00:00"/>
    <n v="2500"/>
    <m/>
    <m/>
    <x v="5"/>
    <n v="175114885"/>
    <s v="PERBAIKAN KUBAH MAJ VIA AMRAN"/>
    <x v="13"/>
  </r>
  <r>
    <d v="2026-03-16T00:00:00"/>
    <m/>
    <m/>
    <n v="20000"/>
    <x v="5"/>
    <n v="175134885"/>
    <s v="INFAQ QRIS"/>
    <x v="0"/>
  </r>
  <r>
    <d v="2026-03-16T00:00:00"/>
    <m/>
    <m/>
    <n v="30000"/>
    <x v="5"/>
    <n v="175164885"/>
    <s v="INFAQ QRIS"/>
    <x v="0"/>
  </r>
  <r>
    <d v="2026-03-16T00:00:00"/>
    <m/>
    <m/>
    <n v="50000"/>
    <x v="5"/>
    <n v="175214885"/>
    <s v="INFAQ QRIS"/>
    <x v="0"/>
  </r>
  <r>
    <d v="2026-03-16T00:00:00"/>
    <m/>
    <m/>
    <n v="50000"/>
    <x v="5"/>
    <n v="175264885"/>
    <s v="INFAQ QRIS"/>
    <x v="0"/>
  </r>
  <r>
    <d v="2026-03-16T00:00:00"/>
    <m/>
    <m/>
    <n v="150000"/>
    <x v="5"/>
    <n v="175414885"/>
    <s v="INFAQ QRIS"/>
    <x v="0"/>
  </r>
  <r>
    <d v="2026-03-16T00:00:00"/>
    <m/>
    <m/>
    <n v="7000"/>
    <x v="5"/>
    <n v="175421885"/>
    <s v="INFAQ QRIS"/>
    <x v="0"/>
  </r>
  <r>
    <d v="2026-03-16T00:00:00"/>
    <m/>
    <m/>
    <n v="25000"/>
    <x v="5"/>
    <n v="175446885"/>
    <s v="INFAQ QRIS"/>
    <x v="0"/>
  </r>
  <r>
    <d v="2026-03-16T00:00:00"/>
    <m/>
    <m/>
    <n v="50000"/>
    <x v="5"/>
    <n v="175496885"/>
    <s v="INFAQ QRIS"/>
    <x v="0"/>
  </r>
  <r>
    <d v="2026-03-16T00:00:00"/>
    <m/>
    <m/>
    <n v="50000"/>
    <x v="5"/>
    <n v="175546885"/>
    <s v="INFAQ QRIS"/>
    <x v="0"/>
  </r>
  <r>
    <d v="2026-03-16T00:00:00"/>
    <m/>
    <m/>
    <n v="25000"/>
    <x v="5"/>
    <n v="175571885"/>
    <s v="INFAQ QRIS"/>
    <x v="0"/>
  </r>
  <r>
    <d v="2026-03-16T00:00:00"/>
    <m/>
    <m/>
    <n v="10000"/>
    <x v="5"/>
    <n v="175581885"/>
    <s v="INFAQ QRIS"/>
    <x v="0"/>
  </r>
  <r>
    <d v="2026-03-16T00:00:00"/>
    <m/>
    <m/>
    <n v="50000"/>
    <x v="5"/>
    <n v="175631885"/>
    <s v="INFAQ QRIS"/>
    <x v="0"/>
  </r>
  <r>
    <d v="2026-03-16T00:00:00"/>
    <m/>
    <m/>
    <n v="20000"/>
    <x v="5"/>
    <n v="175651885"/>
    <s v="INFAQ QRIS"/>
    <x v="0"/>
  </r>
  <r>
    <d v="2026-03-16T00:00:00"/>
    <m/>
    <m/>
    <n v="20000"/>
    <x v="5"/>
    <n v="175671885"/>
    <s v="INFAQ QRIS"/>
    <x v="0"/>
  </r>
  <r>
    <d v="2026-03-16T00:00:00"/>
    <m/>
    <m/>
    <n v="10000"/>
    <x v="5"/>
    <n v="175681885"/>
    <s v="INFAQ QRIS"/>
    <x v="0"/>
  </r>
  <r>
    <d v="2026-03-16T00:00:00"/>
    <m/>
    <m/>
    <n v="2500"/>
    <x v="5"/>
    <n v="175684385"/>
    <s v="INFAQ QRIS"/>
    <x v="0"/>
  </r>
  <r>
    <d v="2026-03-16T00:00:00"/>
    <m/>
    <m/>
    <n v="100000"/>
    <x v="5"/>
    <n v="175784385"/>
    <s v="INFAQ QRIS"/>
    <x v="0"/>
  </r>
  <r>
    <d v="2026-03-16T00:00:00"/>
    <m/>
    <m/>
    <n v="50000"/>
    <x v="5"/>
    <n v="175834385"/>
    <s v="INFAQ QRIS"/>
    <x v="0"/>
  </r>
  <r>
    <d v="2026-03-16T00:00:00"/>
    <m/>
    <m/>
    <n v="50000"/>
    <x v="5"/>
    <n v="175884385"/>
    <s v="INFAQ QRIS"/>
    <x v="0"/>
  </r>
  <r>
    <d v="2026-03-16T00:00:00"/>
    <m/>
    <m/>
    <n v="1000000"/>
    <x v="5"/>
    <n v="176884385"/>
    <s v="INFAQ QRIS"/>
    <x v="0"/>
  </r>
  <r>
    <d v="2026-03-16T00:00:00"/>
    <m/>
    <m/>
    <n v="50000"/>
    <x v="5"/>
    <n v="176934385"/>
    <s v="INFAQ QRIS"/>
    <x v="0"/>
  </r>
  <r>
    <d v="2026-03-16T00:00:00"/>
    <m/>
    <m/>
    <n v="10000"/>
    <x v="5"/>
    <n v="176944385"/>
    <s v="INFAQ QRIS"/>
    <x v="0"/>
  </r>
  <r>
    <d v="2026-03-16T00:00:00"/>
    <m/>
    <m/>
    <n v="100000"/>
    <x v="5"/>
    <n v="177044385"/>
    <s v="INFAQ QRIS"/>
    <x v="0"/>
  </r>
  <r>
    <d v="2026-03-16T00:00:00"/>
    <m/>
    <m/>
    <n v="5000000"/>
    <x v="5"/>
    <n v="182044385"/>
    <s v="ZAKAT MAL DHIDIK TRI WIBOWO"/>
    <x v="19"/>
  </r>
  <r>
    <d v="2026-03-16T00:00:00"/>
    <m/>
    <m/>
    <n v="30000"/>
    <x v="5"/>
    <n v="182074385"/>
    <s v="INFAQ QRIS"/>
    <x v="0"/>
  </r>
  <r>
    <d v="2026-03-16T00:00:00"/>
    <m/>
    <m/>
    <n v="10000"/>
    <x v="5"/>
    <n v="182084385"/>
    <s v="INFAQ QRIS"/>
    <x v="0"/>
  </r>
  <r>
    <d v="2026-03-16T00:00:00"/>
    <m/>
    <m/>
    <n v="50000"/>
    <x v="5"/>
    <n v="182134385"/>
    <s v="INFAQ QRIS"/>
    <x v="0"/>
  </r>
  <r>
    <d v="2026-03-16T00:00:00"/>
    <m/>
    <m/>
    <n v="2000000"/>
    <x v="5"/>
    <n v="184134385"/>
    <s v="ZAKAT MAL AMALIA NASHITA"/>
    <x v="19"/>
  </r>
  <r>
    <d v="2026-03-17T00:00:00"/>
    <m/>
    <m/>
    <n v="10000"/>
    <x v="5"/>
    <n v="184144385"/>
    <s v="INFAQ QRIS"/>
    <x v="0"/>
  </r>
  <r>
    <d v="2026-03-17T00:00:00"/>
    <m/>
    <m/>
    <n v="10000"/>
    <x v="5"/>
    <n v="184154385"/>
    <s v="INFAQ QRIS"/>
    <x v="0"/>
  </r>
  <r>
    <d v="2026-03-17T00:00:00"/>
    <m/>
    <m/>
    <n v="20000"/>
    <x v="5"/>
    <n v="184174385"/>
    <s v="INFAQ QRIS"/>
    <x v="0"/>
  </r>
  <r>
    <d v="2026-03-17T00:00:00"/>
    <m/>
    <m/>
    <n v="2000"/>
    <x v="5"/>
    <n v="184176385"/>
    <s v="INFAQ QRIS"/>
    <x v="0"/>
  </r>
  <r>
    <d v="2026-03-17T00:00:00"/>
    <m/>
    <m/>
    <n v="100000"/>
    <x v="5"/>
    <n v="184276385"/>
    <s v="INFAQ QRIS"/>
    <x v="0"/>
  </r>
  <r>
    <d v="2026-03-17T00:00:00"/>
    <m/>
    <m/>
    <n v="35000"/>
    <x v="5"/>
    <n v="184311385"/>
    <s v="INFAQ QRIS"/>
    <x v="0"/>
  </r>
  <r>
    <d v="2026-03-17T00:00:00"/>
    <m/>
    <m/>
    <n v="30000"/>
    <x v="5"/>
    <n v="184341385"/>
    <s v="INFAQ QRIS"/>
    <x v="0"/>
  </r>
  <r>
    <d v="2026-03-17T00:00:00"/>
    <m/>
    <m/>
    <n v="2542"/>
    <x v="5"/>
    <n v="184343927"/>
    <s v="INFAQ QRIS"/>
    <x v="0"/>
  </r>
  <r>
    <d v="2026-03-17T00:00:00"/>
    <m/>
    <m/>
    <n v="50000"/>
    <x v="5"/>
    <n v="184393927"/>
    <s v="INFAQ QRIS"/>
    <x v="0"/>
  </r>
  <r>
    <d v="2026-03-17T00:00:00"/>
    <m/>
    <m/>
    <n v="25000"/>
    <x v="5"/>
    <n v="184418927"/>
    <s v="INFAQ QRIS"/>
    <x v="0"/>
  </r>
  <r>
    <d v="2026-03-17T00:00:00"/>
    <m/>
    <m/>
    <n v="50000"/>
    <x v="5"/>
    <n v="184468927"/>
    <s v="INFAQ QRIS"/>
    <x v="0"/>
  </r>
  <r>
    <d v="2026-03-17T00:00:00"/>
    <m/>
    <m/>
    <n v="50000"/>
    <x v="5"/>
    <n v="184518927"/>
    <s v="INFAQ QRIS"/>
    <x v="0"/>
  </r>
  <r>
    <d v="2026-03-17T00:00:00"/>
    <m/>
    <m/>
    <n v="5000"/>
    <x v="5"/>
    <n v="184523927"/>
    <s v="INFAQ QRIS"/>
    <x v="0"/>
  </r>
  <r>
    <d v="2026-03-17T00:00:00"/>
    <m/>
    <m/>
    <n v="15000"/>
    <x v="5"/>
    <n v="184538927"/>
    <s v="INFAQ QRIS"/>
    <x v="0"/>
  </r>
  <r>
    <d v="2026-03-17T00:00:00"/>
    <m/>
    <m/>
    <n v="50000"/>
    <x v="5"/>
    <n v="184588927"/>
    <s v="INFAQ QRIS"/>
    <x v="0"/>
  </r>
  <r>
    <d v="2026-03-17T00:00:00"/>
    <m/>
    <m/>
    <n v="20000"/>
    <x v="5"/>
    <n v="184608927"/>
    <s v="INFAQ QRIS"/>
    <x v="0"/>
  </r>
  <r>
    <d v="2026-03-17T00:00:00"/>
    <m/>
    <m/>
    <n v="50000"/>
    <x v="5"/>
    <n v="184658927"/>
    <s v="INFAQ QRIS"/>
    <x v="0"/>
  </r>
  <r>
    <d v="2026-03-17T00:00:00"/>
    <m/>
    <m/>
    <n v="35000"/>
    <x v="5"/>
    <n v="184693927"/>
    <s v="INFAQ QRIS"/>
    <x v="0"/>
  </r>
  <r>
    <d v="2026-03-17T00:00:00"/>
    <m/>
    <m/>
    <n v="10000"/>
    <x v="5"/>
    <n v="184703927"/>
    <s v="INFAQ QRIS"/>
    <x v="0"/>
  </r>
  <r>
    <d v="2026-03-17T00:00:00"/>
    <m/>
    <m/>
    <n v="14000000"/>
    <x v="5"/>
    <n v="198703927"/>
    <s v="ZAKAT MAL NURMANSYAH SYARIEF"/>
    <x v="19"/>
  </r>
  <r>
    <d v="2026-03-17T00:00:00"/>
    <m/>
    <m/>
    <n v="5000000"/>
    <x v="5"/>
    <n v="203703927"/>
    <s v="ZAKAT MAL ZULFIKARMANGGAU"/>
    <x v="19"/>
  </r>
  <r>
    <d v="2026-03-17T00:00:00"/>
    <m/>
    <m/>
    <n v="6050000"/>
    <x v="5"/>
    <n v="209753927"/>
    <s v=" 001118269958 ZAKAT MALL  SETOR TUNAI  "/>
    <x v="19"/>
  </r>
  <r>
    <d v="2026-03-17T00:00:00"/>
    <n v="10000"/>
    <m/>
    <m/>
    <x v="5"/>
    <n v="209743927"/>
    <s v="3200028199 Fee Payroll Februari 2026   CMS BIAYA PAYROLL  "/>
    <x v="1"/>
  </r>
  <r>
    <d v="2026-03-17T00:00:00"/>
    <m/>
    <m/>
    <n v="500000"/>
    <x v="5"/>
    <n v="210243927"/>
    <s v="INFAQ INUSA PAMUSYAWARA FA"/>
    <x v="0"/>
  </r>
  <r>
    <d v="2026-03-18T00:00:00"/>
    <m/>
    <m/>
    <n v="20000"/>
    <x v="5"/>
    <n v="210263927"/>
    <s v="INFAQ QRIS"/>
    <x v="0"/>
  </r>
  <r>
    <d v="2026-03-18T00:00:00"/>
    <n v="59000000"/>
    <m/>
    <m/>
    <x v="5"/>
    <n v="151263927"/>
    <s v="PEMBAGIAN ZAKAT FITRAH 1447H VIA MAHMUD"/>
    <x v="3"/>
  </r>
  <r>
    <d v="2026-03-18T00:00:00"/>
    <n v="2500"/>
    <m/>
    <m/>
    <x v="5"/>
    <n v="151261427"/>
    <s v="PEMBAGIAN ZAKAT FITRAH 1447H VIA MAHMUD"/>
    <x v="3"/>
  </r>
  <r>
    <d v="2026-03-18T00:00:00"/>
    <m/>
    <m/>
    <n v="10000"/>
    <x v="5"/>
    <n v="151271427"/>
    <s v="INFAQ QRIS"/>
    <x v="0"/>
  </r>
  <r>
    <d v="2026-03-18T00:00:00"/>
    <m/>
    <m/>
    <n v="2500"/>
    <x v="5"/>
    <n v="151273927"/>
    <s v="INFAQ QRIS"/>
    <x v="0"/>
  </r>
  <r>
    <d v="2026-03-18T00:00:00"/>
    <m/>
    <m/>
    <n v="50000"/>
    <x v="5"/>
    <n v="151323927"/>
    <s v="INFAQ QRIS"/>
    <x v="0"/>
  </r>
  <r>
    <d v="2026-03-18T00:00:00"/>
    <m/>
    <m/>
    <n v="50000"/>
    <x v="5"/>
    <n v="151373927"/>
    <s v="INFAQ QRIS"/>
    <x v="0"/>
  </r>
  <r>
    <d v="2026-03-18T00:00:00"/>
    <m/>
    <m/>
    <n v="50000"/>
    <x v="5"/>
    <n v="151423927"/>
    <s v="INFAQ QRIS"/>
    <x v="0"/>
  </r>
  <r>
    <d v="2026-03-18T00:00:00"/>
    <m/>
    <m/>
    <n v="100000"/>
    <x v="5"/>
    <n v="151523927"/>
    <s v="INFAQ QRIS"/>
    <x v="0"/>
  </r>
  <r>
    <d v="2026-03-18T00:00:00"/>
    <m/>
    <m/>
    <n v="100000"/>
    <x v="5"/>
    <n v="151623927"/>
    <s v="INFAQ QRIS"/>
    <x v="0"/>
  </r>
  <r>
    <d v="2026-03-18T00:00:00"/>
    <m/>
    <m/>
    <n v="200000"/>
    <x v="5"/>
    <n v="151823927"/>
    <s v="INFAQ QRIS"/>
    <x v="0"/>
  </r>
  <r>
    <d v="2026-03-18T00:00:00"/>
    <m/>
    <m/>
    <n v="20000"/>
    <x v="5"/>
    <n v="151843927"/>
    <s v="INFAQ QRIS"/>
    <x v="0"/>
  </r>
  <r>
    <d v="2026-03-18T00:00:00"/>
    <m/>
    <m/>
    <n v="10000"/>
    <x v="5"/>
    <n v="151853927"/>
    <s v="INFAQ QRIS"/>
    <x v="0"/>
  </r>
  <r>
    <d v="2026-03-18T00:00:00"/>
    <m/>
    <m/>
    <n v="5000"/>
    <x v="5"/>
    <n v="151858927"/>
    <s v="INFAQ QRIS"/>
    <x v="0"/>
  </r>
  <r>
    <d v="2026-03-18T00:00:00"/>
    <m/>
    <m/>
    <n v="15000"/>
    <x v="5"/>
    <n v="151873927"/>
    <s v="INFAQ QRIS"/>
    <x v="0"/>
  </r>
  <r>
    <d v="2026-03-18T00:00:00"/>
    <m/>
    <m/>
    <n v="20000"/>
    <x v="5"/>
    <n v="151893927"/>
    <s v="INFAQ QRIS"/>
    <x v="0"/>
  </r>
  <r>
    <d v="2026-03-18T00:00:00"/>
    <m/>
    <m/>
    <n v="20000"/>
    <x v="5"/>
    <n v="151913927"/>
    <s v="INFAQ QRIS"/>
    <x v="0"/>
  </r>
  <r>
    <d v="2026-03-18T00:00:00"/>
    <m/>
    <m/>
    <n v="50000"/>
    <x v="5"/>
    <n v="151963927"/>
    <s v="INFAQ QRIS"/>
    <x v="0"/>
  </r>
  <r>
    <d v="2026-03-18T00:00:00"/>
    <m/>
    <m/>
    <n v="50000"/>
    <x v="5"/>
    <n v="152013927"/>
    <s v="INFAQ QRIS"/>
    <x v="0"/>
  </r>
  <r>
    <d v="2026-03-18T00:00:00"/>
    <m/>
    <m/>
    <n v="2000000"/>
    <x v="5"/>
    <n v="154013927"/>
    <s v="ZAKAT MAL Muhammad Rifki"/>
    <x v="19"/>
  </r>
  <r>
    <d v="2026-03-18T00:00:00"/>
    <m/>
    <m/>
    <n v="20000"/>
    <x v="5"/>
    <n v="154033927"/>
    <s v="INFAQ QRIS"/>
    <x v="0"/>
  </r>
  <r>
    <d v="2026-03-19T00:00:00"/>
    <m/>
    <m/>
    <n v="10000"/>
    <x v="5"/>
    <n v="154043927"/>
    <s v="INFAQ QRIS"/>
    <x v="0"/>
  </r>
  <r>
    <d v="2026-03-19T00:00:00"/>
    <m/>
    <m/>
    <n v="50000"/>
    <x v="5"/>
    <n v="154093927"/>
    <s v="INFAQ QRIS"/>
    <x v="0"/>
  </r>
  <r>
    <d v="2026-03-19T00:00:00"/>
    <m/>
    <m/>
    <n v="5000"/>
    <x v="5"/>
    <n v="154098927"/>
    <s v="INFAQ QRIS"/>
    <x v="0"/>
  </r>
  <r>
    <d v="2026-03-19T00:00:00"/>
    <m/>
    <m/>
    <n v="35000"/>
    <x v="5"/>
    <n v="154133927"/>
    <s v="INFAQ QRIS"/>
    <x v="0"/>
  </r>
  <r>
    <d v="2026-03-19T00:00:00"/>
    <m/>
    <m/>
    <n v="50000"/>
    <x v="5"/>
    <n v="154183927"/>
    <s v="INFAQ QRIS"/>
    <x v="0"/>
  </r>
  <r>
    <d v="2026-03-19T00:00:00"/>
    <m/>
    <m/>
    <n v="500000"/>
    <x v="5"/>
    <n v="154683927"/>
    <s v="INFAQ QRIS"/>
    <x v="0"/>
  </r>
  <r>
    <d v="2026-03-19T00:00:00"/>
    <m/>
    <m/>
    <n v="25000"/>
    <x v="5"/>
    <n v="154708927"/>
    <s v="INFAQ QRIS"/>
    <x v="0"/>
  </r>
  <r>
    <d v="2026-03-19T00:00:00"/>
    <m/>
    <m/>
    <n v="50000"/>
    <x v="5"/>
    <n v="154758927"/>
    <s v="INFAQ QRIS"/>
    <x v="0"/>
  </r>
  <r>
    <d v="2026-03-19T00:00:00"/>
    <m/>
    <m/>
    <n v="10000"/>
    <x v="5"/>
    <n v="154768927"/>
    <s v="INFAQ QRIS"/>
    <x v="0"/>
  </r>
  <r>
    <d v="2026-03-19T00:00:00"/>
    <m/>
    <m/>
    <n v="10000"/>
    <x v="5"/>
    <n v="154778927"/>
    <s v="INFAQ QRIS"/>
    <x v="0"/>
  </r>
  <r>
    <d v="2026-03-19T00:00:00"/>
    <m/>
    <m/>
    <n v="10000"/>
    <x v="5"/>
    <n v="154788927"/>
    <s v="INFAQ QRIS"/>
    <x v="0"/>
  </r>
  <r>
    <d v="2026-03-19T00:00:00"/>
    <m/>
    <m/>
    <n v="50000"/>
    <x v="5"/>
    <n v="154838927"/>
    <s v="INFAQ QRIS"/>
    <x v="0"/>
  </r>
  <r>
    <d v="2026-03-19T00:00:00"/>
    <m/>
    <m/>
    <n v="20000"/>
    <x v="5"/>
    <n v="154858927"/>
    <s v="INFAQ QRIS"/>
    <x v="0"/>
  </r>
  <r>
    <d v="2026-03-19T00:00:00"/>
    <m/>
    <m/>
    <n v="15000"/>
    <x v="5"/>
    <n v="154873927"/>
    <s v="INFAQ QRIS"/>
    <x v="0"/>
  </r>
  <r>
    <d v="2026-03-19T00:00:00"/>
    <m/>
    <m/>
    <n v="100000"/>
    <x v="5"/>
    <n v="154973927"/>
    <s v="INFAQ QRIS"/>
    <x v="0"/>
  </r>
  <r>
    <d v="2026-03-19T00:00:00"/>
    <m/>
    <m/>
    <n v="50000"/>
    <x v="5"/>
    <n v="155023927"/>
    <s v="INFAQ QRIS"/>
    <x v="0"/>
  </r>
  <r>
    <d v="2026-03-19T00:00:00"/>
    <m/>
    <m/>
    <n v="50000"/>
    <x v="5"/>
    <n v="155073927"/>
    <s v="INFAQ QRIS"/>
    <x v="0"/>
  </r>
  <r>
    <d v="2026-03-19T00:00:00"/>
    <m/>
    <m/>
    <n v="2500"/>
    <x v="5"/>
    <n v="155076427"/>
    <s v="INFAQ QRIS"/>
    <x v="0"/>
  </r>
  <r>
    <d v="2026-03-19T00:00:00"/>
    <m/>
    <m/>
    <n v="10000"/>
    <x v="5"/>
    <n v="155086427"/>
    <s v="INFAQ QRIS"/>
    <x v="0"/>
  </r>
  <r>
    <d v="2026-03-19T00:00:00"/>
    <m/>
    <m/>
    <n v="5000000"/>
    <x v="5"/>
    <n v="160086427"/>
    <s v="INFAQ QRIS"/>
    <x v="0"/>
  </r>
  <r>
    <d v="2026-03-19T00:00:00"/>
    <m/>
    <m/>
    <n v="5000"/>
    <x v="5"/>
    <n v="160091427"/>
    <s v="INFAQ QRIS"/>
    <x v="0"/>
  </r>
  <r>
    <d v="2026-03-19T00:00:00"/>
    <m/>
    <m/>
    <n v="30000"/>
    <x v="5"/>
    <n v="160121427"/>
    <s v="INFAQ QRIS"/>
    <x v="0"/>
  </r>
  <r>
    <d v="2026-03-19T00:00:00"/>
    <m/>
    <m/>
    <n v="20000"/>
    <x v="5"/>
    <n v="160141427"/>
    <s v="INFAQ QRIS"/>
    <x v="0"/>
  </r>
  <r>
    <d v="2026-03-19T00:00:00"/>
    <m/>
    <m/>
    <n v="20000000"/>
    <x v="5"/>
    <n v="180141427"/>
    <s v="ZAKAT MAL HASNANTO WAHYUDI KE"/>
    <x v="19"/>
  </r>
  <r>
    <d v="2026-03-19T00:00:00"/>
    <n v="481412"/>
    <m/>
    <m/>
    <x v="5"/>
    <n v="179660015"/>
    <m/>
    <x v="11"/>
  </r>
  <r>
    <d v="2026-03-19T00:00:00"/>
    <n v="8268588"/>
    <m/>
    <m/>
    <x v="5"/>
    <n v="171391427"/>
    <m/>
    <x v="8"/>
  </r>
  <r>
    <m/>
    <m/>
    <n v="8750000"/>
    <m/>
    <x v="1"/>
    <n v="171391427"/>
    <s v="CCTV Kabel Stall Box 3 Unit TV via Hopy"/>
    <x v="5"/>
  </r>
  <r>
    <d v="2026-03-19T00:00:00"/>
    <n v="6500"/>
    <m/>
    <m/>
    <x v="5"/>
    <n v="171384927"/>
    <s v="CCTV Kabel Stall Box 3 Unit TV via Hopy"/>
    <x v="1"/>
  </r>
  <r>
    <d v="2026-03-20T00:00:00"/>
    <m/>
    <m/>
    <n v="20000"/>
    <x v="5"/>
    <n v="171404927"/>
    <s v="INFAQ QRIS"/>
    <x v="0"/>
  </r>
  <r>
    <d v="2026-03-20T00:00:00"/>
    <m/>
    <m/>
    <n v="1500000"/>
    <x v="5"/>
    <n v="172904927"/>
    <s v="INFAQ ANGGONO IRIAWAN"/>
    <x v="0"/>
  </r>
  <r>
    <d v="2026-03-20T00:00:00"/>
    <m/>
    <m/>
    <n v="4000000"/>
    <x v="6"/>
    <n v="176904927"/>
    <s v="INFAQ QRIS"/>
    <x v="0"/>
  </r>
  <r>
    <d v="2026-03-20T00:00:00"/>
    <m/>
    <m/>
    <n v="10000"/>
    <x v="6"/>
    <n v="176914927"/>
    <s v="INFAQ QRIS"/>
    <x v="0"/>
  </r>
  <r>
    <d v="2026-03-20T00:00:00"/>
    <m/>
    <m/>
    <n v="35000"/>
    <x v="6"/>
    <n v="176949927"/>
    <s v="INFAQ QRIS"/>
    <x v="0"/>
  </r>
  <r>
    <d v="2026-03-20T00:00:00"/>
    <m/>
    <m/>
    <n v="20000"/>
    <x v="6"/>
    <n v="176969927"/>
    <s v="INFAQ QRIS"/>
    <x v="0"/>
  </r>
  <r>
    <d v="2026-03-20T00:00:00"/>
    <m/>
    <m/>
    <n v="3500"/>
    <x v="6"/>
    <n v="176973427"/>
    <s v="INFAQ QRIS"/>
    <x v="0"/>
  </r>
  <r>
    <d v="2026-03-20T00:00:00"/>
    <m/>
    <m/>
    <n v="5000"/>
    <x v="6"/>
    <n v="176978427"/>
    <s v="INFAQ QRIS"/>
    <x v="0"/>
  </r>
  <r>
    <d v="2026-03-20T00:00:00"/>
    <m/>
    <m/>
    <n v="50000"/>
    <x v="6"/>
    <n v="177028427"/>
    <s v="INFAQ QRIS"/>
    <x v="0"/>
  </r>
  <r>
    <d v="2026-03-20T00:00:00"/>
    <m/>
    <m/>
    <n v="300000"/>
    <x v="6"/>
    <n v="177328427"/>
    <s v="INFAQ QRIS"/>
    <x v="0"/>
  </r>
  <r>
    <d v="2026-03-20T00:00:00"/>
    <m/>
    <m/>
    <n v="100000"/>
    <x v="6"/>
    <n v="177428427"/>
    <s v="INFAQ QRIS"/>
    <x v="0"/>
  </r>
  <r>
    <d v="2026-03-20T00:00:00"/>
    <m/>
    <m/>
    <n v="10000"/>
    <x v="6"/>
    <n v="177438427"/>
    <s v="INFAQ QRIS"/>
    <x v="0"/>
  </r>
  <r>
    <d v="2026-03-20T00:00:00"/>
    <m/>
    <m/>
    <n v="50000"/>
    <x v="6"/>
    <n v="177488427"/>
    <s v="INFAQ QRIS"/>
    <x v="0"/>
  </r>
  <r>
    <d v="2026-03-20T00:00:00"/>
    <m/>
    <m/>
    <n v="10000"/>
    <x v="6"/>
    <n v="177498427"/>
    <s v="INFAQ QRIS"/>
    <x v="0"/>
  </r>
  <r>
    <d v="2026-03-20T00:00:00"/>
    <m/>
    <m/>
    <n v="50000"/>
    <x v="6"/>
    <n v="177548427"/>
    <s v="INFAQ QRIS"/>
    <x v="0"/>
  </r>
  <r>
    <d v="2026-03-20T00:00:00"/>
    <m/>
    <m/>
    <n v="5000"/>
    <x v="6"/>
    <n v="177553427"/>
    <s v="INFAQ QRIS"/>
    <x v="0"/>
  </r>
  <r>
    <d v="2026-03-20T00:00:00"/>
    <m/>
    <m/>
    <n v="50000"/>
    <x v="6"/>
    <n v="177603427"/>
    <s v="INFAQ QRIS"/>
    <x v="0"/>
  </r>
  <r>
    <d v="2026-03-20T00:00:00"/>
    <m/>
    <m/>
    <n v="2000000"/>
    <x v="6"/>
    <n v="179603427"/>
    <s v="INFAQ QRIS"/>
    <x v="0"/>
  </r>
  <r>
    <d v="2026-03-20T00:00:00"/>
    <m/>
    <m/>
    <n v="50000"/>
    <x v="6"/>
    <n v="179653427"/>
    <s v="INFAQ QRIS"/>
    <x v="0"/>
  </r>
  <r>
    <d v="2026-03-20T00:00:00"/>
    <m/>
    <m/>
    <n v="1800000"/>
    <x v="6"/>
    <n v="181453427"/>
    <s v="INFAQ QRIS"/>
    <x v="0"/>
  </r>
  <r>
    <d v="2026-03-20T00:00:00"/>
    <m/>
    <m/>
    <n v="25000"/>
    <x v="6"/>
    <n v="181478427"/>
    <s v="INFAQ QRIS"/>
    <x v="0"/>
  </r>
  <r>
    <d v="2026-03-21T00:00:00"/>
    <m/>
    <m/>
    <n v="10000"/>
    <x v="6"/>
    <n v="181488427"/>
    <s v="INFAQ QRIS"/>
    <x v="0"/>
  </r>
  <r>
    <d v="2026-03-21T00:00:00"/>
    <m/>
    <m/>
    <n v="50000"/>
    <x v="6"/>
    <n v="181538427"/>
    <s v="INFAQ QRIS"/>
    <x v="0"/>
  </r>
  <r>
    <d v="2026-03-21T00:00:00"/>
    <m/>
    <m/>
    <n v="35000"/>
    <x v="6"/>
    <n v="181573427"/>
    <s v="INFAQ QRIS"/>
    <x v="0"/>
  </r>
  <r>
    <d v="2026-03-21T00:00:00"/>
    <m/>
    <m/>
    <n v="20000"/>
    <x v="6"/>
    <n v="181593427"/>
    <s v="INFAQ QRIS"/>
    <x v="0"/>
  </r>
  <r>
    <d v="2026-03-21T00:00:00"/>
    <m/>
    <m/>
    <n v="250000"/>
    <x v="6"/>
    <n v="181843427"/>
    <s v="INFAQ QRIS"/>
    <x v="0"/>
  </r>
  <r>
    <d v="2026-03-21T00:00:00"/>
    <m/>
    <m/>
    <n v="60000"/>
    <x v="6"/>
    <n v="181903427"/>
    <s v="INFAQ QRIS"/>
    <x v="0"/>
  </r>
  <r>
    <d v="2026-03-21T00:00:00"/>
    <m/>
    <m/>
    <n v="660000"/>
    <x v="6"/>
    <n v="182563427"/>
    <s v="INFAQ QRIS"/>
    <x v="0"/>
  </r>
  <r>
    <d v="2026-03-21T00:00:00"/>
    <m/>
    <m/>
    <n v="5416"/>
    <x v="6"/>
    <n v="182568843"/>
    <s v="INFAQ QRIS"/>
    <x v="0"/>
  </r>
  <r>
    <d v="2026-03-21T00:00:00"/>
    <m/>
    <m/>
    <n v="50000"/>
    <x v="6"/>
    <n v="182618843"/>
    <s v="INFAQ QRIS"/>
    <x v="0"/>
  </r>
  <r>
    <d v="2026-03-21T00:00:00"/>
    <m/>
    <m/>
    <n v="10000"/>
    <x v="6"/>
    <n v="182628843"/>
    <s v="INFAQ QRIS"/>
    <x v="0"/>
  </r>
  <r>
    <d v="2026-03-21T00:00:00"/>
    <m/>
    <m/>
    <n v="20000"/>
    <x v="6"/>
    <n v="182648843"/>
    <s v="INFAQ QRIS"/>
    <x v="0"/>
  </r>
  <r>
    <d v="2026-03-21T00:00:00"/>
    <m/>
    <m/>
    <n v="10000"/>
    <x v="6"/>
    <n v="182658843"/>
    <s v="INFAQ QRIS"/>
    <x v="0"/>
  </r>
  <r>
    <d v="2026-03-21T00:00:00"/>
    <m/>
    <m/>
    <n v="25000"/>
    <x v="6"/>
    <n v="182683843"/>
    <s v="INFAQ QRIS"/>
    <x v="0"/>
  </r>
  <r>
    <d v="2026-03-21T00:00:00"/>
    <m/>
    <m/>
    <n v="50000"/>
    <x v="6"/>
    <n v="182733843"/>
    <s v="INFAQ QRIS"/>
    <x v="0"/>
  </r>
  <r>
    <d v="2026-03-21T00:00:00"/>
    <m/>
    <m/>
    <n v="500000"/>
    <x v="6"/>
    <n v="183233843"/>
    <s v="INFAQ QRIS"/>
    <x v="0"/>
  </r>
  <r>
    <d v="2026-03-21T00:00:00"/>
    <m/>
    <m/>
    <n v="100000"/>
    <x v="6"/>
    <n v="183333843"/>
    <s v="INFAQ QRIS"/>
    <x v="0"/>
  </r>
  <r>
    <d v="2026-03-21T00:00:00"/>
    <m/>
    <m/>
    <n v="50000"/>
    <x v="6"/>
    <n v="183383843"/>
    <s v="INFAQ QRIS"/>
    <x v="0"/>
  </r>
  <r>
    <d v="2026-03-21T00:00:00"/>
    <m/>
    <m/>
    <n v="100000"/>
    <x v="6"/>
    <n v="183483843"/>
    <s v="INFAQ QRIS"/>
    <x v="0"/>
  </r>
  <r>
    <d v="2026-03-21T00:00:00"/>
    <m/>
    <m/>
    <n v="50000"/>
    <x v="6"/>
    <n v="183533843"/>
    <s v="INFAQ QRIS"/>
    <x v="0"/>
  </r>
  <r>
    <d v="2026-03-21T00:00:00"/>
    <m/>
    <m/>
    <n v="600000"/>
    <x v="6"/>
    <n v="184133843"/>
    <s v="INFAQ QRIS"/>
    <x v="0"/>
  </r>
  <r>
    <d v="2026-03-21T00:00:00"/>
    <m/>
    <m/>
    <n v="100000"/>
    <x v="6"/>
    <n v="184233843"/>
    <s v="INFAQ QRIS"/>
    <x v="0"/>
  </r>
  <r>
    <d v="2026-03-21T00:00:00"/>
    <m/>
    <m/>
    <n v="50000"/>
    <x v="6"/>
    <n v="184283843"/>
    <s v="INFAQ QRIS"/>
    <x v="0"/>
  </r>
  <r>
    <d v="2026-03-22T00:00:00"/>
    <m/>
    <m/>
    <n v="10000"/>
    <x v="6"/>
    <n v="184293843"/>
    <s v="INFAQ QRIS"/>
    <x v="0"/>
  </r>
  <r>
    <d v="2026-03-22T00:00:00"/>
    <m/>
    <m/>
    <n v="20000"/>
    <x v="6"/>
    <n v="184313843"/>
    <s v="INFAQ QRIS"/>
    <x v="0"/>
  </r>
  <r>
    <d v="2026-03-22T00:00:00"/>
    <m/>
    <m/>
    <n v="10000"/>
    <x v="6"/>
    <n v="184323843"/>
    <s v="INFAQ QRIS"/>
    <x v="0"/>
  </r>
  <r>
    <d v="2026-03-22T00:00:00"/>
    <m/>
    <m/>
    <n v="35000"/>
    <x v="6"/>
    <n v="184358843"/>
    <s v="INFAQ QRIS"/>
    <x v="0"/>
  </r>
  <r>
    <d v="2026-03-22T00:00:00"/>
    <m/>
    <m/>
    <n v="25000"/>
    <x v="6"/>
    <n v="184383843"/>
    <s v="INFAQ QRIS"/>
    <x v="0"/>
  </r>
  <r>
    <d v="2026-03-23T00:00:00"/>
    <m/>
    <m/>
    <n v="5000"/>
    <x v="6"/>
    <n v="184388843"/>
    <s v="INFAQ QRIS"/>
    <x v="0"/>
  </r>
  <r>
    <d v="2026-03-23T00:00:00"/>
    <m/>
    <m/>
    <n v="50000"/>
    <x v="6"/>
    <n v="184438843"/>
    <s v="INFAQ QRIS"/>
    <x v="0"/>
  </r>
  <r>
    <d v="2026-03-23T00:00:00"/>
    <m/>
    <m/>
    <n v="10000"/>
    <x v="6"/>
    <n v="184448843"/>
    <s v="INFAQ QRIS"/>
    <x v="0"/>
  </r>
  <r>
    <d v="2026-03-23T00:00:00"/>
    <m/>
    <m/>
    <n v="1000000"/>
    <x v="6"/>
    <n v="185448843"/>
    <s v="INFAQ RAMADHAN NIENDRAPUTRA"/>
    <x v="0"/>
  </r>
  <r>
    <d v="2026-03-24T00:00:00"/>
    <m/>
    <m/>
    <n v="10000"/>
    <x v="6"/>
    <n v="185458843"/>
    <s v="INFAQ QRIS"/>
    <x v="0"/>
  </r>
  <r>
    <d v="2026-03-25T00:00:00"/>
    <m/>
    <m/>
    <n v="30000"/>
    <x v="6"/>
    <n v="185488843"/>
    <s v="INFAQ QRIS"/>
    <x v="0"/>
  </r>
  <r>
    <d v="2026-03-25T00:00:00"/>
    <m/>
    <m/>
    <n v="200000"/>
    <x v="6"/>
    <n v="185688843"/>
    <s v="TPQ Fatih Rivendra"/>
    <x v="10"/>
  </r>
  <r>
    <d v="2026-03-25T00:00:00"/>
    <m/>
    <m/>
    <n v="4960000"/>
    <x v="6"/>
    <n v="190648843"/>
    <m/>
    <x v="4"/>
  </r>
  <r>
    <d v="2026-03-25T00:00:00"/>
    <m/>
    <m/>
    <n v="3061000"/>
    <x v="6"/>
    <n v="193709843"/>
    <m/>
    <x v="0"/>
  </r>
  <r>
    <d v="2026-03-25T00:00:00"/>
    <m/>
    <m/>
    <n v="3048000"/>
    <x v="6"/>
    <n v="196757843"/>
    <m/>
    <x v="16"/>
  </r>
  <r>
    <d v="2026-03-25T00:00:00"/>
    <m/>
    <m/>
    <n v="2475000"/>
    <x v="6"/>
    <n v="199232843"/>
    <m/>
    <x v="19"/>
  </r>
  <r>
    <d v="2026-03-25T00:00:00"/>
    <m/>
    <m/>
    <n v="395000"/>
    <x v="6"/>
    <n v="199627843"/>
    <m/>
    <x v="0"/>
  </r>
  <r>
    <d v="2026-03-25T00:00:00"/>
    <m/>
    <m/>
    <n v="14915000"/>
    <x v="6"/>
    <n v="214542843"/>
    <m/>
    <x v="22"/>
  </r>
  <r>
    <m/>
    <m/>
    <n v="28854000"/>
    <m/>
    <x v="1"/>
    <n v="214542843"/>
    <s v="SETORAN NANANG"/>
    <x v="5"/>
  </r>
  <r>
    <d v="2026-03-26T00:00:00"/>
    <m/>
    <m/>
    <n v="10000"/>
    <x v="6"/>
    <n v="214552843"/>
    <s v="INFAQ QRIS"/>
    <x v="0"/>
  </r>
  <r>
    <d v="2026-03-27T00:00:00"/>
    <m/>
    <m/>
    <n v="30000"/>
    <x v="7"/>
    <n v="214582843"/>
    <s v="INFAQ QRIS"/>
    <x v="0"/>
  </r>
  <r>
    <d v="2026-03-27T00:00:00"/>
    <m/>
    <m/>
    <n v="10000"/>
    <x v="7"/>
    <n v="214592843"/>
    <s v="INFAQ QRIS"/>
    <x v="0"/>
  </r>
  <r>
    <d v="2026-03-27T00:00:00"/>
    <n v="1000000"/>
    <m/>
    <m/>
    <x v="7"/>
    <n v="213592843"/>
    <s v="AHMAD IMAM SAMUDRA MAJ Honor Maret 2026"/>
    <x v="12"/>
  </r>
  <r>
    <d v="2026-03-27T00:00:00"/>
    <n v="6500"/>
    <m/>
    <m/>
    <x v="7"/>
    <n v="213586343"/>
    <s v="AHMAD IMAM SAMUDRA MAJ Honor Maret 2026"/>
    <x v="12"/>
  </r>
  <r>
    <d v="2026-03-27T00:00:00"/>
    <n v="3500000"/>
    <m/>
    <m/>
    <x v="7"/>
    <n v="210086343"/>
    <s v="NANANG SUBAEDI MAJ Honor Maret 2026"/>
    <x v="12"/>
  </r>
  <r>
    <d v="2026-03-27T00:00:00"/>
    <n v="6500"/>
    <m/>
    <m/>
    <x v="7"/>
    <n v="210079843"/>
    <s v="NANANG SUBAEDI MAJ Honor Maret 2026"/>
    <x v="12"/>
  </r>
  <r>
    <d v="2026-03-27T00:00:00"/>
    <n v="2000000"/>
    <m/>
    <m/>
    <x v="7"/>
    <n v="208079843"/>
    <s v="LINA HERLINA Biaya Adm Pengajian Ibu-Ibu MAJ April 20"/>
    <x v="2"/>
  </r>
  <r>
    <d v="2026-03-27T00:00:00"/>
    <n v="6500"/>
    <m/>
    <m/>
    <x v="7"/>
    <n v="208073343"/>
    <s v="LINA HERLINA Biaya Adm Pengajian Ibu-Ibu MAJ April 20"/>
    <x v="2"/>
  </r>
  <r>
    <d v="2026-03-27T00:00:00"/>
    <n v="2700000"/>
    <m/>
    <m/>
    <x v="7"/>
    <n v="205373343"/>
    <s v="M BAYU CANDRA MAJ Honor Mushrif Maret 202"/>
    <x v="3"/>
  </r>
  <r>
    <d v="2026-03-27T00:00:00"/>
    <n v="6500"/>
    <m/>
    <m/>
    <x v="7"/>
    <n v="205366843"/>
    <s v="M BAYU CANDRA MAJ Honor Mushrif Maret 202"/>
    <x v="3"/>
  </r>
  <r>
    <d v="2026-03-27T00:00:00"/>
    <n v="2250000"/>
    <m/>
    <m/>
    <x v="7"/>
    <n v="203116843"/>
    <s v="IMRON ROSADI MAJ Honor Maret 202"/>
    <x v="12"/>
  </r>
  <r>
    <d v="2026-03-27T00:00:00"/>
    <n v="6500"/>
    <m/>
    <m/>
    <x v="7"/>
    <n v="203110343"/>
    <s v="IMRON ROSADI MAJ Honor Maret 202"/>
    <x v="12"/>
  </r>
  <r>
    <d v="2026-03-27T00:00:00"/>
    <n v="2500000"/>
    <m/>
    <m/>
    <x v="7"/>
    <n v="200610343"/>
    <s v="AGUS SETIYONO MAJ Mukafaah Maret 2026"/>
    <x v="3"/>
  </r>
  <r>
    <d v="2026-03-27T00:00:00"/>
    <n v="6500"/>
    <m/>
    <m/>
    <x v="7"/>
    <n v="200603843"/>
    <s v="AGUS SETIYONO MAJ Mukafaah Maret 2026"/>
    <x v="3"/>
  </r>
  <r>
    <d v="2026-03-27T00:00:00"/>
    <n v="550000"/>
    <m/>
    <m/>
    <x v="7"/>
    <n v="200053843"/>
    <s v="M BAYU CANDRA MAJ Honor Maret 2026"/>
    <x v="12"/>
  </r>
  <r>
    <d v="2026-03-27T00:00:00"/>
    <n v="6500"/>
    <m/>
    <m/>
    <x v="7"/>
    <n v="200047343"/>
    <s v="M BAYU CANDRA MAJ Honor Maret 2026"/>
    <x v="12"/>
  </r>
  <r>
    <d v="2026-03-27T00:00:00"/>
    <n v="2500000"/>
    <m/>
    <m/>
    <x v="7"/>
    <n v="197547343"/>
    <s v="MUHAMMAD ILHAM MAJ Honor Maret 2026"/>
    <x v="12"/>
  </r>
  <r>
    <d v="2026-03-27T00:00:00"/>
    <n v="6500"/>
    <m/>
    <m/>
    <x v="7"/>
    <n v="197540843"/>
    <s v="MUHAMMAD ILHAM MAJ Honor Maret 2026"/>
    <x v="12"/>
  </r>
  <r>
    <d v="2026-03-27T00:00:00"/>
    <n v="4000000"/>
    <m/>
    <m/>
    <x v="7"/>
    <n v="193540843"/>
    <s v="M BAYU CANDRA MAJ Biaya Perawatan Santri Maret 2026"/>
    <x v="3"/>
  </r>
  <r>
    <d v="2026-03-27T00:00:00"/>
    <n v="6500"/>
    <m/>
    <m/>
    <x v="7"/>
    <n v="193534343"/>
    <s v="M BAYU CANDRA MAJ Biaya Perawatan Santri Maret 2026"/>
    <x v="3"/>
  </r>
  <r>
    <d v="2026-03-27T00:00:00"/>
    <n v="2750000"/>
    <m/>
    <m/>
    <x v="7"/>
    <n v="190784343"/>
    <s v="HONOR UST SURYADI"/>
    <x v="12"/>
  </r>
  <r>
    <d v="2026-03-27T00:00:00"/>
    <n v="1000000"/>
    <m/>
    <m/>
    <x v="7"/>
    <n v="189784343"/>
    <m/>
    <x v="7"/>
  </r>
  <r>
    <d v="2026-03-27T00:00:00"/>
    <n v="1300000"/>
    <m/>
    <m/>
    <x v="7"/>
    <n v="188484343"/>
    <m/>
    <x v="13"/>
  </r>
  <r>
    <m/>
    <m/>
    <n v="2300000"/>
    <m/>
    <x v="7"/>
    <n v="188484343"/>
    <s v="MAHMUD MADJID Biaya pengecatan MAJ via Mahmud"/>
    <x v="5"/>
  </r>
  <r>
    <d v="2026-03-27T00:00:00"/>
    <n v="6500"/>
    <m/>
    <m/>
    <x v="7"/>
    <n v="188477843"/>
    <s v="MAHMUD MADJID Biaya pengecatan MAJ via Mahmud"/>
    <x v="13"/>
  </r>
  <r>
    <d v="2026-03-28T00:00:00"/>
    <m/>
    <m/>
    <n v="50000"/>
    <x v="7"/>
    <n v="188527843"/>
    <s v="INFAQ QRIS"/>
    <x v="0"/>
  </r>
  <r>
    <d v="2026-03-28T00:00:00"/>
    <m/>
    <m/>
    <n v="25000"/>
    <x v="7"/>
    <n v="188552843"/>
    <s v="INFAQ QRIS"/>
    <x v="0"/>
  </r>
  <r>
    <d v="2026-03-28T00:00:00"/>
    <m/>
    <m/>
    <n v="20000"/>
    <x v="7"/>
    <n v="188572843"/>
    <s v="INFAQ QRIS"/>
    <x v="0"/>
  </r>
  <r>
    <d v="2026-03-28T00:00:00"/>
    <m/>
    <m/>
    <n v="10000"/>
    <x v="7"/>
    <n v="188582843"/>
    <s v="INFAQ QRIS"/>
    <x v="0"/>
  </r>
  <r>
    <d v="2026-03-28T00:00:00"/>
    <m/>
    <m/>
    <n v="25000"/>
    <x v="7"/>
    <n v="188607843"/>
    <s v="INFAQ QRIS"/>
    <x v="0"/>
  </r>
  <r>
    <d v="2026-03-28T00:00:00"/>
    <m/>
    <m/>
    <n v="25000"/>
    <x v="7"/>
    <n v="188632843"/>
    <s v="INFAQ QRIS"/>
    <x v="0"/>
  </r>
  <r>
    <d v="2026-03-28T00:00:00"/>
    <m/>
    <m/>
    <n v="25000"/>
    <x v="7"/>
    <n v="188657843"/>
    <s v="INFAQ QRIS"/>
    <x v="0"/>
  </r>
  <r>
    <d v="2026-03-28T00:00:00"/>
    <m/>
    <m/>
    <n v="10000"/>
    <x v="7"/>
    <n v="188667843"/>
    <s v="INFAQ QRIS"/>
    <x v="0"/>
  </r>
  <r>
    <d v="2026-03-29T00:00:00"/>
    <m/>
    <m/>
    <n v="35000"/>
    <x v="7"/>
    <n v="188702843"/>
    <s v="INFAQ QRIS"/>
    <x v="0"/>
  </r>
  <r>
    <d v="2026-03-29T00:00:00"/>
    <m/>
    <m/>
    <n v="10000"/>
    <x v="7"/>
    <n v="188712843"/>
    <s v="INFAQ QRIS"/>
    <x v="0"/>
  </r>
  <r>
    <d v="2026-03-30T00:00:00"/>
    <m/>
    <m/>
    <n v="20000"/>
    <x v="7"/>
    <n v="188732843"/>
    <s v="INFAQ QRIS"/>
    <x v="0"/>
  </r>
  <r>
    <d v="2026-03-30T00:00:00"/>
    <m/>
    <m/>
    <n v="35000"/>
    <x v="7"/>
    <n v="188767843"/>
    <s v="INFAQ QRIS"/>
    <x v="0"/>
  </r>
  <r>
    <d v="2026-03-30T00:00:00"/>
    <m/>
    <m/>
    <n v="2750000"/>
    <x v="7"/>
    <n v="191517843"/>
    <m/>
    <x v="4"/>
  </r>
  <r>
    <d v="2026-03-30T00:00:00"/>
    <m/>
    <m/>
    <n v="2305000"/>
    <x v="7"/>
    <n v="193822843"/>
    <m/>
    <x v="0"/>
  </r>
  <r>
    <m/>
    <m/>
    <n v="5055000"/>
    <m/>
    <x v="7"/>
    <n v="193822843"/>
    <s v=" 001118331250 SETORAN PER PEKAN/INFAQ  SETOR TUNAI "/>
    <x v="5"/>
  </r>
  <r>
    <d v="2026-03-31T00:00:00"/>
    <m/>
    <m/>
    <n v="10000"/>
    <x v="7"/>
    <n v="193832843"/>
    <s v="INFAQ QRIS"/>
    <x v="0"/>
  </r>
  <r>
    <d v="2026-03-31T00:00:00"/>
    <m/>
    <m/>
    <n v="20000"/>
    <x v="7"/>
    <n v="193852843"/>
    <s v="INFAQ QRIS"/>
    <x v="0"/>
  </r>
  <r>
    <d v="2026-03-31T00:00:00"/>
    <m/>
    <m/>
    <n v="10000"/>
    <x v="7"/>
    <n v="193862843"/>
    <s v="INFAQ QRIS"/>
    <x v="0"/>
  </r>
  <r>
    <d v="2026-03-31T00:00:00"/>
    <m/>
    <m/>
    <n v="500000"/>
    <x v="7"/>
    <n v="194362843"/>
    <s v="INFAQ INDRAEDISANTOSO"/>
    <x v="0"/>
  </r>
  <r>
    <d v="2026-04-01T00:00:00"/>
    <m/>
    <m/>
    <n v="200000"/>
    <x v="8"/>
    <n v="194562843"/>
    <s v="INFAQUMIHAMIDAH"/>
    <x v="0"/>
  </r>
  <r>
    <d v="2026-04-01T00:00:00"/>
    <m/>
    <m/>
    <n v="20000"/>
    <x v="8"/>
    <n v="194582843"/>
    <s v="INFAQ QRIS"/>
    <x v="0"/>
  </r>
  <r>
    <d v="2026-04-01T00:00:00"/>
    <m/>
    <m/>
    <n v="500000"/>
    <x v="8"/>
    <n v="195082843"/>
    <s v="INFAQ DRS SARWONO"/>
    <x v="0"/>
  </r>
  <r>
    <d v="2026-04-01T00:00:00"/>
    <m/>
    <m/>
    <n v="45000"/>
    <x v="8"/>
    <n v="195127843"/>
    <s v="INFAQ QRIS"/>
    <x v="0"/>
  </r>
  <r>
    <d v="2026-04-01T00:00:00"/>
    <m/>
    <m/>
    <n v="10000"/>
    <x v="8"/>
    <n v="195137843"/>
    <s v="INFAQ QRIS"/>
    <x v="0"/>
  </r>
  <r>
    <d v="2026-04-01T00:00:00"/>
    <m/>
    <m/>
    <n v="300000"/>
    <x v="8"/>
    <n v="195437843"/>
    <s v="INFA DESYANA SE"/>
    <x v="0"/>
  </r>
  <r>
    <d v="2026-04-02T00:00:00"/>
    <m/>
    <m/>
    <n v="20000"/>
    <x v="8"/>
    <n v="195457843"/>
    <s v="INFAQ QRIS"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d v="2026-01-04T00:00:00"/>
    <m/>
    <m/>
    <n v="2000000"/>
    <x v="0"/>
    <n v="3343000"/>
    <s v="tambah petty cash"/>
    <x v="0"/>
    <s v="Petty Cash"/>
  </r>
  <r>
    <d v="2026-01-02T00:00:00"/>
    <n v="500000"/>
    <m/>
    <m/>
    <x v="0"/>
    <n v="2843000"/>
    <s v="Khotib Jumat"/>
    <x v="1"/>
    <s v="Petty Cash"/>
  </r>
  <r>
    <d v="2026-01-04T00:00:00"/>
    <n v="250000"/>
    <m/>
    <m/>
    <x v="0"/>
    <n v="2593000"/>
    <s v="Kopi gula the Oasis"/>
    <x v="2"/>
    <s v="Petty Cash"/>
  </r>
  <r>
    <d v="2026-01-06T00:00:00"/>
    <n v="60000"/>
    <m/>
    <m/>
    <x v="0"/>
    <n v="2533000"/>
    <s v="Roundup racun rumput"/>
    <x v="3"/>
    <s v="Petty Cash"/>
  </r>
  <r>
    <d v="2026-01-06T00:00:00"/>
    <n v="60000"/>
    <m/>
    <m/>
    <x v="0"/>
    <n v="2473000"/>
    <s v="Biaya administrasi"/>
    <x v="2"/>
    <s v="Petty Cash"/>
  </r>
  <r>
    <d v="2026-01-09T00:00:00"/>
    <n v="500000"/>
    <m/>
    <m/>
    <x v="0"/>
    <n v="1973000"/>
    <s v="Khotib Jumat"/>
    <x v="1"/>
    <s v="Petty Cash"/>
  </r>
  <r>
    <d v="2026-01-09T00:00:00"/>
    <m/>
    <m/>
    <n v="2000000"/>
    <x v="0"/>
    <n v="3973000"/>
    <s v="tambah petty cash"/>
    <x v="0"/>
    <s v="Petty Cash"/>
  </r>
  <r>
    <d v="2026-01-09T00:00:00"/>
    <n v="501000"/>
    <m/>
    <m/>
    <x v="0"/>
    <n v="3472000"/>
    <s v="Token listrik"/>
    <x v="4"/>
    <s v="Petty Cash"/>
  </r>
  <r>
    <d v="2026-01-10T00:00:00"/>
    <n v="540000"/>
    <m/>
    <m/>
    <x v="0"/>
    <n v="2932000"/>
    <s v="Pompa air dan servis"/>
    <x v="3"/>
    <s v="Petty Cash"/>
  </r>
  <r>
    <d v="2026-01-10T00:00:00"/>
    <n v="250000"/>
    <m/>
    <m/>
    <x v="0"/>
    <n v="2682000"/>
    <s v="The air gula oasis tisu"/>
    <x v="2"/>
    <s v="Petty Cash"/>
  </r>
  <r>
    <d v="2026-01-13T00:00:00"/>
    <n v="60000"/>
    <m/>
    <m/>
    <x v="0"/>
    <n v="2622000"/>
    <s v="Biaya administrasi"/>
    <x v="2"/>
    <s v="Petty Cash"/>
  </r>
  <r>
    <d v="2026-01-14T00:00:00"/>
    <n v="140000"/>
    <m/>
    <m/>
    <x v="0"/>
    <n v="2482000"/>
    <s v="pembersih kamar mandi"/>
    <x v="3"/>
    <s v="Petty Cash"/>
  </r>
  <r>
    <d v="2026-01-16T00:00:00"/>
    <n v="500000"/>
    <m/>
    <m/>
    <x v="0"/>
    <n v="1982000"/>
    <s v="Khotib Jumat"/>
    <x v="1"/>
    <s v="Petty Cash"/>
  </r>
  <r>
    <d v="2026-01-18T00:00:00"/>
    <m/>
    <m/>
    <n v="2000000"/>
    <x v="0"/>
    <n v="3982000"/>
    <s v="tambah petty cash"/>
    <x v="0"/>
    <s v="Petty Cash"/>
  </r>
  <r>
    <d v="2026-01-18T00:00:00"/>
    <n v="250000"/>
    <m/>
    <m/>
    <x v="0"/>
    <n v="3732000"/>
    <s v="The air gula oasis tisu"/>
    <x v="2"/>
    <s v="Petty Cash"/>
  </r>
  <r>
    <d v="2026-01-19T00:00:00"/>
    <n v="400000"/>
    <m/>
    <m/>
    <x v="0"/>
    <n v="3332000"/>
    <s v="Pel lantai pewangi bohlam"/>
    <x v="3"/>
    <s v="Petty Cash"/>
  </r>
  <r>
    <d v="2026-01-20T00:00:00"/>
    <n v="60000"/>
    <m/>
    <m/>
    <x v="0"/>
    <n v="3272000"/>
    <s v="Biaya administrasi"/>
    <x v="5"/>
    <s v="Petty Cash"/>
  </r>
  <r>
    <d v="2026-01-21T00:00:00"/>
    <n v="300000"/>
    <m/>
    <m/>
    <x v="0"/>
    <n v="2972000"/>
    <s v="Bantuan kematian"/>
    <x v="6"/>
    <s v="Petty Cash"/>
  </r>
  <r>
    <d v="2026-01-22T00:00:00"/>
    <n v="70000"/>
    <m/>
    <m/>
    <x v="0"/>
    <n v="2902000"/>
    <s v="Kopi cemilan tukang"/>
    <x v="2"/>
    <s v="Petty Cash"/>
  </r>
  <r>
    <d v="2026-01-23T00:00:00"/>
    <n v="500000"/>
    <m/>
    <m/>
    <x v="0"/>
    <n v="2402000"/>
    <s v="Khotib Jumat"/>
    <x v="1"/>
    <s v="Petty Cash"/>
  </r>
  <r>
    <d v="2026-01-24T00:00:00"/>
    <m/>
    <m/>
    <n v="2000000"/>
    <x v="0"/>
    <n v="4402000"/>
    <s v="tambah petty cash"/>
    <x v="0"/>
    <s v="Petty Cash"/>
  </r>
  <r>
    <d v="2026-01-24T00:00:00"/>
    <n v="750000"/>
    <m/>
    <m/>
    <x v="0"/>
    <n v="3652000"/>
    <s v="Kajian Sabtu Subuh"/>
    <x v="1"/>
    <s v="Petty Cash"/>
  </r>
  <r>
    <d v="2026-01-26T00:00:00"/>
    <n v="60000"/>
    <m/>
    <m/>
    <x v="0"/>
    <n v="3592000"/>
    <s v="Biaya administrasi"/>
    <x v="5"/>
    <s v="Petty Cash"/>
  </r>
  <r>
    <d v="2026-01-27T00:00:00"/>
    <n v="100000"/>
    <m/>
    <m/>
    <x v="0"/>
    <n v="3492000"/>
    <s v="Konsumsi rapat sore"/>
    <x v="2"/>
    <s v="Petty Cash"/>
  </r>
  <r>
    <d v="2026-01-29T00:00:00"/>
    <n v="400000"/>
    <m/>
    <m/>
    <x v="0"/>
    <n v="3092000"/>
    <s v="Bantuan guru ngaji "/>
    <x v="1"/>
    <s v="Petty Cash"/>
  </r>
  <r>
    <d v="2026-01-30T00:00:00"/>
    <n v="500000"/>
    <m/>
    <m/>
    <x v="0"/>
    <n v="2592000"/>
    <s v="Khotib Jumat"/>
    <x v="1"/>
    <s v="Petty Cash"/>
  </r>
  <r>
    <d v="2026-01-30T00:00:00"/>
    <n v="130000"/>
    <m/>
    <m/>
    <x v="0"/>
    <n v="2462000"/>
    <s v="Minyak wangi"/>
    <x v="3"/>
    <s v="Petty Cash"/>
  </r>
  <r>
    <d v="2026-01-30T00:00:00"/>
    <n v="501000"/>
    <m/>
    <m/>
    <x v="0"/>
    <n v="1961000"/>
    <s v="Token listrik"/>
    <x v="4"/>
    <s v="Petty Cash"/>
  </r>
  <r>
    <d v="2026-01-31T00:00:00"/>
    <n v="300000"/>
    <m/>
    <m/>
    <x v="0"/>
    <n v="1661000"/>
    <s v="lampu dan ongkos pasang"/>
    <x v="7"/>
    <s v="Petty Cash"/>
  </r>
  <r>
    <d v="2026-02-01T00:00:00"/>
    <n v="250000"/>
    <m/>
    <m/>
    <x v="1"/>
    <n v="1411000"/>
    <s v="gula the oasis kopi"/>
    <x v="2"/>
    <s v="Petty Cash"/>
  </r>
  <r>
    <d v="2026-02-01T00:00:00"/>
    <n v="385000"/>
    <m/>
    <m/>
    <x v="1"/>
    <n v="1026000"/>
    <s v="Pasang cctv"/>
    <x v="7"/>
    <s v="Petty Cash"/>
  </r>
  <r>
    <d v="2026-02-02T00:00:00"/>
    <m/>
    <m/>
    <n v="2000000"/>
    <x v="1"/>
    <n v="3026000"/>
    <s v="tambah petty cash"/>
    <x v="0"/>
    <s v="Petty Cash"/>
  </r>
  <r>
    <d v="2026-02-02T00:00:00"/>
    <n v="60000"/>
    <m/>
    <m/>
    <x v="1"/>
    <n v="2966000"/>
    <s v="Biaya administrasi"/>
    <x v="5"/>
    <s v="Petty Cash"/>
  </r>
  <r>
    <d v="2026-02-05T00:00:00"/>
    <n v="45000"/>
    <m/>
    <m/>
    <x v="1"/>
    <n v="2921000"/>
    <s v="Air OK OC"/>
    <x v="2"/>
    <s v="Petty Cash"/>
  </r>
  <r>
    <d v="2026-02-05T00:00:00"/>
    <n v="500000"/>
    <m/>
    <m/>
    <x v="1"/>
    <n v="2421000"/>
    <s v="Khotib Jumat"/>
    <x v="1"/>
    <s v="Petty Cash"/>
  </r>
  <r>
    <d v="2026-02-06T00:00:00"/>
    <m/>
    <m/>
    <n v="2000000"/>
    <x v="1"/>
    <n v="4421000"/>
    <s v="tambah petty cash"/>
    <x v="0"/>
    <s v="Petty Cash"/>
  </r>
  <r>
    <d v="2026-02-06T00:00:00"/>
    <n v="130000"/>
    <m/>
    <m/>
    <x v="1"/>
    <n v="4291000"/>
    <s v="Minyak wangi"/>
    <x v="3"/>
    <s v="Petty Cash"/>
  </r>
  <r>
    <d v="2026-02-06T00:00:00"/>
    <n v="250000"/>
    <m/>
    <m/>
    <x v="1"/>
    <n v="4041000"/>
    <s v="bantuan musafir"/>
    <x v="6"/>
    <s v="Petty Cash"/>
  </r>
  <r>
    <d v="2026-02-08T00:00:00"/>
    <n v="100000"/>
    <m/>
    <m/>
    <x v="1"/>
    <n v="3941000"/>
    <s v="konsumsi tukang keramik"/>
    <x v="2"/>
    <s v="Petty Cash"/>
  </r>
  <r>
    <d v="2026-02-09T00:00:00"/>
    <n v="155000"/>
    <m/>
    <m/>
    <x v="1"/>
    <n v="3786000"/>
    <s v="konsumsi kerja bakti santri dan tukang"/>
    <x v="2"/>
    <s v="Petty Cash"/>
  </r>
  <r>
    <d v="2026-02-09T00:00:00"/>
    <n v="70000"/>
    <m/>
    <m/>
    <x v="1"/>
    <n v="3716000"/>
    <s v="Perlengkapan plafon masjid"/>
    <x v="7"/>
    <s v="Petty Cash"/>
  </r>
  <r>
    <d v="2026-02-09T00:00:00"/>
    <n v="224000"/>
    <m/>
    <m/>
    <x v="1"/>
    <n v="3492000"/>
    <s v="Perlengkapan masjid"/>
    <x v="7"/>
    <s v="Petty Cash"/>
  </r>
  <r>
    <d v="2026-02-09T00:00:00"/>
    <n v="200000"/>
    <m/>
    <m/>
    <x v="1"/>
    <n v="3292000"/>
    <s v="So Klin lantai pel dll"/>
    <x v="3"/>
    <s v="Petty Cash"/>
  </r>
  <r>
    <d v="2026-02-13T00:00:00"/>
    <n v="500000"/>
    <m/>
    <m/>
    <x v="1"/>
    <n v="2792000"/>
    <s v="Khotib Jumat"/>
    <x v="1"/>
    <s v="Petty Cash"/>
  </r>
  <r>
    <d v="2026-02-12T00:00:00"/>
    <m/>
    <m/>
    <n v="2000000"/>
    <x v="1"/>
    <n v="4792000"/>
    <s v="tambah petty cash"/>
    <x v="0"/>
    <s v="Petty Cash"/>
  </r>
  <r>
    <d v="2026-02-12T00:00:00"/>
    <n v="150000"/>
    <m/>
    <m/>
    <x v="1"/>
    <n v="4642000"/>
    <s v="musafir"/>
    <x v="6"/>
    <s v="Petty Cash"/>
  </r>
  <r>
    <d v="2026-02-13T00:00:00"/>
    <n v="200000"/>
    <m/>
    <m/>
    <x v="1"/>
    <n v="4442000"/>
    <s v="musafir"/>
    <x v="6"/>
    <s v="Petty Cash"/>
  </r>
  <r>
    <d v="2026-02-13T00:00:00"/>
    <n v="300000"/>
    <m/>
    <m/>
    <x v="1"/>
    <n v="4142000"/>
    <s v="Pintu dan karet kursi"/>
    <x v="3"/>
    <s v="Petty Cash"/>
  </r>
  <r>
    <d v="2026-02-14T00:00:00"/>
    <n v="350000"/>
    <m/>
    <m/>
    <x v="1"/>
    <n v="3792000"/>
    <s v="Konsumsi rapat"/>
    <x v="2"/>
    <s v="Petty Cash"/>
  </r>
  <r>
    <d v="2026-02-15T00:00:00"/>
    <n v="700000"/>
    <m/>
    <m/>
    <x v="1"/>
    <n v="3092000"/>
    <s v="Ustadz Kajian Ahad"/>
    <x v="1"/>
    <s v="Petty Cash"/>
  </r>
  <r>
    <d v="2026-02-15T00:00:00"/>
    <n v="85000"/>
    <m/>
    <m/>
    <x v="1"/>
    <n v="3007000"/>
    <s v="Tisu dan plastik sampah"/>
    <x v="3"/>
    <s v="Petty Cash"/>
  </r>
  <r>
    <d v="2026-02-16T00:00:00"/>
    <n v="200000"/>
    <m/>
    <m/>
    <x v="1"/>
    <n v="2807000"/>
    <s v="sound system"/>
    <x v="3"/>
    <s v="Petty Cash"/>
  </r>
  <r>
    <d v="2026-02-16T00:00:00"/>
    <n v="60000"/>
    <m/>
    <m/>
    <x v="1"/>
    <n v="2747000"/>
    <s v="administrasi"/>
    <x v="5"/>
    <s v="Petty Cash"/>
  </r>
  <r>
    <d v="2026-02-19T00:00:00"/>
    <n v="500000"/>
    <m/>
    <m/>
    <x v="1"/>
    <n v="2247000"/>
    <s v="Pengecatan"/>
    <x v="3"/>
    <s v="Petty Cash"/>
  </r>
  <r>
    <d v="2026-02-20T00:00:00"/>
    <n v="500000"/>
    <m/>
    <m/>
    <x v="1"/>
    <n v="1747000"/>
    <s v="Khatib Jumat"/>
    <x v="1"/>
    <s v="Petty Cash"/>
  </r>
  <r>
    <d v="2026-02-19T00:00:00"/>
    <m/>
    <m/>
    <n v="3000000"/>
    <x v="1"/>
    <n v="4747000"/>
    <s v="tambah petty cash"/>
    <x v="0"/>
    <s v="Petty Cash"/>
  </r>
  <r>
    <d v="2026-02-19T00:00:00"/>
    <n v="150000"/>
    <m/>
    <m/>
    <x v="1"/>
    <n v="4597000"/>
    <s v="double tape gunting cutter"/>
    <x v="3"/>
    <s v="Petty Cash"/>
  </r>
  <r>
    <d v="2026-02-21T00:00:00"/>
    <n v="100000"/>
    <m/>
    <m/>
    <x v="1"/>
    <n v="4497000"/>
    <s v="pembersih keramik"/>
    <x v="3"/>
    <s v="Petty Cash"/>
  </r>
  <r>
    <d v="2026-02-21T00:00:00"/>
    <n v="550000"/>
    <m/>
    <m/>
    <x v="1"/>
    <n v="3947000"/>
    <s v="alat dan servis pompa"/>
    <x v="3"/>
    <s v="Petty Cash"/>
  </r>
  <r>
    <d v="2026-02-21T00:00:00"/>
    <n v="150000"/>
    <m/>
    <m/>
    <x v="1"/>
    <n v="3797000"/>
    <s v="alat kebersihan"/>
    <x v="3"/>
    <s v="Petty Cash"/>
  </r>
  <r>
    <d v="2026-02-24T00:00:00"/>
    <n v="500000"/>
    <m/>
    <m/>
    <x v="1"/>
    <n v="3297000"/>
    <s v="token listrik"/>
    <x v="4"/>
    <s v="Petty Cash"/>
  </r>
  <r>
    <d v="2026-02-24T00:00:00"/>
    <n v="850000"/>
    <m/>
    <m/>
    <x v="1"/>
    <n v="2447000"/>
    <s v="kotak box nasi"/>
    <x v="8"/>
    <s v="Petty Cash"/>
  </r>
  <r>
    <d v="2026-02-24T00:00:00"/>
    <n v="60000"/>
    <m/>
    <m/>
    <x v="1"/>
    <n v="2387000"/>
    <s v="administrasi"/>
    <x v="5"/>
    <s v="Petty Cash"/>
  </r>
  <r>
    <d v="2026-02-25T00:00:00"/>
    <n v="300000"/>
    <m/>
    <m/>
    <x v="1"/>
    <n v="2087000"/>
    <s v="Service AC MAJ"/>
    <x v="3"/>
    <s v="Petty Cash"/>
  </r>
  <r>
    <d v="2026-02-27T00:00:00"/>
    <n v="500000"/>
    <m/>
    <m/>
    <x v="1"/>
    <n v="1587000"/>
    <s v="Khatib Jumat"/>
    <x v="1"/>
    <s v="Petty Cash"/>
  </r>
  <r>
    <d v="2026-02-26T00:00:00"/>
    <m/>
    <m/>
    <n v="3000000"/>
    <x v="1"/>
    <n v="4587000"/>
    <s v="tambah petty cash"/>
    <x v="0"/>
    <s v="Petty Cash"/>
  </r>
  <r>
    <d v="2026-02-26T00:00:00"/>
    <n v="500000"/>
    <m/>
    <m/>
    <x v="1"/>
    <n v="4087000"/>
    <s v="Blangko ZIS"/>
    <x v="5"/>
    <s v="Petty Cash"/>
  </r>
  <r>
    <d v="2026-02-27T00:00:00"/>
    <n v="80000"/>
    <m/>
    <m/>
    <x v="1"/>
    <n v="4007000"/>
    <s v="Tisu Plastik tomat"/>
    <x v="5"/>
    <s v="Petty Cash"/>
  </r>
  <r>
    <d v="2026-02-28T00:00:00"/>
    <n v="250000"/>
    <m/>
    <m/>
    <x v="1"/>
    <n v="3757000"/>
    <s v="Super pel sunglight dll"/>
    <x v="3"/>
    <s v="Petty Cash"/>
  </r>
  <r>
    <d v="2026-02-28T00:00:00"/>
    <n v="400000"/>
    <m/>
    <m/>
    <x v="1"/>
    <n v="3357000"/>
    <s v="Bantuan guru ngaji "/>
    <x v="6"/>
    <s v="Petty Cash"/>
  </r>
  <r>
    <d v="2026-03-02T00:00:00"/>
    <n v="60000"/>
    <m/>
    <m/>
    <x v="2"/>
    <n v="3297000"/>
    <s v="administrasi"/>
    <x v="5"/>
    <s v="Petty Cash"/>
  </r>
  <r>
    <d v="2026-03-06T00:00:00"/>
    <n v="500000"/>
    <m/>
    <m/>
    <x v="2"/>
    <n v="2797000"/>
    <s v="Khatib Jumat"/>
    <x v="1"/>
    <s v="Petty Cash"/>
  </r>
  <r>
    <d v="2026-03-07T00:00:00"/>
    <m/>
    <m/>
    <n v="3000000"/>
    <x v="3"/>
    <n v="5797000"/>
    <s v="tambah petty cash"/>
    <x v="0"/>
    <s v="Petty Cash"/>
  </r>
  <r>
    <d v="2026-03-07T00:00:00"/>
    <n v="487000"/>
    <m/>
    <m/>
    <x v="3"/>
    <n v="5310000"/>
    <s v="Batre sabun cuci tangan balpoin amplop"/>
    <x v="3"/>
    <s v="Petty Cash"/>
  </r>
  <r>
    <d v="2026-03-07T00:00:00"/>
    <n v="395000"/>
    <m/>
    <m/>
    <x v="3"/>
    <n v="4915000"/>
    <s v="kopi gula the"/>
    <x v="2"/>
    <s v="Petty Cash"/>
  </r>
  <r>
    <d v="2026-03-07T00:00:00"/>
    <n v="60000"/>
    <m/>
    <m/>
    <x v="3"/>
    <n v="4855000"/>
    <s v="Bantuan menstruasi"/>
    <x v="6"/>
    <s v="Petty Cash"/>
  </r>
  <r>
    <d v="2026-03-07T00:00:00"/>
    <n v="500000"/>
    <m/>
    <m/>
    <x v="3"/>
    <n v="4355000"/>
    <s v="Khatib Jumat"/>
    <x v="1"/>
    <s v="Petty Cash"/>
  </r>
  <r>
    <d v="2026-03-14T00:00:00"/>
    <n v="1000"/>
    <m/>
    <m/>
    <x v="4"/>
    <n v="4354000"/>
    <s v="administrasi"/>
    <x v="5"/>
    <s v="Petty Cash"/>
  </r>
  <r>
    <d v="2026-03-14T00:00:00"/>
    <n v="1300000"/>
    <m/>
    <m/>
    <x v="4"/>
    <n v="3054000"/>
    <s v="Penggantian Zakat Mal"/>
    <x v="9"/>
    <s v="Petty Cash"/>
  </r>
  <r>
    <d v="2026-03-14T00:00:00"/>
    <n v="270000"/>
    <m/>
    <m/>
    <x v="4"/>
    <n v="2784000"/>
    <s v="Kebersihan"/>
    <x v="3"/>
    <s v="Petty Cash"/>
  </r>
  <r>
    <d v="2026-03-15T00:00:00"/>
    <n v="60000"/>
    <m/>
    <m/>
    <x v="4"/>
    <n v="2724000"/>
    <s v="administrasi"/>
    <x v="5"/>
    <s v="Petty Cash"/>
  </r>
  <r>
    <d v="2026-03-17T00:00:00"/>
    <n v="400000"/>
    <m/>
    <m/>
    <x v="4"/>
    <n v="2324000"/>
    <s v="THR Guru ngaji"/>
    <x v="1"/>
    <s v="Petty Cash"/>
  </r>
  <r>
    <d v="2026-03-17T00:00:00"/>
    <n v="150000"/>
    <m/>
    <m/>
    <x v="4"/>
    <n v="2174000"/>
    <s v="Karung dan Spidol"/>
    <x v="5"/>
    <s v="Petty Cash"/>
  </r>
  <r>
    <d v="2026-03-20T00:00:00"/>
    <n v="500000"/>
    <m/>
    <m/>
    <x v="4"/>
    <n v="1674000"/>
    <s v="Khatib Jumat"/>
    <x v="1"/>
    <s v="Petty Cash"/>
  </r>
  <r>
    <d v="2026-03-21T00:00:00"/>
    <m/>
    <m/>
    <n v="2000000"/>
    <x v="5"/>
    <n v="3674000"/>
    <s v="tambah petty cash"/>
    <x v="0"/>
    <s v="Petty Cash"/>
  </r>
  <r>
    <d v="2026-03-21T00:00:00"/>
    <n v="1500000"/>
    <m/>
    <m/>
    <x v="5"/>
    <n v="2174000"/>
    <s v="Persiapan Idul Fitri"/>
    <x v="10"/>
    <s v="Petty Cash"/>
  </r>
  <r>
    <d v="2026-03-21T00:00:00"/>
    <n v="160000"/>
    <m/>
    <m/>
    <x v="5"/>
    <n v="2014000"/>
    <s v="OK OCE 1 duz dan minuman lain"/>
    <x v="2"/>
    <s v="Petty Cash"/>
  </r>
  <r>
    <d v="2026-03-20T00:00:00"/>
    <n v="100000"/>
    <m/>
    <m/>
    <x v="5"/>
    <n v="1914000"/>
    <s v="Token listrik"/>
    <x v="4"/>
    <s v="Petty Cash"/>
  </r>
  <r>
    <d v="2026-03-20T00:00:00"/>
    <n v="192000"/>
    <m/>
    <m/>
    <x v="5"/>
    <n v="1722000"/>
    <s v="Kabel double tape dll"/>
    <x v="7"/>
    <s v="Petty Cash"/>
  </r>
  <r>
    <d v="2026-03-25T00:00:00"/>
    <n v="60000"/>
    <m/>
    <m/>
    <x v="5"/>
    <n v="1662000"/>
    <s v="Biaya administrasi"/>
    <x v="5"/>
    <s v="Petty Cash"/>
  </r>
  <r>
    <d v="2026-03-27T00:00:00"/>
    <n v="500000"/>
    <m/>
    <m/>
    <x v="5"/>
    <n v="1162000"/>
    <s v="Khatib Jumat"/>
    <x v="1"/>
    <s v="Petty Cash"/>
  </r>
  <r>
    <d v="2026-03-28T00:00:00"/>
    <m/>
    <m/>
    <n v="3000000"/>
    <x v="6"/>
    <n v="4162000"/>
    <s v="tambah petty cash"/>
    <x v="0"/>
    <s v="Petty Cash"/>
  </r>
  <r>
    <d v="2026-03-28T00:00:00"/>
    <n v="60000"/>
    <m/>
    <m/>
    <x v="6"/>
    <n v="4102000"/>
    <s v="Minum OK OCE"/>
    <x v="2"/>
    <s v="Petty Cash"/>
  </r>
  <r>
    <d v="2026-03-30T00:00:00"/>
    <n v="60000"/>
    <m/>
    <m/>
    <x v="6"/>
    <n v="4042000"/>
    <s v="Biaya administrasi"/>
    <x v="5"/>
    <s v="Petty Cash"/>
  </r>
  <r>
    <d v="2026-04-01T00:00:00"/>
    <n v="70000"/>
    <m/>
    <m/>
    <x v="7"/>
    <n v="3972000"/>
    <s v="Kran air dan ongkos"/>
    <x v="3"/>
    <s v="Petty Cash"/>
  </r>
  <r>
    <d v="2026-04-03T00:00:00"/>
    <n v="500000"/>
    <m/>
    <m/>
    <x v="7"/>
    <n v="3472000"/>
    <s v="Khatib Jumat"/>
    <x v="1"/>
    <s v="Petty 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:L23" firstHeaderRow="0" firstDataRow="1" firstDataCol="1" rowPageCount="1" colPageCount="1"/>
  <pivotFields count="9">
    <pivotField showAll="0"/>
    <pivotField dataField="1" showAll="0"/>
    <pivotField showAll="0"/>
    <pivotField dataField="1" showAll="0"/>
    <pivotField axis="axisPage" multipleItemSelectionAllowed="1" showAll="0">
      <items count="9">
        <item h="1" x="2"/>
        <item h="1" x="0"/>
        <item x="3"/>
        <item x="4"/>
        <item x="5"/>
        <item x="6"/>
        <item x="7"/>
        <item h="1" x="1"/>
        <item t="default"/>
      </items>
    </pivotField>
    <pivotField showAll="0"/>
    <pivotField showAll="0"/>
    <pivotField axis="axisRow" showAll="0">
      <items count="22">
        <item x="12"/>
        <item x="16"/>
        <item x="1"/>
        <item x="14"/>
        <item x="15"/>
        <item x="18"/>
        <item x="11"/>
        <item x="9"/>
        <item x="8"/>
        <item x="17"/>
        <item x="7"/>
        <item x="20"/>
        <item x="13"/>
        <item x="10"/>
        <item x="6"/>
        <item x="2"/>
        <item x="5"/>
        <item x="0"/>
        <item x="19"/>
        <item x="3"/>
        <item x="4"/>
        <item t="default"/>
      </items>
    </pivotField>
    <pivotField showAll="0"/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2"/>
    </i>
    <i>
      <x v="15"/>
    </i>
    <i>
      <x v="20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Sum of Debit" fld="1" baseField="0" baseItem="0"/>
    <dataField name="Sum of Kredit" fld="3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72:C179" firstHeaderRow="0" firstDataRow="1" firstDataCol="1"/>
  <pivotFields count="6">
    <pivotField numFmtId="15" showAll="0"/>
    <pivotField dataField="1" showAll="0"/>
    <pivotField showAll="0"/>
    <pivotField dataField="1" showAll="0"/>
    <pivotField showAll="0"/>
    <pivotField axis="axisRow" showAll="0">
      <items count="8">
        <item x="5"/>
        <item x="3"/>
        <item x="2"/>
        <item m="1" x="6"/>
        <item x="4"/>
        <item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" fld="1" baseField="5" baseItem="0"/>
    <dataField name="Sum of Kredit" fld="3" baseField="5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5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55:C170" firstHeaderRow="0" firstDataRow="1" firstDataCol="1"/>
  <pivotFields count="6">
    <pivotField numFmtId="15" showAll="0"/>
    <pivotField dataField="1" showAll="0"/>
    <pivotField dataField="1" showAll="0"/>
    <pivotField showAll="0"/>
    <pivotField showAll="0"/>
    <pivotField axis="axisRow" showAll="0">
      <items count="15">
        <item x="9"/>
        <item x="1"/>
        <item x="6"/>
        <item x="11"/>
        <item x="12"/>
        <item x="7"/>
        <item x="8"/>
        <item x="5"/>
        <item x="2"/>
        <item x="4"/>
        <item x="0"/>
        <item x="3"/>
        <item x="10"/>
        <item x="13"/>
        <item t="default"/>
      </items>
    </pivotField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" fld="1" baseField="0" baseItem="1"/>
    <dataField name="Sum of Kredit" fld="2" baseField="0" baseItem="1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7:L21" firstHeaderRow="0" firstDataRow="1" firstDataCol="1" rowPageCount="1" colPageCount="1"/>
  <pivotFields count="7">
    <pivotField dataField="1" showAll="0"/>
    <pivotField showAll="0"/>
    <pivotField dataField="1" showAll="0"/>
    <pivotField axis="axisPage" multipleItemSelectionAllowed="1" showAll="0">
      <items count="14">
        <item h="1" x="4"/>
        <item h="1" x="2"/>
        <item h="1" x="0"/>
        <item h="1" x="3"/>
        <item x="5"/>
        <item h="1" x="1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showAll="0"/>
    <pivotField showAll="0"/>
    <pivotField axis="axisRow" showAll="0">
      <items count="27">
        <item x="12"/>
        <item x="16"/>
        <item x="1"/>
        <item x="15"/>
        <item x="14"/>
        <item x="18"/>
        <item x="11"/>
        <item x="9"/>
        <item x="8"/>
        <item x="17"/>
        <item x="7"/>
        <item x="19"/>
        <item x="13"/>
        <item x="10"/>
        <item x="6"/>
        <item x="2"/>
        <item x="20"/>
        <item x="5"/>
        <item x="0"/>
        <item x="3"/>
        <item x="4"/>
        <item x="21"/>
        <item x="22"/>
        <item x="23"/>
        <item x="24"/>
        <item x="25"/>
        <item t="default"/>
      </items>
    </pivotField>
  </pivotFields>
  <rowFields count="1">
    <field x="6"/>
  </rowFields>
  <rowItems count="14">
    <i>
      <x/>
    </i>
    <i>
      <x v="2"/>
    </i>
    <i>
      <x v="4"/>
    </i>
    <i>
      <x v="6"/>
    </i>
    <i>
      <x v="9"/>
    </i>
    <i>
      <x v="10"/>
    </i>
    <i>
      <x v="12"/>
    </i>
    <i>
      <x v="13"/>
    </i>
    <i>
      <x v="15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Debit" fld="0" baseField="0" baseItem="0"/>
    <dataField name="Sum of Kredit" fld="2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4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>
  <location ref="J7:L15" firstHeaderRow="0" firstDataRow="1" firstDataCol="1" rowPageCount="1" colPageCount="1"/>
  <pivotFields count="7">
    <pivotField dataField="1" showAll="0"/>
    <pivotField showAll="0"/>
    <pivotField dataField="1" showAll="0"/>
    <pivotField axis="axisPage" multipleItemSelectionAllowed="1" showAll="0">
      <items count="7">
        <item h="1" x="4"/>
        <item h="1" x="2"/>
        <item h="1" x="0"/>
        <item h="1" x="3"/>
        <item x="5"/>
        <item h="1" x="1"/>
        <item t="default"/>
      </items>
    </pivotField>
    <pivotField showAll="0"/>
    <pivotField showAll="0"/>
    <pivotField axis="axisRow" showAll="0">
      <items count="23">
        <item x="12"/>
        <item x="16"/>
        <item x="1"/>
        <item x="15"/>
        <item x="14"/>
        <item x="18"/>
        <item x="11"/>
        <item x="9"/>
        <item x="8"/>
        <item x="17"/>
        <item x="7"/>
        <item x="19"/>
        <item x="13"/>
        <item x="10"/>
        <item x="6"/>
        <item x="2"/>
        <item x="20"/>
        <item x="5"/>
        <item x="0"/>
        <item x="3"/>
        <item x="4"/>
        <item x="21"/>
        <item t="default"/>
      </items>
    </pivotField>
  </pivotFields>
  <rowFields count="1">
    <field x="6"/>
  </rowFields>
  <rowItems count="8">
    <i>
      <x/>
    </i>
    <i>
      <x v="2"/>
    </i>
    <i>
      <x v="6"/>
    </i>
    <i>
      <x v="12"/>
    </i>
    <i>
      <x v="15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Debit" fld="0" baseField="0" baseItem="0"/>
    <dataField name="Sum of Kredit" fld="2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7:L14" firstHeaderRow="0" firstDataRow="1" firstDataCol="1" rowPageCount="1" colPageCount="1"/>
  <pivotFields count="9">
    <pivotField showAll="0"/>
    <pivotField dataField="1" showAll="0"/>
    <pivotField showAll="0"/>
    <pivotField dataField="1" showAll="0"/>
    <pivotField axis="axisPage" multipleItemSelectionAllowed="1" showAll="0">
      <items count="10">
        <item h="1" x="4"/>
        <item h="1" x="5"/>
        <item h="1" x="6"/>
        <item h="1" x="7"/>
        <item x="8"/>
        <item h="1" x="2"/>
        <item h="1" x="0"/>
        <item h="1" x="3"/>
        <item h="1" x="1"/>
        <item t="default"/>
      </items>
    </pivotField>
    <pivotField numFmtId="164" showAll="0"/>
    <pivotField showAll="0"/>
    <pivotField axis="axisRow" showAll="0">
      <items count="22">
        <item x="12"/>
        <item x="16"/>
        <item x="1"/>
        <item x="15"/>
        <item x="14"/>
        <item x="18"/>
        <item x="11"/>
        <item x="9"/>
        <item x="8"/>
        <item x="17"/>
        <item x="7"/>
        <item x="19"/>
        <item x="13"/>
        <item x="10"/>
        <item x="6"/>
        <item x="2"/>
        <item x="20"/>
        <item x="5"/>
        <item x="0"/>
        <item x="3"/>
        <item x="4"/>
        <item t="default"/>
      </items>
    </pivotField>
    <pivotField showAll="0"/>
  </pivotFields>
  <rowFields count="1">
    <field x="7"/>
  </rowFields>
  <rowItems count="7">
    <i>
      <x/>
    </i>
    <i>
      <x v="4"/>
    </i>
    <i>
      <x v="6"/>
    </i>
    <i>
      <x v="12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Sum of Debit" fld="1" baseField="0" baseItem="0"/>
    <dataField name="Sum of Kredit" fld="3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4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>
  <location ref="J7:L15" firstHeaderRow="0" firstDataRow="1" firstDataCol="1" rowPageCount="1" colPageCount="1"/>
  <pivotFields count="7">
    <pivotField dataField="1" showAll="0"/>
    <pivotField showAll="0"/>
    <pivotField dataField="1" showAll="0"/>
    <pivotField axis="axisPage" multipleItemSelectionAllowed="1" showAll="0">
      <items count="23">
        <item h="1" x="4"/>
        <item h="1" x="2"/>
        <item h="1" x="0"/>
        <item h="1" x="3"/>
        <item h="1" x="5"/>
        <item h="1" x="1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t="default"/>
      </items>
    </pivotField>
    <pivotField showAll="0"/>
    <pivotField showAll="0"/>
    <pivotField axis="axisRow" showAll="0">
      <items count="26">
        <item x="12"/>
        <item x="16"/>
        <item x="1"/>
        <item x="15"/>
        <item x="14"/>
        <item x="18"/>
        <item x="11"/>
        <item x="9"/>
        <item x="8"/>
        <item x="17"/>
        <item x="7"/>
        <item x="19"/>
        <item x="13"/>
        <item x="10"/>
        <item x="6"/>
        <item x="2"/>
        <item x="20"/>
        <item x="5"/>
        <item x="0"/>
        <item x="3"/>
        <item x="4"/>
        <item x="21"/>
        <item x="22"/>
        <item x="23"/>
        <item x="24"/>
        <item t="default"/>
      </items>
    </pivotField>
  </pivotFields>
  <rowFields count="1">
    <field x="6"/>
  </rowFields>
  <rowItems count="8">
    <i>
      <x/>
    </i>
    <i>
      <x v="1"/>
    </i>
    <i>
      <x v="3"/>
    </i>
    <i>
      <x v="4"/>
    </i>
    <i>
      <x v="6"/>
    </i>
    <i>
      <x v="12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Debit" fld="0" baseField="0" baseItem="0"/>
    <dataField name="Sum of Kredit" fld="2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B09FE-3B91-4B18-A388-CC72BE0EB66D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323:L1329" firstHeaderRow="0" firstDataRow="1" firstDataCol="1" rowPageCount="1" colPageCount="1"/>
  <pivotFields count="9">
    <pivotField numFmtId="15" showAll="0"/>
    <pivotField dataField="1" showAll="0"/>
    <pivotField showAll="0"/>
    <pivotField dataField="1" showAll="0"/>
    <pivotField axis="axisPage" multipleItemSelectionAllowed="1" showAll="0">
      <items count="9">
        <item x="7"/>
        <item h="1" x="1"/>
        <item h="1" x="0"/>
        <item h="1" x="2"/>
        <item h="1" x="3"/>
        <item h="1" x="4"/>
        <item h="1" x="5"/>
        <item x="6"/>
        <item t="default"/>
      </items>
    </pivotField>
    <pivotField numFmtId="164" showAll="0"/>
    <pivotField showAll="0"/>
    <pivotField axis="axisRow" showAll="0">
      <items count="12">
        <item x="5"/>
        <item x="6"/>
        <item x="7"/>
        <item x="9"/>
        <item x="1"/>
        <item x="10"/>
        <item x="3"/>
        <item x="2"/>
        <item x="4"/>
        <item x="8"/>
        <item x="0"/>
        <item t="default"/>
      </items>
    </pivotField>
    <pivotField showAll="0"/>
  </pivotFields>
  <rowFields count="1">
    <field x="7"/>
  </rowFields>
  <rowItems count="6">
    <i>
      <x/>
    </i>
    <i>
      <x v="4"/>
    </i>
    <i>
      <x v="6"/>
    </i>
    <i>
      <x v="7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Sum of Debit" fld="1" baseField="0" baseItem="0"/>
    <dataField name="Sum of Kredit" fld="3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BB627-3FF5-4459-93BB-B319BB90945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:L18" firstHeaderRow="0" firstDataRow="1" firstDataCol="1" rowPageCount="1" colPageCount="1"/>
  <pivotFields count="8">
    <pivotField showAll="0"/>
    <pivotField dataField="1" showAll="0"/>
    <pivotField showAll="0"/>
    <pivotField dataField="1" showAll="0"/>
    <pivotField axis="axisPage" multipleItemSelectionAllowed="1" showAll="0">
      <items count="10">
        <item h="1" x="1"/>
        <item h="1" x="0"/>
        <item h="1" x="2"/>
        <item h="1" x="3"/>
        <item h="1" x="4"/>
        <item h="1" x="5"/>
        <item h="1" x="6"/>
        <item x="8"/>
        <item x="7"/>
        <item t="default"/>
      </items>
    </pivotField>
    <pivotField showAll="0"/>
    <pivotField showAll="0"/>
    <pivotField axis="axisRow" showAll="0">
      <items count="24">
        <item x="4"/>
        <item x="1"/>
        <item x="3"/>
        <item x="2"/>
        <item x="0"/>
        <item x="5"/>
        <item x="6"/>
        <item x="7"/>
        <item x="9"/>
        <item x="10"/>
        <item x="12"/>
        <item x="13"/>
        <item x="8"/>
        <item x="11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7"/>
  </rowFields>
  <rowItems count="9">
    <i>
      <x/>
    </i>
    <i>
      <x v="2"/>
    </i>
    <i>
      <x v="3"/>
    </i>
    <i>
      <x v="4"/>
    </i>
    <i>
      <x v="5"/>
    </i>
    <i>
      <x v="7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Sum of Debit" fld="1" baseField="0" baseItem="0"/>
    <dataField name="Sum of Kredit" fld="3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1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>
  <location ref="J9:L10" firstHeaderRow="0" firstDataRow="1" firstDataCol="1" rowPageCount="1" colPageCount="1"/>
  <pivotFields count="8">
    <pivotField showAll="0"/>
    <pivotField dataField="1" showAll="0"/>
    <pivotField showAll="0"/>
    <pivotField dataField="1" showAll="0"/>
    <pivotField axis="axisPage" multipleItemSelectionAllowed="1" showAll="0">
      <items count="7">
        <item h="1" x="1"/>
        <item h="1" m="1" x="3"/>
        <item h="1" m="1" x="2"/>
        <item h="1" m="1" x="5"/>
        <item m="1" x="4"/>
        <item h="1" x="0"/>
        <item t="default"/>
      </items>
    </pivotField>
    <pivotField showAll="0"/>
    <pivotField showAll="0"/>
    <pivotField axis="axisRow" showAll="0">
      <items count="13">
        <item x="4"/>
        <item x="1"/>
        <item x="3"/>
        <item x="2"/>
        <item x="0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1"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Sum of Debit" fld="1" baseField="0" baseItem="0"/>
    <dataField name="Sum of Kredit" fld="3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0"/>
  <sheetViews>
    <sheetView workbookViewId="0">
      <selection activeCell="A10" sqref="A10"/>
    </sheetView>
  </sheetViews>
  <sheetFormatPr defaultRowHeight="14.5" x14ac:dyDescent="0.35"/>
  <cols>
    <col min="1" max="1" width="17.453125" customWidth="1"/>
    <col min="2" max="2" width="12.1796875" bestFit="1" customWidth="1"/>
    <col min="3" max="3" width="10.54296875" bestFit="1" customWidth="1"/>
    <col min="4" max="4" width="11.54296875" bestFit="1" customWidth="1"/>
    <col min="5" max="5" width="12.54296875" bestFit="1" customWidth="1"/>
  </cols>
  <sheetData>
    <row r="1" spans="1:6" x14ac:dyDescent="0.35">
      <c r="A1" s="244" t="s">
        <v>0</v>
      </c>
      <c r="B1" s="244"/>
      <c r="C1" s="244"/>
      <c r="D1" s="244"/>
      <c r="E1" s="244"/>
      <c r="F1" s="244"/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t="s">
        <v>49</v>
      </c>
    </row>
    <row r="4" spans="1:6" x14ac:dyDescent="0.35">
      <c r="A4" t="s">
        <v>50</v>
      </c>
    </row>
    <row r="5" spans="1:6" x14ac:dyDescent="0.35">
      <c r="A5" t="s">
        <v>51</v>
      </c>
    </row>
    <row r="7" spans="1:6" x14ac:dyDescent="0.3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7</v>
      </c>
      <c r="B8" s="1">
        <v>45650</v>
      </c>
      <c r="C8" s="5"/>
      <c r="D8" s="5">
        <v>5000000</v>
      </c>
      <c r="E8" s="5">
        <v>5000000</v>
      </c>
      <c r="F8" t="s">
        <v>8</v>
      </c>
    </row>
    <row r="9" spans="1:6" x14ac:dyDescent="0.35">
      <c r="A9" s="3">
        <v>3200004250020260</v>
      </c>
      <c r="B9" s="1">
        <v>45659</v>
      </c>
      <c r="C9" s="5">
        <v>200000</v>
      </c>
      <c r="D9" s="5"/>
      <c r="E9" s="5">
        <v>4800000</v>
      </c>
      <c r="F9" t="s">
        <v>9</v>
      </c>
    </row>
    <row r="10" spans="1:6" x14ac:dyDescent="0.35">
      <c r="A10" t="s">
        <v>10</v>
      </c>
      <c r="B10" s="1">
        <v>45660</v>
      </c>
      <c r="C10" s="5"/>
      <c r="D10" s="5">
        <v>500000</v>
      </c>
      <c r="E10" s="5">
        <v>5300000</v>
      </c>
      <c r="F10" t="s">
        <v>11</v>
      </c>
    </row>
    <row r="11" spans="1:6" x14ac:dyDescent="0.35">
      <c r="A11" t="s">
        <v>12</v>
      </c>
      <c r="B11" s="1">
        <v>45660</v>
      </c>
      <c r="C11" s="5"/>
      <c r="D11" s="5">
        <v>1800000</v>
      </c>
      <c r="E11" s="5">
        <v>7100000</v>
      </c>
      <c r="F11" t="s">
        <v>52</v>
      </c>
    </row>
    <row r="12" spans="1:6" x14ac:dyDescent="0.35">
      <c r="A12" t="s">
        <v>13</v>
      </c>
      <c r="B12" s="1">
        <v>45660</v>
      </c>
      <c r="C12" s="5"/>
      <c r="D12" s="5">
        <v>2000000</v>
      </c>
      <c r="E12" s="5">
        <v>9100000</v>
      </c>
      <c r="F12" t="s">
        <v>14</v>
      </c>
    </row>
    <row r="13" spans="1:6" x14ac:dyDescent="0.35">
      <c r="A13" t="s">
        <v>15</v>
      </c>
      <c r="B13" s="1">
        <v>45663</v>
      </c>
      <c r="C13" s="5"/>
      <c r="D13" s="5">
        <v>400000</v>
      </c>
      <c r="E13" s="5">
        <v>9500000</v>
      </c>
      <c r="F13" t="s">
        <v>16</v>
      </c>
    </row>
    <row r="14" spans="1:6" x14ac:dyDescent="0.35">
      <c r="A14" t="s">
        <v>17</v>
      </c>
      <c r="B14" s="1">
        <v>45663</v>
      </c>
      <c r="C14" s="5"/>
      <c r="D14" s="5">
        <v>78179873</v>
      </c>
      <c r="E14" s="5">
        <v>87679873</v>
      </c>
      <c r="F14" t="s">
        <v>18</v>
      </c>
    </row>
    <row r="15" spans="1:6" x14ac:dyDescent="0.35">
      <c r="A15" t="s">
        <v>19</v>
      </c>
      <c r="B15" s="1">
        <v>45663</v>
      </c>
      <c r="C15" s="5"/>
      <c r="D15" s="5">
        <v>45435000</v>
      </c>
      <c r="E15" s="5">
        <v>133114873</v>
      </c>
      <c r="F15" t="s">
        <v>20</v>
      </c>
    </row>
    <row r="16" spans="1:6" x14ac:dyDescent="0.35">
      <c r="A16" t="s">
        <v>21</v>
      </c>
      <c r="B16" s="1">
        <v>45664</v>
      </c>
      <c r="C16" s="5"/>
      <c r="D16" s="5">
        <v>1000000</v>
      </c>
      <c r="E16" s="5">
        <v>134114873</v>
      </c>
      <c r="F16" t="s">
        <v>22</v>
      </c>
    </row>
    <row r="17" spans="1:6" x14ac:dyDescent="0.35">
      <c r="A17" t="s">
        <v>23</v>
      </c>
      <c r="B17" s="1">
        <v>45664</v>
      </c>
      <c r="C17" s="5"/>
      <c r="D17" s="5">
        <v>300000</v>
      </c>
      <c r="E17" s="5">
        <v>134414873</v>
      </c>
      <c r="F17" t="s">
        <v>24</v>
      </c>
    </row>
    <row r="18" spans="1:6" x14ac:dyDescent="0.35">
      <c r="A18" t="s">
        <v>25</v>
      </c>
      <c r="B18" s="1">
        <v>45664</v>
      </c>
      <c r="C18" s="5"/>
      <c r="D18" s="5">
        <v>600000</v>
      </c>
      <c r="E18" s="5">
        <v>135014873</v>
      </c>
      <c r="F18" t="s">
        <v>26</v>
      </c>
    </row>
    <row r="19" spans="1:6" x14ac:dyDescent="0.35">
      <c r="A19" t="s">
        <v>27</v>
      </c>
      <c r="B19" s="1">
        <v>45664</v>
      </c>
      <c r="C19" s="5">
        <v>1250000</v>
      </c>
      <c r="D19" s="5"/>
      <c r="E19" s="5">
        <v>133764873</v>
      </c>
      <c r="F19" t="s">
        <v>28</v>
      </c>
    </row>
    <row r="20" spans="1:6" x14ac:dyDescent="0.35">
      <c r="A20" t="s">
        <v>27</v>
      </c>
      <c r="B20" s="1">
        <v>45664</v>
      </c>
      <c r="C20" s="5">
        <v>2500</v>
      </c>
      <c r="D20" s="5"/>
      <c r="E20" s="5">
        <v>133762373</v>
      </c>
      <c r="F20" t="s">
        <v>29</v>
      </c>
    </row>
    <row r="21" spans="1:6" x14ac:dyDescent="0.35">
      <c r="A21" t="s">
        <v>30</v>
      </c>
      <c r="B21" s="1">
        <v>45664</v>
      </c>
      <c r="C21" s="5"/>
      <c r="D21" s="5">
        <v>600000</v>
      </c>
      <c r="E21" s="5">
        <v>134362373</v>
      </c>
      <c r="F21" t="s">
        <v>31</v>
      </c>
    </row>
    <row r="22" spans="1:6" x14ac:dyDescent="0.35">
      <c r="A22" t="s">
        <v>32</v>
      </c>
      <c r="B22" s="1">
        <v>45665</v>
      </c>
      <c r="C22" s="5"/>
      <c r="D22" s="5">
        <v>300000</v>
      </c>
      <c r="E22" s="5">
        <v>134662373</v>
      </c>
      <c r="F22" t="s">
        <v>33</v>
      </c>
    </row>
    <row r="23" spans="1:6" x14ac:dyDescent="0.35">
      <c r="A23" t="s">
        <v>34</v>
      </c>
      <c r="B23" s="1">
        <v>45665</v>
      </c>
      <c r="C23" s="5"/>
      <c r="D23" s="5">
        <v>300000</v>
      </c>
      <c r="E23" s="5">
        <v>134962373</v>
      </c>
      <c r="F23" t="s">
        <v>35</v>
      </c>
    </row>
    <row r="24" spans="1:6" x14ac:dyDescent="0.35">
      <c r="A24" t="s">
        <v>36</v>
      </c>
      <c r="B24" s="1">
        <v>45665</v>
      </c>
      <c r="C24" s="5"/>
      <c r="D24" s="5">
        <v>300000</v>
      </c>
      <c r="E24" s="5">
        <v>135262373</v>
      </c>
      <c r="F24" t="s">
        <v>37</v>
      </c>
    </row>
    <row r="25" spans="1:6" x14ac:dyDescent="0.35">
      <c r="A25" t="s">
        <v>38</v>
      </c>
      <c r="B25" s="1">
        <v>45665</v>
      </c>
      <c r="C25" s="5"/>
      <c r="D25" s="5">
        <v>300000</v>
      </c>
      <c r="E25" s="5">
        <v>135562373</v>
      </c>
      <c r="F25" t="s">
        <v>39</v>
      </c>
    </row>
    <row r="26" spans="1:6" x14ac:dyDescent="0.35">
      <c r="A26" t="s">
        <v>40</v>
      </c>
      <c r="B26" s="1">
        <v>45665</v>
      </c>
      <c r="C26" s="5">
        <v>500000</v>
      </c>
      <c r="D26" s="5"/>
      <c r="E26" s="5">
        <v>135062373</v>
      </c>
      <c r="F26" t="s">
        <v>41</v>
      </c>
    </row>
    <row r="27" spans="1:6" x14ac:dyDescent="0.35">
      <c r="A27" t="s">
        <v>42</v>
      </c>
      <c r="B27" s="1">
        <v>45665</v>
      </c>
      <c r="C27" s="5">
        <v>2000000</v>
      </c>
      <c r="D27" s="5"/>
      <c r="E27" s="5">
        <v>133062373</v>
      </c>
      <c r="F27" t="s">
        <v>43</v>
      </c>
    </row>
    <row r="28" spans="1:6" x14ac:dyDescent="0.35">
      <c r="A28" t="s">
        <v>42</v>
      </c>
      <c r="B28" s="1">
        <v>45665</v>
      </c>
      <c r="C28" s="5">
        <v>2500</v>
      </c>
      <c r="D28" s="5"/>
      <c r="E28" s="5">
        <v>133059873</v>
      </c>
      <c r="F28" t="s">
        <v>44</v>
      </c>
    </row>
    <row r="29" spans="1:6" x14ac:dyDescent="0.35">
      <c r="A29" t="s">
        <v>45</v>
      </c>
      <c r="B29" s="1">
        <v>45665</v>
      </c>
      <c r="C29" s="5"/>
      <c r="D29" s="5">
        <v>504000</v>
      </c>
      <c r="E29" s="5">
        <v>133563873</v>
      </c>
      <c r="F29" t="s">
        <v>46</v>
      </c>
    </row>
    <row r="30" spans="1:6" x14ac:dyDescent="0.35">
      <c r="A30" t="s">
        <v>47</v>
      </c>
      <c r="B30" s="1">
        <v>45665</v>
      </c>
      <c r="C30" s="5"/>
      <c r="D30" s="5">
        <v>100000</v>
      </c>
      <c r="E30" s="5">
        <v>133663873</v>
      </c>
      <c r="F30" t="s">
        <v>48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878"/>
  <sheetViews>
    <sheetView zoomScale="85" zoomScaleNormal="85" workbookViewId="0">
      <pane xSplit="1" ySplit="7" topLeftCell="B636" activePane="bottomRight" state="frozen"/>
      <selection pane="topRight" activeCell="C1" sqref="C1"/>
      <selection pane="bottomLeft" activeCell="A8" sqref="A8"/>
      <selection pane="bottomRight" activeCell="A643" sqref="A643:XFD698"/>
    </sheetView>
  </sheetViews>
  <sheetFormatPr defaultRowHeight="14.5" x14ac:dyDescent="0.35"/>
  <cols>
    <col min="1" max="1" width="12.1796875" style="18" bestFit="1" customWidth="1"/>
    <col min="2" max="4" width="11.81640625" style="18" bestFit="1" customWidth="1"/>
    <col min="5" max="5" width="11.54296875" style="18" customWidth="1"/>
    <col min="6" max="6" width="12.81640625" style="18" bestFit="1" customWidth="1"/>
    <col min="7" max="7" width="42.26953125" style="18" customWidth="1"/>
    <col min="8" max="8" width="29.1796875" style="18" customWidth="1"/>
    <col min="9" max="9" width="30.81640625" style="18" bestFit="1" customWidth="1"/>
    <col min="10" max="10" width="27" bestFit="1" customWidth="1"/>
    <col min="11" max="11" width="17" bestFit="1" customWidth="1"/>
    <col min="12" max="12" width="15.7265625" bestFit="1" customWidth="1"/>
  </cols>
  <sheetData>
    <row r="1" spans="1:12" x14ac:dyDescent="0.35">
      <c r="A1" s="244" t="s">
        <v>104</v>
      </c>
      <c r="B1" s="244"/>
      <c r="C1" s="244"/>
      <c r="D1" s="244"/>
      <c r="E1" s="244"/>
      <c r="F1" s="244"/>
      <c r="G1" s="244"/>
      <c r="H1" s="23"/>
      <c r="I1" s="25"/>
    </row>
    <row r="2" spans="1:12" x14ac:dyDescent="0.35">
      <c r="A2" s="2"/>
      <c r="B2" s="2"/>
      <c r="C2" s="2"/>
      <c r="D2" s="2"/>
      <c r="E2" s="2"/>
      <c r="F2" s="2"/>
      <c r="G2" s="2"/>
      <c r="I2" s="25"/>
    </row>
    <row r="3" spans="1:12" x14ac:dyDescent="0.35">
      <c r="A3" s="22" t="s">
        <v>49</v>
      </c>
      <c r="H3" s="26"/>
    </row>
    <row r="4" spans="1:12" x14ac:dyDescent="0.35">
      <c r="A4" s="22" t="s">
        <v>50</v>
      </c>
      <c r="F4" s="25"/>
      <c r="I4" s="2"/>
    </row>
    <row r="5" spans="1:12" x14ac:dyDescent="0.35">
      <c r="A5" s="22" t="s">
        <v>265</v>
      </c>
      <c r="F5" s="25"/>
    </row>
    <row r="7" spans="1:12" x14ac:dyDescent="0.35">
      <c r="A7" s="6" t="s">
        <v>2</v>
      </c>
      <c r="B7" s="6" t="s">
        <v>3</v>
      </c>
      <c r="C7" s="6" t="s">
        <v>138</v>
      </c>
      <c r="D7" s="6" t="s">
        <v>4</v>
      </c>
      <c r="E7" s="6" t="s">
        <v>192</v>
      </c>
      <c r="F7" s="6" t="s">
        <v>5</v>
      </c>
      <c r="G7" s="6" t="s">
        <v>6</v>
      </c>
      <c r="H7" s="34" t="s">
        <v>141</v>
      </c>
      <c r="I7" s="34" t="s">
        <v>359</v>
      </c>
      <c r="J7" s="36" t="s">
        <v>192</v>
      </c>
      <c r="K7" t="s">
        <v>492</v>
      </c>
    </row>
    <row r="8" spans="1:12" x14ac:dyDescent="0.35">
      <c r="A8" s="19">
        <v>45650</v>
      </c>
      <c r="B8" s="20"/>
      <c r="C8" s="20"/>
      <c r="D8" s="20">
        <v>5000000</v>
      </c>
      <c r="E8" s="43" t="s">
        <v>357</v>
      </c>
      <c r="F8" s="20">
        <v>5000000</v>
      </c>
      <c r="G8" s="10" t="s">
        <v>57</v>
      </c>
      <c r="H8" s="59" t="s">
        <v>204</v>
      </c>
      <c r="I8" s="32" t="s">
        <v>152</v>
      </c>
    </row>
    <row r="9" spans="1:12" x14ac:dyDescent="0.35">
      <c r="A9" s="19">
        <v>45659</v>
      </c>
      <c r="B9" s="43">
        <v>200000</v>
      </c>
      <c r="C9" s="20"/>
      <c r="D9" s="20"/>
      <c r="E9" s="43" t="s">
        <v>357</v>
      </c>
      <c r="F9" s="20">
        <f>+F8+D9-B9</f>
        <v>4800000</v>
      </c>
      <c r="G9" s="10" t="s">
        <v>102</v>
      </c>
      <c r="H9" s="59" t="s">
        <v>320</v>
      </c>
      <c r="I9" s="32" t="s">
        <v>152</v>
      </c>
      <c r="J9" s="36" t="s">
        <v>149</v>
      </c>
      <c r="K9" t="s">
        <v>151</v>
      </c>
      <c r="L9" t="s">
        <v>148</v>
      </c>
    </row>
    <row r="10" spans="1:12" x14ac:dyDescent="0.35">
      <c r="A10" s="19">
        <v>45660</v>
      </c>
      <c r="B10" s="43"/>
      <c r="C10" s="20"/>
      <c r="D10" s="43">
        <v>500000</v>
      </c>
      <c r="E10" s="43" t="s">
        <v>357</v>
      </c>
      <c r="F10" s="20">
        <f t="shared" ref="F10:F73" si="0">+F9+D10-B10</f>
        <v>5300000</v>
      </c>
      <c r="G10" s="10" t="s">
        <v>53</v>
      </c>
      <c r="H10" s="59" t="s">
        <v>109</v>
      </c>
      <c r="I10" s="32" t="s">
        <v>152</v>
      </c>
      <c r="J10" s="13" t="s">
        <v>107</v>
      </c>
      <c r="K10" s="160"/>
      <c r="L10" s="160">
        <v>18127000</v>
      </c>
    </row>
    <row r="11" spans="1:12" x14ac:dyDescent="0.35">
      <c r="A11" s="19">
        <v>45660</v>
      </c>
      <c r="B11" s="43"/>
      <c r="C11" s="20"/>
      <c r="D11" s="43">
        <v>1800000</v>
      </c>
      <c r="E11" s="43" t="s">
        <v>357</v>
      </c>
      <c r="F11" s="20">
        <f t="shared" si="0"/>
        <v>7100000</v>
      </c>
      <c r="G11" s="10" t="s">
        <v>84</v>
      </c>
      <c r="H11" s="59" t="s">
        <v>109</v>
      </c>
      <c r="I11" s="32" t="s">
        <v>152</v>
      </c>
      <c r="J11" s="13" t="s">
        <v>105</v>
      </c>
      <c r="K11" s="160"/>
      <c r="L11" s="160">
        <v>106345010</v>
      </c>
    </row>
    <row r="12" spans="1:12" x14ac:dyDescent="0.35">
      <c r="A12" s="19">
        <v>45660</v>
      </c>
      <c r="B12" s="43"/>
      <c r="C12" s="20"/>
      <c r="D12" s="43">
        <v>2000000</v>
      </c>
      <c r="E12" s="43" t="s">
        <v>357</v>
      </c>
      <c r="F12" s="20">
        <f t="shared" si="0"/>
        <v>9100000</v>
      </c>
      <c r="G12" s="10" t="s">
        <v>55</v>
      </c>
      <c r="H12" s="59" t="s">
        <v>109</v>
      </c>
      <c r="I12" s="32" t="s">
        <v>152</v>
      </c>
      <c r="J12" s="13" t="s">
        <v>320</v>
      </c>
      <c r="K12" s="160">
        <v>21151500</v>
      </c>
      <c r="L12" s="160"/>
    </row>
    <row r="13" spans="1:12" x14ac:dyDescent="0.35">
      <c r="A13" s="19">
        <v>45663</v>
      </c>
      <c r="B13" s="43"/>
      <c r="C13" s="20"/>
      <c r="D13" s="43">
        <v>400000</v>
      </c>
      <c r="E13" s="43" t="s">
        <v>357</v>
      </c>
      <c r="F13" s="20">
        <f t="shared" si="0"/>
        <v>9500000</v>
      </c>
      <c r="G13" s="10" t="s">
        <v>56</v>
      </c>
      <c r="H13" s="59" t="s">
        <v>109</v>
      </c>
      <c r="I13" s="32" t="s">
        <v>152</v>
      </c>
      <c r="J13" s="13" t="s">
        <v>203</v>
      </c>
      <c r="K13" s="160">
        <v>58552500</v>
      </c>
      <c r="L13" s="160"/>
    </row>
    <row r="14" spans="1:12" x14ac:dyDescent="0.35">
      <c r="A14" s="19">
        <v>45663</v>
      </c>
      <c r="B14" s="43"/>
      <c r="C14" s="23"/>
      <c r="D14" s="23">
        <v>44196050</v>
      </c>
      <c r="E14" s="43" t="s">
        <v>357</v>
      </c>
      <c r="F14" s="20">
        <f t="shared" si="0"/>
        <v>53696050</v>
      </c>
      <c r="G14" s="24" t="s">
        <v>105</v>
      </c>
      <c r="H14" s="59" t="s">
        <v>204</v>
      </c>
      <c r="I14" s="32" t="s">
        <v>152</v>
      </c>
      <c r="J14" s="13" t="s">
        <v>201</v>
      </c>
      <c r="K14" s="160">
        <v>75277000</v>
      </c>
      <c r="L14" s="160"/>
    </row>
    <row r="15" spans="1:12" x14ac:dyDescent="0.35">
      <c r="A15" s="19">
        <v>45663</v>
      </c>
      <c r="B15" s="43"/>
      <c r="C15" s="23"/>
      <c r="D15" s="23">
        <v>33983823</v>
      </c>
      <c r="E15" s="43" t="s">
        <v>357</v>
      </c>
      <c r="F15" s="20">
        <f t="shared" si="0"/>
        <v>87679873</v>
      </c>
      <c r="G15" s="24" t="s">
        <v>106</v>
      </c>
      <c r="H15" s="59" t="s">
        <v>205</v>
      </c>
      <c r="I15" s="32" t="s">
        <v>152</v>
      </c>
      <c r="J15" s="13" t="s">
        <v>144</v>
      </c>
      <c r="K15" s="160">
        <v>425000</v>
      </c>
      <c r="L15" s="160"/>
    </row>
    <row r="16" spans="1:12" x14ac:dyDescent="0.35">
      <c r="A16" s="19"/>
      <c r="B16" s="43"/>
      <c r="C16" s="20">
        <v>78179873</v>
      </c>
      <c r="D16" s="20"/>
      <c r="E16" s="20"/>
      <c r="F16" s="20">
        <f t="shared" si="0"/>
        <v>87679873</v>
      </c>
      <c r="G16" s="10" t="s">
        <v>57</v>
      </c>
      <c r="H16" s="59"/>
      <c r="I16" s="32"/>
      <c r="J16" s="13" t="s">
        <v>323</v>
      </c>
      <c r="K16" s="160">
        <v>22515000</v>
      </c>
      <c r="L16" s="160"/>
    </row>
    <row r="17" spans="1:12" x14ac:dyDescent="0.35">
      <c r="A17" s="19">
        <v>45663</v>
      </c>
      <c r="B17" s="43"/>
      <c r="C17" s="23"/>
      <c r="D17" s="23">
        <v>5594227</v>
      </c>
      <c r="E17" s="43" t="s">
        <v>357</v>
      </c>
      <c r="F17" s="20">
        <f t="shared" si="0"/>
        <v>93274100</v>
      </c>
      <c r="G17" s="24" t="s">
        <v>106</v>
      </c>
      <c r="H17" s="59" t="s">
        <v>205</v>
      </c>
      <c r="I17" s="32" t="s">
        <v>152</v>
      </c>
      <c r="J17" s="13" t="s">
        <v>322</v>
      </c>
      <c r="K17" s="160">
        <v>3837500</v>
      </c>
      <c r="L17" s="160"/>
    </row>
    <row r="18" spans="1:12" x14ac:dyDescent="0.35">
      <c r="A18" s="19">
        <v>45663</v>
      </c>
      <c r="B18" s="43"/>
      <c r="C18" s="23"/>
      <c r="D18" s="23">
        <v>39840773</v>
      </c>
      <c r="E18" s="43" t="s">
        <v>357</v>
      </c>
      <c r="F18" s="20">
        <f t="shared" si="0"/>
        <v>133114873</v>
      </c>
      <c r="G18" s="24" t="s">
        <v>107</v>
      </c>
      <c r="H18" s="59" t="s">
        <v>206</v>
      </c>
      <c r="I18" s="32" t="s">
        <v>152</v>
      </c>
      <c r="J18" s="13" t="s">
        <v>327</v>
      </c>
      <c r="K18" s="160">
        <v>7205000</v>
      </c>
      <c r="L18" s="160"/>
    </row>
    <row r="19" spans="1:12" x14ac:dyDescent="0.35">
      <c r="A19" s="19">
        <v>45663</v>
      </c>
      <c r="B19" s="43"/>
      <c r="C19" s="20">
        <v>45435000</v>
      </c>
      <c r="D19" s="20"/>
      <c r="E19" s="20"/>
      <c r="F19" s="20">
        <f t="shared" si="0"/>
        <v>133114873</v>
      </c>
      <c r="G19" s="10" t="s">
        <v>58</v>
      </c>
      <c r="H19" s="59"/>
      <c r="I19" s="32"/>
      <c r="J19" s="13" t="s">
        <v>321</v>
      </c>
      <c r="K19" s="160">
        <v>3358500</v>
      </c>
      <c r="L19" s="160"/>
    </row>
    <row r="20" spans="1:12" x14ac:dyDescent="0.35">
      <c r="A20" s="19">
        <v>45664</v>
      </c>
      <c r="B20" s="43"/>
      <c r="C20" s="20"/>
      <c r="D20" s="43">
        <v>1000000</v>
      </c>
      <c r="E20" s="43" t="s">
        <v>357</v>
      </c>
      <c r="F20" s="20">
        <f t="shared" si="0"/>
        <v>134114873</v>
      </c>
      <c r="G20" s="10" t="s">
        <v>83</v>
      </c>
      <c r="H20" s="59" t="s">
        <v>139</v>
      </c>
      <c r="I20" s="32" t="s">
        <v>152</v>
      </c>
      <c r="J20" s="13" t="s">
        <v>325</v>
      </c>
      <c r="K20" s="160">
        <v>18019500</v>
      </c>
      <c r="L20" s="160"/>
    </row>
    <row r="21" spans="1:12" x14ac:dyDescent="0.35">
      <c r="A21" s="19">
        <v>45664</v>
      </c>
      <c r="B21" s="43"/>
      <c r="C21" s="20"/>
      <c r="D21" s="43">
        <v>300000</v>
      </c>
      <c r="E21" s="43" t="s">
        <v>357</v>
      </c>
      <c r="F21" s="20">
        <f t="shared" si="0"/>
        <v>134414873</v>
      </c>
      <c r="G21" s="10" t="s">
        <v>60</v>
      </c>
      <c r="H21" s="59" t="s">
        <v>139</v>
      </c>
      <c r="I21" s="32" t="s">
        <v>152</v>
      </c>
      <c r="J21" s="13" t="s">
        <v>109</v>
      </c>
      <c r="K21" s="160"/>
      <c r="L21" s="160">
        <v>119332049</v>
      </c>
    </row>
    <row r="22" spans="1:12" x14ac:dyDescent="0.35">
      <c r="A22" s="19">
        <v>45664</v>
      </c>
      <c r="B22" s="43"/>
      <c r="C22" s="20"/>
      <c r="D22" s="43">
        <v>600000</v>
      </c>
      <c r="E22" s="43" t="s">
        <v>357</v>
      </c>
      <c r="F22" s="20">
        <f t="shared" si="0"/>
        <v>135014873</v>
      </c>
      <c r="G22" s="10" t="s">
        <v>61</v>
      </c>
      <c r="H22" s="59" t="s">
        <v>139</v>
      </c>
      <c r="I22" s="32" t="s">
        <v>152</v>
      </c>
      <c r="J22" s="13" t="s">
        <v>217</v>
      </c>
      <c r="K22" s="160"/>
      <c r="L22" s="160"/>
    </row>
    <row r="23" spans="1:12" x14ac:dyDescent="0.35">
      <c r="A23" s="19">
        <v>45664</v>
      </c>
      <c r="B23" s="43">
        <v>1250000</v>
      </c>
      <c r="C23" s="20"/>
      <c r="D23" s="43"/>
      <c r="E23" s="43" t="s">
        <v>357</v>
      </c>
      <c r="F23" s="20">
        <f t="shared" si="0"/>
        <v>133764873</v>
      </c>
      <c r="G23" s="10" t="s">
        <v>62</v>
      </c>
      <c r="H23" s="59" t="s">
        <v>321</v>
      </c>
      <c r="I23" s="32" t="s">
        <v>152</v>
      </c>
      <c r="J23" s="13" t="s">
        <v>150</v>
      </c>
      <c r="K23" s="160">
        <v>210341500</v>
      </c>
      <c r="L23" s="160">
        <v>243804059</v>
      </c>
    </row>
    <row r="24" spans="1:12" x14ac:dyDescent="0.35">
      <c r="A24" s="19">
        <v>45664</v>
      </c>
      <c r="B24" s="43">
        <v>2500</v>
      </c>
      <c r="C24" s="20"/>
      <c r="D24" s="43"/>
      <c r="E24" s="43" t="s">
        <v>357</v>
      </c>
      <c r="F24" s="20">
        <f t="shared" si="0"/>
        <v>133762373</v>
      </c>
      <c r="G24" s="10" t="s">
        <v>63</v>
      </c>
      <c r="H24" s="59" t="s">
        <v>321</v>
      </c>
      <c r="I24" s="32" t="s">
        <v>152</v>
      </c>
    </row>
    <row r="25" spans="1:12" x14ac:dyDescent="0.35">
      <c r="A25" s="19">
        <v>45664</v>
      </c>
      <c r="B25" s="43"/>
      <c r="C25" s="20"/>
      <c r="D25" s="43">
        <v>600000</v>
      </c>
      <c r="E25" s="43" t="s">
        <v>357</v>
      </c>
      <c r="F25" s="20">
        <f t="shared" si="0"/>
        <v>134362373</v>
      </c>
      <c r="G25" s="10" t="s">
        <v>64</v>
      </c>
      <c r="H25" s="59" t="s">
        <v>139</v>
      </c>
      <c r="I25" s="32" t="s">
        <v>152</v>
      </c>
    </row>
    <row r="26" spans="1:12" x14ac:dyDescent="0.35">
      <c r="A26" s="19">
        <v>45665</v>
      </c>
      <c r="B26" s="43"/>
      <c r="C26" s="20"/>
      <c r="D26" s="43">
        <v>300000</v>
      </c>
      <c r="E26" s="43" t="s">
        <v>357</v>
      </c>
      <c r="F26" s="20">
        <f t="shared" si="0"/>
        <v>134662373</v>
      </c>
      <c r="G26" s="10" t="s">
        <v>65</v>
      </c>
      <c r="H26" s="59" t="s">
        <v>139</v>
      </c>
      <c r="I26" s="32" t="s">
        <v>152</v>
      </c>
    </row>
    <row r="27" spans="1:12" x14ac:dyDescent="0.35">
      <c r="A27" s="19">
        <v>45665</v>
      </c>
      <c r="B27" s="43"/>
      <c r="C27" s="20"/>
      <c r="D27" s="43">
        <v>300000</v>
      </c>
      <c r="E27" s="43" t="s">
        <v>357</v>
      </c>
      <c r="F27" s="20">
        <f t="shared" si="0"/>
        <v>134962373</v>
      </c>
      <c r="G27" s="10" t="s">
        <v>66</v>
      </c>
      <c r="H27" s="59" t="s">
        <v>139</v>
      </c>
      <c r="I27" s="32" t="s">
        <v>152</v>
      </c>
    </row>
    <row r="28" spans="1:12" x14ac:dyDescent="0.35">
      <c r="A28" s="19">
        <v>45665</v>
      </c>
      <c r="B28" s="43"/>
      <c r="C28" s="20"/>
      <c r="D28" s="43">
        <v>300000</v>
      </c>
      <c r="E28" s="43" t="s">
        <v>357</v>
      </c>
      <c r="F28" s="20">
        <f t="shared" si="0"/>
        <v>135262373</v>
      </c>
      <c r="G28" s="10" t="s">
        <v>67</v>
      </c>
      <c r="H28" s="59" t="s">
        <v>139</v>
      </c>
      <c r="I28" s="32" t="s">
        <v>152</v>
      </c>
    </row>
    <row r="29" spans="1:12" x14ac:dyDescent="0.35">
      <c r="A29" s="19">
        <v>45665</v>
      </c>
      <c r="B29" s="43"/>
      <c r="C29" s="20"/>
      <c r="D29" s="43">
        <v>300000</v>
      </c>
      <c r="E29" s="43" t="s">
        <v>357</v>
      </c>
      <c r="F29" s="20">
        <f t="shared" si="0"/>
        <v>135562373</v>
      </c>
      <c r="G29" s="10" t="s">
        <v>68</v>
      </c>
      <c r="H29" s="59" t="s">
        <v>139</v>
      </c>
      <c r="I29" s="32" t="s">
        <v>152</v>
      </c>
    </row>
    <row r="30" spans="1:12" x14ac:dyDescent="0.35">
      <c r="A30" s="19">
        <v>45665</v>
      </c>
      <c r="B30" s="43">
        <v>500000</v>
      </c>
      <c r="C30" s="20"/>
      <c r="D30" s="43"/>
      <c r="E30" s="43" t="s">
        <v>357</v>
      </c>
      <c r="F30" s="20">
        <f t="shared" si="0"/>
        <v>135062373</v>
      </c>
      <c r="G30" s="10" t="s">
        <v>85</v>
      </c>
      <c r="H30" s="59" t="s">
        <v>322</v>
      </c>
      <c r="I30" s="32" t="s">
        <v>152</v>
      </c>
    </row>
    <row r="31" spans="1:12" x14ac:dyDescent="0.35">
      <c r="A31" s="19">
        <v>45665</v>
      </c>
      <c r="B31" s="43">
        <v>2000000</v>
      </c>
      <c r="C31" s="20"/>
      <c r="D31" s="43"/>
      <c r="E31" s="43" t="s">
        <v>357</v>
      </c>
      <c r="F31" s="20">
        <f t="shared" si="0"/>
        <v>133062373</v>
      </c>
      <c r="G31" s="10" t="s">
        <v>69</v>
      </c>
      <c r="H31" s="59" t="s">
        <v>143</v>
      </c>
      <c r="I31" s="32" t="s">
        <v>152</v>
      </c>
    </row>
    <row r="32" spans="1:12" x14ac:dyDescent="0.35">
      <c r="A32" s="19">
        <v>45665</v>
      </c>
      <c r="B32" s="43">
        <v>2500</v>
      </c>
      <c r="C32" s="20"/>
      <c r="D32" s="43"/>
      <c r="E32" s="43" t="s">
        <v>357</v>
      </c>
      <c r="F32" s="20">
        <f t="shared" si="0"/>
        <v>133059873</v>
      </c>
      <c r="G32" s="10" t="s">
        <v>70</v>
      </c>
      <c r="H32" s="59" t="s">
        <v>143</v>
      </c>
      <c r="I32" s="32" t="s">
        <v>152</v>
      </c>
    </row>
    <row r="33" spans="1:9" x14ac:dyDescent="0.35">
      <c r="A33" s="19">
        <v>45665</v>
      </c>
      <c r="B33" s="43"/>
      <c r="C33" s="20"/>
      <c r="D33" s="43">
        <v>504000</v>
      </c>
      <c r="E33" s="43" t="s">
        <v>357</v>
      </c>
      <c r="F33" s="20">
        <f t="shared" si="0"/>
        <v>133563873</v>
      </c>
      <c r="G33" s="10" t="s">
        <v>71</v>
      </c>
      <c r="H33" s="59" t="s">
        <v>139</v>
      </c>
      <c r="I33" s="32" t="s">
        <v>152</v>
      </c>
    </row>
    <row r="34" spans="1:9" x14ac:dyDescent="0.35">
      <c r="A34" s="19">
        <v>45665</v>
      </c>
      <c r="B34" s="43"/>
      <c r="C34" s="20"/>
      <c r="D34" s="43">
        <v>100000</v>
      </c>
      <c r="E34" s="43" t="s">
        <v>357</v>
      </c>
      <c r="F34" s="20">
        <f t="shared" si="0"/>
        <v>133663873</v>
      </c>
      <c r="G34" s="10" t="s">
        <v>72</v>
      </c>
      <c r="H34" s="59" t="s">
        <v>139</v>
      </c>
      <c r="I34" s="32" t="s">
        <v>152</v>
      </c>
    </row>
    <row r="35" spans="1:9" x14ac:dyDescent="0.35">
      <c r="A35" s="17">
        <v>45666</v>
      </c>
      <c r="B35" s="44"/>
      <c r="C35" s="21"/>
      <c r="D35" s="44">
        <v>400000</v>
      </c>
      <c r="E35" s="43" t="s">
        <v>357</v>
      </c>
      <c r="F35" s="20">
        <f t="shared" si="0"/>
        <v>134063873</v>
      </c>
      <c r="G35" s="10" t="s">
        <v>86</v>
      </c>
      <c r="H35" s="59" t="s">
        <v>140</v>
      </c>
      <c r="I35" s="32" t="s">
        <v>152</v>
      </c>
    </row>
    <row r="36" spans="1:9" x14ac:dyDescent="0.35">
      <c r="A36" s="17">
        <v>45666</v>
      </c>
      <c r="B36" s="44"/>
      <c r="C36" s="21"/>
      <c r="D36" s="44">
        <v>300000</v>
      </c>
      <c r="E36" s="43" t="s">
        <v>357</v>
      </c>
      <c r="F36" s="20">
        <f t="shared" si="0"/>
        <v>134363873</v>
      </c>
      <c r="G36" s="10" t="s">
        <v>87</v>
      </c>
      <c r="H36" s="59" t="s">
        <v>139</v>
      </c>
      <c r="I36" s="32" t="s">
        <v>152</v>
      </c>
    </row>
    <row r="37" spans="1:9" x14ac:dyDescent="0.35">
      <c r="A37" s="17">
        <v>45666</v>
      </c>
      <c r="B37" s="44"/>
      <c r="C37" s="21"/>
      <c r="D37" s="44">
        <v>300000</v>
      </c>
      <c r="E37" s="43" t="s">
        <v>357</v>
      </c>
      <c r="F37" s="20">
        <f t="shared" si="0"/>
        <v>134663873</v>
      </c>
      <c r="G37" s="10" t="s">
        <v>88</v>
      </c>
      <c r="H37" s="59" t="s">
        <v>139</v>
      </c>
      <c r="I37" s="32" t="s">
        <v>152</v>
      </c>
    </row>
    <row r="38" spans="1:9" x14ac:dyDescent="0.35">
      <c r="A38" s="17">
        <v>45667</v>
      </c>
      <c r="B38" s="44"/>
      <c r="C38" s="21"/>
      <c r="D38" s="44">
        <v>600000</v>
      </c>
      <c r="E38" s="43" t="s">
        <v>357</v>
      </c>
      <c r="F38" s="20">
        <f t="shared" si="0"/>
        <v>135263873</v>
      </c>
      <c r="G38" s="10" t="s">
        <v>89</v>
      </c>
      <c r="H38" s="59" t="s">
        <v>139</v>
      </c>
      <c r="I38" s="32" t="s">
        <v>152</v>
      </c>
    </row>
    <row r="39" spans="1:9" x14ac:dyDescent="0.35">
      <c r="A39" s="17">
        <v>45667</v>
      </c>
      <c r="B39" s="44"/>
      <c r="C39" s="21"/>
      <c r="D39" s="44">
        <v>350000</v>
      </c>
      <c r="E39" s="43" t="s">
        <v>357</v>
      </c>
      <c r="F39" s="20">
        <f t="shared" si="0"/>
        <v>135613873</v>
      </c>
      <c r="G39" s="10" t="s">
        <v>90</v>
      </c>
      <c r="H39" s="59" t="s">
        <v>139</v>
      </c>
      <c r="I39" s="32" t="s">
        <v>152</v>
      </c>
    </row>
    <row r="40" spans="1:9" x14ac:dyDescent="0.35">
      <c r="A40" s="17">
        <v>45667</v>
      </c>
      <c r="B40" s="44">
        <v>1600000</v>
      </c>
      <c r="C40" s="21"/>
      <c r="D40" s="21"/>
      <c r="E40" s="43" t="s">
        <v>357</v>
      </c>
      <c r="F40" s="20">
        <f t="shared" si="0"/>
        <v>134013873</v>
      </c>
      <c r="G40" s="10" t="s">
        <v>91</v>
      </c>
      <c r="H40" s="59" t="s">
        <v>143</v>
      </c>
      <c r="I40" s="32" t="s">
        <v>152</v>
      </c>
    </row>
    <row r="41" spans="1:9" x14ac:dyDescent="0.35">
      <c r="A41" s="17">
        <v>45667</v>
      </c>
      <c r="B41" s="44">
        <v>2500</v>
      </c>
      <c r="C41" s="21"/>
      <c r="D41" s="21"/>
      <c r="E41" s="43" t="s">
        <v>357</v>
      </c>
      <c r="F41" s="20">
        <f t="shared" si="0"/>
        <v>134011373</v>
      </c>
      <c r="G41" s="10" t="s">
        <v>92</v>
      </c>
      <c r="H41" s="59" t="s">
        <v>143</v>
      </c>
      <c r="I41" s="32" t="s">
        <v>152</v>
      </c>
    </row>
    <row r="42" spans="1:9" x14ac:dyDescent="0.35">
      <c r="A42" s="17">
        <v>45670</v>
      </c>
      <c r="B42" s="39">
        <v>750000</v>
      </c>
      <c r="C42" s="21"/>
      <c r="D42" s="21"/>
      <c r="E42" s="43" t="s">
        <v>357</v>
      </c>
      <c r="F42" s="20">
        <f t="shared" si="0"/>
        <v>133261373</v>
      </c>
      <c r="G42" s="10" t="s">
        <v>93</v>
      </c>
      <c r="H42" s="59" t="s">
        <v>323</v>
      </c>
      <c r="I42" s="32" t="s">
        <v>152</v>
      </c>
    </row>
    <row r="43" spans="1:9" x14ac:dyDescent="0.35">
      <c r="A43" s="17">
        <v>45670</v>
      </c>
      <c r="B43" s="39">
        <v>2500</v>
      </c>
      <c r="C43" s="21"/>
      <c r="D43" s="21"/>
      <c r="E43" s="43" t="s">
        <v>357</v>
      </c>
      <c r="F43" s="20">
        <f t="shared" si="0"/>
        <v>133258873</v>
      </c>
      <c r="G43" s="10" t="s">
        <v>94</v>
      </c>
      <c r="H43" s="59" t="s">
        <v>323</v>
      </c>
      <c r="I43" s="32" t="s">
        <v>152</v>
      </c>
    </row>
    <row r="44" spans="1:9" x14ac:dyDescent="0.35">
      <c r="A44" s="17">
        <v>45670</v>
      </c>
      <c r="B44" s="21"/>
      <c r="C44" s="21"/>
      <c r="D44" s="39">
        <v>300000</v>
      </c>
      <c r="E44" s="43" t="s">
        <v>357</v>
      </c>
      <c r="F44" s="20">
        <f t="shared" si="0"/>
        <v>133558873</v>
      </c>
      <c r="G44" s="10" t="s">
        <v>95</v>
      </c>
      <c r="H44" s="59" t="s">
        <v>109</v>
      </c>
      <c r="I44" s="32" t="s">
        <v>152</v>
      </c>
    </row>
    <row r="45" spans="1:9" x14ac:dyDescent="0.35">
      <c r="A45" s="17">
        <v>45670</v>
      </c>
      <c r="B45" s="21"/>
      <c r="C45" s="21"/>
      <c r="D45" s="39">
        <v>50000</v>
      </c>
      <c r="E45" s="43" t="s">
        <v>357</v>
      </c>
      <c r="F45" s="20">
        <f t="shared" si="0"/>
        <v>133608873</v>
      </c>
      <c r="G45" s="10" t="s">
        <v>56</v>
      </c>
      <c r="H45" s="59" t="s">
        <v>109</v>
      </c>
      <c r="I45" s="32" t="s">
        <v>152</v>
      </c>
    </row>
    <row r="46" spans="1:9" x14ac:dyDescent="0.35">
      <c r="A46" s="17">
        <v>45670</v>
      </c>
      <c r="B46" s="21"/>
      <c r="C46" s="21"/>
      <c r="D46" s="39">
        <v>100000</v>
      </c>
      <c r="E46" s="43" t="s">
        <v>357</v>
      </c>
      <c r="F46" s="20">
        <f t="shared" si="0"/>
        <v>133708873</v>
      </c>
      <c r="G46" s="10" t="s">
        <v>244</v>
      </c>
      <c r="H46" s="59" t="s">
        <v>109</v>
      </c>
      <c r="I46" s="32" t="s">
        <v>152</v>
      </c>
    </row>
    <row r="47" spans="1:9" x14ac:dyDescent="0.35">
      <c r="A47" s="17">
        <v>45670</v>
      </c>
      <c r="B47" s="21"/>
      <c r="C47" s="21"/>
      <c r="D47" s="39">
        <v>3000000</v>
      </c>
      <c r="E47" s="43" t="s">
        <v>357</v>
      </c>
      <c r="F47" s="20">
        <f t="shared" si="0"/>
        <v>136708873</v>
      </c>
      <c r="G47" s="10" t="s">
        <v>245</v>
      </c>
      <c r="H47" s="59" t="s">
        <v>109</v>
      </c>
      <c r="I47" s="32" t="s">
        <v>152</v>
      </c>
    </row>
    <row r="48" spans="1:9" x14ac:dyDescent="0.35">
      <c r="A48" s="17">
        <v>45670</v>
      </c>
      <c r="B48" s="21"/>
      <c r="C48" s="23"/>
      <c r="D48" s="23">
        <v>2773000</v>
      </c>
      <c r="E48" s="43" t="s">
        <v>357</v>
      </c>
      <c r="F48" s="20">
        <f t="shared" si="0"/>
        <v>139481873</v>
      </c>
      <c r="G48" s="24" t="s">
        <v>107</v>
      </c>
      <c r="H48" s="59" t="s">
        <v>107</v>
      </c>
      <c r="I48" s="32" t="s">
        <v>152</v>
      </c>
    </row>
    <row r="49" spans="1:9" x14ac:dyDescent="0.35">
      <c r="A49" s="17">
        <v>45670</v>
      </c>
      <c r="B49" s="21"/>
      <c r="C49" s="23"/>
      <c r="D49" s="23">
        <v>3977000</v>
      </c>
      <c r="E49" s="43" t="s">
        <v>357</v>
      </c>
      <c r="F49" s="20">
        <f t="shared" si="0"/>
        <v>143458873</v>
      </c>
      <c r="G49" s="24" t="s">
        <v>109</v>
      </c>
      <c r="H49" s="59" t="s">
        <v>109</v>
      </c>
      <c r="I49" s="32" t="s">
        <v>152</v>
      </c>
    </row>
    <row r="50" spans="1:9" x14ac:dyDescent="0.35">
      <c r="A50" s="17">
        <v>45670</v>
      </c>
      <c r="B50" s="27">
        <v>2000000</v>
      </c>
      <c r="C50" s="27"/>
      <c r="D50" s="39"/>
      <c r="E50" s="43" t="s">
        <v>357</v>
      </c>
      <c r="F50" s="20">
        <f t="shared" si="0"/>
        <v>141458873</v>
      </c>
      <c r="G50" s="28" t="s">
        <v>114</v>
      </c>
      <c r="H50" s="59" t="s">
        <v>320</v>
      </c>
      <c r="I50" s="32" t="s">
        <v>152</v>
      </c>
    </row>
    <row r="51" spans="1:9" x14ac:dyDescent="0.35">
      <c r="A51" s="17">
        <v>45670</v>
      </c>
      <c r="B51" s="27">
        <v>200000</v>
      </c>
      <c r="C51" s="27"/>
      <c r="D51" s="39"/>
      <c r="E51" s="43" t="s">
        <v>357</v>
      </c>
      <c r="F51" s="20">
        <f t="shared" si="0"/>
        <v>141258873</v>
      </c>
      <c r="G51" s="28" t="s">
        <v>115</v>
      </c>
      <c r="H51" s="59" t="s">
        <v>320</v>
      </c>
      <c r="I51" s="32" t="s">
        <v>152</v>
      </c>
    </row>
    <row r="52" spans="1:9" x14ac:dyDescent="0.35">
      <c r="A52" s="17"/>
      <c r="B52" s="21"/>
      <c r="C52" s="39">
        <v>4550000</v>
      </c>
      <c r="D52" s="39"/>
      <c r="E52" s="39"/>
      <c r="F52" s="20">
        <f t="shared" si="0"/>
        <v>141258873</v>
      </c>
      <c r="G52" s="10" t="s">
        <v>98</v>
      </c>
      <c r="H52" s="59"/>
      <c r="I52" s="32"/>
    </row>
    <row r="53" spans="1:9" x14ac:dyDescent="0.35">
      <c r="A53" s="17">
        <v>45671</v>
      </c>
      <c r="B53" s="21"/>
      <c r="C53" s="21"/>
      <c r="D53" s="39">
        <v>100000</v>
      </c>
      <c r="E53" s="43" t="s">
        <v>357</v>
      </c>
      <c r="F53" s="20">
        <f t="shared" si="0"/>
        <v>141358873</v>
      </c>
      <c r="G53" s="10" t="s">
        <v>246</v>
      </c>
      <c r="H53" s="59" t="s">
        <v>109</v>
      </c>
      <c r="I53" s="32" t="s">
        <v>152</v>
      </c>
    </row>
    <row r="54" spans="1:9" x14ac:dyDescent="0.35">
      <c r="A54" s="17">
        <v>45671</v>
      </c>
      <c r="B54" s="21"/>
      <c r="C54" s="21"/>
      <c r="D54" s="39">
        <v>7000</v>
      </c>
      <c r="E54" s="43" t="s">
        <v>357</v>
      </c>
      <c r="F54" s="20">
        <f t="shared" si="0"/>
        <v>141365873</v>
      </c>
      <c r="G54" s="10" t="s">
        <v>247</v>
      </c>
      <c r="H54" s="59" t="s">
        <v>109</v>
      </c>
      <c r="I54" s="32" t="s">
        <v>152</v>
      </c>
    </row>
    <row r="55" spans="1:9" x14ac:dyDescent="0.35">
      <c r="A55" s="17">
        <v>45671</v>
      </c>
      <c r="B55" s="21"/>
      <c r="C55" s="21"/>
      <c r="D55" s="39">
        <v>1000000</v>
      </c>
      <c r="E55" s="43" t="s">
        <v>357</v>
      </c>
      <c r="F55" s="20">
        <f t="shared" si="0"/>
        <v>142365873</v>
      </c>
      <c r="G55" s="10" t="s">
        <v>248</v>
      </c>
      <c r="H55" s="59" t="s">
        <v>109</v>
      </c>
      <c r="I55" s="32" t="s">
        <v>152</v>
      </c>
    </row>
    <row r="56" spans="1:9" x14ac:dyDescent="0.35">
      <c r="A56" s="17">
        <v>45672</v>
      </c>
      <c r="B56" s="21"/>
      <c r="C56" s="21"/>
      <c r="D56" s="39">
        <v>600000</v>
      </c>
      <c r="E56" s="43" t="s">
        <v>357</v>
      </c>
      <c r="F56" s="20">
        <f t="shared" si="0"/>
        <v>142965873</v>
      </c>
      <c r="G56" s="10" t="s">
        <v>249</v>
      </c>
      <c r="H56" s="59" t="s">
        <v>140</v>
      </c>
      <c r="I56" s="32" t="s">
        <v>152</v>
      </c>
    </row>
    <row r="57" spans="1:9" x14ac:dyDescent="0.35">
      <c r="A57" s="19">
        <v>45673</v>
      </c>
      <c r="B57" s="9"/>
      <c r="C57" s="9"/>
      <c r="D57" s="40">
        <v>250000</v>
      </c>
      <c r="E57" s="43" t="s">
        <v>357</v>
      </c>
      <c r="F57" s="20">
        <f t="shared" si="0"/>
        <v>143215873</v>
      </c>
      <c r="G57" s="10" t="s">
        <v>61</v>
      </c>
      <c r="H57" s="59" t="s">
        <v>139</v>
      </c>
      <c r="I57" s="32" t="s">
        <v>152</v>
      </c>
    </row>
    <row r="58" spans="1:9" x14ac:dyDescent="0.35">
      <c r="A58" s="19">
        <v>45674</v>
      </c>
      <c r="B58" s="40">
        <v>2500000</v>
      </c>
      <c r="C58" s="9"/>
      <c r="D58" s="9"/>
      <c r="E58" s="43" t="s">
        <v>357</v>
      </c>
      <c r="F58" s="20">
        <f t="shared" si="0"/>
        <v>140715873</v>
      </c>
      <c r="G58" s="10" t="s">
        <v>103</v>
      </c>
      <c r="H58" s="59" t="s">
        <v>143</v>
      </c>
      <c r="I58" s="32" t="s">
        <v>152</v>
      </c>
    </row>
    <row r="59" spans="1:9" x14ac:dyDescent="0.35">
      <c r="A59" s="17">
        <v>45677</v>
      </c>
      <c r="B59" s="9"/>
      <c r="C59" s="32"/>
      <c r="D59" s="47">
        <v>50000</v>
      </c>
      <c r="E59" s="43" t="s">
        <v>357</v>
      </c>
      <c r="F59" s="20">
        <f t="shared" si="0"/>
        <v>140765873</v>
      </c>
      <c r="G59" s="10" t="s">
        <v>250</v>
      </c>
      <c r="H59" s="59" t="s">
        <v>109</v>
      </c>
      <c r="I59" s="32" t="s">
        <v>152</v>
      </c>
    </row>
    <row r="60" spans="1:9" x14ac:dyDescent="0.35">
      <c r="A60" s="17">
        <v>45677</v>
      </c>
      <c r="B60" s="9"/>
      <c r="C60" s="32"/>
      <c r="D60" s="47">
        <v>5000</v>
      </c>
      <c r="E60" s="43" t="s">
        <v>357</v>
      </c>
      <c r="F60" s="20">
        <f t="shared" si="0"/>
        <v>140770873</v>
      </c>
      <c r="G60" s="10" t="s">
        <v>251</v>
      </c>
      <c r="H60" s="59" t="s">
        <v>109</v>
      </c>
      <c r="I60" s="32" t="s">
        <v>152</v>
      </c>
    </row>
    <row r="61" spans="1:9" x14ac:dyDescent="0.35">
      <c r="A61" s="17">
        <v>45677</v>
      </c>
      <c r="B61" s="9"/>
      <c r="C61" s="23"/>
      <c r="D61" s="23">
        <v>4044000</v>
      </c>
      <c r="E61" s="43" t="s">
        <v>357</v>
      </c>
      <c r="F61" s="20">
        <f t="shared" si="0"/>
        <v>144814873</v>
      </c>
      <c r="G61" s="24" t="s">
        <v>107</v>
      </c>
      <c r="H61" s="59" t="s">
        <v>107</v>
      </c>
      <c r="I61" s="32" t="s">
        <v>152</v>
      </c>
    </row>
    <row r="62" spans="1:9" x14ac:dyDescent="0.35">
      <c r="A62" s="17">
        <v>45677</v>
      </c>
      <c r="B62" s="96"/>
      <c r="C62" s="23"/>
      <c r="D62" s="23">
        <v>2967000</v>
      </c>
      <c r="E62" s="43" t="s">
        <v>357</v>
      </c>
      <c r="F62" s="20">
        <f t="shared" si="0"/>
        <v>147781873</v>
      </c>
      <c r="G62" s="24" t="s">
        <v>109</v>
      </c>
      <c r="H62" s="59" t="s">
        <v>109</v>
      </c>
      <c r="I62" s="32" t="s">
        <v>152</v>
      </c>
    </row>
    <row r="63" spans="1:9" x14ac:dyDescent="0.35">
      <c r="A63" s="17">
        <v>45677</v>
      </c>
      <c r="B63" s="23">
        <v>3000000</v>
      </c>
      <c r="C63" s="23"/>
      <c r="D63" s="96"/>
      <c r="E63" s="43" t="s">
        <v>357</v>
      </c>
      <c r="F63" s="20">
        <f t="shared" si="0"/>
        <v>144781873</v>
      </c>
      <c r="G63" s="28" t="s">
        <v>114</v>
      </c>
      <c r="H63" s="59" t="s">
        <v>320</v>
      </c>
      <c r="I63" s="32" t="s">
        <v>152</v>
      </c>
    </row>
    <row r="64" spans="1:9" x14ac:dyDescent="0.35">
      <c r="A64" s="17">
        <v>45677</v>
      </c>
      <c r="B64" s="23">
        <v>20000</v>
      </c>
      <c r="C64" s="23"/>
      <c r="D64" s="96"/>
      <c r="E64" s="43" t="s">
        <v>357</v>
      </c>
      <c r="F64" s="20">
        <f t="shared" si="0"/>
        <v>144761873</v>
      </c>
      <c r="G64" s="28" t="s">
        <v>115</v>
      </c>
      <c r="H64" s="59" t="s">
        <v>320</v>
      </c>
      <c r="I64" s="32" t="s">
        <v>152</v>
      </c>
    </row>
    <row r="65" spans="1:9" x14ac:dyDescent="0.35">
      <c r="A65" s="17">
        <v>45677</v>
      </c>
      <c r="B65" s="96"/>
      <c r="C65" s="96">
        <v>3991000</v>
      </c>
      <c r="D65" s="96"/>
      <c r="E65" s="9"/>
      <c r="F65" s="20">
        <f t="shared" si="0"/>
        <v>144761873</v>
      </c>
      <c r="G65" s="10" t="s">
        <v>98</v>
      </c>
      <c r="H65" s="59"/>
      <c r="I65" s="32"/>
    </row>
    <row r="66" spans="1:9" x14ac:dyDescent="0.35">
      <c r="A66" s="17"/>
      <c r="B66" s="9"/>
      <c r="C66" s="23">
        <v>6850000</v>
      </c>
      <c r="D66" s="23"/>
      <c r="E66" s="9"/>
      <c r="F66" s="20">
        <f t="shared" si="0"/>
        <v>144761873</v>
      </c>
      <c r="G66" s="24" t="s">
        <v>134</v>
      </c>
      <c r="H66" s="59"/>
      <c r="I66" s="32"/>
    </row>
    <row r="67" spans="1:9" x14ac:dyDescent="0.35">
      <c r="A67" s="17"/>
      <c r="B67" s="27"/>
      <c r="C67" s="27">
        <v>-1000000</v>
      </c>
      <c r="D67" s="9"/>
      <c r="E67" s="9"/>
      <c r="F67" s="20">
        <f t="shared" si="0"/>
        <v>144761873</v>
      </c>
      <c r="G67" s="28" t="s">
        <v>136</v>
      </c>
      <c r="H67" s="59"/>
      <c r="I67" s="32"/>
    </row>
    <row r="68" spans="1:9" x14ac:dyDescent="0.35">
      <c r="A68" s="17"/>
      <c r="B68" s="27"/>
      <c r="C68" s="27">
        <v>-685000</v>
      </c>
      <c r="D68" s="9"/>
      <c r="E68" s="9"/>
      <c r="F68" s="20">
        <f t="shared" si="0"/>
        <v>144761873</v>
      </c>
      <c r="G68" s="28" t="s">
        <v>135</v>
      </c>
      <c r="H68" s="59"/>
      <c r="I68" s="32"/>
    </row>
    <row r="69" spans="1:9" x14ac:dyDescent="0.35">
      <c r="A69" s="17">
        <v>45677</v>
      </c>
      <c r="B69" s="9"/>
      <c r="C69" s="32"/>
      <c r="D69" s="47">
        <v>5165000</v>
      </c>
      <c r="E69" s="43" t="s">
        <v>357</v>
      </c>
      <c r="F69" s="20">
        <f t="shared" si="0"/>
        <v>149926873</v>
      </c>
      <c r="G69" s="10" t="s">
        <v>98</v>
      </c>
      <c r="H69" s="59" t="s">
        <v>109</v>
      </c>
      <c r="I69" s="32" t="s">
        <v>152</v>
      </c>
    </row>
    <row r="70" spans="1:9" x14ac:dyDescent="0.35">
      <c r="A70" s="17">
        <v>45678</v>
      </c>
      <c r="B70" s="9"/>
      <c r="C70" s="32"/>
      <c r="D70" s="47">
        <v>10000</v>
      </c>
      <c r="E70" s="43" t="s">
        <v>357</v>
      </c>
      <c r="F70" s="20">
        <f t="shared" si="0"/>
        <v>149936873</v>
      </c>
      <c r="G70" s="10" t="s">
        <v>251</v>
      </c>
      <c r="H70" s="59" t="s">
        <v>109</v>
      </c>
      <c r="I70" s="32" t="s">
        <v>152</v>
      </c>
    </row>
    <row r="71" spans="1:9" x14ac:dyDescent="0.35">
      <c r="A71" s="17">
        <v>45678</v>
      </c>
      <c r="B71" s="9"/>
      <c r="C71" s="32"/>
      <c r="D71" s="47">
        <v>10000</v>
      </c>
      <c r="E71" s="43" t="s">
        <v>357</v>
      </c>
      <c r="F71" s="20">
        <f t="shared" si="0"/>
        <v>149946873</v>
      </c>
      <c r="G71" s="10" t="s">
        <v>252</v>
      </c>
      <c r="H71" s="59" t="s">
        <v>109</v>
      </c>
      <c r="I71" s="32" t="s">
        <v>152</v>
      </c>
    </row>
    <row r="72" spans="1:9" x14ac:dyDescent="0.35">
      <c r="A72" s="17">
        <v>45678</v>
      </c>
      <c r="B72" s="9">
        <v>750000</v>
      </c>
      <c r="C72" s="32"/>
      <c r="D72" s="47"/>
      <c r="E72" s="43" t="s">
        <v>357</v>
      </c>
      <c r="F72" s="20">
        <f t="shared" si="0"/>
        <v>149196873</v>
      </c>
      <c r="G72" s="7" t="s">
        <v>131</v>
      </c>
      <c r="H72" s="59" t="s">
        <v>323</v>
      </c>
      <c r="I72" s="32" t="s">
        <v>152</v>
      </c>
    </row>
    <row r="73" spans="1:9" x14ac:dyDescent="0.35">
      <c r="A73" s="17">
        <v>45678</v>
      </c>
      <c r="B73" s="9">
        <v>2500</v>
      </c>
      <c r="C73" s="32"/>
      <c r="D73" s="47"/>
      <c r="E73" s="43" t="s">
        <v>357</v>
      </c>
      <c r="F73" s="20">
        <f t="shared" si="0"/>
        <v>149194373</v>
      </c>
      <c r="G73" s="7" t="s">
        <v>130</v>
      </c>
      <c r="H73" s="59" t="s">
        <v>323</v>
      </c>
      <c r="I73" s="32" t="s">
        <v>152</v>
      </c>
    </row>
    <row r="74" spans="1:9" x14ac:dyDescent="0.35">
      <c r="A74" s="17">
        <v>45678</v>
      </c>
      <c r="B74" s="9">
        <v>756500</v>
      </c>
      <c r="C74" s="32"/>
      <c r="D74" s="47"/>
      <c r="E74" s="43" t="s">
        <v>357</v>
      </c>
      <c r="F74" s="20">
        <f t="shared" ref="F74:F137" si="1">+F73+D74-B74</f>
        <v>148437873</v>
      </c>
      <c r="G74" s="7" t="s">
        <v>132</v>
      </c>
      <c r="H74" s="59" t="s">
        <v>323</v>
      </c>
      <c r="I74" s="32" t="s">
        <v>152</v>
      </c>
    </row>
    <row r="75" spans="1:9" x14ac:dyDescent="0.35">
      <c r="A75" s="17">
        <v>45678</v>
      </c>
      <c r="B75" s="9">
        <v>2500</v>
      </c>
      <c r="C75" s="32"/>
      <c r="D75" s="47"/>
      <c r="E75" s="43" t="s">
        <v>357</v>
      </c>
      <c r="F75" s="20">
        <f t="shared" si="1"/>
        <v>148435373</v>
      </c>
      <c r="G75" s="7" t="s">
        <v>133</v>
      </c>
      <c r="H75" s="59" t="s">
        <v>323</v>
      </c>
      <c r="I75" s="32" t="s">
        <v>152</v>
      </c>
    </row>
    <row r="76" spans="1:9" x14ac:dyDescent="0.35">
      <c r="A76" s="17">
        <v>45679</v>
      </c>
      <c r="B76" s="9"/>
      <c r="C76" s="32"/>
      <c r="D76" s="47">
        <v>10000</v>
      </c>
      <c r="E76" s="43" t="s">
        <v>357</v>
      </c>
      <c r="F76" s="20">
        <f t="shared" si="1"/>
        <v>148445373</v>
      </c>
      <c r="G76" s="10" t="s">
        <v>252</v>
      </c>
      <c r="H76" s="59" t="s">
        <v>109</v>
      </c>
      <c r="I76" s="32" t="s">
        <v>152</v>
      </c>
    </row>
    <row r="77" spans="1:9" x14ac:dyDescent="0.35">
      <c r="A77" s="17">
        <v>45679</v>
      </c>
      <c r="B77" s="9"/>
      <c r="C77" s="32"/>
      <c r="D77" s="47">
        <v>1200000</v>
      </c>
      <c r="E77" s="43" t="s">
        <v>357</v>
      </c>
      <c r="F77" s="20">
        <f t="shared" si="1"/>
        <v>149645373</v>
      </c>
      <c r="G77" s="10" t="s">
        <v>253</v>
      </c>
      <c r="H77" s="59" t="s">
        <v>109</v>
      </c>
      <c r="I77" s="32" t="s">
        <v>152</v>
      </c>
    </row>
    <row r="78" spans="1:9" x14ac:dyDescent="0.35">
      <c r="A78" s="17">
        <v>45679</v>
      </c>
      <c r="B78" s="9"/>
      <c r="C78" s="32"/>
      <c r="D78" s="47">
        <v>500000</v>
      </c>
      <c r="E78" s="43" t="s">
        <v>357</v>
      </c>
      <c r="F78" s="20">
        <f t="shared" si="1"/>
        <v>150145373</v>
      </c>
      <c r="G78" s="10" t="s">
        <v>145</v>
      </c>
      <c r="H78" s="59" t="s">
        <v>139</v>
      </c>
      <c r="I78" s="32" t="s">
        <v>152</v>
      </c>
    </row>
    <row r="79" spans="1:9" x14ac:dyDescent="0.35">
      <c r="A79" s="17">
        <v>45680</v>
      </c>
      <c r="B79" s="9"/>
      <c r="C79" s="32"/>
      <c r="D79" s="47">
        <v>10000</v>
      </c>
      <c r="E79" s="43" t="s">
        <v>357</v>
      </c>
      <c r="F79" s="20">
        <f t="shared" si="1"/>
        <v>150155373</v>
      </c>
      <c r="G79" s="10" t="s">
        <v>254</v>
      </c>
      <c r="H79" s="59" t="s">
        <v>109</v>
      </c>
      <c r="I79" s="32" t="s">
        <v>152</v>
      </c>
    </row>
    <row r="80" spans="1:9" x14ac:dyDescent="0.35">
      <c r="A80" s="17">
        <v>45680</v>
      </c>
      <c r="B80" s="9"/>
      <c r="C80" s="32"/>
      <c r="D80" s="47">
        <v>300000</v>
      </c>
      <c r="E80" s="43" t="s">
        <v>357</v>
      </c>
      <c r="F80" s="20">
        <f t="shared" si="1"/>
        <v>150455373</v>
      </c>
      <c r="G80" s="10" t="s">
        <v>147</v>
      </c>
      <c r="H80" s="59" t="s">
        <v>139</v>
      </c>
      <c r="I80" s="32" t="s">
        <v>152</v>
      </c>
    </row>
    <row r="81" spans="1:9" x14ac:dyDescent="0.35">
      <c r="A81" s="17">
        <v>45681</v>
      </c>
      <c r="B81" s="9"/>
      <c r="C81" s="32"/>
      <c r="D81" s="47">
        <v>300000</v>
      </c>
      <c r="E81" s="43" t="s">
        <v>357</v>
      </c>
      <c r="F81" s="20">
        <f t="shared" si="1"/>
        <v>150755373</v>
      </c>
      <c r="G81" s="10" t="s">
        <v>61</v>
      </c>
      <c r="H81" s="59" t="s">
        <v>139</v>
      </c>
      <c r="I81" s="32" t="s">
        <v>152</v>
      </c>
    </row>
    <row r="82" spans="1:9" x14ac:dyDescent="0.35">
      <c r="A82" s="17">
        <v>45681</v>
      </c>
      <c r="B82" s="9"/>
      <c r="C82" s="32"/>
      <c r="D82" s="47">
        <v>150000</v>
      </c>
      <c r="E82" s="43" t="s">
        <v>357</v>
      </c>
      <c r="F82" s="20">
        <f t="shared" si="1"/>
        <v>150905373</v>
      </c>
      <c r="G82" s="10" t="s">
        <v>255</v>
      </c>
      <c r="H82" s="59" t="s">
        <v>109</v>
      </c>
      <c r="I82" s="32" t="s">
        <v>152</v>
      </c>
    </row>
    <row r="83" spans="1:9" x14ac:dyDescent="0.35">
      <c r="A83" s="17">
        <v>45681</v>
      </c>
      <c r="B83" s="9"/>
      <c r="C83" s="32"/>
      <c r="D83" s="47">
        <v>10000</v>
      </c>
      <c r="E83" s="43" t="s">
        <v>357</v>
      </c>
      <c r="F83" s="20">
        <f t="shared" si="1"/>
        <v>150915373</v>
      </c>
      <c r="G83" s="10" t="s">
        <v>256</v>
      </c>
      <c r="H83" s="59" t="s">
        <v>109</v>
      </c>
      <c r="I83" s="32" t="s">
        <v>152</v>
      </c>
    </row>
    <row r="84" spans="1:9" x14ac:dyDescent="0.35">
      <c r="A84" s="17">
        <v>45681</v>
      </c>
      <c r="B84" s="9"/>
      <c r="C84" s="32"/>
      <c r="D84" s="47">
        <v>300000</v>
      </c>
      <c r="E84" s="43" t="s">
        <v>357</v>
      </c>
      <c r="F84" s="20">
        <f t="shared" si="1"/>
        <v>151215373</v>
      </c>
      <c r="G84" s="10" t="s">
        <v>87</v>
      </c>
      <c r="H84" s="59" t="s">
        <v>139</v>
      </c>
      <c r="I84" s="32" t="s">
        <v>152</v>
      </c>
    </row>
    <row r="85" spans="1:9" x14ac:dyDescent="0.35">
      <c r="A85" s="17">
        <v>45681</v>
      </c>
      <c r="B85" s="9"/>
      <c r="C85" s="32"/>
      <c r="D85" s="47">
        <v>300000</v>
      </c>
      <c r="E85" s="43" t="s">
        <v>357</v>
      </c>
      <c r="F85" s="20">
        <f t="shared" si="1"/>
        <v>151515373</v>
      </c>
      <c r="G85" s="10" t="s">
        <v>256</v>
      </c>
      <c r="H85" s="59" t="s">
        <v>109</v>
      </c>
      <c r="I85" s="32" t="s">
        <v>152</v>
      </c>
    </row>
    <row r="86" spans="1:9" x14ac:dyDescent="0.35">
      <c r="A86" s="48">
        <v>45681</v>
      </c>
      <c r="B86" s="49">
        <v>1400000</v>
      </c>
      <c r="C86" s="50"/>
      <c r="D86" s="51"/>
      <c r="E86" s="52" t="s">
        <v>357</v>
      </c>
      <c r="F86" s="53">
        <f t="shared" si="1"/>
        <v>150115373</v>
      </c>
      <c r="G86" s="54" t="s">
        <v>158</v>
      </c>
      <c r="H86" s="105" t="s">
        <v>143</v>
      </c>
      <c r="I86" s="32" t="s">
        <v>152</v>
      </c>
    </row>
    <row r="87" spans="1:9" x14ac:dyDescent="0.35">
      <c r="A87" s="17">
        <v>45687</v>
      </c>
      <c r="B87" s="9"/>
      <c r="C87" s="32"/>
      <c r="D87" s="57">
        <v>100000</v>
      </c>
      <c r="E87" s="43" t="s">
        <v>357</v>
      </c>
      <c r="F87" s="20">
        <f t="shared" si="1"/>
        <v>150215373</v>
      </c>
      <c r="G87" s="10" t="s">
        <v>256</v>
      </c>
      <c r="H87" s="59" t="s">
        <v>109</v>
      </c>
      <c r="I87" s="32" t="s">
        <v>152</v>
      </c>
    </row>
    <row r="88" spans="1:9" x14ac:dyDescent="0.35">
      <c r="A88" s="17">
        <v>45687</v>
      </c>
      <c r="B88" s="9"/>
      <c r="C88" s="32"/>
      <c r="D88" s="57">
        <v>10000</v>
      </c>
      <c r="E88" s="43" t="s">
        <v>357</v>
      </c>
      <c r="F88" s="20">
        <f t="shared" si="1"/>
        <v>150225373</v>
      </c>
      <c r="G88" s="10" t="s">
        <v>256</v>
      </c>
      <c r="H88" s="59" t="s">
        <v>109</v>
      </c>
      <c r="I88" s="32" t="s">
        <v>152</v>
      </c>
    </row>
    <row r="89" spans="1:9" x14ac:dyDescent="0.35">
      <c r="A89" s="17">
        <v>45687</v>
      </c>
      <c r="B89" s="9">
        <v>750000</v>
      </c>
      <c r="C89" s="32"/>
      <c r="D89" s="57"/>
      <c r="E89" s="43" t="s">
        <v>357</v>
      </c>
      <c r="F89" s="20">
        <f t="shared" si="1"/>
        <v>149475373</v>
      </c>
      <c r="G89" s="10" t="s">
        <v>160</v>
      </c>
      <c r="H89" s="59" t="s">
        <v>323</v>
      </c>
      <c r="I89" s="32" t="s">
        <v>152</v>
      </c>
    </row>
    <row r="90" spans="1:9" x14ac:dyDescent="0.35">
      <c r="A90" s="17">
        <v>45687</v>
      </c>
      <c r="B90" s="9">
        <v>2500</v>
      </c>
      <c r="C90" s="32"/>
      <c r="D90" s="57"/>
      <c r="E90" s="43" t="s">
        <v>357</v>
      </c>
      <c r="F90" s="20">
        <f t="shared" si="1"/>
        <v>149472873</v>
      </c>
      <c r="G90" s="10" t="s">
        <v>161</v>
      </c>
      <c r="H90" s="59" t="s">
        <v>323</v>
      </c>
      <c r="I90" s="32" t="s">
        <v>152</v>
      </c>
    </row>
    <row r="91" spans="1:9" x14ac:dyDescent="0.35">
      <c r="A91" s="17">
        <v>45687</v>
      </c>
      <c r="B91" s="9"/>
      <c r="C91" s="32"/>
      <c r="D91" s="57">
        <v>100000</v>
      </c>
      <c r="E91" s="43" t="s">
        <v>357</v>
      </c>
      <c r="F91" s="20">
        <f t="shared" si="1"/>
        <v>149572873</v>
      </c>
      <c r="G91" s="10" t="s">
        <v>257</v>
      </c>
      <c r="H91" s="59" t="s">
        <v>109</v>
      </c>
      <c r="I91" s="32" t="s">
        <v>152</v>
      </c>
    </row>
    <row r="92" spans="1:9" x14ac:dyDescent="0.35">
      <c r="A92" s="17">
        <v>45687</v>
      </c>
      <c r="B92" s="9"/>
      <c r="C92" s="32"/>
      <c r="D92" s="57">
        <v>200000</v>
      </c>
      <c r="E92" s="43" t="s">
        <v>357</v>
      </c>
      <c r="F92" s="20">
        <f t="shared" si="1"/>
        <v>149772873</v>
      </c>
      <c r="G92" s="10" t="s">
        <v>258</v>
      </c>
      <c r="H92" s="59" t="s">
        <v>140</v>
      </c>
      <c r="I92" s="32" t="s">
        <v>152</v>
      </c>
    </row>
    <row r="93" spans="1:9" x14ac:dyDescent="0.35">
      <c r="A93" s="17">
        <v>45687</v>
      </c>
      <c r="B93" s="9"/>
      <c r="C93" s="32"/>
      <c r="D93" s="57">
        <v>300000</v>
      </c>
      <c r="E93" s="43" t="s">
        <v>357</v>
      </c>
      <c r="F93" s="20">
        <f t="shared" si="1"/>
        <v>150072873</v>
      </c>
      <c r="G93" s="10" t="s">
        <v>259</v>
      </c>
      <c r="H93" s="59" t="s">
        <v>109</v>
      </c>
      <c r="I93" s="32" t="s">
        <v>152</v>
      </c>
    </row>
    <row r="94" spans="1:9" x14ac:dyDescent="0.35">
      <c r="A94" s="17">
        <v>45687</v>
      </c>
      <c r="B94" s="9">
        <v>1000000</v>
      </c>
      <c r="C94" s="32"/>
      <c r="D94" s="57"/>
      <c r="E94" s="43" t="s">
        <v>357</v>
      </c>
      <c r="F94" s="20">
        <f t="shared" si="1"/>
        <v>149072873</v>
      </c>
      <c r="G94" s="10" t="s">
        <v>165</v>
      </c>
      <c r="H94" s="59" t="s">
        <v>323</v>
      </c>
      <c r="I94" s="32" t="s">
        <v>152</v>
      </c>
    </row>
    <row r="95" spans="1:9" x14ac:dyDescent="0.35">
      <c r="A95" s="17">
        <v>45687</v>
      </c>
      <c r="B95" s="9">
        <v>2500</v>
      </c>
      <c r="C95" s="32"/>
      <c r="D95" s="57"/>
      <c r="E95" s="43" t="s">
        <v>357</v>
      </c>
      <c r="F95" s="20">
        <f t="shared" si="1"/>
        <v>149070373</v>
      </c>
      <c r="G95" s="10" t="s">
        <v>166</v>
      </c>
      <c r="H95" s="59" t="s">
        <v>323</v>
      </c>
      <c r="I95" s="32" t="s">
        <v>152</v>
      </c>
    </row>
    <row r="96" spans="1:9" x14ac:dyDescent="0.35">
      <c r="A96" s="17">
        <v>45687</v>
      </c>
      <c r="B96" s="9"/>
      <c r="C96" s="32"/>
      <c r="D96" s="57">
        <v>10000</v>
      </c>
      <c r="E96" s="43" t="s">
        <v>357</v>
      </c>
      <c r="F96" s="20">
        <f t="shared" si="1"/>
        <v>149080373</v>
      </c>
      <c r="G96" s="10" t="s">
        <v>256</v>
      </c>
      <c r="H96" s="59" t="s">
        <v>109</v>
      </c>
      <c r="I96" s="32" t="s">
        <v>152</v>
      </c>
    </row>
    <row r="97" spans="1:9" x14ac:dyDescent="0.35">
      <c r="A97" s="17">
        <v>45687</v>
      </c>
      <c r="B97" s="9"/>
      <c r="C97" s="32"/>
      <c r="D97" s="57">
        <v>5000</v>
      </c>
      <c r="E97" s="43" t="s">
        <v>357</v>
      </c>
      <c r="F97" s="20">
        <f t="shared" si="1"/>
        <v>149085373</v>
      </c>
      <c r="G97" s="10" t="s">
        <v>256</v>
      </c>
      <c r="H97" s="59" t="s">
        <v>109</v>
      </c>
      <c r="I97" s="32" t="s">
        <v>152</v>
      </c>
    </row>
    <row r="98" spans="1:9" x14ac:dyDescent="0.35">
      <c r="A98" s="17">
        <v>45687</v>
      </c>
      <c r="B98" s="9"/>
      <c r="C98" s="32"/>
      <c r="D98" s="57">
        <v>200000</v>
      </c>
      <c r="E98" s="43" t="s">
        <v>357</v>
      </c>
      <c r="F98" s="20">
        <f t="shared" si="1"/>
        <v>149285373</v>
      </c>
      <c r="G98" t="s">
        <v>240</v>
      </c>
      <c r="H98" s="59" t="s">
        <v>109</v>
      </c>
      <c r="I98" s="32" t="s">
        <v>152</v>
      </c>
    </row>
    <row r="99" spans="1:9" x14ac:dyDescent="0.35">
      <c r="A99" s="17">
        <v>45687</v>
      </c>
      <c r="B99" s="9"/>
      <c r="C99" s="32"/>
      <c r="D99" s="57">
        <v>10000</v>
      </c>
      <c r="E99" s="43" t="s">
        <v>357</v>
      </c>
      <c r="F99" s="20">
        <f t="shared" si="1"/>
        <v>149295373</v>
      </c>
      <c r="G99" s="10" t="s">
        <v>256</v>
      </c>
      <c r="H99" s="59" t="s">
        <v>109</v>
      </c>
      <c r="I99" s="32" t="s">
        <v>152</v>
      </c>
    </row>
    <row r="100" spans="1:9" x14ac:dyDescent="0.35">
      <c r="A100" s="17">
        <v>45687</v>
      </c>
      <c r="B100" s="9">
        <v>3250000</v>
      </c>
      <c r="C100" s="32"/>
      <c r="D100" s="57"/>
      <c r="E100" s="43" t="s">
        <v>357</v>
      </c>
      <c r="F100" s="20">
        <f t="shared" si="1"/>
        <v>146045373</v>
      </c>
      <c r="G100" s="10" t="s">
        <v>169</v>
      </c>
      <c r="H100" s="59" t="s">
        <v>325</v>
      </c>
      <c r="I100" s="32" t="s">
        <v>152</v>
      </c>
    </row>
    <row r="101" spans="1:9" x14ac:dyDescent="0.35">
      <c r="A101" s="17">
        <v>45687</v>
      </c>
      <c r="B101" s="9">
        <v>6500</v>
      </c>
      <c r="C101" s="32"/>
      <c r="D101" s="57"/>
      <c r="E101" s="43" t="s">
        <v>357</v>
      </c>
      <c r="F101" s="20">
        <f t="shared" si="1"/>
        <v>146038873</v>
      </c>
      <c r="G101" s="10" t="s">
        <v>170</v>
      </c>
      <c r="H101" s="59" t="s">
        <v>325</v>
      </c>
      <c r="I101" s="32" t="s">
        <v>152</v>
      </c>
    </row>
    <row r="102" spans="1:9" x14ac:dyDescent="0.35">
      <c r="A102" s="17">
        <v>45687</v>
      </c>
      <c r="B102" s="9">
        <v>2000000</v>
      </c>
      <c r="C102" s="32"/>
      <c r="D102" s="57"/>
      <c r="E102" s="43" t="s">
        <v>357</v>
      </c>
      <c r="F102" s="20">
        <f t="shared" si="1"/>
        <v>144038873</v>
      </c>
      <c r="G102" s="10" t="s">
        <v>171</v>
      </c>
      <c r="H102" s="59" t="s">
        <v>325</v>
      </c>
      <c r="I102" s="32" t="s">
        <v>152</v>
      </c>
    </row>
    <row r="103" spans="1:9" x14ac:dyDescent="0.35">
      <c r="A103" s="17">
        <v>45687</v>
      </c>
      <c r="B103" s="9">
        <v>6500</v>
      </c>
      <c r="C103" s="32"/>
      <c r="D103" s="57"/>
      <c r="E103" s="43" t="s">
        <v>357</v>
      </c>
      <c r="F103" s="20">
        <f t="shared" si="1"/>
        <v>144032373</v>
      </c>
      <c r="G103" s="10" t="s">
        <v>172</v>
      </c>
      <c r="H103" s="59" t="s">
        <v>325</v>
      </c>
      <c r="I103" s="32" t="s">
        <v>152</v>
      </c>
    </row>
    <row r="104" spans="1:9" x14ac:dyDescent="0.35">
      <c r="A104" s="17">
        <v>45687</v>
      </c>
      <c r="B104" s="9">
        <v>2500000</v>
      </c>
      <c r="C104" s="32"/>
      <c r="D104" s="57"/>
      <c r="E104" s="43" t="s">
        <v>357</v>
      </c>
      <c r="F104" s="20">
        <f t="shared" si="1"/>
        <v>141532373</v>
      </c>
      <c r="G104" s="10" t="s">
        <v>173</v>
      </c>
      <c r="H104" s="59" t="s">
        <v>325</v>
      </c>
      <c r="I104" s="32" t="s">
        <v>152</v>
      </c>
    </row>
    <row r="105" spans="1:9" x14ac:dyDescent="0.35">
      <c r="A105" s="17">
        <v>45687</v>
      </c>
      <c r="B105" s="9">
        <v>6500</v>
      </c>
      <c r="C105" s="32"/>
      <c r="D105" s="57"/>
      <c r="E105" s="43" t="s">
        <v>357</v>
      </c>
      <c r="F105" s="20">
        <f t="shared" si="1"/>
        <v>141525873</v>
      </c>
      <c r="G105" s="10" t="s">
        <v>174</v>
      </c>
      <c r="H105" s="59" t="s">
        <v>325</v>
      </c>
      <c r="I105" s="32" t="s">
        <v>152</v>
      </c>
    </row>
    <row r="106" spans="1:9" x14ac:dyDescent="0.35">
      <c r="A106" s="17">
        <v>45687</v>
      </c>
      <c r="B106" s="9">
        <f>2700000</f>
        <v>2700000</v>
      </c>
      <c r="C106" s="32"/>
      <c r="D106" s="57"/>
      <c r="E106" s="43" t="s">
        <v>357</v>
      </c>
      <c r="F106" s="20">
        <f t="shared" si="1"/>
        <v>138825873</v>
      </c>
      <c r="G106" s="10" t="s">
        <v>175</v>
      </c>
      <c r="H106" s="59" t="s">
        <v>325</v>
      </c>
      <c r="I106" s="32" t="s">
        <v>152</v>
      </c>
    </row>
    <row r="107" spans="1:9" x14ac:dyDescent="0.35">
      <c r="A107" s="17">
        <v>45687</v>
      </c>
      <c r="B107" s="9">
        <v>6500</v>
      </c>
      <c r="C107" s="32"/>
      <c r="D107" s="57"/>
      <c r="E107" s="43" t="s">
        <v>357</v>
      </c>
      <c r="F107" s="20">
        <f t="shared" si="1"/>
        <v>138819373</v>
      </c>
      <c r="G107" s="10" t="s">
        <v>176</v>
      </c>
      <c r="H107" s="59" t="s">
        <v>325</v>
      </c>
      <c r="I107" s="32" t="s">
        <v>152</v>
      </c>
    </row>
    <row r="108" spans="1:9" x14ac:dyDescent="0.35">
      <c r="A108" s="17">
        <v>45687</v>
      </c>
      <c r="B108" s="9">
        <v>2000000</v>
      </c>
      <c r="C108" s="32"/>
      <c r="D108" s="57"/>
      <c r="E108" s="43" t="s">
        <v>357</v>
      </c>
      <c r="F108" s="20">
        <f t="shared" si="1"/>
        <v>136819373</v>
      </c>
      <c r="G108" s="10" t="s">
        <v>180</v>
      </c>
      <c r="H108" s="59" t="s">
        <v>325</v>
      </c>
      <c r="I108" s="32" t="s">
        <v>152</v>
      </c>
    </row>
    <row r="109" spans="1:9" x14ac:dyDescent="0.35">
      <c r="A109" s="17">
        <v>45687</v>
      </c>
      <c r="B109" s="9">
        <v>6500</v>
      </c>
      <c r="C109" s="32"/>
      <c r="D109" s="57"/>
      <c r="E109" s="43" t="s">
        <v>357</v>
      </c>
      <c r="F109" s="20">
        <f t="shared" si="1"/>
        <v>136812873</v>
      </c>
      <c r="G109" s="10" t="s">
        <v>177</v>
      </c>
      <c r="H109" s="59" t="s">
        <v>325</v>
      </c>
      <c r="I109" s="32" t="s">
        <v>152</v>
      </c>
    </row>
    <row r="110" spans="1:9" x14ac:dyDescent="0.35">
      <c r="A110" s="17">
        <v>45687</v>
      </c>
      <c r="B110" s="9">
        <v>1500000</v>
      </c>
      <c r="C110" s="32"/>
      <c r="D110" s="57"/>
      <c r="E110" s="43" t="s">
        <v>357</v>
      </c>
      <c r="F110" s="20">
        <f t="shared" si="1"/>
        <v>135312873</v>
      </c>
      <c r="G110" s="10" t="s">
        <v>178</v>
      </c>
      <c r="H110" s="59" t="s">
        <v>325</v>
      </c>
      <c r="I110" s="32" t="s">
        <v>152</v>
      </c>
    </row>
    <row r="111" spans="1:9" x14ac:dyDescent="0.35">
      <c r="A111" s="17">
        <v>45687</v>
      </c>
      <c r="B111" s="9">
        <v>6500</v>
      </c>
      <c r="C111" s="32"/>
      <c r="D111" s="57"/>
      <c r="E111" s="43" t="s">
        <v>357</v>
      </c>
      <c r="F111" s="20">
        <f t="shared" si="1"/>
        <v>135306373</v>
      </c>
      <c r="G111" s="10" t="s">
        <v>179</v>
      </c>
      <c r="H111" s="59" t="s">
        <v>325</v>
      </c>
      <c r="I111" s="32" t="s">
        <v>152</v>
      </c>
    </row>
    <row r="112" spans="1:9" x14ac:dyDescent="0.35">
      <c r="A112" s="17">
        <v>45687</v>
      </c>
      <c r="B112" s="9">
        <v>2500000</v>
      </c>
      <c r="C112" s="32"/>
      <c r="D112" s="57"/>
      <c r="E112" s="43" t="s">
        <v>357</v>
      </c>
      <c r="F112" s="20">
        <f t="shared" si="1"/>
        <v>132806373</v>
      </c>
      <c r="G112" s="10" t="s">
        <v>181</v>
      </c>
      <c r="H112" s="59" t="s">
        <v>325</v>
      </c>
      <c r="I112" s="32" t="s">
        <v>152</v>
      </c>
    </row>
    <row r="113" spans="1:9" x14ac:dyDescent="0.35">
      <c r="A113" s="17">
        <v>45687</v>
      </c>
      <c r="B113" s="9"/>
      <c r="C113" s="32"/>
      <c r="D113" s="9">
        <v>6000000</v>
      </c>
      <c r="E113" s="43" t="s">
        <v>357</v>
      </c>
      <c r="F113" s="20">
        <f t="shared" si="1"/>
        <v>138806373</v>
      </c>
      <c r="G113" s="10" t="s">
        <v>260</v>
      </c>
      <c r="H113" s="59" t="s">
        <v>109</v>
      </c>
      <c r="I113" s="32" t="s">
        <v>152</v>
      </c>
    </row>
    <row r="114" spans="1:9" x14ac:dyDescent="0.35">
      <c r="A114" s="17">
        <v>45687</v>
      </c>
      <c r="B114" s="9"/>
      <c r="C114" s="32"/>
      <c r="D114" s="57">
        <v>10000</v>
      </c>
      <c r="E114" s="43" t="s">
        <v>357</v>
      </c>
      <c r="F114" s="20">
        <f t="shared" si="1"/>
        <v>138816373</v>
      </c>
      <c r="G114" s="10" t="s">
        <v>256</v>
      </c>
      <c r="H114" s="59" t="s">
        <v>109</v>
      </c>
      <c r="I114" s="32" t="s">
        <v>152</v>
      </c>
    </row>
    <row r="115" spans="1:9" x14ac:dyDescent="0.35">
      <c r="A115" s="17">
        <v>45687</v>
      </c>
      <c r="B115" s="9">
        <v>3000000</v>
      </c>
      <c r="C115" s="32"/>
      <c r="D115" s="57"/>
      <c r="E115" s="43" t="s">
        <v>357</v>
      </c>
      <c r="F115" s="20">
        <f t="shared" si="1"/>
        <v>135816373</v>
      </c>
      <c r="G115" s="10" t="s">
        <v>183</v>
      </c>
      <c r="H115" s="59" t="s">
        <v>203</v>
      </c>
      <c r="I115" s="32" t="s">
        <v>152</v>
      </c>
    </row>
    <row r="116" spans="1:9" x14ac:dyDescent="0.35">
      <c r="A116" s="17">
        <v>45687</v>
      </c>
      <c r="B116" s="9">
        <v>2000000</v>
      </c>
      <c r="C116" s="32"/>
      <c r="D116" s="57"/>
      <c r="E116" s="43" t="s">
        <v>357</v>
      </c>
      <c r="F116" s="20">
        <f t="shared" si="1"/>
        <v>133816373</v>
      </c>
      <c r="G116" s="10" t="s">
        <v>184</v>
      </c>
      <c r="H116" s="59" t="s">
        <v>323</v>
      </c>
      <c r="I116" s="32" t="s">
        <v>152</v>
      </c>
    </row>
    <row r="117" spans="1:9" x14ac:dyDescent="0.35">
      <c r="A117" s="17">
        <v>45687</v>
      </c>
      <c r="B117" s="9">
        <v>2500</v>
      </c>
      <c r="C117" s="32"/>
      <c r="D117" s="57"/>
      <c r="E117" s="43" t="s">
        <v>357</v>
      </c>
      <c r="F117" s="20">
        <f t="shared" si="1"/>
        <v>133813873</v>
      </c>
      <c r="G117" s="10" t="s">
        <v>185</v>
      </c>
      <c r="H117" s="59" t="s">
        <v>323</v>
      </c>
      <c r="I117" s="32" t="s">
        <v>152</v>
      </c>
    </row>
    <row r="118" spans="1:9" x14ac:dyDescent="0.35">
      <c r="A118" s="17">
        <v>45687</v>
      </c>
      <c r="B118" s="9"/>
      <c r="C118" s="32"/>
      <c r="D118" s="57">
        <v>1000</v>
      </c>
      <c r="E118" s="43" t="s">
        <v>357</v>
      </c>
      <c r="F118" s="20">
        <f t="shared" si="1"/>
        <v>133814873</v>
      </c>
      <c r="G118" s="10" t="s">
        <v>168</v>
      </c>
      <c r="H118" s="59" t="s">
        <v>139</v>
      </c>
      <c r="I118" s="32" t="s">
        <v>152</v>
      </c>
    </row>
    <row r="119" spans="1:9" x14ac:dyDescent="0.35">
      <c r="A119" s="17">
        <v>45687</v>
      </c>
      <c r="B119" s="9"/>
      <c r="C119" s="32"/>
      <c r="D119" s="57">
        <v>750000</v>
      </c>
      <c r="E119" s="43" t="s">
        <v>357</v>
      </c>
      <c r="F119" s="20">
        <f t="shared" si="1"/>
        <v>134564873</v>
      </c>
      <c r="G119" s="10" t="s">
        <v>261</v>
      </c>
      <c r="H119" s="59" t="s">
        <v>109</v>
      </c>
      <c r="I119" s="32" t="s">
        <v>152</v>
      </c>
    </row>
    <row r="120" spans="1:9" x14ac:dyDescent="0.35">
      <c r="A120" s="17">
        <v>45687</v>
      </c>
      <c r="B120" s="9"/>
      <c r="C120" s="32"/>
      <c r="D120" s="57">
        <v>10000</v>
      </c>
      <c r="E120" s="43" t="s">
        <v>357</v>
      </c>
      <c r="F120" s="20">
        <f t="shared" si="1"/>
        <v>134574873</v>
      </c>
      <c r="G120" s="10" t="s">
        <v>256</v>
      </c>
      <c r="H120" s="59" t="s">
        <v>109</v>
      </c>
      <c r="I120" s="32" t="s">
        <v>152</v>
      </c>
    </row>
    <row r="121" spans="1:9" x14ac:dyDescent="0.35">
      <c r="A121" s="17">
        <v>45687</v>
      </c>
      <c r="B121" s="9"/>
      <c r="C121" s="32"/>
      <c r="D121" s="57"/>
      <c r="E121" s="43" t="s">
        <v>357</v>
      </c>
      <c r="F121" s="20">
        <f t="shared" si="1"/>
        <v>134574873</v>
      </c>
      <c r="G121" s="10" t="s">
        <v>256</v>
      </c>
      <c r="H121" s="59" t="s">
        <v>109</v>
      </c>
      <c r="I121" s="32" t="s">
        <v>152</v>
      </c>
    </row>
    <row r="122" spans="1:9" x14ac:dyDescent="0.35">
      <c r="A122" s="17">
        <v>45687</v>
      </c>
      <c r="B122" s="9"/>
      <c r="C122" s="32"/>
      <c r="D122" s="57"/>
      <c r="E122" s="43" t="s">
        <v>357</v>
      </c>
      <c r="F122" s="20">
        <f t="shared" si="1"/>
        <v>134574873</v>
      </c>
      <c r="G122" s="10" t="s">
        <v>256</v>
      </c>
      <c r="H122" s="59" t="s">
        <v>109</v>
      </c>
      <c r="I122" s="32" t="s">
        <v>152</v>
      </c>
    </row>
    <row r="123" spans="1:9" x14ac:dyDescent="0.35">
      <c r="A123" s="17">
        <v>45687</v>
      </c>
      <c r="B123" s="32"/>
      <c r="C123" s="23"/>
      <c r="D123" s="23">
        <v>2643000</v>
      </c>
      <c r="E123" s="43" t="s">
        <v>357</v>
      </c>
      <c r="F123" s="20">
        <f t="shared" si="1"/>
        <v>137217873</v>
      </c>
      <c r="G123" s="24" t="s">
        <v>107</v>
      </c>
      <c r="H123" s="59" t="s">
        <v>107</v>
      </c>
      <c r="I123" s="32" t="s">
        <v>152</v>
      </c>
    </row>
    <row r="124" spans="1:9" x14ac:dyDescent="0.35">
      <c r="A124" s="17">
        <v>45687</v>
      </c>
      <c r="B124" s="32"/>
      <c r="C124" s="23"/>
      <c r="D124" s="23">
        <v>4823000</v>
      </c>
      <c r="E124" s="43" t="s">
        <v>357</v>
      </c>
      <c r="F124" s="20">
        <f t="shared" si="1"/>
        <v>142040873</v>
      </c>
      <c r="G124" s="24" t="s">
        <v>109</v>
      </c>
      <c r="H124" s="59" t="s">
        <v>109</v>
      </c>
      <c r="I124" s="32" t="s">
        <v>152</v>
      </c>
    </row>
    <row r="125" spans="1:9" x14ac:dyDescent="0.35">
      <c r="A125" s="17">
        <v>45687</v>
      </c>
      <c r="B125" s="27">
        <v>2000000</v>
      </c>
      <c r="C125" s="27"/>
      <c r="D125" s="20"/>
      <c r="E125" s="43" t="s">
        <v>357</v>
      </c>
      <c r="F125" s="20">
        <f t="shared" si="1"/>
        <v>140040873</v>
      </c>
      <c r="G125" s="28" t="s">
        <v>114</v>
      </c>
      <c r="H125" s="59" t="s">
        <v>320</v>
      </c>
      <c r="I125" s="32" t="s">
        <v>152</v>
      </c>
    </row>
    <row r="126" spans="1:9" x14ac:dyDescent="0.35">
      <c r="A126" s="17">
        <v>45687</v>
      </c>
      <c r="B126" s="27">
        <v>50000</v>
      </c>
      <c r="C126" s="27"/>
      <c r="D126" s="20"/>
      <c r="E126" s="43" t="s">
        <v>357</v>
      </c>
      <c r="F126" s="20">
        <f t="shared" si="1"/>
        <v>139990873</v>
      </c>
      <c r="G126" s="28" t="s">
        <v>115</v>
      </c>
      <c r="H126" s="59" t="s">
        <v>320</v>
      </c>
      <c r="I126" s="32" t="s">
        <v>152</v>
      </c>
    </row>
    <row r="127" spans="1:9" x14ac:dyDescent="0.35">
      <c r="A127" s="17"/>
      <c r="B127" s="32"/>
      <c r="C127" s="20">
        <v>5416000</v>
      </c>
      <c r="D127" s="20"/>
      <c r="E127" s="56"/>
      <c r="F127" s="20">
        <f t="shared" si="1"/>
        <v>139990873</v>
      </c>
      <c r="G127" s="10" t="s">
        <v>98</v>
      </c>
      <c r="H127" s="59"/>
      <c r="I127" s="32"/>
    </row>
    <row r="128" spans="1:9" x14ac:dyDescent="0.35">
      <c r="A128" s="17">
        <v>45687</v>
      </c>
      <c r="B128" s="9">
        <v>4613000</v>
      </c>
      <c r="C128" s="32"/>
      <c r="D128" s="57"/>
      <c r="E128" s="43" t="s">
        <v>357</v>
      </c>
      <c r="F128" s="20">
        <f t="shared" si="1"/>
        <v>135377873</v>
      </c>
      <c r="G128" s="10" t="s">
        <v>195</v>
      </c>
      <c r="H128" s="59" t="s">
        <v>203</v>
      </c>
      <c r="I128" s="32" t="s">
        <v>152</v>
      </c>
    </row>
    <row r="129" spans="1:9" x14ac:dyDescent="0.35">
      <c r="A129" s="17">
        <v>45687</v>
      </c>
      <c r="B129" s="9">
        <v>2500</v>
      </c>
      <c r="C129" s="32"/>
      <c r="D129" s="57"/>
      <c r="E129" s="43" t="s">
        <v>357</v>
      </c>
      <c r="F129" s="20">
        <f t="shared" si="1"/>
        <v>135375373</v>
      </c>
      <c r="G129" s="10" t="s">
        <v>194</v>
      </c>
      <c r="H129" s="59" t="s">
        <v>203</v>
      </c>
      <c r="I129" s="32" t="s">
        <v>152</v>
      </c>
    </row>
    <row r="130" spans="1:9" x14ac:dyDescent="0.35">
      <c r="A130" s="17">
        <v>45687</v>
      </c>
      <c r="B130" s="9">
        <v>4000000</v>
      </c>
      <c r="C130" s="32"/>
      <c r="D130" s="57"/>
      <c r="E130" s="43" t="s">
        <v>357</v>
      </c>
      <c r="F130" s="20">
        <f t="shared" si="1"/>
        <v>131375373</v>
      </c>
      <c r="G130" s="10" t="s">
        <v>196</v>
      </c>
      <c r="H130" s="59" t="s">
        <v>201</v>
      </c>
      <c r="I130" s="32" t="s">
        <v>152</v>
      </c>
    </row>
    <row r="131" spans="1:9" x14ac:dyDescent="0.35">
      <c r="A131" s="17">
        <v>45687</v>
      </c>
      <c r="B131" s="9">
        <v>2500</v>
      </c>
      <c r="C131" s="32"/>
      <c r="D131" s="57"/>
      <c r="E131" s="43" t="s">
        <v>357</v>
      </c>
      <c r="F131" s="20">
        <f t="shared" si="1"/>
        <v>131372873</v>
      </c>
      <c r="G131" s="10" t="s">
        <v>197</v>
      </c>
      <c r="H131" s="59" t="s">
        <v>201</v>
      </c>
      <c r="I131" s="32" t="s">
        <v>152</v>
      </c>
    </row>
    <row r="132" spans="1:9" x14ac:dyDescent="0.35">
      <c r="A132" s="17">
        <v>45687</v>
      </c>
      <c r="B132" s="155">
        <v>4950000</v>
      </c>
      <c r="C132" s="32"/>
      <c r="D132" s="156"/>
      <c r="E132" s="157" t="s">
        <v>357</v>
      </c>
      <c r="F132" s="38">
        <f t="shared" si="1"/>
        <v>126422873</v>
      </c>
      <c r="G132" s="10" t="s">
        <v>216</v>
      </c>
      <c r="H132" s="59" t="s">
        <v>322</v>
      </c>
      <c r="I132" s="32" t="s">
        <v>152</v>
      </c>
    </row>
    <row r="133" spans="1:9" x14ac:dyDescent="0.35">
      <c r="A133" s="17">
        <v>45688</v>
      </c>
      <c r="B133" s="9"/>
      <c r="C133" s="32"/>
      <c r="D133" s="57">
        <v>100000</v>
      </c>
      <c r="E133" s="43" t="s">
        <v>357</v>
      </c>
      <c r="F133" s="20">
        <f t="shared" si="1"/>
        <v>126522873</v>
      </c>
      <c r="G133" s="10" t="s">
        <v>219</v>
      </c>
      <c r="H133" s="59" t="s">
        <v>105</v>
      </c>
      <c r="I133" s="32" t="s">
        <v>152</v>
      </c>
    </row>
    <row r="134" spans="1:9" x14ac:dyDescent="0.35">
      <c r="A134" s="19">
        <v>45691</v>
      </c>
      <c r="B134" s="20">
        <v>1000000</v>
      </c>
      <c r="C134" s="32"/>
      <c r="D134" s="20"/>
      <c r="E134" s="56" t="s">
        <v>358</v>
      </c>
      <c r="F134" s="20">
        <f t="shared" si="1"/>
        <v>125522873</v>
      </c>
      <c r="G134" s="10" t="s">
        <v>230</v>
      </c>
      <c r="H134" s="59" t="s">
        <v>323</v>
      </c>
      <c r="I134" s="32" t="s">
        <v>152</v>
      </c>
    </row>
    <row r="135" spans="1:9" x14ac:dyDescent="0.35">
      <c r="A135" s="19">
        <v>45691</v>
      </c>
      <c r="B135" s="20">
        <v>2500</v>
      </c>
      <c r="C135" s="32"/>
      <c r="D135" s="20"/>
      <c r="E135" s="56" t="s">
        <v>358</v>
      </c>
      <c r="F135" s="20">
        <f t="shared" si="1"/>
        <v>125520373</v>
      </c>
      <c r="G135" s="10" t="s">
        <v>231</v>
      </c>
      <c r="H135" s="59" t="s">
        <v>323</v>
      </c>
      <c r="I135" s="32" t="s">
        <v>152</v>
      </c>
    </row>
    <row r="136" spans="1:9" x14ac:dyDescent="0.35">
      <c r="A136" s="19">
        <v>45691</v>
      </c>
      <c r="B136" s="20"/>
      <c r="C136" s="32"/>
      <c r="D136" s="20">
        <v>1000</v>
      </c>
      <c r="E136" s="56" t="s">
        <v>358</v>
      </c>
      <c r="F136" s="20">
        <f t="shared" si="1"/>
        <v>125521373</v>
      </c>
      <c r="G136" s="7" t="s">
        <v>252</v>
      </c>
      <c r="H136" s="59" t="s">
        <v>109</v>
      </c>
      <c r="I136" s="32" t="s">
        <v>152</v>
      </c>
    </row>
    <row r="137" spans="1:9" x14ac:dyDescent="0.35">
      <c r="A137" s="19">
        <v>45691</v>
      </c>
      <c r="B137" s="20"/>
      <c r="C137" s="32"/>
      <c r="D137" s="20">
        <v>75000</v>
      </c>
      <c r="E137" s="56" t="s">
        <v>358</v>
      </c>
      <c r="F137" s="20">
        <f t="shared" si="1"/>
        <v>125596373</v>
      </c>
      <c r="G137" s="7" t="s">
        <v>264</v>
      </c>
      <c r="H137" s="59" t="s">
        <v>109</v>
      </c>
      <c r="I137" s="32" t="s">
        <v>152</v>
      </c>
    </row>
    <row r="138" spans="1:9" x14ac:dyDescent="0.35">
      <c r="A138" s="19">
        <v>45691</v>
      </c>
      <c r="B138" s="20"/>
      <c r="C138" s="32"/>
      <c r="D138" s="20">
        <v>500000</v>
      </c>
      <c r="E138" s="56" t="s">
        <v>358</v>
      </c>
      <c r="F138" s="20">
        <f t="shared" ref="F138:F201" si="2">+F137+D138-B138</f>
        <v>126096373</v>
      </c>
      <c r="G138" s="7" t="s">
        <v>233</v>
      </c>
      <c r="H138" s="59" t="s">
        <v>109</v>
      </c>
      <c r="I138" s="32" t="s">
        <v>152</v>
      </c>
    </row>
    <row r="139" spans="1:9" x14ac:dyDescent="0.35">
      <c r="A139" s="19">
        <v>45691</v>
      </c>
      <c r="B139" s="20"/>
      <c r="C139" s="32"/>
      <c r="D139" s="20">
        <v>200000</v>
      </c>
      <c r="E139" s="56" t="s">
        <v>358</v>
      </c>
      <c r="F139" s="20">
        <f t="shared" si="2"/>
        <v>126296373</v>
      </c>
      <c r="G139" s="7" t="s">
        <v>232</v>
      </c>
      <c r="H139" s="59" t="s">
        <v>109</v>
      </c>
      <c r="I139" s="32" t="s">
        <v>152</v>
      </c>
    </row>
    <row r="140" spans="1:9" x14ac:dyDescent="0.35">
      <c r="A140" s="19">
        <v>45691</v>
      </c>
      <c r="B140" s="20"/>
      <c r="C140" s="32"/>
      <c r="D140" s="20">
        <v>15000</v>
      </c>
      <c r="E140" s="56" t="s">
        <v>358</v>
      </c>
      <c r="F140" s="20">
        <f t="shared" si="2"/>
        <v>126311373</v>
      </c>
      <c r="G140" s="7" t="s">
        <v>263</v>
      </c>
      <c r="H140" s="59" t="s">
        <v>109</v>
      </c>
      <c r="I140" s="32" t="s">
        <v>152</v>
      </c>
    </row>
    <row r="141" spans="1:9" x14ac:dyDescent="0.35">
      <c r="A141" s="19">
        <v>45691</v>
      </c>
      <c r="B141" s="20"/>
      <c r="C141" s="32"/>
      <c r="D141" s="20">
        <v>300000</v>
      </c>
      <c r="E141" s="56" t="s">
        <v>358</v>
      </c>
      <c r="F141" s="20">
        <f t="shared" si="2"/>
        <v>126611373</v>
      </c>
      <c r="G141" s="7" t="s">
        <v>243</v>
      </c>
      <c r="H141" s="59" t="s">
        <v>109</v>
      </c>
      <c r="I141" s="32" t="s">
        <v>152</v>
      </c>
    </row>
    <row r="142" spans="1:9" x14ac:dyDescent="0.35">
      <c r="A142" s="19">
        <v>45691</v>
      </c>
      <c r="B142" s="20"/>
      <c r="C142" s="32"/>
      <c r="D142" s="20">
        <v>200000</v>
      </c>
      <c r="E142" s="56" t="s">
        <v>358</v>
      </c>
      <c r="F142" s="20">
        <f t="shared" si="2"/>
        <v>126811373</v>
      </c>
      <c r="G142" s="7" t="s">
        <v>262</v>
      </c>
      <c r="H142" s="59" t="s">
        <v>109</v>
      </c>
      <c r="I142" s="32" t="s">
        <v>152</v>
      </c>
    </row>
    <row r="143" spans="1:9" x14ac:dyDescent="0.35">
      <c r="A143" s="19">
        <v>45691</v>
      </c>
      <c r="B143" s="20"/>
      <c r="C143" s="32"/>
      <c r="D143" s="20">
        <v>300000</v>
      </c>
      <c r="E143" s="56" t="s">
        <v>358</v>
      </c>
      <c r="F143" s="20">
        <f t="shared" si="2"/>
        <v>127111373</v>
      </c>
      <c r="G143" s="7" t="s">
        <v>234</v>
      </c>
      <c r="H143" s="59" t="s">
        <v>109</v>
      </c>
      <c r="I143" s="32" t="s">
        <v>152</v>
      </c>
    </row>
    <row r="144" spans="1:9" x14ac:dyDescent="0.35">
      <c r="A144" s="19">
        <v>45691</v>
      </c>
      <c r="B144" s="20">
        <v>750000</v>
      </c>
      <c r="C144" s="32"/>
      <c r="D144" s="20"/>
      <c r="E144" s="56" t="s">
        <v>358</v>
      </c>
      <c r="F144" s="20">
        <f t="shared" si="2"/>
        <v>126361373</v>
      </c>
      <c r="G144" s="10" t="s">
        <v>235</v>
      </c>
      <c r="H144" s="59" t="s">
        <v>323</v>
      </c>
      <c r="I144" s="32" t="s">
        <v>152</v>
      </c>
    </row>
    <row r="145" spans="1:9" x14ac:dyDescent="0.35">
      <c r="A145" s="19">
        <v>45691</v>
      </c>
      <c r="B145" s="20">
        <v>2500</v>
      </c>
      <c r="C145" s="32"/>
      <c r="D145" s="20"/>
      <c r="E145" s="56" t="s">
        <v>358</v>
      </c>
      <c r="F145" s="20">
        <f t="shared" si="2"/>
        <v>126358873</v>
      </c>
      <c r="G145" s="10" t="s">
        <v>236</v>
      </c>
      <c r="H145" s="59" t="s">
        <v>323</v>
      </c>
      <c r="I145" s="32" t="s">
        <v>152</v>
      </c>
    </row>
    <row r="146" spans="1:9" x14ac:dyDescent="0.35">
      <c r="A146" s="19">
        <v>45691</v>
      </c>
      <c r="B146" s="20"/>
      <c r="C146" s="32"/>
      <c r="D146" s="20">
        <v>500000</v>
      </c>
      <c r="E146" s="56" t="s">
        <v>358</v>
      </c>
      <c r="F146" s="20">
        <f t="shared" si="2"/>
        <v>126858873</v>
      </c>
      <c r="G146" s="7" t="s">
        <v>242</v>
      </c>
      <c r="H146" s="59" t="s">
        <v>109</v>
      </c>
      <c r="I146" s="32" t="s">
        <v>152</v>
      </c>
    </row>
    <row r="147" spans="1:9" x14ac:dyDescent="0.35">
      <c r="A147" s="19">
        <v>45691</v>
      </c>
      <c r="B147" s="20"/>
      <c r="C147" s="32"/>
      <c r="D147" s="20">
        <v>200000</v>
      </c>
      <c r="E147" s="56" t="s">
        <v>358</v>
      </c>
      <c r="F147" s="20">
        <f t="shared" si="2"/>
        <v>127058873</v>
      </c>
      <c r="G147" s="7" t="s">
        <v>237</v>
      </c>
      <c r="H147" s="59" t="s">
        <v>109</v>
      </c>
      <c r="I147" s="32" t="s">
        <v>152</v>
      </c>
    </row>
    <row r="148" spans="1:9" x14ac:dyDescent="0.35">
      <c r="A148" s="19">
        <v>45691</v>
      </c>
      <c r="B148" s="20"/>
      <c r="C148" s="32"/>
      <c r="D148" s="20">
        <v>400000</v>
      </c>
      <c r="E148" s="56" t="s">
        <v>358</v>
      </c>
      <c r="F148" s="20">
        <f t="shared" si="2"/>
        <v>127458873</v>
      </c>
      <c r="G148" s="7" t="s">
        <v>238</v>
      </c>
      <c r="H148" s="59" t="s">
        <v>109</v>
      </c>
      <c r="I148" s="32" t="s">
        <v>152</v>
      </c>
    </row>
    <row r="149" spans="1:9" x14ac:dyDescent="0.35">
      <c r="A149" s="19">
        <v>45691</v>
      </c>
      <c r="B149" s="20"/>
      <c r="C149" s="32"/>
      <c r="D149" s="20">
        <v>200000</v>
      </c>
      <c r="E149" s="56" t="s">
        <v>358</v>
      </c>
      <c r="F149" s="20">
        <f t="shared" si="2"/>
        <v>127658873</v>
      </c>
      <c r="G149" s="7" t="s">
        <v>232</v>
      </c>
      <c r="H149" s="59" t="s">
        <v>109</v>
      </c>
      <c r="I149" s="32" t="s">
        <v>152</v>
      </c>
    </row>
    <row r="150" spans="1:9" x14ac:dyDescent="0.35">
      <c r="A150" s="19">
        <v>45691</v>
      </c>
      <c r="B150" s="20"/>
      <c r="C150" s="32"/>
      <c r="D150" s="20">
        <v>500000</v>
      </c>
      <c r="E150" s="56" t="s">
        <v>358</v>
      </c>
      <c r="F150" s="20">
        <f t="shared" si="2"/>
        <v>128158873</v>
      </c>
      <c r="G150" s="7" t="s">
        <v>53</v>
      </c>
      <c r="H150" s="59" t="s">
        <v>109</v>
      </c>
      <c r="I150" s="32" t="s">
        <v>152</v>
      </c>
    </row>
    <row r="151" spans="1:9" x14ac:dyDescent="0.35">
      <c r="A151" s="19">
        <v>45691</v>
      </c>
      <c r="B151" s="20"/>
      <c r="C151" s="23"/>
      <c r="D151" s="23">
        <v>2412000</v>
      </c>
      <c r="E151" s="56" t="s">
        <v>358</v>
      </c>
      <c r="F151" s="20">
        <f t="shared" si="2"/>
        <v>130570873</v>
      </c>
      <c r="G151" s="24" t="s">
        <v>107</v>
      </c>
      <c r="H151" s="59" t="s">
        <v>107</v>
      </c>
      <c r="I151" s="32" t="s">
        <v>152</v>
      </c>
    </row>
    <row r="152" spans="1:9" x14ac:dyDescent="0.35">
      <c r="A152" s="19">
        <v>45691</v>
      </c>
      <c r="B152" s="20"/>
      <c r="C152" s="23"/>
      <c r="D152" s="23">
        <v>3924000</v>
      </c>
      <c r="E152" s="56" t="s">
        <v>358</v>
      </c>
      <c r="F152" s="20">
        <f t="shared" si="2"/>
        <v>134494873</v>
      </c>
      <c r="G152" s="24" t="s">
        <v>109</v>
      </c>
      <c r="H152" s="59" t="s">
        <v>109</v>
      </c>
      <c r="I152" s="32" t="s">
        <v>152</v>
      </c>
    </row>
    <row r="153" spans="1:9" x14ac:dyDescent="0.35">
      <c r="A153" s="19"/>
      <c r="B153" s="20"/>
      <c r="C153" s="23">
        <v>6336000</v>
      </c>
      <c r="D153" s="20"/>
      <c r="E153" s="56"/>
      <c r="F153" s="20">
        <f t="shared" si="2"/>
        <v>134494873</v>
      </c>
      <c r="G153" s="10" t="s">
        <v>98</v>
      </c>
      <c r="H153" s="59"/>
      <c r="I153" s="32"/>
    </row>
    <row r="154" spans="1:9" x14ac:dyDescent="0.35">
      <c r="A154" s="19">
        <v>45693</v>
      </c>
      <c r="B154" s="20"/>
      <c r="C154" s="32"/>
      <c r="D154" s="20">
        <v>1000000</v>
      </c>
      <c r="E154" s="56" t="s">
        <v>358</v>
      </c>
      <c r="F154" s="20">
        <f t="shared" si="2"/>
        <v>135494873</v>
      </c>
      <c r="G154" s="7" t="s">
        <v>241</v>
      </c>
      <c r="H154" s="59" t="s">
        <v>109</v>
      </c>
      <c r="I154" s="32" t="s">
        <v>152</v>
      </c>
    </row>
    <row r="155" spans="1:9" x14ac:dyDescent="0.35">
      <c r="A155" s="19">
        <v>45694</v>
      </c>
      <c r="B155" s="20"/>
      <c r="C155" s="32"/>
      <c r="D155" s="20">
        <v>200000</v>
      </c>
      <c r="E155" s="56" t="s">
        <v>358</v>
      </c>
      <c r="F155" s="20">
        <f t="shared" si="2"/>
        <v>135694873</v>
      </c>
      <c r="G155" s="7" t="s">
        <v>240</v>
      </c>
      <c r="H155" s="59" t="s">
        <v>109</v>
      </c>
      <c r="I155" s="32" t="s">
        <v>152</v>
      </c>
    </row>
    <row r="156" spans="1:9" x14ac:dyDescent="0.35">
      <c r="A156" s="19">
        <v>45694</v>
      </c>
      <c r="B156" s="20"/>
      <c r="C156" s="32"/>
      <c r="D156" s="20">
        <v>100000</v>
      </c>
      <c r="E156" s="56" t="s">
        <v>358</v>
      </c>
      <c r="F156" s="20">
        <f t="shared" si="2"/>
        <v>135794873</v>
      </c>
      <c r="G156" s="7" t="s">
        <v>239</v>
      </c>
      <c r="H156" s="59" t="s">
        <v>109</v>
      </c>
      <c r="I156" s="32" t="s">
        <v>152</v>
      </c>
    </row>
    <row r="157" spans="1:9" x14ac:dyDescent="0.35">
      <c r="A157" s="19">
        <v>45694</v>
      </c>
      <c r="B157" s="20">
        <v>2000000</v>
      </c>
      <c r="C157" s="20"/>
      <c r="D157" s="20"/>
      <c r="E157" s="56" t="s">
        <v>358</v>
      </c>
      <c r="F157" s="20">
        <f t="shared" si="2"/>
        <v>133794873</v>
      </c>
      <c r="G157" s="7" t="s">
        <v>269</v>
      </c>
      <c r="H157" s="59" t="s">
        <v>323</v>
      </c>
      <c r="I157" s="32" t="s">
        <v>152</v>
      </c>
    </row>
    <row r="158" spans="1:9" x14ac:dyDescent="0.35">
      <c r="A158" s="19">
        <v>45694</v>
      </c>
      <c r="B158" s="20">
        <v>2500</v>
      </c>
      <c r="C158" s="20"/>
      <c r="D158" s="20"/>
      <c r="E158" s="56" t="s">
        <v>358</v>
      </c>
      <c r="F158" s="20">
        <f t="shared" si="2"/>
        <v>133792373</v>
      </c>
      <c r="G158" s="7" t="s">
        <v>270</v>
      </c>
      <c r="H158" s="59" t="s">
        <v>323</v>
      </c>
      <c r="I158" s="32" t="s">
        <v>152</v>
      </c>
    </row>
    <row r="159" spans="1:9" x14ac:dyDescent="0.35">
      <c r="A159" s="19">
        <v>45695</v>
      </c>
      <c r="B159" s="20"/>
      <c r="C159" s="20"/>
      <c r="D159" s="20">
        <v>2000000</v>
      </c>
      <c r="E159" s="56" t="s">
        <v>358</v>
      </c>
      <c r="F159" s="20">
        <f t="shared" si="2"/>
        <v>135792373</v>
      </c>
      <c r="G159" s="7" t="s">
        <v>55</v>
      </c>
      <c r="H159" s="59" t="s">
        <v>109</v>
      </c>
      <c r="I159" s="32" t="s">
        <v>152</v>
      </c>
    </row>
    <row r="160" spans="1:9" x14ac:dyDescent="0.35">
      <c r="A160" s="19">
        <v>45695</v>
      </c>
      <c r="B160" s="20"/>
      <c r="C160" s="20"/>
      <c r="D160" s="20">
        <v>250000</v>
      </c>
      <c r="E160" s="56" t="s">
        <v>358</v>
      </c>
      <c r="F160" s="20">
        <f t="shared" si="2"/>
        <v>136042373</v>
      </c>
      <c r="G160" s="7" t="s">
        <v>271</v>
      </c>
      <c r="H160" s="59" t="s">
        <v>109</v>
      </c>
      <c r="I160" s="32" t="s">
        <v>152</v>
      </c>
    </row>
    <row r="161" spans="1:9" x14ac:dyDescent="0.35">
      <c r="A161" s="19">
        <v>45695</v>
      </c>
      <c r="B161" s="20"/>
      <c r="C161" s="20"/>
      <c r="D161" s="20">
        <v>66500</v>
      </c>
      <c r="E161" s="56" t="s">
        <v>358</v>
      </c>
      <c r="F161" s="20">
        <f t="shared" si="2"/>
        <v>136108873</v>
      </c>
      <c r="G161" s="7" t="s">
        <v>274</v>
      </c>
      <c r="H161" s="59" t="s">
        <v>109</v>
      </c>
      <c r="I161" s="32" t="s">
        <v>152</v>
      </c>
    </row>
    <row r="162" spans="1:9" x14ac:dyDescent="0.35">
      <c r="A162" s="19">
        <v>45696</v>
      </c>
      <c r="B162" s="20">
        <v>750000</v>
      </c>
      <c r="C162" s="20"/>
      <c r="D162" s="20"/>
      <c r="E162" s="56" t="s">
        <v>358</v>
      </c>
      <c r="F162" s="20">
        <f t="shared" si="2"/>
        <v>135358873</v>
      </c>
      <c r="G162" s="10" t="s">
        <v>93</v>
      </c>
      <c r="H162" s="59" t="s">
        <v>323</v>
      </c>
      <c r="I162" s="32" t="s">
        <v>152</v>
      </c>
    </row>
    <row r="163" spans="1:9" x14ac:dyDescent="0.35">
      <c r="A163" s="19">
        <v>45696</v>
      </c>
      <c r="B163" s="20">
        <v>2500</v>
      </c>
      <c r="C163" s="20"/>
      <c r="D163" s="20"/>
      <c r="E163" s="56" t="s">
        <v>358</v>
      </c>
      <c r="F163" s="20">
        <f t="shared" si="2"/>
        <v>135356373</v>
      </c>
      <c r="G163" s="10" t="s">
        <v>94</v>
      </c>
      <c r="H163" s="59" t="s">
        <v>323</v>
      </c>
      <c r="I163" s="32" t="s">
        <v>152</v>
      </c>
    </row>
    <row r="164" spans="1:9" x14ac:dyDescent="0.35">
      <c r="A164" s="19">
        <v>45696</v>
      </c>
      <c r="B164" s="20"/>
      <c r="C164" s="20"/>
      <c r="D164" s="20">
        <v>20000</v>
      </c>
      <c r="E164" s="56" t="s">
        <v>358</v>
      </c>
      <c r="F164" s="20">
        <f t="shared" si="2"/>
        <v>135376373</v>
      </c>
      <c r="G164" s="7" t="s">
        <v>252</v>
      </c>
      <c r="H164" s="59" t="s">
        <v>109</v>
      </c>
      <c r="I164" s="32" t="s">
        <v>152</v>
      </c>
    </row>
    <row r="165" spans="1:9" x14ac:dyDescent="0.35">
      <c r="A165" s="19">
        <v>45696</v>
      </c>
      <c r="B165" s="20"/>
      <c r="C165" s="20"/>
      <c r="D165" s="20">
        <v>75000</v>
      </c>
      <c r="E165" s="56" t="s">
        <v>358</v>
      </c>
      <c r="F165" s="20">
        <f t="shared" si="2"/>
        <v>135451373</v>
      </c>
      <c r="G165" s="7" t="s">
        <v>264</v>
      </c>
      <c r="H165" s="59" t="s">
        <v>109</v>
      </c>
      <c r="I165" s="32" t="s">
        <v>152</v>
      </c>
    </row>
    <row r="166" spans="1:9" x14ac:dyDescent="0.35">
      <c r="A166" s="19">
        <v>45696</v>
      </c>
      <c r="B166" s="20"/>
      <c r="C166" s="20"/>
      <c r="D166" s="20">
        <v>1500</v>
      </c>
      <c r="E166" s="56" t="s">
        <v>358</v>
      </c>
      <c r="F166" s="20">
        <f t="shared" si="2"/>
        <v>135452873</v>
      </c>
      <c r="G166" s="7" t="s">
        <v>251</v>
      </c>
      <c r="H166" s="59" t="s">
        <v>109</v>
      </c>
      <c r="I166" s="32" t="s">
        <v>152</v>
      </c>
    </row>
    <row r="167" spans="1:9" x14ac:dyDescent="0.35">
      <c r="A167" s="19">
        <v>45696</v>
      </c>
      <c r="B167" s="20"/>
      <c r="C167" s="20"/>
      <c r="D167" s="20">
        <v>1250000</v>
      </c>
      <c r="E167" s="56" t="s">
        <v>358</v>
      </c>
      <c r="F167" s="20">
        <f t="shared" si="2"/>
        <v>136702873</v>
      </c>
      <c r="G167" s="7" t="s">
        <v>275</v>
      </c>
      <c r="H167" s="59" t="s">
        <v>109</v>
      </c>
      <c r="I167" s="32" t="s">
        <v>152</v>
      </c>
    </row>
    <row r="168" spans="1:9" x14ac:dyDescent="0.35">
      <c r="A168" s="19">
        <v>45697</v>
      </c>
      <c r="B168" s="20">
        <v>750000</v>
      </c>
      <c r="C168" s="20"/>
      <c r="D168" s="20"/>
      <c r="E168" s="56" t="s">
        <v>358</v>
      </c>
      <c r="F168" s="20">
        <f t="shared" si="2"/>
        <v>135952873</v>
      </c>
      <c r="G168" s="10" t="s">
        <v>276</v>
      </c>
      <c r="H168" s="59" t="s">
        <v>323</v>
      </c>
      <c r="I168" s="32" t="s">
        <v>152</v>
      </c>
    </row>
    <row r="169" spans="1:9" x14ac:dyDescent="0.35">
      <c r="A169" s="19">
        <v>45697</v>
      </c>
      <c r="B169" s="20"/>
      <c r="C169" s="20"/>
      <c r="D169" s="20">
        <v>2000000</v>
      </c>
      <c r="E169" s="56" t="s">
        <v>358</v>
      </c>
      <c r="F169" s="20">
        <f t="shared" si="2"/>
        <v>137952873</v>
      </c>
      <c r="G169" s="7" t="s">
        <v>277</v>
      </c>
      <c r="H169" s="59" t="s">
        <v>109</v>
      </c>
      <c r="I169" s="32" t="s">
        <v>152</v>
      </c>
    </row>
    <row r="170" spans="1:9" x14ac:dyDescent="0.35">
      <c r="A170" s="19">
        <v>45698</v>
      </c>
      <c r="B170" s="20"/>
      <c r="C170" s="20"/>
      <c r="D170" s="20">
        <v>20000</v>
      </c>
      <c r="E170" s="56" t="s">
        <v>358</v>
      </c>
      <c r="F170" s="20">
        <f t="shared" si="2"/>
        <v>137972873</v>
      </c>
      <c r="G170" s="7" t="s">
        <v>279</v>
      </c>
      <c r="H170" s="59" t="s">
        <v>109</v>
      </c>
      <c r="I170" s="32" t="s">
        <v>152</v>
      </c>
    </row>
    <row r="171" spans="1:9" x14ac:dyDescent="0.35">
      <c r="A171" s="19">
        <v>45698</v>
      </c>
      <c r="B171" s="20"/>
      <c r="C171" s="23"/>
      <c r="D171" s="23">
        <v>3222000</v>
      </c>
      <c r="E171" s="56" t="s">
        <v>358</v>
      </c>
      <c r="F171" s="20">
        <f t="shared" si="2"/>
        <v>141194873</v>
      </c>
      <c r="G171" s="24" t="s">
        <v>107</v>
      </c>
      <c r="H171" s="59" t="s">
        <v>107</v>
      </c>
      <c r="I171" s="32" t="s">
        <v>152</v>
      </c>
    </row>
    <row r="172" spans="1:9" x14ac:dyDescent="0.35">
      <c r="A172" s="19">
        <v>45698</v>
      </c>
      <c r="B172" s="20"/>
      <c r="C172" s="23"/>
      <c r="D172" s="23">
        <v>4084000</v>
      </c>
      <c r="E172" s="56" t="s">
        <v>358</v>
      </c>
      <c r="F172" s="20">
        <f t="shared" si="2"/>
        <v>145278873</v>
      </c>
      <c r="G172" s="24" t="s">
        <v>109</v>
      </c>
      <c r="H172" s="59" t="s">
        <v>109</v>
      </c>
      <c r="I172" s="32" t="s">
        <v>152</v>
      </c>
    </row>
    <row r="173" spans="1:9" x14ac:dyDescent="0.35">
      <c r="A173" s="19"/>
      <c r="B173" s="20"/>
      <c r="C173" s="23">
        <v>7306000</v>
      </c>
      <c r="D173" s="20"/>
      <c r="E173" s="56"/>
      <c r="F173" s="20">
        <f t="shared" si="2"/>
        <v>145278873</v>
      </c>
      <c r="G173" s="7" t="s">
        <v>98</v>
      </c>
      <c r="H173" s="59"/>
      <c r="I173" s="32"/>
    </row>
    <row r="174" spans="1:9" x14ac:dyDescent="0.35">
      <c r="A174" s="19">
        <v>45698</v>
      </c>
      <c r="B174" s="20">
        <v>840000</v>
      </c>
      <c r="C174" s="20"/>
      <c r="D174" s="20"/>
      <c r="E174" s="56" t="s">
        <v>358</v>
      </c>
      <c r="F174" s="20">
        <f t="shared" si="2"/>
        <v>144438873</v>
      </c>
      <c r="G174" s="7" t="s">
        <v>272</v>
      </c>
      <c r="H174" s="59" t="s">
        <v>322</v>
      </c>
      <c r="I174" s="32" t="s">
        <v>152</v>
      </c>
    </row>
    <row r="175" spans="1:9" x14ac:dyDescent="0.35">
      <c r="A175" s="19">
        <v>45698</v>
      </c>
      <c r="B175" s="20">
        <v>2500</v>
      </c>
      <c r="C175" s="20"/>
      <c r="D175" s="20"/>
      <c r="E175" s="56" t="s">
        <v>358</v>
      </c>
      <c r="F175" s="20">
        <f t="shared" si="2"/>
        <v>144436373</v>
      </c>
      <c r="G175" s="7" t="s">
        <v>272</v>
      </c>
      <c r="H175" s="59" t="s">
        <v>322</v>
      </c>
      <c r="I175" s="32" t="s">
        <v>152</v>
      </c>
    </row>
    <row r="176" spans="1:9" x14ac:dyDescent="0.35">
      <c r="A176" s="19">
        <v>45699</v>
      </c>
      <c r="B176" s="20">
        <v>1000000</v>
      </c>
      <c r="C176" s="20"/>
      <c r="D176" s="20"/>
      <c r="E176" s="56" t="s">
        <v>358</v>
      </c>
      <c r="F176" s="20">
        <f t="shared" si="2"/>
        <v>143436373</v>
      </c>
      <c r="G176" s="7" t="s">
        <v>273</v>
      </c>
      <c r="H176" s="59" t="s">
        <v>322</v>
      </c>
      <c r="I176" s="32" t="s">
        <v>152</v>
      </c>
    </row>
    <row r="177" spans="1:9" x14ac:dyDescent="0.35">
      <c r="A177" s="19">
        <v>45699</v>
      </c>
      <c r="B177" s="20">
        <v>2500</v>
      </c>
      <c r="C177" s="20"/>
      <c r="D177" s="20"/>
      <c r="E177" s="56" t="s">
        <v>358</v>
      </c>
      <c r="F177" s="20">
        <f t="shared" si="2"/>
        <v>143433873</v>
      </c>
      <c r="G177" s="7" t="s">
        <v>273</v>
      </c>
      <c r="H177" s="59" t="s">
        <v>322</v>
      </c>
      <c r="I177" s="32" t="s">
        <v>152</v>
      </c>
    </row>
    <row r="178" spans="1:9" x14ac:dyDescent="0.35">
      <c r="A178" s="19">
        <v>45699</v>
      </c>
      <c r="B178" s="20"/>
      <c r="C178" s="20"/>
      <c r="D178" s="20">
        <v>1800000</v>
      </c>
      <c r="E178" s="56" t="s">
        <v>358</v>
      </c>
      <c r="F178" s="20">
        <f t="shared" si="2"/>
        <v>145233873</v>
      </c>
      <c r="G178" s="7" t="s">
        <v>278</v>
      </c>
      <c r="H178" s="59" t="s">
        <v>109</v>
      </c>
      <c r="I178" s="32" t="s">
        <v>152</v>
      </c>
    </row>
    <row r="179" spans="1:9" x14ac:dyDescent="0.35">
      <c r="A179" s="19">
        <v>45701</v>
      </c>
      <c r="B179" s="20"/>
      <c r="C179" s="20"/>
      <c r="D179" s="20">
        <v>10000</v>
      </c>
      <c r="E179" s="56" t="s">
        <v>358</v>
      </c>
      <c r="F179" s="20">
        <f t="shared" si="2"/>
        <v>145243873</v>
      </c>
      <c r="G179" s="7" t="s">
        <v>252</v>
      </c>
      <c r="H179" s="59" t="s">
        <v>109</v>
      </c>
      <c r="I179" s="32" t="s">
        <v>152</v>
      </c>
    </row>
    <row r="180" spans="1:9" x14ac:dyDescent="0.35">
      <c r="A180" s="19">
        <v>45702</v>
      </c>
      <c r="B180" s="20"/>
      <c r="C180" s="20"/>
      <c r="D180" s="9">
        <v>20000</v>
      </c>
      <c r="E180" s="56" t="s">
        <v>358</v>
      </c>
      <c r="F180" s="20">
        <f t="shared" si="2"/>
        <v>145263873</v>
      </c>
      <c r="G180" s="7" t="s">
        <v>282</v>
      </c>
      <c r="H180" s="59" t="s">
        <v>109</v>
      </c>
      <c r="I180" s="32" t="s">
        <v>152</v>
      </c>
    </row>
    <row r="181" spans="1:9" x14ac:dyDescent="0.35">
      <c r="A181" s="19">
        <v>45702</v>
      </c>
      <c r="B181" s="20"/>
      <c r="C181" s="20"/>
      <c r="D181" s="9">
        <v>10000</v>
      </c>
      <c r="E181" s="56" t="s">
        <v>358</v>
      </c>
      <c r="F181" s="20">
        <f t="shared" si="2"/>
        <v>145273873</v>
      </c>
      <c r="G181" s="7" t="s">
        <v>282</v>
      </c>
      <c r="H181" s="59" t="s">
        <v>109</v>
      </c>
      <c r="I181" s="32" t="s">
        <v>152</v>
      </c>
    </row>
    <row r="182" spans="1:9" x14ac:dyDescent="0.35">
      <c r="A182" s="19">
        <v>45702</v>
      </c>
      <c r="B182" s="20"/>
      <c r="C182" s="20"/>
      <c r="D182" s="9">
        <v>25000</v>
      </c>
      <c r="E182" s="56" t="s">
        <v>358</v>
      </c>
      <c r="F182" s="20">
        <f t="shared" si="2"/>
        <v>145298873</v>
      </c>
      <c r="G182" s="7" t="s">
        <v>282</v>
      </c>
      <c r="H182" s="59" t="s">
        <v>109</v>
      </c>
      <c r="I182" s="32" t="s">
        <v>152</v>
      </c>
    </row>
    <row r="183" spans="1:9" x14ac:dyDescent="0.35">
      <c r="A183" s="19">
        <v>45702</v>
      </c>
      <c r="B183" s="20"/>
      <c r="C183" s="20"/>
      <c r="D183" s="9">
        <v>400000</v>
      </c>
      <c r="E183" s="56" t="s">
        <v>358</v>
      </c>
      <c r="F183" s="20">
        <f t="shared" si="2"/>
        <v>145698873</v>
      </c>
      <c r="G183" s="7" t="s">
        <v>290</v>
      </c>
      <c r="H183" s="59" t="s">
        <v>140</v>
      </c>
      <c r="I183" s="32" t="s">
        <v>152</v>
      </c>
    </row>
    <row r="184" spans="1:9" x14ac:dyDescent="0.35">
      <c r="A184" s="19">
        <v>45705</v>
      </c>
      <c r="B184" s="20"/>
      <c r="C184" s="20"/>
      <c r="D184" s="9">
        <v>100000</v>
      </c>
      <c r="E184" s="56" t="s">
        <v>358</v>
      </c>
      <c r="F184" s="20">
        <f t="shared" si="2"/>
        <v>145798873</v>
      </c>
      <c r="G184" s="7" t="s">
        <v>282</v>
      </c>
      <c r="H184" s="59" t="s">
        <v>109</v>
      </c>
      <c r="I184" s="32" t="s">
        <v>152</v>
      </c>
    </row>
    <row r="185" spans="1:9" x14ac:dyDescent="0.35">
      <c r="A185" s="19">
        <v>45705</v>
      </c>
      <c r="B185" s="20"/>
      <c r="C185" s="20"/>
      <c r="D185" s="9">
        <v>10000</v>
      </c>
      <c r="E185" s="56" t="s">
        <v>358</v>
      </c>
      <c r="F185" s="20">
        <f t="shared" si="2"/>
        <v>145808873</v>
      </c>
      <c r="G185" s="7" t="s">
        <v>282</v>
      </c>
      <c r="H185" s="59" t="s">
        <v>109</v>
      </c>
      <c r="I185" s="32" t="s">
        <v>152</v>
      </c>
    </row>
    <row r="186" spans="1:9" x14ac:dyDescent="0.35">
      <c r="A186" s="19">
        <v>45705</v>
      </c>
      <c r="B186" s="20"/>
      <c r="C186" s="20"/>
      <c r="D186" s="9">
        <v>1700</v>
      </c>
      <c r="E186" s="56" t="s">
        <v>358</v>
      </c>
      <c r="F186" s="20">
        <f t="shared" si="2"/>
        <v>145810573</v>
      </c>
      <c r="G186" s="7" t="s">
        <v>282</v>
      </c>
      <c r="H186" s="59" t="s">
        <v>109</v>
      </c>
      <c r="I186" s="32" t="s">
        <v>152</v>
      </c>
    </row>
    <row r="187" spans="1:9" x14ac:dyDescent="0.35">
      <c r="A187" s="19">
        <v>45705</v>
      </c>
      <c r="B187" s="20">
        <v>750000</v>
      </c>
      <c r="C187" s="20"/>
      <c r="D187" s="9"/>
      <c r="E187" s="56" t="s">
        <v>358</v>
      </c>
      <c r="F187" s="20">
        <f t="shared" si="2"/>
        <v>145060573</v>
      </c>
      <c r="G187" s="7" t="s">
        <v>283</v>
      </c>
      <c r="H187" s="59" t="s">
        <v>323</v>
      </c>
      <c r="I187" s="32" t="s">
        <v>152</v>
      </c>
    </row>
    <row r="188" spans="1:9" x14ac:dyDescent="0.35">
      <c r="A188" s="19">
        <v>45705</v>
      </c>
      <c r="B188" s="20">
        <v>2500</v>
      </c>
      <c r="C188" s="20"/>
      <c r="D188" s="9"/>
      <c r="E188" s="56" t="s">
        <v>358</v>
      </c>
      <c r="F188" s="20">
        <f t="shared" si="2"/>
        <v>145058073</v>
      </c>
      <c r="G188" s="7" t="s">
        <v>284</v>
      </c>
      <c r="H188" s="59" t="s">
        <v>323</v>
      </c>
      <c r="I188" s="32" t="s">
        <v>152</v>
      </c>
    </row>
    <row r="189" spans="1:9" x14ac:dyDescent="0.35">
      <c r="A189" s="19">
        <v>45705</v>
      </c>
      <c r="B189" s="20">
        <v>750000</v>
      </c>
      <c r="C189" s="20"/>
      <c r="D189" s="9"/>
      <c r="E189" s="56" t="s">
        <v>358</v>
      </c>
      <c r="F189" s="20">
        <f t="shared" si="2"/>
        <v>144308073</v>
      </c>
      <c r="G189" s="7" t="s">
        <v>285</v>
      </c>
      <c r="H189" s="59" t="s">
        <v>323</v>
      </c>
      <c r="I189" s="32" t="s">
        <v>152</v>
      </c>
    </row>
    <row r="190" spans="1:9" x14ac:dyDescent="0.35">
      <c r="A190" s="19">
        <v>45705</v>
      </c>
      <c r="B190" s="20">
        <v>2500</v>
      </c>
      <c r="C190" s="20"/>
      <c r="D190" s="9"/>
      <c r="E190" s="56" t="s">
        <v>358</v>
      </c>
      <c r="F190" s="20">
        <f t="shared" si="2"/>
        <v>144305573</v>
      </c>
      <c r="G190" s="7" t="s">
        <v>284</v>
      </c>
      <c r="H190" s="59" t="s">
        <v>323</v>
      </c>
      <c r="I190" s="32" t="s">
        <v>152</v>
      </c>
    </row>
    <row r="191" spans="1:9" x14ac:dyDescent="0.35">
      <c r="A191" s="19">
        <v>45705</v>
      </c>
      <c r="B191" s="20"/>
      <c r="C191" s="20"/>
      <c r="D191" s="9">
        <v>10000</v>
      </c>
      <c r="E191" s="56" t="s">
        <v>358</v>
      </c>
      <c r="F191" s="20">
        <f t="shared" si="2"/>
        <v>144315573</v>
      </c>
      <c r="G191" s="7" t="s">
        <v>282</v>
      </c>
      <c r="H191" s="59" t="s">
        <v>109</v>
      </c>
      <c r="I191" s="32" t="s">
        <v>152</v>
      </c>
    </row>
    <row r="192" spans="1:9" x14ac:dyDescent="0.35">
      <c r="A192" s="19">
        <v>45705</v>
      </c>
      <c r="B192" s="20"/>
      <c r="C192" s="20"/>
      <c r="D192" s="9">
        <v>1550000</v>
      </c>
      <c r="E192" s="56" t="s">
        <v>358</v>
      </c>
      <c r="F192" s="20">
        <f t="shared" si="2"/>
        <v>145865573</v>
      </c>
      <c r="G192" s="7" t="s">
        <v>293</v>
      </c>
      <c r="H192" s="59" t="s">
        <v>109</v>
      </c>
      <c r="I192" s="32" t="s">
        <v>152</v>
      </c>
    </row>
    <row r="193" spans="1:9" x14ac:dyDescent="0.35">
      <c r="A193" s="19">
        <v>45705</v>
      </c>
      <c r="B193" s="20"/>
      <c r="C193" s="20"/>
      <c r="D193" s="9">
        <v>10000</v>
      </c>
      <c r="E193" s="56" t="s">
        <v>358</v>
      </c>
      <c r="F193" s="20">
        <f t="shared" si="2"/>
        <v>145875573</v>
      </c>
      <c r="G193" s="7" t="s">
        <v>282</v>
      </c>
      <c r="H193" s="59" t="s">
        <v>109</v>
      </c>
      <c r="I193" s="32" t="s">
        <v>152</v>
      </c>
    </row>
    <row r="194" spans="1:9" x14ac:dyDescent="0.35">
      <c r="A194" s="19">
        <v>45706</v>
      </c>
      <c r="B194" s="20"/>
      <c r="C194" s="20"/>
      <c r="D194" s="23">
        <v>3264000</v>
      </c>
      <c r="E194" s="56" t="s">
        <v>358</v>
      </c>
      <c r="F194" s="20">
        <f t="shared" si="2"/>
        <v>149139573</v>
      </c>
      <c r="G194" s="24" t="s">
        <v>107</v>
      </c>
      <c r="H194" s="59" t="s">
        <v>107</v>
      </c>
      <c r="I194" s="32" t="s">
        <v>152</v>
      </c>
    </row>
    <row r="195" spans="1:9" x14ac:dyDescent="0.35">
      <c r="A195" s="19">
        <v>45706</v>
      </c>
      <c r="B195" s="20"/>
      <c r="C195" s="20"/>
      <c r="D195" s="23">
        <v>3961000</v>
      </c>
      <c r="E195" s="56" t="s">
        <v>358</v>
      </c>
      <c r="F195" s="20">
        <f t="shared" si="2"/>
        <v>153100573</v>
      </c>
      <c r="G195" s="24" t="s">
        <v>109</v>
      </c>
      <c r="H195" s="59" t="s">
        <v>109</v>
      </c>
      <c r="I195" s="32" t="s">
        <v>152</v>
      </c>
    </row>
    <row r="196" spans="1:9" x14ac:dyDescent="0.35">
      <c r="A196" s="19">
        <v>45706</v>
      </c>
      <c r="B196" s="23">
        <v>2000000</v>
      </c>
      <c r="C196" s="20"/>
      <c r="D196" s="9"/>
      <c r="E196" s="56" t="s">
        <v>358</v>
      </c>
      <c r="F196" s="20">
        <f t="shared" si="2"/>
        <v>151100573</v>
      </c>
      <c r="G196" s="24" t="s">
        <v>110</v>
      </c>
      <c r="H196" s="59" t="s">
        <v>320</v>
      </c>
      <c r="I196" s="32" t="s">
        <v>152</v>
      </c>
    </row>
    <row r="197" spans="1:9" x14ac:dyDescent="0.35">
      <c r="A197" s="19"/>
      <c r="B197" s="20"/>
      <c r="C197" s="9">
        <v>5225000</v>
      </c>
      <c r="D197" s="9"/>
      <c r="E197" s="56"/>
      <c r="F197" s="20">
        <f t="shared" si="2"/>
        <v>151100573</v>
      </c>
      <c r="G197" s="7" t="s">
        <v>98</v>
      </c>
      <c r="H197" s="59"/>
      <c r="I197" s="32"/>
    </row>
    <row r="198" spans="1:9" x14ac:dyDescent="0.35">
      <c r="A198" s="19">
        <v>45706</v>
      </c>
      <c r="B198" s="20">
        <v>625000</v>
      </c>
      <c r="C198" s="20"/>
      <c r="D198" s="9"/>
      <c r="E198" s="56" t="s">
        <v>358</v>
      </c>
      <c r="F198" s="20">
        <f t="shared" si="2"/>
        <v>150475573</v>
      </c>
      <c r="G198" s="7" t="s">
        <v>286</v>
      </c>
      <c r="H198" s="59" t="s">
        <v>320</v>
      </c>
      <c r="I198" s="32" t="s">
        <v>152</v>
      </c>
    </row>
    <row r="199" spans="1:9" x14ac:dyDescent="0.35">
      <c r="A199" s="19">
        <v>45706</v>
      </c>
      <c r="B199" s="20">
        <v>2500</v>
      </c>
      <c r="C199" s="20"/>
      <c r="D199" s="9"/>
      <c r="E199" s="56" t="s">
        <v>358</v>
      </c>
      <c r="F199" s="20">
        <f t="shared" si="2"/>
        <v>150473073</v>
      </c>
      <c r="G199" s="7" t="s">
        <v>287</v>
      </c>
      <c r="H199" s="59" t="s">
        <v>320</v>
      </c>
      <c r="I199" s="32" t="s">
        <v>152</v>
      </c>
    </row>
    <row r="200" spans="1:9" x14ac:dyDescent="0.35">
      <c r="A200" s="19">
        <v>45706</v>
      </c>
      <c r="B200" s="20"/>
      <c r="C200" s="20"/>
      <c r="D200" s="9">
        <v>150000</v>
      </c>
      <c r="E200" s="56" t="s">
        <v>358</v>
      </c>
      <c r="F200" s="20">
        <f t="shared" si="2"/>
        <v>150623073</v>
      </c>
      <c r="G200" s="7" t="s">
        <v>291</v>
      </c>
      <c r="H200" s="59" t="s">
        <v>109</v>
      </c>
      <c r="I200" s="32" t="s">
        <v>152</v>
      </c>
    </row>
    <row r="201" spans="1:9" x14ac:dyDescent="0.35">
      <c r="A201" s="19">
        <v>45707</v>
      </c>
      <c r="B201" s="20"/>
      <c r="C201" s="20"/>
      <c r="D201" s="9">
        <v>20000</v>
      </c>
      <c r="E201" s="56" t="s">
        <v>358</v>
      </c>
      <c r="F201" s="20">
        <f t="shared" si="2"/>
        <v>150643073</v>
      </c>
      <c r="G201" s="7" t="s">
        <v>282</v>
      </c>
      <c r="H201" s="59" t="s">
        <v>109</v>
      </c>
      <c r="I201" s="32" t="s">
        <v>152</v>
      </c>
    </row>
    <row r="202" spans="1:9" x14ac:dyDescent="0.35">
      <c r="A202" s="19">
        <v>45707</v>
      </c>
      <c r="B202" s="20"/>
      <c r="C202" s="20"/>
      <c r="D202" s="9">
        <v>1000000</v>
      </c>
      <c r="E202" s="56" t="s">
        <v>358</v>
      </c>
      <c r="F202" s="20">
        <f t="shared" ref="F202:F265" si="3">+F201+D202-B202</f>
        <v>151643073</v>
      </c>
      <c r="G202" s="7" t="s">
        <v>292</v>
      </c>
      <c r="H202" s="59" t="s">
        <v>109</v>
      </c>
      <c r="I202" s="32" t="s">
        <v>152</v>
      </c>
    </row>
    <row r="203" spans="1:9" x14ac:dyDescent="0.35">
      <c r="A203" s="19">
        <v>45707</v>
      </c>
      <c r="B203" s="20"/>
      <c r="C203" s="20"/>
      <c r="D203" s="9">
        <v>400000</v>
      </c>
      <c r="E203" s="56" t="s">
        <v>358</v>
      </c>
      <c r="F203" s="20">
        <f t="shared" si="3"/>
        <v>152043073</v>
      </c>
      <c r="G203" s="7" t="s">
        <v>288</v>
      </c>
      <c r="H203" s="59" t="s">
        <v>140</v>
      </c>
      <c r="I203" s="32" t="s">
        <v>152</v>
      </c>
    </row>
    <row r="204" spans="1:9" x14ac:dyDescent="0.35">
      <c r="A204" s="19">
        <v>45708</v>
      </c>
      <c r="B204" s="20"/>
      <c r="C204" s="20"/>
      <c r="D204" s="9">
        <v>20000</v>
      </c>
      <c r="E204" s="56" t="s">
        <v>358</v>
      </c>
      <c r="F204" s="20">
        <f t="shared" si="3"/>
        <v>152063073</v>
      </c>
      <c r="G204" s="7" t="s">
        <v>282</v>
      </c>
      <c r="H204" s="59" t="s">
        <v>109</v>
      </c>
      <c r="I204" s="32" t="s">
        <v>152</v>
      </c>
    </row>
    <row r="205" spans="1:9" x14ac:dyDescent="0.35">
      <c r="A205" s="19"/>
      <c r="B205" s="20"/>
      <c r="C205" s="23">
        <v>2650000</v>
      </c>
      <c r="D205" s="9"/>
      <c r="E205" s="56"/>
      <c r="F205" s="20">
        <f t="shared" si="3"/>
        <v>152063073</v>
      </c>
      <c r="G205" s="7" t="s">
        <v>294</v>
      </c>
      <c r="H205" s="59"/>
      <c r="I205" s="32"/>
    </row>
    <row r="206" spans="1:9" x14ac:dyDescent="0.35">
      <c r="A206" s="19"/>
      <c r="B206" s="20"/>
      <c r="C206" s="27">
        <v>-265000</v>
      </c>
      <c r="D206" s="9"/>
      <c r="E206" s="56"/>
      <c r="F206" s="20">
        <f t="shared" si="3"/>
        <v>152063073</v>
      </c>
      <c r="G206" s="7" t="s">
        <v>295</v>
      </c>
      <c r="H206" s="59"/>
      <c r="I206" s="32"/>
    </row>
    <row r="207" spans="1:9" x14ac:dyDescent="0.35">
      <c r="A207" s="19">
        <v>45708</v>
      </c>
      <c r="B207" s="20"/>
      <c r="C207" s="20"/>
      <c r="D207" s="9">
        <v>2385000</v>
      </c>
      <c r="E207" s="56" t="s">
        <v>358</v>
      </c>
      <c r="F207" s="20">
        <f t="shared" si="3"/>
        <v>154448073</v>
      </c>
      <c r="G207" s="7" t="s">
        <v>289</v>
      </c>
      <c r="H207" s="59" t="s">
        <v>109</v>
      </c>
      <c r="I207" s="32" t="s">
        <v>152</v>
      </c>
    </row>
    <row r="208" spans="1:9" x14ac:dyDescent="0.35">
      <c r="A208" s="19">
        <v>45709</v>
      </c>
      <c r="B208" s="20"/>
      <c r="C208" s="20"/>
      <c r="D208" s="9">
        <v>100000</v>
      </c>
      <c r="E208" s="56" t="s">
        <v>358</v>
      </c>
      <c r="F208" s="20">
        <f t="shared" si="3"/>
        <v>154548073</v>
      </c>
      <c r="G208" s="7" t="s">
        <v>255</v>
      </c>
      <c r="H208" s="59" t="s">
        <v>109</v>
      </c>
      <c r="I208" s="32" t="s">
        <v>152</v>
      </c>
    </row>
    <row r="209" spans="1:9" x14ac:dyDescent="0.35">
      <c r="A209" s="19">
        <v>45712</v>
      </c>
      <c r="B209" s="20">
        <v>750000</v>
      </c>
      <c r="C209" s="20"/>
      <c r="D209" s="9"/>
      <c r="E209" s="56" t="s">
        <v>358</v>
      </c>
      <c r="F209" s="20">
        <f t="shared" si="3"/>
        <v>153798073</v>
      </c>
      <c r="G209" s="7" t="s">
        <v>160</v>
      </c>
      <c r="H209" s="59" t="s">
        <v>323</v>
      </c>
      <c r="I209" s="32" t="s">
        <v>152</v>
      </c>
    </row>
    <row r="210" spans="1:9" x14ac:dyDescent="0.35">
      <c r="A210" s="19">
        <v>45712</v>
      </c>
      <c r="B210" s="20">
        <v>2500</v>
      </c>
      <c r="C210" s="20"/>
      <c r="D210" s="9"/>
      <c r="E210" s="56" t="s">
        <v>358</v>
      </c>
      <c r="F210" s="20">
        <f t="shared" si="3"/>
        <v>153795573</v>
      </c>
      <c r="G210" s="7" t="s">
        <v>161</v>
      </c>
      <c r="H210" s="59" t="s">
        <v>323</v>
      </c>
      <c r="I210" s="32" t="s">
        <v>152</v>
      </c>
    </row>
    <row r="211" spans="1:9" x14ac:dyDescent="0.35">
      <c r="A211" s="19">
        <v>45712</v>
      </c>
      <c r="B211" s="20"/>
      <c r="C211" s="20"/>
      <c r="D211" s="9">
        <v>50000</v>
      </c>
      <c r="E211" s="56" t="s">
        <v>358</v>
      </c>
      <c r="F211" s="20">
        <f t="shared" si="3"/>
        <v>153845573</v>
      </c>
      <c r="G211" s="7" t="s">
        <v>282</v>
      </c>
      <c r="H211" s="59" t="s">
        <v>109</v>
      </c>
      <c r="I211" s="32" t="s">
        <v>152</v>
      </c>
    </row>
    <row r="212" spans="1:9" x14ac:dyDescent="0.35">
      <c r="A212" s="19">
        <v>45712</v>
      </c>
      <c r="B212" s="20"/>
      <c r="C212" s="20"/>
      <c r="D212" s="9">
        <v>20000</v>
      </c>
      <c r="E212" s="56" t="s">
        <v>358</v>
      </c>
      <c r="F212" s="20">
        <f t="shared" si="3"/>
        <v>153865573</v>
      </c>
      <c r="G212" s="7" t="s">
        <v>282</v>
      </c>
      <c r="H212" s="59" t="s">
        <v>109</v>
      </c>
      <c r="I212" s="32" t="s">
        <v>152</v>
      </c>
    </row>
    <row r="213" spans="1:9" x14ac:dyDescent="0.35">
      <c r="A213" s="19">
        <v>45712</v>
      </c>
      <c r="B213" s="20"/>
      <c r="C213" s="20"/>
      <c r="D213" s="9">
        <v>150000</v>
      </c>
      <c r="E213" s="56" t="s">
        <v>358</v>
      </c>
      <c r="F213" s="20">
        <f t="shared" si="3"/>
        <v>154015573</v>
      </c>
      <c r="G213" s="7" t="s">
        <v>282</v>
      </c>
      <c r="H213" s="59" t="s">
        <v>109</v>
      </c>
      <c r="I213" s="32" t="s">
        <v>152</v>
      </c>
    </row>
    <row r="214" spans="1:9" x14ac:dyDescent="0.35">
      <c r="A214" s="19">
        <v>45712</v>
      </c>
      <c r="B214" s="20"/>
      <c r="C214" s="20"/>
      <c r="D214" s="9">
        <v>1904</v>
      </c>
      <c r="E214" s="56" t="s">
        <v>358</v>
      </c>
      <c r="F214" s="20">
        <f t="shared" si="3"/>
        <v>154017477</v>
      </c>
      <c r="G214" s="7" t="s">
        <v>282</v>
      </c>
      <c r="H214" s="59" t="s">
        <v>109</v>
      </c>
      <c r="I214" s="32" t="s">
        <v>152</v>
      </c>
    </row>
    <row r="215" spans="1:9" x14ac:dyDescent="0.35">
      <c r="A215" s="19">
        <v>45712</v>
      </c>
      <c r="B215" s="20">
        <v>1000000</v>
      </c>
      <c r="C215" s="20"/>
      <c r="D215" s="9"/>
      <c r="E215" s="56" t="s">
        <v>358</v>
      </c>
      <c r="F215" s="20">
        <f t="shared" si="3"/>
        <v>153017477</v>
      </c>
      <c r="G215" s="7" t="s">
        <v>165</v>
      </c>
      <c r="H215" s="59" t="s">
        <v>323</v>
      </c>
      <c r="I215" s="32" t="s">
        <v>152</v>
      </c>
    </row>
    <row r="216" spans="1:9" x14ac:dyDescent="0.35">
      <c r="A216" s="19">
        <v>45712</v>
      </c>
      <c r="B216" s="20">
        <v>2500</v>
      </c>
      <c r="C216" s="20"/>
      <c r="D216" s="9"/>
      <c r="E216" s="56" t="s">
        <v>358</v>
      </c>
      <c r="F216" s="20">
        <f t="shared" si="3"/>
        <v>153014977</v>
      </c>
      <c r="G216" s="7" t="s">
        <v>166</v>
      </c>
      <c r="H216" s="59" t="s">
        <v>323</v>
      </c>
      <c r="I216" s="32" t="s">
        <v>152</v>
      </c>
    </row>
    <row r="217" spans="1:9" x14ac:dyDescent="0.35">
      <c r="A217" s="19">
        <v>45712</v>
      </c>
      <c r="B217" s="20">
        <v>1500000</v>
      </c>
      <c r="C217" s="20"/>
      <c r="D217" s="9"/>
      <c r="E217" s="56" t="s">
        <v>358</v>
      </c>
      <c r="F217" s="20">
        <f t="shared" si="3"/>
        <v>151514977</v>
      </c>
      <c r="G217" s="7" t="s">
        <v>303</v>
      </c>
      <c r="H217" s="59" t="s">
        <v>323</v>
      </c>
      <c r="I217" s="32" t="s">
        <v>152</v>
      </c>
    </row>
    <row r="218" spans="1:9" x14ac:dyDescent="0.35">
      <c r="A218" s="19">
        <v>45712</v>
      </c>
      <c r="B218" s="20">
        <v>6500</v>
      </c>
      <c r="C218" s="20"/>
      <c r="D218" s="9"/>
      <c r="E218" s="56" t="s">
        <v>358</v>
      </c>
      <c r="F218" s="20">
        <f t="shared" si="3"/>
        <v>151508477</v>
      </c>
      <c r="G218" s="7" t="s">
        <v>304</v>
      </c>
      <c r="H218" s="59" t="s">
        <v>323</v>
      </c>
      <c r="I218" s="32" t="s">
        <v>152</v>
      </c>
    </row>
    <row r="219" spans="1:9" x14ac:dyDescent="0.35">
      <c r="A219" s="19">
        <v>45712</v>
      </c>
      <c r="B219" s="20"/>
      <c r="C219" s="20"/>
      <c r="D219" s="9">
        <v>5000</v>
      </c>
      <c r="E219" s="56" t="s">
        <v>358</v>
      </c>
      <c r="F219" s="20">
        <f t="shared" si="3"/>
        <v>151513477</v>
      </c>
      <c r="G219" s="7" t="s">
        <v>282</v>
      </c>
      <c r="H219" s="59" t="s">
        <v>109</v>
      </c>
      <c r="I219" s="32" t="s">
        <v>152</v>
      </c>
    </row>
    <row r="220" spans="1:9" x14ac:dyDescent="0.35">
      <c r="A220" s="19">
        <v>45712</v>
      </c>
      <c r="B220" s="20"/>
      <c r="C220" s="20"/>
      <c r="D220" s="9">
        <v>1000</v>
      </c>
      <c r="E220" s="56" t="s">
        <v>358</v>
      </c>
      <c r="F220" s="20">
        <f t="shared" si="3"/>
        <v>151514477</v>
      </c>
      <c r="G220" s="7" t="s">
        <v>282</v>
      </c>
      <c r="H220" s="59" t="s">
        <v>109</v>
      </c>
      <c r="I220" s="32" t="s">
        <v>152</v>
      </c>
    </row>
    <row r="221" spans="1:9" x14ac:dyDescent="0.35">
      <c r="A221" s="19">
        <v>45712</v>
      </c>
      <c r="B221" s="20"/>
      <c r="C221" s="20"/>
      <c r="D221" s="23">
        <v>2641000</v>
      </c>
      <c r="E221" s="56" t="s">
        <v>358</v>
      </c>
      <c r="F221" s="20">
        <f t="shared" si="3"/>
        <v>154155477</v>
      </c>
      <c r="G221" s="24" t="s">
        <v>107</v>
      </c>
      <c r="H221" s="59" t="s">
        <v>107</v>
      </c>
      <c r="I221" s="32" t="s">
        <v>152</v>
      </c>
    </row>
    <row r="222" spans="1:9" x14ac:dyDescent="0.35">
      <c r="A222" s="19">
        <v>45712</v>
      </c>
      <c r="B222" s="20"/>
      <c r="C222" s="20"/>
      <c r="D222" s="23">
        <v>3441000</v>
      </c>
      <c r="E222" s="56" t="s">
        <v>358</v>
      </c>
      <c r="F222" s="20">
        <f t="shared" si="3"/>
        <v>157596477</v>
      </c>
      <c r="G222" s="24" t="s">
        <v>109</v>
      </c>
      <c r="H222" s="59" t="s">
        <v>109</v>
      </c>
      <c r="I222" s="32" t="s">
        <v>152</v>
      </c>
    </row>
    <row r="223" spans="1:9" x14ac:dyDescent="0.35">
      <c r="A223" s="19">
        <v>45712</v>
      </c>
      <c r="B223" s="23">
        <v>1000000</v>
      </c>
      <c r="C223" s="20"/>
      <c r="D223" s="23"/>
      <c r="E223" s="56" t="s">
        <v>358</v>
      </c>
      <c r="F223" s="20">
        <f t="shared" si="3"/>
        <v>156596477</v>
      </c>
      <c r="G223" s="24" t="s">
        <v>110</v>
      </c>
      <c r="H223" s="59" t="s">
        <v>320</v>
      </c>
      <c r="I223" s="32" t="s">
        <v>152</v>
      </c>
    </row>
    <row r="224" spans="1:9" x14ac:dyDescent="0.35">
      <c r="A224" s="19">
        <v>45712</v>
      </c>
      <c r="B224" s="23">
        <v>62000</v>
      </c>
      <c r="C224" s="20"/>
      <c r="D224" s="9"/>
      <c r="E224" s="56" t="s">
        <v>358</v>
      </c>
      <c r="F224" s="20">
        <f t="shared" si="3"/>
        <v>156534477</v>
      </c>
      <c r="G224" s="24" t="s">
        <v>115</v>
      </c>
      <c r="H224" s="59" t="s">
        <v>320</v>
      </c>
      <c r="I224" s="32" t="s">
        <v>152</v>
      </c>
    </row>
    <row r="225" spans="1:9" x14ac:dyDescent="0.35">
      <c r="A225" s="19"/>
      <c r="B225" s="20"/>
      <c r="C225" s="95">
        <v>5020000</v>
      </c>
      <c r="D225" s="9"/>
      <c r="E225" s="56"/>
      <c r="F225" s="20">
        <f t="shared" si="3"/>
        <v>156534477</v>
      </c>
      <c r="G225" s="7" t="s">
        <v>305</v>
      </c>
      <c r="H225" s="59"/>
      <c r="I225" s="32"/>
    </row>
    <row r="226" spans="1:9" x14ac:dyDescent="0.35">
      <c r="A226" s="19">
        <v>45713</v>
      </c>
      <c r="B226" s="20"/>
      <c r="C226" s="20"/>
      <c r="D226" s="9">
        <v>50000</v>
      </c>
      <c r="E226" s="56" t="s">
        <v>358</v>
      </c>
      <c r="F226" s="20">
        <f t="shared" si="3"/>
        <v>156584477</v>
      </c>
      <c r="G226" s="7" t="s">
        <v>282</v>
      </c>
      <c r="H226" s="59" t="s">
        <v>109</v>
      </c>
      <c r="I226" s="32" t="s">
        <v>152</v>
      </c>
    </row>
    <row r="227" spans="1:9" x14ac:dyDescent="0.35">
      <c r="A227" s="19">
        <v>45713</v>
      </c>
      <c r="B227" s="20"/>
      <c r="C227" s="20"/>
      <c r="D227" s="9">
        <v>10000</v>
      </c>
      <c r="E227" s="56" t="s">
        <v>358</v>
      </c>
      <c r="F227" s="20">
        <f t="shared" si="3"/>
        <v>156594477</v>
      </c>
      <c r="G227" s="7" t="s">
        <v>282</v>
      </c>
      <c r="H227" s="59" t="s">
        <v>109</v>
      </c>
      <c r="I227" s="32" t="s">
        <v>152</v>
      </c>
    </row>
    <row r="228" spans="1:9" x14ac:dyDescent="0.35">
      <c r="A228" s="19">
        <v>45713</v>
      </c>
      <c r="B228" s="20"/>
      <c r="C228" s="20"/>
      <c r="D228" s="9">
        <v>200000</v>
      </c>
      <c r="E228" s="56" t="s">
        <v>358</v>
      </c>
      <c r="F228" s="20">
        <f t="shared" si="3"/>
        <v>156794477</v>
      </c>
      <c r="G228" s="7" t="s">
        <v>306</v>
      </c>
      <c r="H228" s="59" t="s">
        <v>109</v>
      </c>
      <c r="I228" s="32" t="s">
        <v>152</v>
      </c>
    </row>
    <row r="229" spans="1:9" x14ac:dyDescent="0.35">
      <c r="A229" s="19">
        <v>45713</v>
      </c>
      <c r="B229" s="20">
        <v>15000</v>
      </c>
      <c r="C229" s="20"/>
      <c r="D229" s="9"/>
      <c r="E229" s="56" t="s">
        <v>358</v>
      </c>
      <c r="F229" s="20">
        <f t="shared" si="3"/>
        <v>156779477</v>
      </c>
      <c r="G229" s="7" t="s">
        <v>307</v>
      </c>
      <c r="H229" s="59" t="s">
        <v>320</v>
      </c>
      <c r="I229" s="32" t="s">
        <v>152</v>
      </c>
    </row>
    <row r="230" spans="1:9" x14ac:dyDescent="0.35">
      <c r="A230" s="19">
        <v>45713</v>
      </c>
      <c r="B230" s="20">
        <v>2500</v>
      </c>
      <c r="C230" s="20"/>
      <c r="D230" s="9"/>
      <c r="E230" s="56" t="s">
        <v>358</v>
      </c>
      <c r="F230" s="20">
        <f t="shared" si="3"/>
        <v>156776977</v>
      </c>
      <c r="G230" s="7" t="s">
        <v>308</v>
      </c>
      <c r="H230" s="59" t="s">
        <v>320</v>
      </c>
      <c r="I230" s="32" t="s">
        <v>152</v>
      </c>
    </row>
    <row r="231" spans="1:9" x14ac:dyDescent="0.35">
      <c r="A231" s="19">
        <v>45714</v>
      </c>
      <c r="B231" s="20"/>
      <c r="C231" s="20"/>
      <c r="D231" s="9">
        <v>10000</v>
      </c>
      <c r="E231" s="56" t="s">
        <v>358</v>
      </c>
      <c r="F231" s="20">
        <f t="shared" si="3"/>
        <v>156786977</v>
      </c>
      <c r="G231" s="7" t="s">
        <v>282</v>
      </c>
      <c r="H231" s="59" t="s">
        <v>109</v>
      </c>
      <c r="I231" s="32" t="s">
        <v>152</v>
      </c>
    </row>
    <row r="232" spans="1:9" x14ac:dyDescent="0.35">
      <c r="A232" s="19">
        <v>45715</v>
      </c>
      <c r="B232" s="20"/>
      <c r="C232" s="20"/>
      <c r="D232" s="9">
        <v>10000</v>
      </c>
      <c r="E232" s="56" t="s">
        <v>358</v>
      </c>
      <c r="F232" s="20">
        <f t="shared" si="3"/>
        <v>156796977</v>
      </c>
      <c r="G232" s="7" t="s">
        <v>282</v>
      </c>
      <c r="H232" s="59" t="s">
        <v>109</v>
      </c>
      <c r="I232" s="32" t="s">
        <v>152</v>
      </c>
    </row>
    <row r="233" spans="1:9" x14ac:dyDescent="0.35">
      <c r="A233" s="19">
        <v>45715</v>
      </c>
      <c r="B233" s="20"/>
      <c r="C233" s="20"/>
      <c r="D233" s="9">
        <v>20000</v>
      </c>
      <c r="E233" s="56" t="s">
        <v>358</v>
      </c>
      <c r="F233" s="20">
        <f t="shared" si="3"/>
        <v>156816977</v>
      </c>
      <c r="G233" s="7" t="s">
        <v>282</v>
      </c>
      <c r="H233" s="59" t="s">
        <v>109</v>
      </c>
      <c r="I233" s="32" t="s">
        <v>152</v>
      </c>
    </row>
    <row r="234" spans="1:9" x14ac:dyDescent="0.35">
      <c r="A234" s="19">
        <v>45715</v>
      </c>
      <c r="B234" s="20"/>
      <c r="C234" s="20"/>
      <c r="D234" s="9">
        <v>10000</v>
      </c>
      <c r="E234" s="56" t="s">
        <v>358</v>
      </c>
      <c r="F234" s="20">
        <f t="shared" si="3"/>
        <v>156826977</v>
      </c>
      <c r="G234" s="7" t="s">
        <v>282</v>
      </c>
      <c r="H234" s="59" t="s">
        <v>109</v>
      </c>
      <c r="I234" s="32" t="s">
        <v>152</v>
      </c>
    </row>
    <row r="235" spans="1:9" x14ac:dyDescent="0.35">
      <c r="A235" s="19">
        <v>45715</v>
      </c>
      <c r="B235" s="20"/>
      <c r="C235" s="20"/>
      <c r="D235" s="20">
        <v>1000000</v>
      </c>
      <c r="E235" s="56" t="s">
        <v>358</v>
      </c>
      <c r="F235" s="20">
        <f t="shared" si="3"/>
        <v>157826977</v>
      </c>
      <c r="G235" s="7" t="s">
        <v>314</v>
      </c>
      <c r="H235" s="59" t="s">
        <v>109</v>
      </c>
      <c r="I235" s="32" t="s">
        <v>152</v>
      </c>
    </row>
    <row r="236" spans="1:9" x14ac:dyDescent="0.35">
      <c r="A236" s="19">
        <v>45715</v>
      </c>
      <c r="B236" s="20">
        <v>2000000</v>
      </c>
      <c r="C236" s="20"/>
      <c r="D236" s="20"/>
      <c r="E236" s="56" t="s">
        <v>358</v>
      </c>
      <c r="F236" s="20">
        <f t="shared" si="3"/>
        <v>155826977</v>
      </c>
      <c r="G236" s="7" t="s">
        <v>171</v>
      </c>
      <c r="H236" s="59" t="s">
        <v>325</v>
      </c>
      <c r="I236" s="32" t="s">
        <v>152</v>
      </c>
    </row>
    <row r="237" spans="1:9" x14ac:dyDescent="0.35">
      <c r="A237" s="19">
        <v>45715</v>
      </c>
      <c r="B237" s="20">
        <v>6500</v>
      </c>
      <c r="C237" s="20"/>
      <c r="D237" s="20"/>
      <c r="E237" s="56" t="s">
        <v>358</v>
      </c>
      <c r="F237" s="20">
        <f t="shared" si="3"/>
        <v>155820477</v>
      </c>
      <c r="G237" s="7" t="s">
        <v>171</v>
      </c>
      <c r="H237" s="59" t="s">
        <v>325</v>
      </c>
      <c r="I237" s="32" t="s">
        <v>152</v>
      </c>
    </row>
    <row r="238" spans="1:9" x14ac:dyDescent="0.35">
      <c r="A238" s="19">
        <v>45715</v>
      </c>
      <c r="B238" s="20">
        <v>2000000</v>
      </c>
      <c r="C238" s="20"/>
      <c r="D238" s="20"/>
      <c r="E238" s="56" t="s">
        <v>358</v>
      </c>
      <c r="F238" s="20">
        <f t="shared" si="3"/>
        <v>153820477</v>
      </c>
      <c r="G238" s="7" t="s">
        <v>180</v>
      </c>
      <c r="H238" s="59" t="s">
        <v>325</v>
      </c>
      <c r="I238" s="32" t="s">
        <v>152</v>
      </c>
    </row>
    <row r="239" spans="1:9" x14ac:dyDescent="0.35">
      <c r="A239" s="19">
        <v>45715</v>
      </c>
      <c r="B239" s="20">
        <v>6500</v>
      </c>
      <c r="C239" s="20"/>
      <c r="D239" s="20"/>
      <c r="E239" s="56" t="s">
        <v>358</v>
      </c>
      <c r="F239" s="20">
        <f t="shared" si="3"/>
        <v>153813977</v>
      </c>
      <c r="G239" s="7" t="s">
        <v>180</v>
      </c>
      <c r="H239" s="59" t="s">
        <v>325</v>
      </c>
      <c r="I239" s="32" t="s">
        <v>152</v>
      </c>
    </row>
    <row r="240" spans="1:9" x14ac:dyDescent="0.35">
      <c r="A240" s="19">
        <v>45715</v>
      </c>
      <c r="B240" s="20">
        <v>2500000</v>
      </c>
      <c r="C240" s="20"/>
      <c r="D240" s="20"/>
      <c r="E240" s="56" t="s">
        <v>358</v>
      </c>
      <c r="F240" s="20">
        <f t="shared" si="3"/>
        <v>151313977</v>
      </c>
      <c r="G240" s="7" t="s">
        <v>315</v>
      </c>
      <c r="H240" s="59" t="s">
        <v>325</v>
      </c>
      <c r="I240" s="32" t="s">
        <v>152</v>
      </c>
    </row>
    <row r="241" spans="1:9" x14ac:dyDescent="0.35">
      <c r="A241" s="19">
        <v>45715</v>
      </c>
      <c r="B241" s="20">
        <v>6500</v>
      </c>
      <c r="C241" s="20"/>
      <c r="D241" s="20"/>
      <c r="E241" s="56" t="s">
        <v>358</v>
      </c>
      <c r="F241" s="20">
        <f t="shared" si="3"/>
        <v>151307477</v>
      </c>
      <c r="G241" s="7" t="s">
        <v>315</v>
      </c>
      <c r="H241" s="59" t="s">
        <v>325</v>
      </c>
      <c r="I241" s="32" t="s">
        <v>152</v>
      </c>
    </row>
    <row r="242" spans="1:9" x14ac:dyDescent="0.35">
      <c r="A242" s="19">
        <v>45715</v>
      </c>
      <c r="B242" s="20">
        <v>3250000</v>
      </c>
      <c r="C242" s="20"/>
      <c r="D242" s="20"/>
      <c r="E242" s="56" t="s">
        <v>358</v>
      </c>
      <c r="F242" s="20">
        <f t="shared" si="3"/>
        <v>148057477</v>
      </c>
      <c r="G242" s="7" t="s">
        <v>169</v>
      </c>
      <c r="H242" s="59" t="s">
        <v>201</v>
      </c>
      <c r="I242" s="32" t="s">
        <v>152</v>
      </c>
    </row>
    <row r="243" spans="1:9" x14ac:dyDescent="0.35">
      <c r="A243" s="19">
        <v>45715</v>
      </c>
      <c r="B243" s="20">
        <v>6500</v>
      </c>
      <c r="C243" s="20"/>
      <c r="D243" s="20"/>
      <c r="E243" s="56" t="s">
        <v>358</v>
      </c>
      <c r="F243" s="20">
        <f t="shared" si="3"/>
        <v>148050977</v>
      </c>
      <c r="G243" s="7" t="s">
        <v>169</v>
      </c>
      <c r="H243" s="59" t="s">
        <v>201</v>
      </c>
      <c r="I243" s="32" t="s">
        <v>152</v>
      </c>
    </row>
    <row r="244" spans="1:9" x14ac:dyDescent="0.35">
      <c r="A244" s="19">
        <v>45715</v>
      </c>
      <c r="B244" s="20">
        <v>2700000</v>
      </c>
      <c r="C244" s="20"/>
      <c r="D244" s="20"/>
      <c r="E244" s="56" t="s">
        <v>358</v>
      </c>
      <c r="F244" s="20">
        <f t="shared" si="3"/>
        <v>145350977</v>
      </c>
      <c r="G244" s="7" t="s">
        <v>175</v>
      </c>
      <c r="H244" s="59" t="s">
        <v>201</v>
      </c>
      <c r="I244" s="32" t="s">
        <v>152</v>
      </c>
    </row>
    <row r="245" spans="1:9" x14ac:dyDescent="0.35">
      <c r="A245" s="19">
        <v>45715</v>
      </c>
      <c r="B245" s="20">
        <v>6500</v>
      </c>
      <c r="C245" s="20"/>
      <c r="D245" s="20"/>
      <c r="E245" s="56" t="s">
        <v>358</v>
      </c>
      <c r="F245" s="20">
        <f t="shared" si="3"/>
        <v>145344477</v>
      </c>
      <c r="G245" s="7" t="s">
        <v>175</v>
      </c>
      <c r="H245" s="59" t="s">
        <v>201</v>
      </c>
      <c r="I245" s="32" t="s">
        <v>152</v>
      </c>
    </row>
    <row r="246" spans="1:9" x14ac:dyDescent="0.35">
      <c r="A246" s="19">
        <v>45715</v>
      </c>
      <c r="B246" s="20">
        <v>1500000</v>
      </c>
      <c r="C246" s="20"/>
      <c r="D246" s="20"/>
      <c r="E246" s="56" t="s">
        <v>358</v>
      </c>
      <c r="F246" s="20">
        <f t="shared" si="3"/>
        <v>143844477</v>
      </c>
      <c r="G246" s="7" t="s">
        <v>178</v>
      </c>
      <c r="H246" s="59" t="s">
        <v>201</v>
      </c>
      <c r="I246" s="32" t="s">
        <v>152</v>
      </c>
    </row>
    <row r="247" spans="1:9" x14ac:dyDescent="0.35">
      <c r="A247" s="19">
        <v>45715</v>
      </c>
      <c r="B247" s="20">
        <v>6500</v>
      </c>
      <c r="C247" s="20"/>
      <c r="D247" s="20"/>
      <c r="E247" s="56" t="s">
        <v>358</v>
      </c>
      <c r="F247" s="20">
        <f t="shared" si="3"/>
        <v>143837977</v>
      </c>
      <c r="G247" s="7" t="s">
        <v>178</v>
      </c>
      <c r="H247" s="59" t="s">
        <v>201</v>
      </c>
      <c r="I247" s="32" t="s">
        <v>152</v>
      </c>
    </row>
    <row r="248" spans="1:9" x14ac:dyDescent="0.35">
      <c r="A248" s="19">
        <v>45715</v>
      </c>
      <c r="B248" s="20">
        <v>2500000</v>
      </c>
      <c r="C248" s="20"/>
      <c r="D248" s="20"/>
      <c r="E248" s="56" t="s">
        <v>358</v>
      </c>
      <c r="F248" s="20">
        <f t="shared" si="3"/>
        <v>141337977</v>
      </c>
      <c r="G248" s="7" t="s">
        <v>181</v>
      </c>
      <c r="H248" s="59" t="s">
        <v>325</v>
      </c>
      <c r="I248" s="32" t="s">
        <v>152</v>
      </c>
    </row>
    <row r="249" spans="1:9" x14ac:dyDescent="0.35">
      <c r="A249" s="19">
        <v>45715</v>
      </c>
      <c r="B249" s="20"/>
      <c r="C249" s="20"/>
      <c r="D249" s="20">
        <v>1250000</v>
      </c>
      <c r="E249" s="56" t="s">
        <v>358</v>
      </c>
      <c r="F249" s="20">
        <f t="shared" si="3"/>
        <v>142587977</v>
      </c>
      <c r="G249" s="7" t="s">
        <v>316</v>
      </c>
      <c r="H249" s="59" t="s">
        <v>109</v>
      </c>
      <c r="I249" s="32" t="s">
        <v>152</v>
      </c>
    </row>
    <row r="250" spans="1:9" x14ac:dyDescent="0.35">
      <c r="A250" s="19">
        <v>45716</v>
      </c>
      <c r="B250" s="20"/>
      <c r="C250" s="20"/>
      <c r="D250" s="20">
        <v>10000</v>
      </c>
      <c r="E250" s="56" t="s">
        <v>358</v>
      </c>
      <c r="F250" s="20">
        <f t="shared" si="3"/>
        <v>142597977</v>
      </c>
      <c r="G250" s="7" t="s">
        <v>282</v>
      </c>
      <c r="H250" s="59" t="s">
        <v>109</v>
      </c>
      <c r="I250" s="32" t="s">
        <v>152</v>
      </c>
    </row>
    <row r="251" spans="1:9" x14ac:dyDescent="0.35">
      <c r="A251" s="19">
        <v>45716</v>
      </c>
      <c r="B251" s="20"/>
      <c r="C251" s="20"/>
      <c r="D251" s="20">
        <v>50000</v>
      </c>
      <c r="E251" s="56" t="s">
        <v>358</v>
      </c>
      <c r="F251" s="20">
        <f t="shared" si="3"/>
        <v>142647977</v>
      </c>
      <c r="G251" s="7" t="s">
        <v>282</v>
      </c>
      <c r="H251" s="59" t="s">
        <v>109</v>
      </c>
      <c r="I251" s="32" t="s">
        <v>152</v>
      </c>
    </row>
    <row r="252" spans="1:9" x14ac:dyDescent="0.35">
      <c r="A252" s="19">
        <v>45716</v>
      </c>
      <c r="B252" s="20">
        <v>4000000</v>
      </c>
      <c r="C252" s="20"/>
      <c r="D252" s="20"/>
      <c r="E252" s="56" t="s">
        <v>358</v>
      </c>
      <c r="F252" s="20">
        <f t="shared" si="3"/>
        <v>138647977</v>
      </c>
      <c r="G252" s="7" t="s">
        <v>317</v>
      </c>
      <c r="H252" s="59" t="s">
        <v>201</v>
      </c>
      <c r="I252" s="32" t="s">
        <v>152</v>
      </c>
    </row>
    <row r="253" spans="1:9" x14ac:dyDescent="0.35">
      <c r="A253" s="19">
        <v>45716</v>
      </c>
      <c r="B253" s="20">
        <v>2500</v>
      </c>
      <c r="C253" s="20"/>
      <c r="D253" s="20"/>
      <c r="E253" s="56" t="s">
        <v>358</v>
      </c>
      <c r="F253" s="20">
        <f t="shared" si="3"/>
        <v>138645477</v>
      </c>
      <c r="G253" s="7" t="s">
        <v>318</v>
      </c>
      <c r="H253" s="59" t="s">
        <v>201</v>
      </c>
      <c r="I253" s="32" t="s">
        <v>152</v>
      </c>
    </row>
    <row r="254" spans="1:9" x14ac:dyDescent="0.35">
      <c r="A254" s="19">
        <v>45716</v>
      </c>
      <c r="B254" s="20">
        <v>7000</v>
      </c>
      <c r="C254" s="20"/>
      <c r="D254" s="20"/>
      <c r="E254" s="56" t="s">
        <v>358</v>
      </c>
      <c r="F254" s="20">
        <f t="shared" si="3"/>
        <v>138638477</v>
      </c>
      <c r="G254" s="7" t="s">
        <v>319</v>
      </c>
      <c r="H254" s="59" t="s">
        <v>320</v>
      </c>
      <c r="I254" s="32" t="s">
        <v>152</v>
      </c>
    </row>
    <row r="255" spans="1:9" x14ac:dyDescent="0.35">
      <c r="A255" s="19">
        <v>45719</v>
      </c>
      <c r="B255" s="20"/>
      <c r="C255" s="20"/>
      <c r="D255" s="20">
        <v>50000</v>
      </c>
      <c r="E255" s="99" t="s">
        <v>329</v>
      </c>
      <c r="F255" s="20">
        <f t="shared" si="3"/>
        <v>138688477</v>
      </c>
      <c r="G255" s="7" t="s">
        <v>330</v>
      </c>
      <c r="H255" s="24" t="s">
        <v>109</v>
      </c>
      <c r="I255" s="32" t="s">
        <v>152</v>
      </c>
    </row>
    <row r="256" spans="1:9" x14ac:dyDescent="0.35">
      <c r="A256" s="19">
        <v>45719</v>
      </c>
      <c r="B256" s="20"/>
      <c r="C256" s="20"/>
      <c r="D256" s="20">
        <v>20000</v>
      </c>
      <c r="E256" s="99" t="s">
        <v>329</v>
      </c>
      <c r="F256" s="20">
        <f t="shared" si="3"/>
        <v>138708477</v>
      </c>
      <c r="G256" s="7" t="s">
        <v>330</v>
      </c>
      <c r="H256" s="24" t="s">
        <v>109</v>
      </c>
      <c r="I256" s="32" t="s">
        <v>152</v>
      </c>
    </row>
    <row r="257" spans="1:9" x14ac:dyDescent="0.35">
      <c r="A257" s="19">
        <v>45719</v>
      </c>
      <c r="B257" s="20"/>
      <c r="C257" s="20"/>
      <c r="D257" s="20">
        <v>10000</v>
      </c>
      <c r="E257" s="99" t="s">
        <v>329</v>
      </c>
      <c r="F257" s="20">
        <f t="shared" si="3"/>
        <v>138718477</v>
      </c>
      <c r="G257" s="7" t="s">
        <v>330</v>
      </c>
      <c r="H257" s="24" t="s">
        <v>109</v>
      </c>
      <c r="I257" s="32" t="s">
        <v>152</v>
      </c>
    </row>
    <row r="258" spans="1:9" x14ac:dyDescent="0.35">
      <c r="A258" s="19">
        <v>45719</v>
      </c>
      <c r="B258" s="20"/>
      <c r="C258" s="20"/>
      <c r="D258" s="20">
        <v>75000</v>
      </c>
      <c r="E258" s="99" t="s">
        <v>329</v>
      </c>
      <c r="F258" s="20">
        <f t="shared" si="3"/>
        <v>138793477</v>
      </c>
      <c r="G258" s="7" t="s">
        <v>330</v>
      </c>
      <c r="H258" s="24" t="s">
        <v>109</v>
      </c>
      <c r="I258" s="32" t="s">
        <v>152</v>
      </c>
    </row>
    <row r="259" spans="1:9" x14ac:dyDescent="0.35">
      <c r="A259" s="19">
        <v>45719</v>
      </c>
      <c r="B259" s="20"/>
      <c r="C259" s="20"/>
      <c r="D259" s="20">
        <v>10000</v>
      </c>
      <c r="E259" s="99" t="s">
        <v>329</v>
      </c>
      <c r="F259" s="20">
        <f t="shared" si="3"/>
        <v>138803477</v>
      </c>
      <c r="G259" s="7" t="s">
        <v>330</v>
      </c>
      <c r="H259" s="24" t="s">
        <v>109</v>
      </c>
      <c r="I259" s="32" t="s">
        <v>152</v>
      </c>
    </row>
    <row r="260" spans="1:9" x14ac:dyDescent="0.35">
      <c r="A260" s="19">
        <v>45719</v>
      </c>
      <c r="B260" s="20"/>
      <c r="C260" s="20"/>
      <c r="D260" s="20">
        <v>800</v>
      </c>
      <c r="E260" s="99" t="s">
        <v>329</v>
      </c>
      <c r="F260" s="20">
        <f t="shared" si="3"/>
        <v>138804277</v>
      </c>
      <c r="G260" s="7" t="s">
        <v>330</v>
      </c>
      <c r="H260" s="24" t="s">
        <v>109</v>
      </c>
      <c r="I260" s="32" t="s">
        <v>152</v>
      </c>
    </row>
    <row r="261" spans="1:9" x14ac:dyDescent="0.35">
      <c r="A261" s="19">
        <v>45719</v>
      </c>
      <c r="B261" s="20"/>
      <c r="C261" s="20"/>
      <c r="D261" s="20">
        <v>200000</v>
      </c>
      <c r="E261" s="99" t="s">
        <v>329</v>
      </c>
      <c r="F261" s="20">
        <f t="shared" si="3"/>
        <v>139004277</v>
      </c>
      <c r="G261" s="7" t="s">
        <v>331</v>
      </c>
      <c r="H261" s="24" t="s">
        <v>109</v>
      </c>
      <c r="I261" s="32" t="s">
        <v>152</v>
      </c>
    </row>
    <row r="262" spans="1:9" x14ac:dyDescent="0.35">
      <c r="A262" s="19">
        <v>45719</v>
      </c>
      <c r="B262" s="20">
        <v>4002500</v>
      </c>
      <c r="C262" s="20"/>
      <c r="D262" s="20"/>
      <c r="E262" s="99" t="s">
        <v>329</v>
      </c>
      <c r="F262" s="20">
        <f t="shared" si="3"/>
        <v>135001777</v>
      </c>
      <c r="G262" s="7" t="s">
        <v>332</v>
      </c>
      <c r="H262" s="24" t="s">
        <v>327</v>
      </c>
      <c r="I262" s="32" t="s">
        <v>152</v>
      </c>
    </row>
    <row r="263" spans="1:9" x14ac:dyDescent="0.35">
      <c r="A263" s="19">
        <v>45719</v>
      </c>
      <c r="B263" s="20"/>
      <c r="C263" s="20"/>
      <c r="D263" s="20">
        <v>10000</v>
      </c>
      <c r="E263" s="99" t="s">
        <v>329</v>
      </c>
      <c r="F263" s="20">
        <f t="shared" si="3"/>
        <v>135011777</v>
      </c>
      <c r="G263" s="7" t="s">
        <v>330</v>
      </c>
      <c r="H263" s="24" t="s">
        <v>109</v>
      </c>
      <c r="I263" s="32" t="s">
        <v>152</v>
      </c>
    </row>
    <row r="264" spans="1:9" x14ac:dyDescent="0.35">
      <c r="A264" s="19">
        <v>45719</v>
      </c>
      <c r="B264" s="20"/>
      <c r="C264" s="20"/>
      <c r="D264" s="20">
        <v>50000</v>
      </c>
      <c r="E264" s="99" t="s">
        <v>329</v>
      </c>
      <c r="F264" s="20">
        <f t="shared" si="3"/>
        <v>135061777</v>
      </c>
      <c r="G264" s="7" t="s">
        <v>330</v>
      </c>
      <c r="H264" s="24" t="s">
        <v>109</v>
      </c>
      <c r="I264" s="32" t="s">
        <v>152</v>
      </c>
    </row>
    <row r="265" spans="1:9" x14ac:dyDescent="0.35">
      <c r="A265" s="19">
        <v>45719</v>
      </c>
      <c r="B265" s="20"/>
      <c r="C265" s="20"/>
      <c r="D265" s="20">
        <v>5000</v>
      </c>
      <c r="E265" s="99" t="s">
        <v>329</v>
      </c>
      <c r="F265" s="20">
        <f t="shared" si="3"/>
        <v>135066777</v>
      </c>
      <c r="G265" s="7" t="s">
        <v>330</v>
      </c>
      <c r="H265" s="24" t="s">
        <v>109</v>
      </c>
      <c r="I265" s="32" t="s">
        <v>152</v>
      </c>
    </row>
    <row r="266" spans="1:9" x14ac:dyDescent="0.35">
      <c r="A266" s="19">
        <v>45719</v>
      </c>
      <c r="B266" s="20"/>
      <c r="C266" s="20"/>
      <c r="D266" s="20">
        <v>50000</v>
      </c>
      <c r="E266" s="99" t="s">
        <v>329</v>
      </c>
      <c r="F266" s="20">
        <f t="shared" ref="F266:F329" si="4">+F265+D266-B266</f>
        <v>135116777</v>
      </c>
      <c r="G266" s="7" t="s">
        <v>330</v>
      </c>
      <c r="H266" s="24" t="s">
        <v>109</v>
      </c>
      <c r="I266" s="32" t="s">
        <v>152</v>
      </c>
    </row>
    <row r="267" spans="1:9" x14ac:dyDescent="0.35">
      <c r="A267" s="19">
        <v>45719</v>
      </c>
      <c r="B267" s="20"/>
      <c r="C267" s="20"/>
      <c r="D267" s="20">
        <v>10000</v>
      </c>
      <c r="E267" s="99" t="s">
        <v>329</v>
      </c>
      <c r="F267" s="20">
        <f t="shared" si="4"/>
        <v>135126777</v>
      </c>
      <c r="G267" s="7" t="s">
        <v>330</v>
      </c>
      <c r="H267" s="24" t="s">
        <v>109</v>
      </c>
      <c r="I267" s="32" t="s">
        <v>152</v>
      </c>
    </row>
    <row r="268" spans="1:9" x14ac:dyDescent="0.35">
      <c r="A268" s="19">
        <v>45719</v>
      </c>
      <c r="B268" s="20"/>
      <c r="C268" s="20"/>
      <c r="D268" s="20">
        <v>20000</v>
      </c>
      <c r="E268" s="99" t="s">
        <v>329</v>
      </c>
      <c r="F268" s="20">
        <f t="shared" si="4"/>
        <v>135146777</v>
      </c>
      <c r="G268" s="7" t="s">
        <v>330</v>
      </c>
      <c r="H268" s="24" t="s">
        <v>109</v>
      </c>
      <c r="I268" s="32" t="s">
        <v>152</v>
      </c>
    </row>
    <row r="269" spans="1:9" x14ac:dyDescent="0.35">
      <c r="A269" s="19">
        <v>45719</v>
      </c>
      <c r="B269" s="20"/>
      <c r="C269" s="20"/>
      <c r="D269" s="20">
        <v>10000</v>
      </c>
      <c r="E269" s="99" t="s">
        <v>329</v>
      </c>
      <c r="F269" s="20">
        <f t="shared" si="4"/>
        <v>135156777</v>
      </c>
      <c r="G269" s="7" t="s">
        <v>330</v>
      </c>
      <c r="H269" s="24" t="s">
        <v>109</v>
      </c>
      <c r="I269" s="32" t="s">
        <v>152</v>
      </c>
    </row>
    <row r="270" spans="1:9" x14ac:dyDescent="0.35">
      <c r="A270" s="19">
        <v>45719</v>
      </c>
      <c r="B270" s="20"/>
      <c r="C270" s="20"/>
      <c r="D270" s="20">
        <v>5000</v>
      </c>
      <c r="E270" s="99" t="s">
        <v>329</v>
      </c>
      <c r="F270" s="20">
        <f t="shared" si="4"/>
        <v>135161777</v>
      </c>
      <c r="G270" s="7" t="s">
        <v>330</v>
      </c>
      <c r="H270" s="24" t="s">
        <v>109</v>
      </c>
      <c r="I270" s="32" t="s">
        <v>152</v>
      </c>
    </row>
    <row r="271" spans="1:9" x14ac:dyDescent="0.35">
      <c r="A271" s="19">
        <v>45719</v>
      </c>
      <c r="B271" s="20"/>
      <c r="C271" s="20"/>
      <c r="D271" s="20">
        <v>100000</v>
      </c>
      <c r="E271" s="99" t="s">
        <v>329</v>
      </c>
      <c r="F271" s="20">
        <f t="shared" si="4"/>
        <v>135261777</v>
      </c>
      <c r="G271" s="7" t="s">
        <v>330</v>
      </c>
      <c r="H271" s="24" t="s">
        <v>109</v>
      </c>
      <c r="I271" s="32" t="s">
        <v>152</v>
      </c>
    </row>
    <row r="272" spans="1:9" x14ac:dyDescent="0.35">
      <c r="A272" s="19">
        <v>45719</v>
      </c>
      <c r="B272" s="20"/>
      <c r="C272" s="20"/>
      <c r="D272" s="20">
        <v>20000</v>
      </c>
      <c r="E272" s="99" t="s">
        <v>329</v>
      </c>
      <c r="F272" s="20">
        <f t="shared" si="4"/>
        <v>135281777</v>
      </c>
      <c r="G272" s="7" t="s">
        <v>330</v>
      </c>
      <c r="H272" s="24" t="s">
        <v>109</v>
      </c>
      <c r="I272" s="32" t="s">
        <v>152</v>
      </c>
    </row>
    <row r="273" spans="1:9" x14ac:dyDescent="0.35">
      <c r="A273" s="19">
        <v>45719</v>
      </c>
      <c r="B273" s="20"/>
      <c r="C273" s="20"/>
      <c r="D273" s="20">
        <v>10000</v>
      </c>
      <c r="E273" s="99" t="s">
        <v>329</v>
      </c>
      <c r="F273" s="20">
        <f t="shared" si="4"/>
        <v>135291777</v>
      </c>
      <c r="G273" s="7" t="s">
        <v>330</v>
      </c>
      <c r="H273" s="24" t="s">
        <v>109</v>
      </c>
      <c r="I273" s="32" t="s">
        <v>152</v>
      </c>
    </row>
    <row r="274" spans="1:9" x14ac:dyDescent="0.35">
      <c r="A274" s="19">
        <v>45719</v>
      </c>
      <c r="B274" s="20"/>
      <c r="C274" s="20"/>
      <c r="D274" s="20">
        <v>5000</v>
      </c>
      <c r="E274" s="99" t="s">
        <v>329</v>
      </c>
      <c r="F274" s="20">
        <f t="shared" si="4"/>
        <v>135296777</v>
      </c>
      <c r="G274" s="7" t="s">
        <v>330</v>
      </c>
      <c r="H274" s="24" t="s">
        <v>109</v>
      </c>
      <c r="I274" s="32" t="s">
        <v>152</v>
      </c>
    </row>
    <row r="275" spans="1:9" x14ac:dyDescent="0.35">
      <c r="A275" s="19">
        <v>45719</v>
      </c>
      <c r="B275" s="20"/>
      <c r="C275" s="20"/>
      <c r="D275" s="20">
        <v>5000</v>
      </c>
      <c r="E275" s="99" t="s">
        <v>329</v>
      </c>
      <c r="F275" s="20">
        <f t="shared" si="4"/>
        <v>135301777</v>
      </c>
      <c r="G275" s="7" t="s">
        <v>330</v>
      </c>
      <c r="H275" s="24" t="s">
        <v>109</v>
      </c>
      <c r="I275" s="32" t="s">
        <v>152</v>
      </c>
    </row>
    <row r="276" spans="1:9" x14ac:dyDescent="0.35">
      <c r="A276" s="19">
        <v>45719</v>
      </c>
      <c r="B276" s="20"/>
      <c r="C276" s="20"/>
      <c r="D276" s="20">
        <v>200000</v>
      </c>
      <c r="E276" s="99" t="s">
        <v>329</v>
      </c>
      <c r="F276" s="20">
        <f t="shared" si="4"/>
        <v>135501777</v>
      </c>
      <c r="G276" s="7" t="s">
        <v>333</v>
      </c>
      <c r="H276" s="24" t="s">
        <v>109</v>
      </c>
      <c r="I276" s="32" t="s">
        <v>152</v>
      </c>
    </row>
    <row r="277" spans="1:9" x14ac:dyDescent="0.35">
      <c r="A277" s="19">
        <v>45719</v>
      </c>
      <c r="B277" s="20"/>
      <c r="C277" s="20"/>
      <c r="D277" s="20">
        <v>550000</v>
      </c>
      <c r="E277" s="99" t="s">
        <v>329</v>
      </c>
      <c r="F277" s="20">
        <f t="shared" si="4"/>
        <v>136051777</v>
      </c>
      <c r="G277" s="7" t="s">
        <v>330</v>
      </c>
      <c r="H277" s="24" t="s">
        <v>109</v>
      </c>
      <c r="I277" s="32" t="s">
        <v>152</v>
      </c>
    </row>
    <row r="278" spans="1:9" x14ac:dyDescent="0.35">
      <c r="A278" s="19">
        <v>45719</v>
      </c>
      <c r="B278" s="20"/>
      <c r="C278" s="20"/>
      <c r="D278" s="20">
        <v>50000</v>
      </c>
      <c r="E278" s="99" t="s">
        <v>329</v>
      </c>
      <c r="F278" s="20">
        <f t="shared" si="4"/>
        <v>136101777</v>
      </c>
      <c r="G278" s="7" t="s">
        <v>330</v>
      </c>
      <c r="H278" s="24" t="s">
        <v>109</v>
      </c>
      <c r="I278" s="32" t="s">
        <v>152</v>
      </c>
    </row>
    <row r="279" spans="1:9" x14ac:dyDescent="0.35">
      <c r="A279" s="19">
        <v>45719</v>
      </c>
      <c r="B279" s="20"/>
      <c r="C279" s="20"/>
      <c r="D279" s="20">
        <v>21439</v>
      </c>
      <c r="E279" s="99" t="s">
        <v>329</v>
      </c>
      <c r="F279" s="20">
        <f t="shared" si="4"/>
        <v>136123216</v>
      </c>
      <c r="G279" s="7" t="s">
        <v>330</v>
      </c>
      <c r="H279" s="24" t="s">
        <v>109</v>
      </c>
      <c r="I279" s="32" t="s">
        <v>152</v>
      </c>
    </row>
    <row r="280" spans="1:9" x14ac:dyDescent="0.35">
      <c r="A280" s="19">
        <v>45719</v>
      </c>
      <c r="B280" s="20"/>
      <c r="C280" s="20"/>
      <c r="D280" s="20">
        <v>50000</v>
      </c>
      <c r="E280" s="99" t="s">
        <v>329</v>
      </c>
      <c r="F280" s="20">
        <f t="shared" si="4"/>
        <v>136173216</v>
      </c>
      <c r="G280" s="7" t="s">
        <v>330</v>
      </c>
      <c r="H280" s="24" t="s">
        <v>109</v>
      </c>
      <c r="I280" s="32" t="s">
        <v>152</v>
      </c>
    </row>
    <row r="281" spans="1:9" x14ac:dyDescent="0.35">
      <c r="A281" s="19">
        <v>45719</v>
      </c>
      <c r="B281" s="20"/>
      <c r="C281" s="20"/>
      <c r="D281" s="20">
        <v>10000</v>
      </c>
      <c r="E281" s="99" t="s">
        <v>329</v>
      </c>
      <c r="F281" s="20">
        <f t="shared" si="4"/>
        <v>136183216</v>
      </c>
      <c r="G281" s="7" t="s">
        <v>330</v>
      </c>
      <c r="H281" s="24" t="s">
        <v>109</v>
      </c>
      <c r="I281" s="32" t="s">
        <v>152</v>
      </c>
    </row>
    <row r="282" spans="1:9" x14ac:dyDescent="0.35">
      <c r="A282" s="19">
        <v>45719</v>
      </c>
      <c r="B282" s="20"/>
      <c r="C282" s="20"/>
      <c r="D282" s="20">
        <v>10000</v>
      </c>
      <c r="E282" s="99" t="s">
        <v>329</v>
      </c>
      <c r="F282" s="20">
        <f t="shared" si="4"/>
        <v>136193216</v>
      </c>
      <c r="G282" s="7" t="s">
        <v>330</v>
      </c>
      <c r="H282" s="24" t="s">
        <v>109</v>
      </c>
      <c r="I282" s="32" t="s">
        <v>152</v>
      </c>
    </row>
    <row r="283" spans="1:9" x14ac:dyDescent="0.35">
      <c r="A283" s="19">
        <v>45719</v>
      </c>
      <c r="B283" s="20"/>
      <c r="C283" s="20"/>
      <c r="D283" s="20">
        <v>5000</v>
      </c>
      <c r="E283" s="99" t="s">
        <v>329</v>
      </c>
      <c r="F283" s="20">
        <f t="shared" si="4"/>
        <v>136198216</v>
      </c>
      <c r="G283" s="7" t="s">
        <v>330</v>
      </c>
      <c r="H283" s="24" t="s">
        <v>109</v>
      </c>
      <c r="I283" s="32" t="s">
        <v>152</v>
      </c>
    </row>
    <row r="284" spans="1:9" x14ac:dyDescent="0.35">
      <c r="A284" s="19">
        <v>45719</v>
      </c>
      <c r="B284" s="20"/>
      <c r="C284" s="20"/>
      <c r="D284" s="20">
        <v>20000</v>
      </c>
      <c r="E284" s="99" t="s">
        <v>329</v>
      </c>
      <c r="F284" s="20">
        <f t="shared" si="4"/>
        <v>136218216</v>
      </c>
      <c r="G284" s="7" t="s">
        <v>330</v>
      </c>
      <c r="H284" s="24" t="s">
        <v>109</v>
      </c>
      <c r="I284" s="32" t="s">
        <v>152</v>
      </c>
    </row>
    <row r="285" spans="1:9" x14ac:dyDescent="0.35">
      <c r="A285" s="19">
        <v>45719</v>
      </c>
      <c r="B285" s="20"/>
      <c r="C285" s="20"/>
      <c r="D285" s="20">
        <v>100000</v>
      </c>
      <c r="E285" s="99" t="s">
        <v>329</v>
      </c>
      <c r="F285" s="20">
        <f t="shared" si="4"/>
        <v>136318216</v>
      </c>
      <c r="G285" s="7" t="s">
        <v>330</v>
      </c>
      <c r="H285" s="24" t="s">
        <v>109</v>
      </c>
      <c r="I285" s="32" t="s">
        <v>152</v>
      </c>
    </row>
    <row r="286" spans="1:9" x14ac:dyDescent="0.35">
      <c r="A286" s="19">
        <v>45719</v>
      </c>
      <c r="B286" s="20"/>
      <c r="C286" s="20"/>
      <c r="D286" s="20">
        <v>100000</v>
      </c>
      <c r="E286" s="99" t="s">
        <v>329</v>
      </c>
      <c r="F286" s="20">
        <f t="shared" si="4"/>
        <v>136418216</v>
      </c>
      <c r="G286" s="7" t="s">
        <v>330</v>
      </c>
      <c r="H286" s="24" t="s">
        <v>109</v>
      </c>
      <c r="I286" s="32" t="s">
        <v>152</v>
      </c>
    </row>
    <row r="287" spans="1:9" x14ac:dyDescent="0.35">
      <c r="A287" s="19">
        <v>45719</v>
      </c>
      <c r="B287" s="20"/>
      <c r="C287" s="20"/>
      <c r="D287" s="20">
        <v>50000</v>
      </c>
      <c r="E287" s="99" t="s">
        <v>329</v>
      </c>
      <c r="F287" s="20">
        <f t="shared" si="4"/>
        <v>136468216</v>
      </c>
      <c r="G287" s="7" t="s">
        <v>330</v>
      </c>
      <c r="H287" s="24" t="s">
        <v>109</v>
      </c>
      <c r="I287" s="32" t="s">
        <v>152</v>
      </c>
    </row>
    <row r="288" spans="1:9" x14ac:dyDescent="0.35">
      <c r="A288" s="19">
        <v>45719</v>
      </c>
      <c r="B288" s="20"/>
      <c r="C288" s="20"/>
      <c r="D288" s="20">
        <v>25000</v>
      </c>
      <c r="E288" s="99" t="s">
        <v>329</v>
      </c>
      <c r="F288" s="20">
        <f t="shared" si="4"/>
        <v>136493216</v>
      </c>
      <c r="G288" s="7" t="s">
        <v>330</v>
      </c>
      <c r="H288" s="24" t="s">
        <v>109</v>
      </c>
      <c r="I288" s="32" t="s">
        <v>152</v>
      </c>
    </row>
    <row r="289" spans="1:9" x14ac:dyDescent="0.35">
      <c r="A289" s="19">
        <v>45719</v>
      </c>
      <c r="B289" s="20"/>
      <c r="C289" s="20"/>
      <c r="D289" s="20">
        <v>20000</v>
      </c>
      <c r="E289" s="99" t="s">
        <v>329</v>
      </c>
      <c r="F289" s="20">
        <f t="shared" si="4"/>
        <v>136513216</v>
      </c>
      <c r="G289" s="7" t="s">
        <v>330</v>
      </c>
      <c r="H289" s="24" t="s">
        <v>109</v>
      </c>
      <c r="I289" s="32" t="s">
        <v>152</v>
      </c>
    </row>
    <row r="290" spans="1:9" x14ac:dyDescent="0.35">
      <c r="A290" s="19">
        <v>45719</v>
      </c>
      <c r="B290" s="20"/>
      <c r="C290" s="20"/>
      <c r="D290" s="20">
        <v>10000</v>
      </c>
      <c r="E290" s="99" t="s">
        <v>329</v>
      </c>
      <c r="F290" s="20">
        <f t="shared" si="4"/>
        <v>136523216</v>
      </c>
      <c r="G290" s="7" t="s">
        <v>330</v>
      </c>
      <c r="H290" s="24" t="s">
        <v>109</v>
      </c>
      <c r="I290" s="32" t="s">
        <v>152</v>
      </c>
    </row>
    <row r="291" spans="1:9" x14ac:dyDescent="0.35">
      <c r="A291" s="19">
        <v>45719</v>
      </c>
      <c r="B291" s="20"/>
      <c r="C291" s="20"/>
      <c r="D291" s="20">
        <v>4000</v>
      </c>
      <c r="E291" s="99" t="s">
        <v>329</v>
      </c>
      <c r="F291" s="20">
        <f t="shared" si="4"/>
        <v>136527216</v>
      </c>
      <c r="G291" s="7" t="s">
        <v>330</v>
      </c>
      <c r="H291" s="24" t="s">
        <v>109</v>
      </c>
      <c r="I291" s="32" t="s">
        <v>152</v>
      </c>
    </row>
    <row r="292" spans="1:9" x14ac:dyDescent="0.35">
      <c r="A292" s="19">
        <v>45719</v>
      </c>
      <c r="B292" s="20"/>
      <c r="C292" s="20"/>
      <c r="D292" s="20">
        <v>500000</v>
      </c>
      <c r="E292" s="99" t="s">
        <v>329</v>
      </c>
      <c r="F292" s="20">
        <f t="shared" si="4"/>
        <v>137027216</v>
      </c>
      <c r="G292" s="7" t="s">
        <v>233</v>
      </c>
      <c r="H292" s="24" t="s">
        <v>109</v>
      </c>
      <c r="I292" s="32" t="s">
        <v>152</v>
      </c>
    </row>
    <row r="293" spans="1:9" x14ac:dyDescent="0.35">
      <c r="A293" s="19">
        <v>45719</v>
      </c>
      <c r="B293" s="20"/>
      <c r="C293" s="20"/>
      <c r="D293" s="23">
        <v>2885000</v>
      </c>
      <c r="E293" s="99" t="s">
        <v>329</v>
      </c>
      <c r="F293" s="20">
        <f t="shared" si="4"/>
        <v>139912216</v>
      </c>
      <c r="G293" s="24" t="s">
        <v>107</v>
      </c>
      <c r="H293" s="24" t="s">
        <v>107</v>
      </c>
      <c r="I293" s="32" t="s">
        <v>152</v>
      </c>
    </row>
    <row r="294" spans="1:9" x14ac:dyDescent="0.35">
      <c r="A294" s="19">
        <v>45719</v>
      </c>
      <c r="B294" s="20"/>
      <c r="C294" s="20"/>
      <c r="D294" s="23">
        <v>1322000</v>
      </c>
      <c r="E294" s="99" t="s">
        <v>329</v>
      </c>
      <c r="F294" s="20">
        <f t="shared" si="4"/>
        <v>141234216</v>
      </c>
      <c r="G294" s="24" t="s">
        <v>109</v>
      </c>
      <c r="H294" s="24" t="s">
        <v>109</v>
      </c>
      <c r="I294" s="32" t="s">
        <v>152</v>
      </c>
    </row>
    <row r="295" spans="1:9" x14ac:dyDescent="0.35">
      <c r="A295" s="19"/>
      <c r="B295" s="20"/>
      <c r="C295" s="20">
        <v>4207000</v>
      </c>
      <c r="D295" s="20"/>
      <c r="E295" s="99"/>
      <c r="F295" s="20">
        <f t="shared" si="4"/>
        <v>141234216</v>
      </c>
      <c r="G295" s="7" t="s">
        <v>305</v>
      </c>
      <c r="H295" s="24"/>
      <c r="I295" s="32"/>
    </row>
    <row r="296" spans="1:9" x14ac:dyDescent="0.35">
      <c r="A296" s="19">
        <v>45719</v>
      </c>
      <c r="B296" s="20"/>
      <c r="C296" s="20"/>
      <c r="D296" s="20">
        <v>200000</v>
      </c>
      <c r="E296" s="99" t="s">
        <v>329</v>
      </c>
      <c r="F296" s="20">
        <f t="shared" si="4"/>
        <v>141434216</v>
      </c>
      <c r="G296" s="7" t="s">
        <v>237</v>
      </c>
      <c r="H296" s="24" t="s">
        <v>109</v>
      </c>
      <c r="I296" s="32" t="s">
        <v>152</v>
      </c>
    </row>
    <row r="297" spans="1:9" x14ac:dyDescent="0.35">
      <c r="A297" s="19">
        <v>45720</v>
      </c>
      <c r="B297" s="20"/>
      <c r="C297" s="20"/>
      <c r="D297" s="20">
        <v>900000</v>
      </c>
      <c r="E297" s="99" t="s">
        <v>329</v>
      </c>
      <c r="F297" s="20">
        <f t="shared" si="4"/>
        <v>142334216</v>
      </c>
      <c r="G297" s="7" t="s">
        <v>334</v>
      </c>
      <c r="H297" s="24" t="s">
        <v>109</v>
      </c>
      <c r="I297" s="32" t="s">
        <v>152</v>
      </c>
    </row>
    <row r="298" spans="1:9" x14ac:dyDescent="0.35">
      <c r="A298" s="19">
        <v>45720</v>
      </c>
      <c r="B298" s="20"/>
      <c r="C298" s="20"/>
      <c r="D298" s="20">
        <v>300000</v>
      </c>
      <c r="E298" s="99" t="s">
        <v>329</v>
      </c>
      <c r="F298" s="20">
        <f t="shared" si="4"/>
        <v>142634216</v>
      </c>
      <c r="G298" s="7" t="s">
        <v>335</v>
      </c>
      <c r="H298" s="24" t="s">
        <v>109</v>
      </c>
      <c r="I298" s="32" t="s">
        <v>152</v>
      </c>
    </row>
    <row r="299" spans="1:9" x14ac:dyDescent="0.35">
      <c r="A299" s="19">
        <v>45720</v>
      </c>
      <c r="B299" s="20"/>
      <c r="C299" s="20"/>
      <c r="D299" s="20">
        <v>10000</v>
      </c>
      <c r="E299" s="99" t="s">
        <v>329</v>
      </c>
      <c r="F299" s="20">
        <f t="shared" si="4"/>
        <v>142644216</v>
      </c>
      <c r="G299" s="7" t="s">
        <v>330</v>
      </c>
      <c r="H299" s="24" t="s">
        <v>109</v>
      </c>
      <c r="I299" s="32" t="s">
        <v>152</v>
      </c>
    </row>
    <row r="300" spans="1:9" x14ac:dyDescent="0.35">
      <c r="A300" s="19">
        <v>45720</v>
      </c>
      <c r="B300" s="20"/>
      <c r="C300" s="20"/>
      <c r="D300" s="20">
        <v>5000</v>
      </c>
      <c r="E300" s="99" t="s">
        <v>329</v>
      </c>
      <c r="F300" s="20">
        <f t="shared" si="4"/>
        <v>142649216</v>
      </c>
      <c r="G300" s="7" t="s">
        <v>330</v>
      </c>
      <c r="H300" s="24" t="s">
        <v>109</v>
      </c>
      <c r="I300" s="32" t="s">
        <v>152</v>
      </c>
    </row>
    <row r="301" spans="1:9" x14ac:dyDescent="0.35">
      <c r="A301" s="19">
        <v>45720</v>
      </c>
      <c r="B301" s="20"/>
      <c r="C301" s="20"/>
      <c r="D301" s="20">
        <v>20000</v>
      </c>
      <c r="E301" s="99" t="s">
        <v>329</v>
      </c>
      <c r="F301" s="20">
        <f t="shared" si="4"/>
        <v>142669216</v>
      </c>
      <c r="G301" s="7" t="s">
        <v>330</v>
      </c>
      <c r="H301" s="24" t="s">
        <v>109</v>
      </c>
      <c r="I301" s="32" t="s">
        <v>152</v>
      </c>
    </row>
    <row r="302" spans="1:9" x14ac:dyDescent="0.35">
      <c r="A302" s="19">
        <v>45720</v>
      </c>
      <c r="B302" s="20"/>
      <c r="C302" s="20"/>
      <c r="D302" s="20">
        <v>50000</v>
      </c>
      <c r="E302" s="99" t="s">
        <v>329</v>
      </c>
      <c r="F302" s="20">
        <f t="shared" si="4"/>
        <v>142719216</v>
      </c>
      <c r="G302" s="7" t="s">
        <v>330</v>
      </c>
      <c r="H302" s="24" t="s">
        <v>109</v>
      </c>
      <c r="I302" s="32" t="s">
        <v>152</v>
      </c>
    </row>
    <row r="303" spans="1:9" x14ac:dyDescent="0.35">
      <c r="A303" s="19">
        <v>45720</v>
      </c>
      <c r="B303" s="20"/>
      <c r="C303" s="20"/>
      <c r="D303" s="20">
        <v>10000</v>
      </c>
      <c r="E303" s="99" t="s">
        <v>329</v>
      </c>
      <c r="F303" s="20">
        <f t="shared" si="4"/>
        <v>142729216</v>
      </c>
      <c r="G303" s="7" t="s">
        <v>330</v>
      </c>
      <c r="H303" s="24" t="s">
        <v>109</v>
      </c>
      <c r="I303" s="32" t="s">
        <v>152</v>
      </c>
    </row>
    <row r="304" spans="1:9" x14ac:dyDescent="0.35">
      <c r="A304" s="19">
        <v>45720</v>
      </c>
      <c r="B304" s="20"/>
      <c r="C304" s="20"/>
      <c r="D304" s="20">
        <v>10000</v>
      </c>
      <c r="E304" s="99" t="s">
        <v>329</v>
      </c>
      <c r="F304" s="20">
        <f t="shared" si="4"/>
        <v>142739216</v>
      </c>
      <c r="G304" s="7" t="s">
        <v>330</v>
      </c>
      <c r="H304" s="24" t="s">
        <v>109</v>
      </c>
      <c r="I304" s="32" t="s">
        <v>152</v>
      </c>
    </row>
    <row r="305" spans="1:9" x14ac:dyDescent="0.35">
      <c r="A305" s="19">
        <v>45720</v>
      </c>
      <c r="B305" s="20">
        <v>855000</v>
      </c>
      <c r="C305" s="20"/>
      <c r="D305" s="20"/>
      <c r="E305" s="99" t="s">
        <v>329</v>
      </c>
      <c r="F305" s="20">
        <f t="shared" si="4"/>
        <v>141884216</v>
      </c>
      <c r="G305" s="7" t="s">
        <v>336</v>
      </c>
      <c r="H305" s="24" t="s">
        <v>322</v>
      </c>
      <c r="I305" s="32" t="s">
        <v>152</v>
      </c>
    </row>
    <row r="306" spans="1:9" x14ac:dyDescent="0.35">
      <c r="A306" s="19">
        <v>45720</v>
      </c>
      <c r="B306" s="20">
        <v>2500</v>
      </c>
      <c r="C306" s="20"/>
      <c r="D306" s="20"/>
      <c r="E306" s="99" t="s">
        <v>329</v>
      </c>
      <c r="F306" s="20">
        <f t="shared" si="4"/>
        <v>141881716</v>
      </c>
      <c r="G306" s="7" t="s">
        <v>337</v>
      </c>
      <c r="H306" s="24" t="s">
        <v>322</v>
      </c>
      <c r="I306" s="32" t="s">
        <v>152</v>
      </c>
    </row>
    <row r="307" spans="1:9" x14ac:dyDescent="0.35">
      <c r="A307" s="19">
        <v>45720</v>
      </c>
      <c r="B307" s="20"/>
      <c r="C307" s="20"/>
      <c r="D307" s="20">
        <v>150000</v>
      </c>
      <c r="E307" s="99" t="s">
        <v>329</v>
      </c>
      <c r="F307" s="20">
        <f t="shared" si="4"/>
        <v>142031716</v>
      </c>
      <c r="G307" s="7" t="s">
        <v>338</v>
      </c>
      <c r="H307" s="24" t="s">
        <v>109</v>
      </c>
      <c r="I307" s="32" t="s">
        <v>152</v>
      </c>
    </row>
    <row r="308" spans="1:9" x14ac:dyDescent="0.35">
      <c r="A308" s="19">
        <v>45721</v>
      </c>
      <c r="B308" s="20"/>
      <c r="C308" s="20"/>
      <c r="D308" s="20">
        <v>1000000</v>
      </c>
      <c r="E308" s="99" t="s">
        <v>329</v>
      </c>
      <c r="F308" s="20">
        <f t="shared" si="4"/>
        <v>143031716</v>
      </c>
      <c r="G308" s="7" t="s">
        <v>339</v>
      </c>
      <c r="H308" s="24" t="s">
        <v>109</v>
      </c>
      <c r="I308" s="32" t="s">
        <v>152</v>
      </c>
    </row>
    <row r="309" spans="1:9" x14ac:dyDescent="0.35">
      <c r="A309" s="19">
        <v>45721</v>
      </c>
      <c r="B309" s="20">
        <v>1350000</v>
      </c>
      <c r="C309" s="20"/>
      <c r="D309" s="20"/>
      <c r="E309" s="99" t="s">
        <v>329</v>
      </c>
      <c r="F309" s="20">
        <f t="shared" si="4"/>
        <v>141681716</v>
      </c>
      <c r="G309" s="7" t="s">
        <v>340</v>
      </c>
      <c r="H309" s="24" t="s">
        <v>321</v>
      </c>
      <c r="I309" s="32" t="s">
        <v>152</v>
      </c>
    </row>
    <row r="310" spans="1:9" x14ac:dyDescent="0.35">
      <c r="A310" s="19">
        <v>45721</v>
      </c>
      <c r="B310" s="20">
        <v>2500</v>
      </c>
      <c r="C310" s="20"/>
      <c r="D310" s="20"/>
      <c r="E310" s="99" t="s">
        <v>329</v>
      </c>
      <c r="F310" s="20">
        <f t="shared" si="4"/>
        <v>141679216</v>
      </c>
      <c r="G310" s="7" t="s">
        <v>341</v>
      </c>
      <c r="H310" s="24" t="s">
        <v>321</v>
      </c>
      <c r="I310" s="32" t="s">
        <v>152</v>
      </c>
    </row>
    <row r="311" spans="1:9" x14ac:dyDescent="0.35">
      <c r="A311" s="19">
        <v>45721</v>
      </c>
      <c r="B311" s="20"/>
      <c r="C311" s="20"/>
      <c r="D311" s="20">
        <v>1000000</v>
      </c>
      <c r="E311" s="99" t="s">
        <v>329</v>
      </c>
      <c r="F311" s="20">
        <f t="shared" si="4"/>
        <v>142679216</v>
      </c>
      <c r="G311" s="7" t="s">
        <v>342</v>
      </c>
      <c r="H311" s="24" t="s">
        <v>109</v>
      </c>
      <c r="I311" s="32" t="s">
        <v>152</v>
      </c>
    </row>
    <row r="312" spans="1:9" x14ac:dyDescent="0.35">
      <c r="A312" s="19">
        <v>45721</v>
      </c>
      <c r="B312" s="20"/>
      <c r="C312" s="20"/>
      <c r="D312" s="20">
        <v>10000</v>
      </c>
      <c r="E312" s="99" t="s">
        <v>329</v>
      </c>
      <c r="F312" s="20">
        <f t="shared" si="4"/>
        <v>142689216</v>
      </c>
      <c r="G312" s="7" t="s">
        <v>330</v>
      </c>
      <c r="H312" s="24" t="s">
        <v>109</v>
      </c>
      <c r="I312" s="32" t="s">
        <v>152</v>
      </c>
    </row>
    <row r="313" spans="1:9" x14ac:dyDescent="0.35">
      <c r="A313" s="19">
        <v>45721</v>
      </c>
      <c r="B313" s="20"/>
      <c r="C313" s="20"/>
      <c r="D313" s="20">
        <v>100000</v>
      </c>
      <c r="E313" s="99" t="s">
        <v>329</v>
      </c>
      <c r="F313" s="20">
        <f t="shared" si="4"/>
        <v>142789216</v>
      </c>
      <c r="G313" s="7" t="s">
        <v>330</v>
      </c>
      <c r="H313" s="24" t="s">
        <v>109</v>
      </c>
      <c r="I313" s="32" t="s">
        <v>152</v>
      </c>
    </row>
    <row r="314" spans="1:9" x14ac:dyDescent="0.35">
      <c r="A314" s="19">
        <v>45721</v>
      </c>
      <c r="B314" s="20"/>
      <c r="C314" s="20"/>
      <c r="D314" s="20">
        <v>20000</v>
      </c>
      <c r="E314" s="99" t="s">
        <v>329</v>
      </c>
      <c r="F314" s="20">
        <f t="shared" si="4"/>
        <v>142809216</v>
      </c>
      <c r="G314" s="7" t="s">
        <v>330</v>
      </c>
      <c r="H314" s="24" t="s">
        <v>109</v>
      </c>
      <c r="I314" s="32" t="s">
        <v>152</v>
      </c>
    </row>
    <row r="315" spans="1:9" x14ac:dyDescent="0.35">
      <c r="A315" s="19">
        <v>45721</v>
      </c>
      <c r="B315" s="20"/>
      <c r="C315" s="20"/>
      <c r="D315" s="20">
        <v>25000</v>
      </c>
      <c r="E315" s="99" t="s">
        <v>329</v>
      </c>
      <c r="F315" s="20">
        <f t="shared" si="4"/>
        <v>142834216</v>
      </c>
      <c r="G315" s="7" t="s">
        <v>330</v>
      </c>
      <c r="H315" s="24" t="s">
        <v>109</v>
      </c>
      <c r="I315" s="32" t="s">
        <v>152</v>
      </c>
    </row>
    <row r="316" spans="1:9" x14ac:dyDescent="0.35">
      <c r="A316" s="19">
        <v>45721</v>
      </c>
      <c r="B316" s="20"/>
      <c r="C316" s="20"/>
      <c r="D316" s="20">
        <v>10000</v>
      </c>
      <c r="E316" s="99" t="s">
        <v>329</v>
      </c>
      <c r="F316" s="20">
        <f t="shared" si="4"/>
        <v>142844216</v>
      </c>
      <c r="G316" s="7" t="s">
        <v>330</v>
      </c>
      <c r="H316" s="24" t="s">
        <v>109</v>
      </c>
      <c r="I316" s="32" t="s">
        <v>152</v>
      </c>
    </row>
    <row r="317" spans="1:9" x14ac:dyDescent="0.35">
      <c r="A317" s="19">
        <v>45721</v>
      </c>
      <c r="B317" s="20"/>
      <c r="C317" s="20"/>
      <c r="D317" s="20">
        <v>50000</v>
      </c>
      <c r="E317" s="99" t="s">
        <v>329</v>
      </c>
      <c r="F317" s="20">
        <f t="shared" si="4"/>
        <v>142894216</v>
      </c>
      <c r="G317" s="7" t="s">
        <v>330</v>
      </c>
      <c r="H317" s="24" t="s">
        <v>109</v>
      </c>
      <c r="I317" s="32" t="s">
        <v>152</v>
      </c>
    </row>
    <row r="318" spans="1:9" x14ac:dyDescent="0.35">
      <c r="A318" s="19">
        <v>45721</v>
      </c>
      <c r="B318" s="20"/>
      <c r="C318" s="20"/>
      <c r="D318" s="20">
        <v>4341</v>
      </c>
      <c r="E318" s="99" t="s">
        <v>329</v>
      </c>
      <c r="F318" s="20">
        <f t="shared" si="4"/>
        <v>142898557</v>
      </c>
      <c r="G318" s="7" t="s">
        <v>330</v>
      </c>
      <c r="H318" s="24" t="s">
        <v>109</v>
      </c>
      <c r="I318" s="32" t="s">
        <v>152</v>
      </c>
    </row>
    <row r="319" spans="1:9" x14ac:dyDescent="0.35">
      <c r="A319" s="19">
        <v>45721</v>
      </c>
      <c r="B319" s="20"/>
      <c r="C319" s="20"/>
      <c r="D319" s="20">
        <v>16000</v>
      </c>
      <c r="E319" s="99" t="s">
        <v>329</v>
      </c>
      <c r="F319" s="20">
        <f t="shared" si="4"/>
        <v>142914557</v>
      </c>
      <c r="G319" s="7" t="s">
        <v>330</v>
      </c>
      <c r="H319" s="24" t="s">
        <v>109</v>
      </c>
      <c r="I319" s="32" t="s">
        <v>152</v>
      </c>
    </row>
    <row r="320" spans="1:9" x14ac:dyDescent="0.35">
      <c r="A320" s="19">
        <v>45721</v>
      </c>
      <c r="B320" s="20"/>
      <c r="C320" s="20"/>
      <c r="D320" s="20">
        <v>216</v>
      </c>
      <c r="E320" s="99" t="s">
        <v>329</v>
      </c>
      <c r="F320" s="20">
        <f t="shared" si="4"/>
        <v>142914773</v>
      </c>
      <c r="G320" s="7" t="s">
        <v>330</v>
      </c>
      <c r="H320" s="24" t="s">
        <v>109</v>
      </c>
      <c r="I320" s="32" t="s">
        <v>152</v>
      </c>
    </row>
    <row r="321" spans="1:9" x14ac:dyDescent="0.35">
      <c r="A321" s="19">
        <v>45721</v>
      </c>
      <c r="B321" s="20">
        <v>500000</v>
      </c>
      <c r="C321" s="20"/>
      <c r="D321" s="20"/>
      <c r="E321" s="99" t="s">
        <v>329</v>
      </c>
      <c r="F321" s="20">
        <f t="shared" si="4"/>
        <v>142414773</v>
      </c>
      <c r="G321" s="7" t="s">
        <v>343</v>
      </c>
      <c r="H321" s="24" t="s">
        <v>322</v>
      </c>
      <c r="I321" s="32" t="s">
        <v>152</v>
      </c>
    </row>
    <row r="322" spans="1:9" x14ac:dyDescent="0.35">
      <c r="A322" s="19">
        <v>45721</v>
      </c>
      <c r="B322" s="20">
        <v>2500</v>
      </c>
      <c r="C322" s="20"/>
      <c r="D322" s="20"/>
      <c r="E322" s="99" t="s">
        <v>329</v>
      </c>
      <c r="F322" s="20">
        <f t="shared" si="4"/>
        <v>142412273</v>
      </c>
      <c r="G322" s="7" t="s">
        <v>344</v>
      </c>
      <c r="H322" s="24" t="s">
        <v>322</v>
      </c>
      <c r="I322" s="32" t="s">
        <v>152</v>
      </c>
    </row>
    <row r="323" spans="1:9" x14ac:dyDescent="0.35">
      <c r="A323" s="19">
        <v>45721</v>
      </c>
      <c r="B323" s="20"/>
      <c r="C323" s="20"/>
      <c r="D323" s="20">
        <v>600000</v>
      </c>
      <c r="E323" s="99" t="s">
        <v>329</v>
      </c>
      <c r="F323" s="20">
        <f t="shared" si="4"/>
        <v>143012273</v>
      </c>
      <c r="G323" s="7" t="s">
        <v>345</v>
      </c>
      <c r="H323" s="24" t="s">
        <v>109</v>
      </c>
      <c r="I323" s="32" t="s">
        <v>152</v>
      </c>
    </row>
    <row r="324" spans="1:9" x14ac:dyDescent="0.35">
      <c r="A324" s="19">
        <v>45721</v>
      </c>
      <c r="B324" s="20"/>
      <c r="C324" s="20"/>
      <c r="D324" s="20">
        <v>78000</v>
      </c>
      <c r="E324" s="99" t="s">
        <v>329</v>
      </c>
      <c r="F324" s="20">
        <f t="shared" si="4"/>
        <v>143090273</v>
      </c>
      <c r="G324" s="7" t="s">
        <v>346</v>
      </c>
      <c r="H324" s="24" t="s">
        <v>109</v>
      </c>
      <c r="I324" s="32" t="s">
        <v>152</v>
      </c>
    </row>
    <row r="325" spans="1:9" x14ac:dyDescent="0.35">
      <c r="A325" s="19">
        <v>45722</v>
      </c>
      <c r="B325" s="20"/>
      <c r="C325" s="20"/>
      <c r="D325" s="20">
        <v>10000000</v>
      </c>
      <c r="E325" s="99" t="s">
        <v>329</v>
      </c>
      <c r="F325" s="20">
        <f t="shared" si="4"/>
        <v>153090273</v>
      </c>
      <c r="G325" s="7" t="s">
        <v>347</v>
      </c>
      <c r="H325" s="24" t="s">
        <v>105</v>
      </c>
      <c r="I325" s="32" t="s">
        <v>152</v>
      </c>
    </row>
    <row r="326" spans="1:9" x14ac:dyDescent="0.35">
      <c r="A326" s="19">
        <v>45722</v>
      </c>
      <c r="B326" s="20"/>
      <c r="C326" s="20"/>
      <c r="D326" s="20">
        <v>540000</v>
      </c>
      <c r="E326" s="99" t="s">
        <v>329</v>
      </c>
      <c r="F326" s="20">
        <f t="shared" si="4"/>
        <v>153630273</v>
      </c>
      <c r="G326" s="7" t="s">
        <v>330</v>
      </c>
      <c r="H326" s="24" t="s">
        <v>109</v>
      </c>
      <c r="I326" s="32" t="s">
        <v>152</v>
      </c>
    </row>
    <row r="327" spans="1:9" x14ac:dyDescent="0.35">
      <c r="A327" s="19">
        <v>45722</v>
      </c>
      <c r="B327" s="20"/>
      <c r="C327" s="20"/>
      <c r="D327" s="20">
        <v>100000</v>
      </c>
      <c r="E327" s="99" t="s">
        <v>329</v>
      </c>
      <c r="F327" s="20">
        <f t="shared" si="4"/>
        <v>153730273</v>
      </c>
      <c r="G327" s="7" t="s">
        <v>330</v>
      </c>
      <c r="H327" s="24" t="s">
        <v>109</v>
      </c>
      <c r="I327" s="32" t="s">
        <v>152</v>
      </c>
    </row>
    <row r="328" spans="1:9" x14ac:dyDescent="0.35">
      <c r="A328" s="19">
        <v>45722</v>
      </c>
      <c r="B328" s="20"/>
      <c r="C328" s="20"/>
      <c r="D328" s="20">
        <v>50000</v>
      </c>
      <c r="E328" s="99" t="s">
        <v>329</v>
      </c>
      <c r="F328" s="20">
        <f t="shared" si="4"/>
        <v>153780273</v>
      </c>
      <c r="G328" s="7" t="s">
        <v>330</v>
      </c>
      <c r="H328" s="24" t="s">
        <v>109</v>
      </c>
      <c r="I328" s="32" t="s">
        <v>152</v>
      </c>
    </row>
    <row r="329" spans="1:9" x14ac:dyDescent="0.35">
      <c r="A329" s="19">
        <v>45722</v>
      </c>
      <c r="B329" s="20"/>
      <c r="C329" s="20"/>
      <c r="D329" s="20">
        <v>10000</v>
      </c>
      <c r="E329" s="99" t="s">
        <v>329</v>
      </c>
      <c r="F329" s="20">
        <f t="shared" si="4"/>
        <v>153790273</v>
      </c>
      <c r="G329" s="7" t="s">
        <v>330</v>
      </c>
      <c r="H329" s="24" t="s">
        <v>109</v>
      </c>
      <c r="I329" s="32" t="s">
        <v>152</v>
      </c>
    </row>
    <row r="330" spans="1:9" x14ac:dyDescent="0.35">
      <c r="A330" s="19">
        <v>45722</v>
      </c>
      <c r="B330" s="20"/>
      <c r="C330" s="20"/>
      <c r="D330" s="20">
        <v>10000</v>
      </c>
      <c r="E330" s="99" t="s">
        <v>329</v>
      </c>
      <c r="F330" s="20">
        <f t="shared" ref="F330:F393" si="5">+F329+D330-B330</f>
        <v>153800273</v>
      </c>
      <c r="G330" s="7" t="s">
        <v>330</v>
      </c>
      <c r="H330" s="24" t="s">
        <v>109</v>
      </c>
      <c r="I330" s="32" t="s">
        <v>152</v>
      </c>
    </row>
    <row r="331" spans="1:9" x14ac:dyDescent="0.35">
      <c r="A331" s="19">
        <v>45722</v>
      </c>
      <c r="B331" s="20"/>
      <c r="C331" s="20"/>
      <c r="D331" s="20">
        <v>100000</v>
      </c>
      <c r="E331" s="99" t="s">
        <v>329</v>
      </c>
      <c r="F331" s="20">
        <f t="shared" si="5"/>
        <v>153900273</v>
      </c>
      <c r="G331" s="7" t="s">
        <v>330</v>
      </c>
      <c r="H331" s="24" t="s">
        <v>109</v>
      </c>
      <c r="I331" s="32" t="s">
        <v>152</v>
      </c>
    </row>
    <row r="332" spans="1:9" x14ac:dyDescent="0.35">
      <c r="A332" s="19">
        <v>45722</v>
      </c>
      <c r="B332" s="20"/>
      <c r="C332" s="20"/>
      <c r="D332" s="20">
        <v>5000</v>
      </c>
      <c r="E332" s="99" t="s">
        <v>329</v>
      </c>
      <c r="F332" s="20">
        <f t="shared" si="5"/>
        <v>153905273</v>
      </c>
      <c r="G332" s="7" t="s">
        <v>330</v>
      </c>
      <c r="H332" s="24" t="s">
        <v>109</v>
      </c>
      <c r="I332" s="32" t="s">
        <v>152</v>
      </c>
    </row>
    <row r="333" spans="1:9" x14ac:dyDescent="0.35">
      <c r="A333" s="19">
        <v>45722</v>
      </c>
      <c r="B333" s="20"/>
      <c r="C333" s="20"/>
      <c r="D333" s="20">
        <v>50000</v>
      </c>
      <c r="E333" s="99" t="s">
        <v>329</v>
      </c>
      <c r="F333" s="20">
        <f t="shared" si="5"/>
        <v>153955273</v>
      </c>
      <c r="G333" s="7" t="s">
        <v>330</v>
      </c>
      <c r="H333" s="24" t="s">
        <v>109</v>
      </c>
      <c r="I333" s="32" t="s">
        <v>152</v>
      </c>
    </row>
    <row r="334" spans="1:9" x14ac:dyDescent="0.35">
      <c r="A334" s="19">
        <v>45722</v>
      </c>
      <c r="B334" s="20"/>
      <c r="C334" s="20"/>
      <c r="D334" s="20">
        <v>100000</v>
      </c>
      <c r="E334" s="99" t="s">
        <v>329</v>
      </c>
      <c r="F334" s="20">
        <f t="shared" si="5"/>
        <v>154055273</v>
      </c>
      <c r="G334" s="7" t="s">
        <v>348</v>
      </c>
      <c r="H334" s="24" t="s">
        <v>109</v>
      </c>
      <c r="I334" s="32" t="s">
        <v>152</v>
      </c>
    </row>
    <row r="335" spans="1:9" x14ac:dyDescent="0.35">
      <c r="A335" s="19">
        <v>45722</v>
      </c>
      <c r="B335" s="20"/>
      <c r="C335" s="20"/>
      <c r="D335" s="20">
        <v>400000</v>
      </c>
      <c r="E335" s="99" t="s">
        <v>329</v>
      </c>
      <c r="F335" s="20">
        <f t="shared" si="5"/>
        <v>154455273</v>
      </c>
      <c r="G335" s="7" t="s">
        <v>238</v>
      </c>
      <c r="H335" s="24" t="s">
        <v>109</v>
      </c>
      <c r="I335" s="32" t="s">
        <v>152</v>
      </c>
    </row>
    <row r="336" spans="1:9" x14ac:dyDescent="0.35">
      <c r="A336" s="19">
        <v>45722</v>
      </c>
      <c r="B336" s="20"/>
      <c r="C336" s="20"/>
      <c r="D336" s="20">
        <v>50000</v>
      </c>
      <c r="E336" s="99" t="s">
        <v>329</v>
      </c>
      <c r="F336" s="20">
        <f t="shared" si="5"/>
        <v>154505273</v>
      </c>
      <c r="G336" s="7" t="s">
        <v>349</v>
      </c>
      <c r="H336" s="24" t="s">
        <v>109</v>
      </c>
      <c r="I336" s="32" t="s">
        <v>152</v>
      </c>
    </row>
    <row r="337" spans="1:9" x14ac:dyDescent="0.35">
      <c r="A337" s="19">
        <v>45723</v>
      </c>
      <c r="B337" s="20"/>
      <c r="C337" s="20"/>
      <c r="D337" s="20">
        <v>2000000</v>
      </c>
      <c r="E337" s="99" t="s">
        <v>329</v>
      </c>
      <c r="F337" s="20">
        <f t="shared" si="5"/>
        <v>156505273</v>
      </c>
      <c r="G337" s="7" t="s">
        <v>350</v>
      </c>
      <c r="H337" s="24" t="s">
        <v>109</v>
      </c>
      <c r="I337" s="32" t="s">
        <v>152</v>
      </c>
    </row>
    <row r="338" spans="1:9" x14ac:dyDescent="0.35">
      <c r="A338" s="19">
        <v>45723</v>
      </c>
      <c r="B338" s="20"/>
      <c r="C338" s="20"/>
      <c r="D338" s="20">
        <v>50000</v>
      </c>
      <c r="E338" s="99" t="s">
        <v>329</v>
      </c>
      <c r="F338" s="20">
        <f t="shared" si="5"/>
        <v>156555273</v>
      </c>
      <c r="G338" s="7" t="s">
        <v>330</v>
      </c>
      <c r="H338" s="24" t="s">
        <v>109</v>
      </c>
      <c r="I338" s="32" t="s">
        <v>152</v>
      </c>
    </row>
    <row r="339" spans="1:9" x14ac:dyDescent="0.35">
      <c r="A339" s="19">
        <v>45723</v>
      </c>
      <c r="B339" s="20"/>
      <c r="C339" s="20"/>
      <c r="D339" s="20">
        <v>50000</v>
      </c>
      <c r="E339" s="99" t="s">
        <v>329</v>
      </c>
      <c r="F339" s="20">
        <f t="shared" si="5"/>
        <v>156605273</v>
      </c>
      <c r="G339" s="7" t="s">
        <v>330</v>
      </c>
      <c r="H339" s="24" t="s">
        <v>109</v>
      </c>
      <c r="I339" s="32" t="s">
        <v>152</v>
      </c>
    </row>
    <row r="340" spans="1:9" x14ac:dyDescent="0.35">
      <c r="A340" s="19">
        <v>45723</v>
      </c>
      <c r="B340" s="20"/>
      <c r="C340" s="20"/>
      <c r="D340" s="20">
        <v>50000</v>
      </c>
      <c r="E340" s="99" t="s">
        <v>329</v>
      </c>
      <c r="F340" s="20">
        <f t="shared" si="5"/>
        <v>156655273</v>
      </c>
      <c r="G340" s="7" t="s">
        <v>330</v>
      </c>
      <c r="H340" s="24" t="s">
        <v>109</v>
      </c>
      <c r="I340" s="32" t="s">
        <v>152</v>
      </c>
    </row>
    <row r="341" spans="1:9" x14ac:dyDescent="0.35">
      <c r="A341" s="19">
        <v>45723</v>
      </c>
      <c r="B341" s="20"/>
      <c r="C341" s="20"/>
      <c r="D341" s="20">
        <v>100000</v>
      </c>
      <c r="E341" s="99" t="s">
        <v>329</v>
      </c>
      <c r="F341" s="20">
        <f t="shared" si="5"/>
        <v>156755273</v>
      </c>
      <c r="G341" s="7" t="s">
        <v>330</v>
      </c>
      <c r="H341" s="24" t="s">
        <v>109</v>
      </c>
      <c r="I341" s="32" t="s">
        <v>152</v>
      </c>
    </row>
    <row r="342" spans="1:9" x14ac:dyDescent="0.35">
      <c r="A342" s="19">
        <v>45723</v>
      </c>
      <c r="B342" s="20"/>
      <c r="C342" s="20"/>
      <c r="D342" s="20">
        <v>100000</v>
      </c>
      <c r="E342" s="99" t="s">
        <v>329</v>
      </c>
      <c r="F342" s="20">
        <f t="shared" si="5"/>
        <v>156855273</v>
      </c>
      <c r="G342" s="7" t="s">
        <v>330</v>
      </c>
      <c r="H342" s="24" t="s">
        <v>109</v>
      </c>
      <c r="I342" s="32" t="s">
        <v>152</v>
      </c>
    </row>
    <row r="343" spans="1:9" x14ac:dyDescent="0.35">
      <c r="A343" s="19">
        <v>45723</v>
      </c>
      <c r="B343" s="20"/>
      <c r="C343" s="20"/>
      <c r="D343" s="20">
        <v>100000</v>
      </c>
      <c r="E343" s="99" t="s">
        <v>329</v>
      </c>
      <c r="F343" s="20">
        <f t="shared" si="5"/>
        <v>156955273</v>
      </c>
      <c r="G343" s="7" t="s">
        <v>330</v>
      </c>
      <c r="H343" s="24" t="s">
        <v>109</v>
      </c>
      <c r="I343" s="32" t="s">
        <v>152</v>
      </c>
    </row>
    <row r="344" spans="1:9" x14ac:dyDescent="0.35">
      <c r="A344" s="19">
        <v>45723</v>
      </c>
      <c r="B344" s="20"/>
      <c r="C344" s="20"/>
      <c r="D344" s="20">
        <v>10000</v>
      </c>
      <c r="E344" s="99" t="s">
        <v>329</v>
      </c>
      <c r="F344" s="20">
        <f t="shared" si="5"/>
        <v>156965273</v>
      </c>
      <c r="G344" s="7" t="s">
        <v>330</v>
      </c>
      <c r="H344" s="24" t="s">
        <v>109</v>
      </c>
      <c r="I344" s="32" t="s">
        <v>152</v>
      </c>
    </row>
    <row r="345" spans="1:9" x14ac:dyDescent="0.35">
      <c r="A345" s="19">
        <v>45723</v>
      </c>
      <c r="B345" s="20"/>
      <c r="C345" s="20"/>
      <c r="D345" s="20">
        <v>50000</v>
      </c>
      <c r="E345" s="99" t="s">
        <v>329</v>
      </c>
      <c r="F345" s="20">
        <f t="shared" si="5"/>
        <v>157015273</v>
      </c>
      <c r="G345" s="7" t="s">
        <v>330</v>
      </c>
      <c r="H345" s="24" t="s">
        <v>109</v>
      </c>
      <c r="I345" s="32" t="s">
        <v>152</v>
      </c>
    </row>
    <row r="346" spans="1:9" x14ac:dyDescent="0.35">
      <c r="A346" s="19">
        <v>45723</v>
      </c>
      <c r="B346" s="20"/>
      <c r="C346" s="20"/>
      <c r="D346" s="20">
        <v>10000</v>
      </c>
      <c r="E346" s="99" t="s">
        <v>329</v>
      </c>
      <c r="F346" s="20">
        <f t="shared" si="5"/>
        <v>157025273</v>
      </c>
      <c r="G346" s="7" t="s">
        <v>330</v>
      </c>
      <c r="H346" s="24" t="s">
        <v>109</v>
      </c>
      <c r="I346" s="32" t="s">
        <v>152</v>
      </c>
    </row>
    <row r="347" spans="1:9" x14ac:dyDescent="0.35">
      <c r="A347" s="19">
        <v>45723</v>
      </c>
      <c r="B347" s="20"/>
      <c r="C347" s="20"/>
      <c r="D347" s="20">
        <v>100000</v>
      </c>
      <c r="E347" s="99" t="s">
        <v>329</v>
      </c>
      <c r="F347" s="20">
        <f t="shared" si="5"/>
        <v>157125273</v>
      </c>
      <c r="G347" s="7" t="s">
        <v>330</v>
      </c>
      <c r="H347" s="24" t="s">
        <v>109</v>
      </c>
      <c r="I347" s="32" t="s">
        <v>152</v>
      </c>
    </row>
    <row r="348" spans="1:9" x14ac:dyDescent="0.35">
      <c r="A348" s="19">
        <v>45723</v>
      </c>
      <c r="B348" s="20"/>
      <c r="C348" s="20"/>
      <c r="D348" s="20">
        <v>99359</v>
      </c>
      <c r="E348" s="99" t="s">
        <v>329</v>
      </c>
      <c r="F348" s="20">
        <f t="shared" si="5"/>
        <v>157224632</v>
      </c>
      <c r="G348" s="7" t="s">
        <v>330</v>
      </c>
      <c r="H348" s="24" t="s">
        <v>109</v>
      </c>
      <c r="I348" s="32" t="s">
        <v>152</v>
      </c>
    </row>
    <row r="349" spans="1:9" x14ac:dyDescent="0.35">
      <c r="A349" s="19">
        <v>45723</v>
      </c>
      <c r="B349" s="20"/>
      <c r="C349" s="20"/>
      <c r="D349" s="20">
        <v>25000</v>
      </c>
      <c r="E349" s="99" t="s">
        <v>329</v>
      </c>
      <c r="F349" s="20">
        <f t="shared" si="5"/>
        <v>157249632</v>
      </c>
      <c r="G349" s="7" t="s">
        <v>330</v>
      </c>
      <c r="H349" s="24" t="s">
        <v>109</v>
      </c>
      <c r="I349" s="32" t="s">
        <v>152</v>
      </c>
    </row>
    <row r="350" spans="1:9" x14ac:dyDescent="0.35">
      <c r="A350" s="19">
        <v>45723</v>
      </c>
      <c r="B350" s="20"/>
      <c r="C350" s="20"/>
      <c r="D350" s="20">
        <v>20000</v>
      </c>
      <c r="E350" s="99" t="s">
        <v>329</v>
      </c>
      <c r="F350" s="20">
        <f t="shared" si="5"/>
        <v>157269632</v>
      </c>
      <c r="G350" s="7" t="s">
        <v>330</v>
      </c>
      <c r="H350" s="24" t="s">
        <v>109</v>
      </c>
      <c r="I350" s="32" t="s">
        <v>152</v>
      </c>
    </row>
    <row r="351" spans="1:9" x14ac:dyDescent="0.35">
      <c r="A351" s="19">
        <v>45723</v>
      </c>
      <c r="B351" s="20"/>
      <c r="C351" s="20"/>
      <c r="D351" s="20">
        <v>4331</v>
      </c>
      <c r="E351" s="99" t="s">
        <v>329</v>
      </c>
      <c r="F351" s="20">
        <f t="shared" si="5"/>
        <v>157273963</v>
      </c>
      <c r="G351" s="7" t="s">
        <v>330</v>
      </c>
      <c r="H351" s="24" t="s">
        <v>109</v>
      </c>
      <c r="I351" s="32" t="s">
        <v>152</v>
      </c>
    </row>
    <row r="352" spans="1:9" x14ac:dyDescent="0.35">
      <c r="A352" s="19">
        <v>45723</v>
      </c>
      <c r="B352" s="20">
        <v>2000000</v>
      </c>
      <c r="C352" s="20"/>
      <c r="D352" s="20"/>
      <c r="E352" s="99" t="s">
        <v>329</v>
      </c>
      <c r="F352" s="20">
        <f t="shared" si="5"/>
        <v>155273963</v>
      </c>
      <c r="G352" s="7" t="s">
        <v>351</v>
      </c>
      <c r="H352" s="24" t="s">
        <v>323</v>
      </c>
      <c r="I352" s="32" t="s">
        <v>152</v>
      </c>
    </row>
    <row r="353" spans="1:9" x14ac:dyDescent="0.35">
      <c r="A353" s="19">
        <v>45723</v>
      </c>
      <c r="B353" s="20">
        <v>2500</v>
      </c>
      <c r="C353" s="20"/>
      <c r="D353" s="20"/>
      <c r="E353" s="99" t="s">
        <v>329</v>
      </c>
      <c r="F353" s="20">
        <f t="shared" si="5"/>
        <v>155271463</v>
      </c>
      <c r="G353" s="7" t="s">
        <v>352</v>
      </c>
      <c r="H353" s="24" t="s">
        <v>323</v>
      </c>
      <c r="I353" s="32" t="s">
        <v>152</v>
      </c>
    </row>
    <row r="354" spans="1:9" x14ac:dyDescent="0.35">
      <c r="A354" s="19">
        <v>45726</v>
      </c>
      <c r="B354" s="20">
        <v>1350000</v>
      </c>
      <c r="C354" s="20"/>
      <c r="D354" s="20"/>
      <c r="E354" s="99" t="s">
        <v>367</v>
      </c>
      <c r="F354" s="20">
        <f t="shared" si="5"/>
        <v>153921463</v>
      </c>
      <c r="G354" s="7" t="s">
        <v>368</v>
      </c>
      <c r="H354" s="24" t="s">
        <v>320</v>
      </c>
      <c r="I354" s="32" t="s">
        <v>152</v>
      </c>
    </row>
    <row r="355" spans="1:9" x14ac:dyDescent="0.35">
      <c r="A355" s="19">
        <v>45726</v>
      </c>
      <c r="B355" s="20"/>
      <c r="C355" s="20"/>
      <c r="D355" s="20">
        <v>250000</v>
      </c>
      <c r="E355" s="99" t="s">
        <v>367</v>
      </c>
      <c r="F355" s="20">
        <f t="shared" si="5"/>
        <v>154171463</v>
      </c>
      <c r="G355" s="7" t="s">
        <v>369</v>
      </c>
      <c r="H355" s="24" t="s">
        <v>109</v>
      </c>
      <c r="I355" s="32" t="s">
        <v>152</v>
      </c>
    </row>
    <row r="356" spans="1:9" x14ac:dyDescent="0.35">
      <c r="A356" s="19">
        <v>45726</v>
      </c>
      <c r="B356" s="20"/>
      <c r="C356" s="20"/>
      <c r="D356" s="20">
        <v>50000</v>
      </c>
      <c r="E356" s="99" t="s">
        <v>367</v>
      </c>
      <c r="F356" s="20">
        <f t="shared" si="5"/>
        <v>154221463</v>
      </c>
      <c r="G356" s="7" t="s">
        <v>369</v>
      </c>
      <c r="H356" s="24" t="s">
        <v>109</v>
      </c>
      <c r="I356" s="32" t="s">
        <v>152</v>
      </c>
    </row>
    <row r="357" spans="1:9" x14ac:dyDescent="0.35">
      <c r="A357" s="19">
        <v>45726</v>
      </c>
      <c r="B357" s="20"/>
      <c r="C357" s="20"/>
      <c r="D357" s="20">
        <v>50000</v>
      </c>
      <c r="E357" s="99" t="s">
        <v>367</v>
      </c>
      <c r="F357" s="20">
        <f t="shared" si="5"/>
        <v>154271463</v>
      </c>
      <c r="G357" s="7" t="s">
        <v>369</v>
      </c>
      <c r="H357" s="24" t="s">
        <v>109</v>
      </c>
      <c r="I357" s="32" t="s">
        <v>152</v>
      </c>
    </row>
    <row r="358" spans="1:9" x14ac:dyDescent="0.35">
      <c r="A358" s="19">
        <v>45726</v>
      </c>
      <c r="B358" s="20"/>
      <c r="C358" s="20"/>
      <c r="D358" s="20">
        <v>50000</v>
      </c>
      <c r="E358" s="99" t="s">
        <v>367</v>
      </c>
      <c r="F358" s="20">
        <f t="shared" si="5"/>
        <v>154321463</v>
      </c>
      <c r="G358" s="7" t="s">
        <v>369</v>
      </c>
      <c r="H358" s="24" t="s">
        <v>109</v>
      </c>
      <c r="I358" s="32" t="s">
        <v>152</v>
      </c>
    </row>
    <row r="359" spans="1:9" x14ac:dyDescent="0.35">
      <c r="A359" s="19">
        <v>45726</v>
      </c>
      <c r="B359" s="20"/>
      <c r="C359" s="20"/>
      <c r="D359" s="20">
        <v>100000</v>
      </c>
      <c r="E359" s="99" t="s">
        <v>367</v>
      </c>
      <c r="F359" s="20">
        <f t="shared" si="5"/>
        <v>154421463</v>
      </c>
      <c r="G359" s="7" t="s">
        <v>369</v>
      </c>
      <c r="H359" s="24" t="s">
        <v>109</v>
      </c>
      <c r="I359" s="32" t="s">
        <v>152</v>
      </c>
    </row>
    <row r="360" spans="1:9" x14ac:dyDescent="0.35">
      <c r="A360" s="19">
        <v>45726</v>
      </c>
      <c r="B360" s="20"/>
      <c r="C360" s="20"/>
      <c r="D360" s="20">
        <v>25000</v>
      </c>
      <c r="E360" s="99" t="s">
        <v>367</v>
      </c>
      <c r="F360" s="20">
        <f t="shared" si="5"/>
        <v>154446463</v>
      </c>
      <c r="G360" s="7" t="s">
        <v>369</v>
      </c>
      <c r="H360" s="24" t="s">
        <v>109</v>
      </c>
      <c r="I360" s="32" t="s">
        <v>152</v>
      </c>
    </row>
    <row r="361" spans="1:9" x14ac:dyDescent="0.35">
      <c r="A361" s="19">
        <v>45726</v>
      </c>
      <c r="B361" s="20"/>
      <c r="C361" s="20"/>
      <c r="D361" s="20">
        <v>10000</v>
      </c>
      <c r="E361" s="99" t="s">
        <v>367</v>
      </c>
      <c r="F361" s="20">
        <f t="shared" si="5"/>
        <v>154456463</v>
      </c>
      <c r="G361" s="7" t="s">
        <v>369</v>
      </c>
      <c r="H361" s="24" t="s">
        <v>109</v>
      </c>
      <c r="I361" s="32" t="s">
        <v>152</v>
      </c>
    </row>
    <row r="362" spans="1:9" x14ac:dyDescent="0.35">
      <c r="A362" s="19">
        <v>45726</v>
      </c>
      <c r="B362" s="20"/>
      <c r="C362" s="20"/>
      <c r="D362" s="20">
        <v>50000</v>
      </c>
      <c r="E362" s="99" t="s">
        <v>367</v>
      </c>
      <c r="F362" s="20">
        <f t="shared" si="5"/>
        <v>154506463</v>
      </c>
      <c r="G362" s="7" t="s">
        <v>369</v>
      </c>
      <c r="H362" s="24" t="s">
        <v>109</v>
      </c>
      <c r="I362" s="32" t="s">
        <v>152</v>
      </c>
    </row>
    <row r="363" spans="1:9" x14ac:dyDescent="0.35">
      <c r="A363" s="19">
        <v>45726</v>
      </c>
      <c r="B363" s="20"/>
      <c r="C363" s="20"/>
      <c r="D363" s="20">
        <v>10000</v>
      </c>
      <c r="E363" s="99" t="s">
        <v>367</v>
      </c>
      <c r="F363" s="20">
        <f t="shared" si="5"/>
        <v>154516463</v>
      </c>
      <c r="G363" s="7" t="s">
        <v>369</v>
      </c>
      <c r="H363" s="24" t="s">
        <v>109</v>
      </c>
      <c r="I363" s="32" t="s">
        <v>152</v>
      </c>
    </row>
    <row r="364" spans="1:9" x14ac:dyDescent="0.35">
      <c r="A364" s="19">
        <v>45726</v>
      </c>
      <c r="B364" s="20"/>
      <c r="C364" s="20"/>
      <c r="D364" s="20">
        <v>20000</v>
      </c>
      <c r="E364" s="99" t="s">
        <v>367</v>
      </c>
      <c r="F364" s="20">
        <f t="shared" si="5"/>
        <v>154536463</v>
      </c>
      <c r="G364" s="7" t="s">
        <v>369</v>
      </c>
      <c r="H364" s="24" t="s">
        <v>109</v>
      </c>
      <c r="I364" s="32" t="s">
        <v>152</v>
      </c>
    </row>
    <row r="365" spans="1:9" x14ac:dyDescent="0.35">
      <c r="A365" s="19">
        <v>45726</v>
      </c>
      <c r="B365" s="20"/>
      <c r="C365" s="20"/>
      <c r="D365" s="20">
        <v>3000</v>
      </c>
      <c r="E365" s="99" t="s">
        <v>367</v>
      </c>
      <c r="F365" s="20">
        <f t="shared" si="5"/>
        <v>154539463</v>
      </c>
      <c r="G365" s="7" t="s">
        <v>369</v>
      </c>
      <c r="H365" s="24" t="s">
        <v>109</v>
      </c>
      <c r="I365" s="32" t="s">
        <v>152</v>
      </c>
    </row>
    <row r="366" spans="1:9" x14ac:dyDescent="0.35">
      <c r="A366" s="19">
        <v>45726</v>
      </c>
      <c r="B366" s="20"/>
      <c r="C366" s="20"/>
      <c r="D366" s="20">
        <v>916</v>
      </c>
      <c r="E366" s="99" t="s">
        <v>367</v>
      </c>
      <c r="F366" s="20">
        <f t="shared" si="5"/>
        <v>154540379</v>
      </c>
      <c r="G366" s="7" t="s">
        <v>369</v>
      </c>
      <c r="H366" s="24" t="s">
        <v>109</v>
      </c>
      <c r="I366" s="32" t="s">
        <v>152</v>
      </c>
    </row>
    <row r="367" spans="1:9" x14ac:dyDescent="0.35">
      <c r="A367" s="19">
        <v>45726</v>
      </c>
      <c r="B367" s="20">
        <v>750000</v>
      </c>
      <c r="C367" s="20"/>
      <c r="D367" s="20"/>
      <c r="E367" s="99" t="s">
        <v>367</v>
      </c>
      <c r="F367" s="20">
        <f t="shared" si="5"/>
        <v>153790379</v>
      </c>
      <c r="G367" s="7" t="s">
        <v>370</v>
      </c>
      <c r="H367" s="24" t="s">
        <v>323</v>
      </c>
      <c r="I367" s="32" t="s">
        <v>152</v>
      </c>
    </row>
    <row r="368" spans="1:9" x14ac:dyDescent="0.35">
      <c r="A368" s="19">
        <v>45726</v>
      </c>
      <c r="B368" s="20">
        <v>2500</v>
      </c>
      <c r="C368" s="20"/>
      <c r="D368" s="20"/>
      <c r="E368" s="99" t="s">
        <v>367</v>
      </c>
      <c r="F368" s="20">
        <f t="shared" si="5"/>
        <v>153787879</v>
      </c>
      <c r="G368" s="7" t="s">
        <v>371</v>
      </c>
      <c r="H368" s="24" t="s">
        <v>323</v>
      </c>
      <c r="I368" s="32" t="s">
        <v>152</v>
      </c>
    </row>
    <row r="369" spans="1:9" x14ac:dyDescent="0.35">
      <c r="A369" s="19">
        <v>45726</v>
      </c>
      <c r="B369" s="20"/>
      <c r="C369" s="20"/>
      <c r="D369" s="20">
        <v>400000</v>
      </c>
      <c r="E369" s="99" t="s">
        <v>367</v>
      </c>
      <c r="F369" s="20">
        <f t="shared" si="5"/>
        <v>154187879</v>
      </c>
      <c r="G369" s="7" t="s">
        <v>372</v>
      </c>
      <c r="H369" s="24" t="s">
        <v>109</v>
      </c>
      <c r="I369" s="32" t="s">
        <v>152</v>
      </c>
    </row>
    <row r="370" spans="1:9" x14ac:dyDescent="0.35">
      <c r="A370" s="19">
        <v>45726</v>
      </c>
      <c r="B370" s="20"/>
      <c r="C370" s="20"/>
      <c r="D370" s="20">
        <v>20000</v>
      </c>
      <c r="E370" s="99" t="s">
        <v>367</v>
      </c>
      <c r="F370" s="20">
        <f t="shared" si="5"/>
        <v>154207879</v>
      </c>
      <c r="G370" s="7" t="s">
        <v>369</v>
      </c>
      <c r="H370" s="24" t="s">
        <v>109</v>
      </c>
      <c r="I370" s="32" t="s">
        <v>152</v>
      </c>
    </row>
    <row r="371" spans="1:9" x14ac:dyDescent="0.35">
      <c r="A371" s="19">
        <v>45726</v>
      </c>
      <c r="B371" s="20"/>
      <c r="C371" s="20"/>
      <c r="D371" s="20">
        <v>25000</v>
      </c>
      <c r="E371" s="99" t="s">
        <v>367</v>
      </c>
      <c r="F371" s="20">
        <f t="shared" si="5"/>
        <v>154232879</v>
      </c>
      <c r="G371" s="7" t="s">
        <v>369</v>
      </c>
      <c r="H371" s="24" t="s">
        <v>109</v>
      </c>
      <c r="I371" s="32" t="s">
        <v>152</v>
      </c>
    </row>
    <row r="372" spans="1:9" x14ac:dyDescent="0.35">
      <c r="A372" s="19">
        <v>45726</v>
      </c>
      <c r="B372" s="20"/>
      <c r="C372" s="20"/>
      <c r="D372" s="20">
        <v>100000</v>
      </c>
      <c r="E372" s="99" t="s">
        <v>367</v>
      </c>
      <c r="F372" s="20">
        <f t="shared" si="5"/>
        <v>154332879</v>
      </c>
      <c r="G372" s="7" t="s">
        <v>369</v>
      </c>
      <c r="H372" s="24" t="s">
        <v>109</v>
      </c>
      <c r="I372" s="32" t="s">
        <v>152</v>
      </c>
    </row>
    <row r="373" spans="1:9" x14ac:dyDescent="0.35">
      <c r="A373" s="19">
        <v>45726</v>
      </c>
      <c r="B373" s="20"/>
      <c r="C373" s="20"/>
      <c r="D373" s="20">
        <v>50000</v>
      </c>
      <c r="E373" s="99" t="s">
        <v>367</v>
      </c>
      <c r="F373" s="20">
        <f t="shared" si="5"/>
        <v>154382879</v>
      </c>
      <c r="G373" s="7" t="s">
        <v>369</v>
      </c>
      <c r="H373" s="24" t="s">
        <v>109</v>
      </c>
      <c r="I373" s="32" t="s">
        <v>152</v>
      </c>
    </row>
    <row r="374" spans="1:9" x14ac:dyDescent="0.35">
      <c r="A374" s="19">
        <v>45726</v>
      </c>
      <c r="B374" s="20"/>
      <c r="C374" s="20"/>
      <c r="D374" s="20">
        <v>100000</v>
      </c>
      <c r="E374" s="99" t="s">
        <v>367</v>
      </c>
      <c r="F374" s="20">
        <f t="shared" si="5"/>
        <v>154482879</v>
      </c>
      <c r="G374" s="7" t="s">
        <v>369</v>
      </c>
      <c r="H374" s="24" t="s">
        <v>109</v>
      </c>
      <c r="I374" s="32" t="s">
        <v>152</v>
      </c>
    </row>
    <row r="375" spans="1:9" x14ac:dyDescent="0.35">
      <c r="A375" s="19">
        <v>45726</v>
      </c>
      <c r="B375" s="20"/>
      <c r="C375" s="20"/>
      <c r="D375" s="20">
        <v>25000</v>
      </c>
      <c r="E375" s="99" t="s">
        <v>367</v>
      </c>
      <c r="F375" s="20">
        <f t="shared" si="5"/>
        <v>154507879</v>
      </c>
      <c r="G375" s="7" t="s">
        <v>369</v>
      </c>
      <c r="H375" s="24" t="s">
        <v>109</v>
      </c>
      <c r="I375" s="32" t="s">
        <v>152</v>
      </c>
    </row>
    <row r="376" spans="1:9" x14ac:dyDescent="0.35">
      <c r="A376" s="19">
        <v>45726</v>
      </c>
      <c r="B376" s="20"/>
      <c r="C376" s="20"/>
      <c r="D376" s="20">
        <v>25000</v>
      </c>
      <c r="E376" s="99" t="s">
        <v>367</v>
      </c>
      <c r="F376" s="20">
        <f t="shared" si="5"/>
        <v>154532879</v>
      </c>
      <c r="G376" s="7" t="s">
        <v>369</v>
      </c>
      <c r="H376" s="24" t="s">
        <v>109</v>
      </c>
      <c r="I376" s="32" t="s">
        <v>152</v>
      </c>
    </row>
    <row r="377" spans="1:9" x14ac:dyDescent="0.35">
      <c r="A377" s="19">
        <v>45726</v>
      </c>
      <c r="B377" s="20"/>
      <c r="C377" s="20"/>
      <c r="D377" s="20">
        <v>50000</v>
      </c>
      <c r="E377" s="99" t="s">
        <v>367</v>
      </c>
      <c r="F377" s="20">
        <f t="shared" si="5"/>
        <v>154582879</v>
      </c>
      <c r="G377" s="7" t="s">
        <v>369</v>
      </c>
      <c r="H377" s="24" t="s">
        <v>109</v>
      </c>
      <c r="I377" s="32" t="s">
        <v>152</v>
      </c>
    </row>
    <row r="378" spans="1:9" x14ac:dyDescent="0.35">
      <c r="A378" s="19">
        <v>45726</v>
      </c>
      <c r="B378" s="20"/>
      <c r="C378" s="20"/>
      <c r="D378" s="20">
        <v>10000</v>
      </c>
      <c r="E378" s="99" t="s">
        <v>367</v>
      </c>
      <c r="F378" s="20">
        <f t="shared" si="5"/>
        <v>154592879</v>
      </c>
      <c r="G378" s="7" t="s">
        <v>369</v>
      </c>
      <c r="H378" s="24" t="s">
        <v>109</v>
      </c>
      <c r="I378" s="32" t="s">
        <v>152</v>
      </c>
    </row>
    <row r="379" spans="1:9" x14ac:dyDescent="0.35">
      <c r="A379" s="19">
        <v>45726</v>
      </c>
      <c r="B379" s="20"/>
      <c r="C379" s="20"/>
      <c r="D379" s="20">
        <v>100000</v>
      </c>
      <c r="E379" s="99" t="s">
        <v>367</v>
      </c>
      <c r="F379" s="20">
        <f t="shared" si="5"/>
        <v>154692879</v>
      </c>
      <c r="G379" s="7" t="s">
        <v>369</v>
      </c>
      <c r="H379" s="24" t="s">
        <v>109</v>
      </c>
      <c r="I379" s="32" t="s">
        <v>152</v>
      </c>
    </row>
    <row r="380" spans="1:9" x14ac:dyDescent="0.35">
      <c r="A380" s="19">
        <v>45726</v>
      </c>
      <c r="B380" s="20"/>
      <c r="C380" s="20"/>
      <c r="D380" s="20">
        <v>50000</v>
      </c>
      <c r="E380" s="99" t="s">
        <v>367</v>
      </c>
      <c r="F380" s="20">
        <f t="shared" si="5"/>
        <v>154742879</v>
      </c>
      <c r="G380" s="7" t="s">
        <v>369</v>
      </c>
      <c r="H380" s="24" t="s">
        <v>109</v>
      </c>
      <c r="I380" s="32" t="s">
        <v>152</v>
      </c>
    </row>
    <row r="381" spans="1:9" x14ac:dyDescent="0.35">
      <c r="A381" s="19">
        <v>45726</v>
      </c>
      <c r="B381" s="20"/>
      <c r="C381" s="20"/>
      <c r="D381" s="20">
        <v>100000</v>
      </c>
      <c r="E381" s="99" t="s">
        <v>367</v>
      </c>
      <c r="F381" s="20">
        <f t="shared" si="5"/>
        <v>154842879</v>
      </c>
      <c r="G381" s="7" t="s">
        <v>369</v>
      </c>
      <c r="H381" s="24" t="s">
        <v>109</v>
      </c>
      <c r="I381" s="32" t="s">
        <v>152</v>
      </c>
    </row>
    <row r="382" spans="1:9" x14ac:dyDescent="0.35">
      <c r="A382" s="19">
        <v>45726</v>
      </c>
      <c r="B382" s="20"/>
      <c r="C382" s="20"/>
      <c r="D382" s="20">
        <v>25000</v>
      </c>
      <c r="E382" s="99" t="s">
        <v>367</v>
      </c>
      <c r="F382" s="20">
        <f t="shared" si="5"/>
        <v>154867879</v>
      </c>
      <c r="G382" s="7" t="s">
        <v>369</v>
      </c>
      <c r="H382" s="24" t="s">
        <v>109</v>
      </c>
      <c r="I382" s="32" t="s">
        <v>152</v>
      </c>
    </row>
    <row r="383" spans="1:9" x14ac:dyDescent="0.35">
      <c r="A383" s="19">
        <v>45726</v>
      </c>
      <c r="B383" s="20"/>
      <c r="C383" s="20"/>
      <c r="D383" s="20">
        <v>200000</v>
      </c>
      <c r="E383" s="99" t="s">
        <v>367</v>
      </c>
      <c r="F383" s="20">
        <f t="shared" si="5"/>
        <v>155067879</v>
      </c>
      <c r="G383" s="7" t="s">
        <v>380</v>
      </c>
      <c r="H383" s="24" t="s">
        <v>109</v>
      </c>
      <c r="I383" s="32" t="s">
        <v>152</v>
      </c>
    </row>
    <row r="384" spans="1:9" x14ac:dyDescent="0.35">
      <c r="A384" s="19">
        <v>45726</v>
      </c>
      <c r="B384" s="20"/>
      <c r="C384" s="20"/>
      <c r="D384" s="20">
        <v>20000</v>
      </c>
      <c r="E384" s="99" t="s">
        <v>367</v>
      </c>
      <c r="F384" s="20">
        <f t="shared" si="5"/>
        <v>155087879</v>
      </c>
      <c r="G384" s="7" t="s">
        <v>369</v>
      </c>
      <c r="H384" s="24" t="s">
        <v>109</v>
      </c>
      <c r="I384" s="32" t="s">
        <v>152</v>
      </c>
    </row>
    <row r="385" spans="1:9" x14ac:dyDescent="0.35">
      <c r="A385" s="19">
        <v>45726</v>
      </c>
      <c r="B385" s="20"/>
      <c r="C385" s="20"/>
      <c r="D385" s="20">
        <v>100000</v>
      </c>
      <c r="E385" s="99" t="s">
        <v>367</v>
      </c>
      <c r="F385" s="20">
        <f t="shared" si="5"/>
        <v>155187879</v>
      </c>
      <c r="G385" s="7" t="s">
        <v>369</v>
      </c>
      <c r="H385" s="24" t="s">
        <v>109</v>
      </c>
      <c r="I385" s="32" t="s">
        <v>152</v>
      </c>
    </row>
    <row r="386" spans="1:9" x14ac:dyDescent="0.35">
      <c r="A386" s="19">
        <v>45726</v>
      </c>
      <c r="B386" s="20"/>
      <c r="C386" s="20"/>
      <c r="D386" s="20">
        <v>25000</v>
      </c>
      <c r="E386" s="99" t="s">
        <v>367</v>
      </c>
      <c r="F386" s="20">
        <f t="shared" si="5"/>
        <v>155212879</v>
      </c>
      <c r="G386" s="7" t="s">
        <v>369</v>
      </c>
      <c r="H386" s="24" t="s">
        <v>109</v>
      </c>
      <c r="I386" s="32" t="s">
        <v>152</v>
      </c>
    </row>
    <row r="387" spans="1:9" x14ac:dyDescent="0.35">
      <c r="A387" s="19">
        <v>45726</v>
      </c>
      <c r="B387" s="20"/>
      <c r="C387" s="20"/>
      <c r="D387" s="20">
        <v>25000</v>
      </c>
      <c r="E387" s="99" t="s">
        <v>367</v>
      </c>
      <c r="F387" s="20">
        <f t="shared" si="5"/>
        <v>155237879</v>
      </c>
      <c r="G387" s="7" t="s">
        <v>369</v>
      </c>
      <c r="H387" s="24" t="s">
        <v>109</v>
      </c>
      <c r="I387" s="32" t="s">
        <v>152</v>
      </c>
    </row>
    <row r="388" spans="1:9" x14ac:dyDescent="0.35">
      <c r="A388" s="19">
        <v>45726</v>
      </c>
      <c r="B388" s="20"/>
      <c r="C388" s="20"/>
      <c r="D388" s="20">
        <v>100000</v>
      </c>
      <c r="E388" s="99" t="s">
        <v>367</v>
      </c>
      <c r="F388" s="20">
        <f t="shared" si="5"/>
        <v>155337879</v>
      </c>
      <c r="G388" s="7" t="s">
        <v>369</v>
      </c>
      <c r="H388" s="24" t="s">
        <v>109</v>
      </c>
      <c r="I388" s="32" t="s">
        <v>152</v>
      </c>
    </row>
    <row r="389" spans="1:9" x14ac:dyDescent="0.35">
      <c r="A389" s="19">
        <v>45726</v>
      </c>
      <c r="B389" s="20"/>
      <c r="C389" s="20"/>
      <c r="D389" s="20">
        <v>10000</v>
      </c>
      <c r="E389" s="99" t="s">
        <v>367</v>
      </c>
      <c r="F389" s="20">
        <f t="shared" si="5"/>
        <v>155347879</v>
      </c>
      <c r="G389" s="7" t="s">
        <v>369</v>
      </c>
      <c r="H389" s="24" t="s">
        <v>109</v>
      </c>
      <c r="I389" s="32" t="s">
        <v>152</v>
      </c>
    </row>
    <row r="390" spans="1:9" x14ac:dyDescent="0.35">
      <c r="A390" s="19">
        <v>45726</v>
      </c>
      <c r="B390" s="20"/>
      <c r="C390" s="20"/>
      <c r="D390" s="20">
        <v>10000</v>
      </c>
      <c r="E390" s="99" t="s">
        <v>367</v>
      </c>
      <c r="F390" s="20">
        <f t="shared" si="5"/>
        <v>155357879</v>
      </c>
      <c r="G390" s="7" t="s">
        <v>369</v>
      </c>
      <c r="H390" s="24" t="s">
        <v>109</v>
      </c>
      <c r="I390" s="32" t="s">
        <v>152</v>
      </c>
    </row>
    <row r="391" spans="1:9" x14ac:dyDescent="0.35">
      <c r="A391" s="19">
        <v>45726</v>
      </c>
      <c r="B391" s="20"/>
      <c r="C391" s="20"/>
      <c r="D391" s="20">
        <v>7000</v>
      </c>
      <c r="E391" s="99" t="s">
        <v>367</v>
      </c>
      <c r="F391" s="20">
        <f t="shared" si="5"/>
        <v>155364879</v>
      </c>
      <c r="G391" s="7" t="s">
        <v>369</v>
      </c>
      <c r="H391" s="24" t="s">
        <v>109</v>
      </c>
      <c r="I391" s="32" t="s">
        <v>152</v>
      </c>
    </row>
    <row r="392" spans="1:9" x14ac:dyDescent="0.35">
      <c r="A392" s="19">
        <v>45726</v>
      </c>
      <c r="B392" s="20"/>
      <c r="C392" s="20"/>
      <c r="D392" s="20">
        <v>25000</v>
      </c>
      <c r="E392" s="99" t="s">
        <v>367</v>
      </c>
      <c r="F392" s="20">
        <f>+F391+D392-B392</f>
        <v>155389879</v>
      </c>
      <c r="G392" s="7" t="s">
        <v>369</v>
      </c>
      <c r="H392" s="24" t="s">
        <v>109</v>
      </c>
      <c r="I392" s="32" t="s">
        <v>152</v>
      </c>
    </row>
    <row r="393" spans="1:9" x14ac:dyDescent="0.35">
      <c r="A393" s="19">
        <v>45726</v>
      </c>
      <c r="B393" s="20"/>
      <c r="C393" s="20"/>
      <c r="D393" s="20">
        <v>20000</v>
      </c>
      <c r="E393" s="99" t="s">
        <v>367</v>
      </c>
      <c r="F393" s="20">
        <f t="shared" si="5"/>
        <v>155409879</v>
      </c>
      <c r="G393" s="7" t="s">
        <v>369</v>
      </c>
      <c r="H393" s="24" t="s">
        <v>109</v>
      </c>
      <c r="I393" s="32" t="s">
        <v>152</v>
      </c>
    </row>
    <row r="394" spans="1:9" x14ac:dyDescent="0.35">
      <c r="A394" s="19">
        <v>45726</v>
      </c>
      <c r="B394" s="20"/>
      <c r="C394" s="20"/>
      <c r="D394" s="23">
        <v>5597000</v>
      </c>
      <c r="E394" s="99" t="s">
        <v>367</v>
      </c>
      <c r="F394" s="20">
        <f t="shared" ref="F394:F457" si="6">+F393+D394-B394</f>
        <v>161006879</v>
      </c>
      <c r="G394" s="24" t="s">
        <v>107</v>
      </c>
      <c r="H394" s="24" t="s">
        <v>107</v>
      </c>
      <c r="I394" s="32" t="s">
        <v>152</v>
      </c>
    </row>
    <row r="395" spans="1:9" x14ac:dyDescent="0.35">
      <c r="A395" s="19">
        <v>45726</v>
      </c>
      <c r="B395" s="20"/>
      <c r="C395" s="20"/>
      <c r="D395" s="23">
        <v>5680000</v>
      </c>
      <c r="E395" s="99" t="s">
        <v>367</v>
      </c>
      <c r="F395" s="20">
        <f t="shared" si="6"/>
        <v>166686879</v>
      </c>
      <c r="G395" s="24" t="s">
        <v>109</v>
      </c>
      <c r="H395" s="24" t="s">
        <v>109</v>
      </c>
      <c r="I395" s="32" t="s">
        <v>152</v>
      </c>
    </row>
    <row r="396" spans="1:9" x14ac:dyDescent="0.35">
      <c r="A396" s="19">
        <v>45726</v>
      </c>
      <c r="B396" s="20"/>
      <c r="C396" s="20"/>
      <c r="D396" s="23">
        <v>4558000</v>
      </c>
      <c r="E396" s="99" t="s">
        <v>367</v>
      </c>
      <c r="F396" s="20">
        <f t="shared" si="6"/>
        <v>171244879</v>
      </c>
      <c r="G396" s="24" t="s">
        <v>377</v>
      </c>
      <c r="H396" s="24" t="s">
        <v>109</v>
      </c>
      <c r="I396" s="32" t="s">
        <v>152</v>
      </c>
    </row>
    <row r="397" spans="1:9" x14ac:dyDescent="0.35">
      <c r="A397" s="19">
        <v>45726</v>
      </c>
      <c r="B397" s="23">
        <v>5000</v>
      </c>
      <c r="C397" s="20"/>
      <c r="D397" s="20"/>
      <c r="E397" s="99" t="s">
        <v>367</v>
      </c>
      <c r="F397" s="20">
        <f t="shared" si="6"/>
        <v>171239879</v>
      </c>
      <c r="G397" s="24" t="s">
        <v>115</v>
      </c>
      <c r="H397" s="59" t="s">
        <v>320</v>
      </c>
      <c r="I397" s="32" t="s">
        <v>152</v>
      </c>
    </row>
    <row r="398" spans="1:9" x14ac:dyDescent="0.35">
      <c r="A398" s="19"/>
      <c r="B398" s="20"/>
      <c r="C398" s="20">
        <v>15830000</v>
      </c>
      <c r="D398" s="20"/>
      <c r="E398" s="99"/>
      <c r="F398" s="20">
        <f t="shared" si="6"/>
        <v>171239879</v>
      </c>
      <c r="G398" s="7" t="s">
        <v>305</v>
      </c>
      <c r="H398" s="59"/>
      <c r="I398" s="32"/>
    </row>
    <row r="399" spans="1:9" x14ac:dyDescent="0.35">
      <c r="A399" s="19">
        <v>45727</v>
      </c>
      <c r="B399" s="20"/>
      <c r="C399" s="20"/>
      <c r="D399" s="20">
        <v>50000</v>
      </c>
      <c r="E399" s="99" t="s">
        <v>367</v>
      </c>
      <c r="F399" s="20">
        <f t="shared" si="6"/>
        <v>171289879</v>
      </c>
      <c r="G399" s="7" t="s">
        <v>369</v>
      </c>
      <c r="H399" s="24" t="s">
        <v>109</v>
      </c>
      <c r="I399" s="32" t="s">
        <v>152</v>
      </c>
    </row>
    <row r="400" spans="1:9" x14ac:dyDescent="0.35">
      <c r="A400" s="19">
        <v>45727</v>
      </c>
      <c r="B400" s="20"/>
      <c r="C400" s="20"/>
      <c r="D400" s="20">
        <v>100000</v>
      </c>
      <c r="E400" s="99" t="s">
        <v>367</v>
      </c>
      <c r="F400" s="20">
        <f t="shared" si="6"/>
        <v>171389879</v>
      </c>
      <c r="G400" s="7" t="s">
        <v>369</v>
      </c>
      <c r="H400" s="24" t="s">
        <v>109</v>
      </c>
      <c r="I400" s="32" t="s">
        <v>152</v>
      </c>
    </row>
    <row r="401" spans="1:9" x14ac:dyDescent="0.35">
      <c r="A401" s="19">
        <v>45727</v>
      </c>
      <c r="B401" s="20"/>
      <c r="C401" s="20"/>
      <c r="D401" s="20">
        <v>250000</v>
      </c>
      <c r="E401" s="99" t="s">
        <v>367</v>
      </c>
      <c r="F401" s="20">
        <f t="shared" si="6"/>
        <v>171639879</v>
      </c>
      <c r="G401" s="7" t="s">
        <v>369</v>
      </c>
      <c r="H401" s="24" t="s">
        <v>109</v>
      </c>
      <c r="I401" s="32" t="s">
        <v>152</v>
      </c>
    </row>
    <row r="402" spans="1:9" x14ac:dyDescent="0.35">
      <c r="A402" s="19">
        <v>45727</v>
      </c>
      <c r="B402" s="20"/>
      <c r="C402" s="20"/>
      <c r="D402" s="20">
        <v>50000</v>
      </c>
      <c r="E402" s="99" t="s">
        <v>367</v>
      </c>
      <c r="F402" s="20">
        <f t="shared" si="6"/>
        <v>171689879</v>
      </c>
      <c r="G402" s="7" t="s">
        <v>369</v>
      </c>
      <c r="H402" s="24" t="s">
        <v>109</v>
      </c>
      <c r="I402" s="32" t="s">
        <v>152</v>
      </c>
    </row>
    <row r="403" spans="1:9" x14ac:dyDescent="0.35">
      <c r="A403" s="19">
        <v>45727</v>
      </c>
      <c r="B403" s="20"/>
      <c r="C403" s="20"/>
      <c r="D403" s="20">
        <v>10000</v>
      </c>
      <c r="E403" s="99" t="s">
        <v>367</v>
      </c>
      <c r="F403" s="20">
        <f t="shared" si="6"/>
        <v>171699879</v>
      </c>
      <c r="G403" s="7" t="s">
        <v>369</v>
      </c>
      <c r="H403" s="24" t="s">
        <v>109</v>
      </c>
      <c r="I403" s="32" t="s">
        <v>152</v>
      </c>
    </row>
    <row r="404" spans="1:9" x14ac:dyDescent="0.35">
      <c r="A404" s="19">
        <v>45727</v>
      </c>
      <c r="B404" s="20"/>
      <c r="C404" s="20"/>
      <c r="D404" s="20">
        <v>25000</v>
      </c>
      <c r="E404" s="99" t="s">
        <v>367</v>
      </c>
      <c r="F404" s="20">
        <f t="shared" si="6"/>
        <v>171724879</v>
      </c>
      <c r="G404" s="7" t="s">
        <v>369</v>
      </c>
      <c r="H404" s="24" t="s">
        <v>109</v>
      </c>
      <c r="I404" s="32" t="s">
        <v>152</v>
      </c>
    </row>
    <row r="405" spans="1:9" x14ac:dyDescent="0.35">
      <c r="A405" s="19">
        <v>45727</v>
      </c>
      <c r="B405" s="20"/>
      <c r="C405" s="20"/>
      <c r="D405" s="20">
        <v>50000</v>
      </c>
      <c r="E405" s="99" t="s">
        <v>367</v>
      </c>
      <c r="F405" s="20">
        <f t="shared" si="6"/>
        <v>171774879</v>
      </c>
      <c r="G405" s="7" t="s">
        <v>369</v>
      </c>
      <c r="H405" s="24" t="s">
        <v>109</v>
      </c>
      <c r="I405" s="32" t="s">
        <v>152</v>
      </c>
    </row>
    <row r="406" spans="1:9" x14ac:dyDescent="0.35">
      <c r="A406" s="19">
        <v>45727</v>
      </c>
      <c r="B406" s="20"/>
      <c r="C406" s="20"/>
      <c r="D406" s="20">
        <v>20000</v>
      </c>
      <c r="E406" s="99" t="s">
        <v>367</v>
      </c>
      <c r="F406" s="20">
        <f t="shared" si="6"/>
        <v>171794879</v>
      </c>
      <c r="G406" s="7" t="s">
        <v>369</v>
      </c>
      <c r="H406" s="24" t="s">
        <v>109</v>
      </c>
      <c r="I406" s="32" t="s">
        <v>152</v>
      </c>
    </row>
    <row r="407" spans="1:9" x14ac:dyDescent="0.35">
      <c r="A407" s="19">
        <v>45727</v>
      </c>
      <c r="B407" s="20"/>
      <c r="C407" s="20"/>
      <c r="D407" s="20">
        <v>1010</v>
      </c>
      <c r="E407" s="99" t="s">
        <v>367</v>
      </c>
      <c r="F407" s="20">
        <f t="shared" si="6"/>
        <v>171795889</v>
      </c>
      <c r="G407" s="7" t="s">
        <v>369</v>
      </c>
      <c r="H407" s="24" t="s">
        <v>109</v>
      </c>
      <c r="I407" s="32" t="s">
        <v>152</v>
      </c>
    </row>
    <row r="408" spans="1:9" x14ac:dyDescent="0.35">
      <c r="A408" s="19">
        <v>45727</v>
      </c>
      <c r="B408" s="20"/>
      <c r="C408" s="20"/>
      <c r="D408" s="20">
        <v>5000</v>
      </c>
      <c r="E408" s="99" t="s">
        <v>367</v>
      </c>
      <c r="F408" s="20">
        <f t="shared" si="6"/>
        <v>171800889</v>
      </c>
      <c r="G408" s="7" t="s">
        <v>369</v>
      </c>
      <c r="H408" s="24" t="s">
        <v>109</v>
      </c>
      <c r="I408" s="32" t="s">
        <v>152</v>
      </c>
    </row>
    <row r="409" spans="1:9" x14ac:dyDescent="0.35">
      <c r="A409" s="19">
        <v>45727</v>
      </c>
      <c r="B409" s="20"/>
      <c r="C409" s="20"/>
      <c r="D409" s="20">
        <v>100000</v>
      </c>
      <c r="E409" s="99" t="s">
        <v>367</v>
      </c>
      <c r="F409" s="20">
        <f t="shared" si="6"/>
        <v>171900889</v>
      </c>
      <c r="G409" s="7" t="s">
        <v>373</v>
      </c>
      <c r="H409" s="24" t="s">
        <v>109</v>
      </c>
      <c r="I409" s="32" t="s">
        <v>152</v>
      </c>
    </row>
    <row r="410" spans="1:9" x14ac:dyDescent="0.35">
      <c r="A410" s="19">
        <v>45727</v>
      </c>
      <c r="B410" s="20"/>
      <c r="C410" s="20"/>
      <c r="D410" s="20">
        <v>250000</v>
      </c>
      <c r="E410" s="99" t="s">
        <v>367</v>
      </c>
      <c r="F410" s="20">
        <f t="shared" si="6"/>
        <v>172150889</v>
      </c>
      <c r="G410" s="7" t="s">
        <v>387</v>
      </c>
      <c r="H410" s="24" t="s">
        <v>109</v>
      </c>
      <c r="I410" s="32" t="s">
        <v>152</v>
      </c>
    </row>
    <row r="411" spans="1:9" x14ac:dyDescent="0.35">
      <c r="A411" s="19">
        <v>45728</v>
      </c>
      <c r="B411" s="20">
        <v>3500000</v>
      </c>
      <c r="C411" s="20"/>
      <c r="D411" s="20"/>
      <c r="E411" s="99" t="s">
        <v>367</v>
      </c>
      <c r="F411" s="20">
        <f t="shared" si="6"/>
        <v>168650889</v>
      </c>
      <c r="G411" s="7" t="s">
        <v>388</v>
      </c>
      <c r="H411" s="24" t="s">
        <v>320</v>
      </c>
      <c r="I411" s="32" t="s">
        <v>152</v>
      </c>
    </row>
    <row r="412" spans="1:9" x14ac:dyDescent="0.35">
      <c r="A412" s="19">
        <v>45728</v>
      </c>
      <c r="B412" s="20">
        <v>2500</v>
      </c>
      <c r="C412" s="20"/>
      <c r="D412" s="20"/>
      <c r="E412" s="99" t="s">
        <v>367</v>
      </c>
      <c r="F412" s="20">
        <f t="shared" si="6"/>
        <v>168648389</v>
      </c>
      <c r="G412" s="7" t="s">
        <v>389</v>
      </c>
      <c r="H412" s="24" t="s">
        <v>320</v>
      </c>
      <c r="I412" s="32" t="s">
        <v>152</v>
      </c>
    </row>
    <row r="413" spans="1:9" x14ac:dyDescent="0.35">
      <c r="A413" s="19">
        <v>45728</v>
      </c>
      <c r="B413" s="20"/>
      <c r="C413" s="20"/>
      <c r="D413" s="20">
        <v>50000</v>
      </c>
      <c r="E413" s="99" t="s">
        <v>367</v>
      </c>
      <c r="F413" s="20">
        <f t="shared" si="6"/>
        <v>168698389</v>
      </c>
      <c r="G413" s="7" t="s">
        <v>330</v>
      </c>
      <c r="H413" s="24" t="s">
        <v>109</v>
      </c>
      <c r="I413" s="32" t="s">
        <v>152</v>
      </c>
    </row>
    <row r="414" spans="1:9" x14ac:dyDescent="0.35">
      <c r="A414" s="19">
        <v>45728</v>
      </c>
      <c r="B414" s="20"/>
      <c r="C414" s="20"/>
      <c r="D414" s="20">
        <v>50000</v>
      </c>
      <c r="E414" s="99" t="s">
        <v>367</v>
      </c>
      <c r="F414" s="20">
        <f t="shared" si="6"/>
        <v>168748389</v>
      </c>
      <c r="G414" s="7" t="s">
        <v>330</v>
      </c>
      <c r="H414" s="24" t="s">
        <v>109</v>
      </c>
      <c r="I414" s="32" t="s">
        <v>152</v>
      </c>
    </row>
    <row r="415" spans="1:9" x14ac:dyDescent="0.35">
      <c r="A415" s="19">
        <v>45728</v>
      </c>
      <c r="B415" s="20"/>
      <c r="C415" s="20"/>
      <c r="D415" s="20">
        <v>10000</v>
      </c>
      <c r="E415" s="99" t="s">
        <v>367</v>
      </c>
      <c r="F415" s="20">
        <f t="shared" si="6"/>
        <v>168758389</v>
      </c>
      <c r="G415" s="7" t="s">
        <v>330</v>
      </c>
      <c r="H415" s="24" t="s">
        <v>109</v>
      </c>
      <c r="I415" s="32" t="s">
        <v>152</v>
      </c>
    </row>
    <row r="416" spans="1:9" x14ac:dyDescent="0.35">
      <c r="A416" s="19">
        <v>45728</v>
      </c>
      <c r="B416" s="20"/>
      <c r="C416" s="20"/>
      <c r="D416" s="20">
        <v>100000</v>
      </c>
      <c r="E416" s="99" t="s">
        <v>367</v>
      </c>
      <c r="F416" s="20">
        <f t="shared" si="6"/>
        <v>168858389</v>
      </c>
      <c r="G416" s="7" t="s">
        <v>330</v>
      </c>
      <c r="H416" s="24" t="s">
        <v>109</v>
      </c>
      <c r="I416" s="32" t="s">
        <v>152</v>
      </c>
    </row>
    <row r="417" spans="1:9" x14ac:dyDescent="0.35">
      <c r="A417" s="19">
        <v>45728</v>
      </c>
      <c r="B417" s="20"/>
      <c r="C417" s="20"/>
      <c r="D417" s="20">
        <v>5000</v>
      </c>
      <c r="E417" s="99" t="s">
        <v>367</v>
      </c>
      <c r="F417" s="20">
        <f t="shared" si="6"/>
        <v>168863389</v>
      </c>
      <c r="G417" s="7" t="s">
        <v>330</v>
      </c>
      <c r="H417" s="24" t="s">
        <v>109</v>
      </c>
      <c r="I417" s="32" t="s">
        <v>152</v>
      </c>
    </row>
    <row r="418" spans="1:9" x14ac:dyDescent="0.35">
      <c r="A418" s="19">
        <v>45728</v>
      </c>
      <c r="B418" s="20"/>
      <c r="C418" s="20"/>
      <c r="D418" s="20">
        <v>10000</v>
      </c>
      <c r="E418" s="99" t="s">
        <v>367</v>
      </c>
      <c r="F418" s="20">
        <f t="shared" si="6"/>
        <v>168873389</v>
      </c>
      <c r="G418" s="7" t="s">
        <v>330</v>
      </c>
      <c r="H418" s="24" t="s">
        <v>109</v>
      </c>
      <c r="I418" s="32" t="s">
        <v>152</v>
      </c>
    </row>
    <row r="419" spans="1:9" x14ac:dyDescent="0.35">
      <c r="A419" s="19">
        <v>45728</v>
      </c>
      <c r="B419" s="20"/>
      <c r="C419" s="20"/>
      <c r="D419" s="20">
        <v>10000</v>
      </c>
      <c r="E419" s="99" t="s">
        <v>367</v>
      </c>
      <c r="F419" s="20">
        <f t="shared" si="6"/>
        <v>168883389</v>
      </c>
      <c r="G419" s="7" t="s">
        <v>330</v>
      </c>
      <c r="H419" s="24" t="s">
        <v>109</v>
      </c>
      <c r="I419" s="32" t="s">
        <v>152</v>
      </c>
    </row>
    <row r="420" spans="1:9" x14ac:dyDescent="0.35">
      <c r="A420" s="19">
        <v>45728</v>
      </c>
      <c r="B420" s="20"/>
      <c r="C420" s="20"/>
      <c r="D420" s="20">
        <v>170000</v>
      </c>
      <c r="E420" s="99" t="s">
        <v>367</v>
      </c>
      <c r="F420" s="20">
        <f t="shared" si="6"/>
        <v>169053389</v>
      </c>
      <c r="G420" s="7" t="s">
        <v>241</v>
      </c>
      <c r="H420" s="24" t="s">
        <v>109</v>
      </c>
      <c r="I420" s="32" t="s">
        <v>152</v>
      </c>
    </row>
    <row r="421" spans="1:9" x14ac:dyDescent="0.35">
      <c r="A421" s="19">
        <v>45729</v>
      </c>
      <c r="B421" s="20"/>
      <c r="C421" s="20"/>
      <c r="D421" s="20">
        <v>100000</v>
      </c>
      <c r="E421" s="99" t="s">
        <v>367</v>
      </c>
      <c r="F421" s="20">
        <f t="shared" si="6"/>
        <v>169153389</v>
      </c>
      <c r="G421" s="7" t="s">
        <v>330</v>
      </c>
      <c r="H421" s="24" t="s">
        <v>109</v>
      </c>
      <c r="I421" s="32" t="s">
        <v>152</v>
      </c>
    </row>
    <row r="422" spans="1:9" x14ac:dyDescent="0.35">
      <c r="A422" s="19">
        <v>45729</v>
      </c>
      <c r="B422" s="20"/>
      <c r="C422" s="20"/>
      <c r="D422" s="20">
        <v>10000</v>
      </c>
      <c r="E422" s="99" t="s">
        <v>367</v>
      </c>
      <c r="F422" s="20">
        <f t="shared" si="6"/>
        <v>169163389</v>
      </c>
      <c r="G422" s="7" t="s">
        <v>330</v>
      </c>
      <c r="H422" s="24" t="s">
        <v>109</v>
      </c>
      <c r="I422" s="32" t="s">
        <v>152</v>
      </c>
    </row>
    <row r="423" spans="1:9" x14ac:dyDescent="0.35">
      <c r="A423" s="19">
        <v>45729</v>
      </c>
      <c r="B423" s="20"/>
      <c r="C423" s="20"/>
      <c r="D423" s="20">
        <v>50000</v>
      </c>
      <c r="E423" s="99" t="s">
        <v>367</v>
      </c>
      <c r="F423" s="20">
        <f t="shared" si="6"/>
        <v>169213389</v>
      </c>
      <c r="G423" s="7" t="s">
        <v>330</v>
      </c>
      <c r="H423" s="24" t="s">
        <v>109</v>
      </c>
      <c r="I423" s="32" t="s">
        <v>152</v>
      </c>
    </row>
    <row r="424" spans="1:9" x14ac:dyDescent="0.35">
      <c r="A424" s="19">
        <v>45729</v>
      </c>
      <c r="B424" s="20"/>
      <c r="C424" s="20"/>
      <c r="D424" s="20">
        <v>100000</v>
      </c>
      <c r="E424" s="99" t="s">
        <v>367</v>
      </c>
      <c r="F424" s="20">
        <f t="shared" si="6"/>
        <v>169313389</v>
      </c>
      <c r="G424" s="7" t="s">
        <v>330</v>
      </c>
      <c r="H424" s="24" t="s">
        <v>109</v>
      </c>
      <c r="I424" s="32" t="s">
        <v>152</v>
      </c>
    </row>
    <row r="425" spans="1:9" x14ac:dyDescent="0.35">
      <c r="A425" s="19">
        <v>45729</v>
      </c>
      <c r="B425" s="20">
        <v>1000000</v>
      </c>
      <c r="C425" s="20"/>
      <c r="D425" s="20"/>
      <c r="E425" s="99" t="s">
        <v>367</v>
      </c>
      <c r="F425" s="20">
        <f t="shared" si="6"/>
        <v>168313389</v>
      </c>
      <c r="G425" s="7" t="s">
        <v>390</v>
      </c>
      <c r="H425" s="24" t="s">
        <v>322</v>
      </c>
      <c r="I425" s="32" t="s">
        <v>152</v>
      </c>
    </row>
    <row r="426" spans="1:9" x14ac:dyDescent="0.35">
      <c r="A426" s="19">
        <v>45729</v>
      </c>
      <c r="B426" s="20">
        <v>2500</v>
      </c>
      <c r="C426" s="20"/>
      <c r="D426" s="20"/>
      <c r="E426" s="99" t="s">
        <v>367</v>
      </c>
      <c r="F426" s="20">
        <f t="shared" si="6"/>
        <v>168310889</v>
      </c>
      <c r="G426" s="7" t="s">
        <v>391</v>
      </c>
      <c r="H426" s="24" t="s">
        <v>322</v>
      </c>
      <c r="I426" s="32" t="s">
        <v>152</v>
      </c>
    </row>
    <row r="427" spans="1:9" x14ac:dyDescent="0.35">
      <c r="A427" s="19">
        <v>45730</v>
      </c>
      <c r="B427" s="20"/>
      <c r="C427" s="20"/>
      <c r="D427" s="20">
        <v>100000</v>
      </c>
      <c r="E427" s="99" t="s">
        <v>367</v>
      </c>
      <c r="F427" s="20">
        <f t="shared" si="6"/>
        <v>168410889</v>
      </c>
      <c r="G427" s="7" t="s">
        <v>330</v>
      </c>
      <c r="H427" s="24" t="s">
        <v>109</v>
      </c>
      <c r="I427" s="32" t="s">
        <v>152</v>
      </c>
    </row>
    <row r="428" spans="1:9" x14ac:dyDescent="0.35">
      <c r="A428" s="19">
        <v>45730</v>
      </c>
      <c r="B428" s="20"/>
      <c r="C428" s="20"/>
      <c r="D428" s="20">
        <v>200000</v>
      </c>
      <c r="E428" s="99" t="s">
        <v>367</v>
      </c>
      <c r="F428" s="20">
        <f t="shared" si="6"/>
        <v>168610889</v>
      </c>
      <c r="G428" s="7" t="s">
        <v>330</v>
      </c>
      <c r="H428" s="24" t="s">
        <v>109</v>
      </c>
      <c r="I428" s="32" t="s">
        <v>152</v>
      </c>
    </row>
    <row r="429" spans="1:9" x14ac:dyDescent="0.35">
      <c r="A429" s="19">
        <v>45730</v>
      </c>
      <c r="B429" s="20"/>
      <c r="C429" s="20"/>
      <c r="D429" s="20">
        <v>50000</v>
      </c>
      <c r="E429" s="99" t="s">
        <v>367</v>
      </c>
      <c r="F429" s="20">
        <f t="shared" si="6"/>
        <v>168660889</v>
      </c>
      <c r="G429" s="7" t="s">
        <v>330</v>
      </c>
      <c r="H429" s="24" t="s">
        <v>109</v>
      </c>
      <c r="I429" s="32" t="s">
        <v>152</v>
      </c>
    </row>
    <row r="430" spans="1:9" x14ac:dyDescent="0.35">
      <c r="A430" s="19">
        <v>45730</v>
      </c>
      <c r="B430" s="20"/>
      <c r="C430" s="20"/>
      <c r="D430" s="20">
        <v>50000</v>
      </c>
      <c r="E430" s="99" t="s">
        <v>367</v>
      </c>
      <c r="F430" s="20">
        <f t="shared" si="6"/>
        <v>168710889</v>
      </c>
      <c r="G430" s="7" t="s">
        <v>330</v>
      </c>
      <c r="H430" s="24" t="s">
        <v>109</v>
      </c>
      <c r="I430" s="32" t="s">
        <v>152</v>
      </c>
    </row>
    <row r="431" spans="1:9" x14ac:dyDescent="0.35">
      <c r="A431" s="19">
        <v>45730</v>
      </c>
      <c r="B431" s="20"/>
      <c r="C431" s="20"/>
      <c r="D431" s="20">
        <v>25000</v>
      </c>
      <c r="E431" s="99" t="s">
        <v>367</v>
      </c>
      <c r="F431" s="20">
        <f t="shared" si="6"/>
        <v>168735889</v>
      </c>
      <c r="G431" s="7" t="s">
        <v>330</v>
      </c>
      <c r="H431" s="24" t="s">
        <v>109</v>
      </c>
      <c r="I431" s="32" t="s">
        <v>152</v>
      </c>
    </row>
    <row r="432" spans="1:9" x14ac:dyDescent="0.35">
      <c r="A432" s="19">
        <v>45730</v>
      </c>
      <c r="B432" s="20"/>
      <c r="C432" s="20"/>
      <c r="D432" s="20">
        <v>50000</v>
      </c>
      <c r="E432" s="99" t="s">
        <v>367</v>
      </c>
      <c r="F432" s="20">
        <f t="shared" si="6"/>
        <v>168785889</v>
      </c>
      <c r="G432" s="7" t="s">
        <v>330</v>
      </c>
      <c r="H432" s="24" t="s">
        <v>109</v>
      </c>
      <c r="I432" s="32" t="s">
        <v>152</v>
      </c>
    </row>
    <row r="433" spans="1:9" x14ac:dyDescent="0.35">
      <c r="A433" s="19">
        <v>45730</v>
      </c>
      <c r="B433" s="20"/>
      <c r="C433" s="20"/>
      <c r="D433" s="20">
        <v>100000</v>
      </c>
      <c r="E433" s="99" t="s">
        <v>367</v>
      </c>
      <c r="F433" s="20">
        <f t="shared" si="6"/>
        <v>168885889</v>
      </c>
      <c r="G433" s="7" t="s">
        <v>330</v>
      </c>
      <c r="H433" s="24" t="s">
        <v>109</v>
      </c>
      <c r="I433" s="32" t="s">
        <v>152</v>
      </c>
    </row>
    <row r="434" spans="1:9" x14ac:dyDescent="0.35">
      <c r="A434" s="19">
        <v>45730</v>
      </c>
      <c r="B434" s="20"/>
      <c r="C434" s="20"/>
      <c r="D434" s="20">
        <v>10000</v>
      </c>
      <c r="E434" s="99" t="s">
        <v>367</v>
      </c>
      <c r="F434" s="20">
        <f t="shared" si="6"/>
        <v>168895889</v>
      </c>
      <c r="G434" s="7" t="s">
        <v>330</v>
      </c>
      <c r="H434" s="24" t="s">
        <v>109</v>
      </c>
      <c r="I434" s="32" t="s">
        <v>152</v>
      </c>
    </row>
    <row r="435" spans="1:9" x14ac:dyDescent="0.35">
      <c r="A435" s="19">
        <v>45730</v>
      </c>
      <c r="B435" s="20"/>
      <c r="C435" s="20"/>
      <c r="D435" s="20">
        <v>300000</v>
      </c>
      <c r="E435" s="99" t="s">
        <v>398</v>
      </c>
      <c r="F435" s="20">
        <f t="shared" si="6"/>
        <v>169195889</v>
      </c>
      <c r="G435" s="7" t="s">
        <v>399</v>
      </c>
      <c r="H435" s="24" t="s">
        <v>109</v>
      </c>
      <c r="I435" s="32" t="s">
        <v>152</v>
      </c>
    </row>
    <row r="436" spans="1:9" x14ac:dyDescent="0.35">
      <c r="A436" s="19">
        <v>45730</v>
      </c>
      <c r="B436" s="20">
        <v>400000</v>
      </c>
      <c r="C436" s="20"/>
      <c r="D436" s="20"/>
      <c r="E436" s="99" t="s">
        <v>398</v>
      </c>
      <c r="F436" s="20">
        <f t="shared" si="6"/>
        <v>168795889</v>
      </c>
      <c r="G436" s="7" t="s">
        <v>400</v>
      </c>
      <c r="H436" s="59" t="s">
        <v>201</v>
      </c>
      <c r="I436" s="32" t="s">
        <v>152</v>
      </c>
    </row>
    <row r="437" spans="1:9" x14ac:dyDescent="0.35">
      <c r="A437" s="19">
        <v>45733</v>
      </c>
      <c r="B437" s="20"/>
      <c r="C437" s="20"/>
      <c r="D437" s="20">
        <v>50000</v>
      </c>
      <c r="E437" s="99" t="s">
        <v>398</v>
      </c>
      <c r="F437" s="20">
        <f t="shared" si="6"/>
        <v>168845889</v>
      </c>
      <c r="G437" s="7" t="s">
        <v>330</v>
      </c>
      <c r="H437" s="24" t="s">
        <v>109</v>
      </c>
      <c r="I437" s="32" t="s">
        <v>152</v>
      </c>
    </row>
    <row r="438" spans="1:9" x14ac:dyDescent="0.35">
      <c r="A438" s="19">
        <v>45733</v>
      </c>
      <c r="B438" s="20"/>
      <c r="C438" s="20"/>
      <c r="D438" s="20">
        <v>50000</v>
      </c>
      <c r="E438" s="99" t="s">
        <v>398</v>
      </c>
      <c r="F438" s="20">
        <f t="shared" si="6"/>
        <v>168895889</v>
      </c>
      <c r="G438" s="7" t="s">
        <v>330</v>
      </c>
      <c r="H438" s="24" t="s">
        <v>109</v>
      </c>
      <c r="I438" s="32" t="s">
        <v>152</v>
      </c>
    </row>
    <row r="439" spans="1:9" x14ac:dyDescent="0.35">
      <c r="A439" s="19">
        <v>45733</v>
      </c>
      <c r="B439" s="20"/>
      <c r="C439" s="20"/>
      <c r="D439" s="20">
        <v>50000</v>
      </c>
      <c r="E439" s="99" t="s">
        <v>398</v>
      </c>
      <c r="F439" s="20">
        <f t="shared" si="6"/>
        <v>168945889</v>
      </c>
      <c r="G439" s="7" t="s">
        <v>330</v>
      </c>
      <c r="H439" s="24" t="s">
        <v>109</v>
      </c>
      <c r="I439" s="32" t="s">
        <v>152</v>
      </c>
    </row>
    <row r="440" spans="1:9" x14ac:dyDescent="0.35">
      <c r="A440" s="19">
        <v>45733</v>
      </c>
      <c r="B440" s="20"/>
      <c r="C440" s="20"/>
      <c r="D440" s="20">
        <v>25000</v>
      </c>
      <c r="E440" s="99" t="s">
        <v>398</v>
      </c>
      <c r="F440" s="20">
        <f t="shared" si="6"/>
        <v>168970889</v>
      </c>
      <c r="G440" s="7" t="s">
        <v>330</v>
      </c>
      <c r="H440" s="24" t="s">
        <v>109</v>
      </c>
      <c r="I440" s="32" t="s">
        <v>152</v>
      </c>
    </row>
    <row r="441" spans="1:9" x14ac:dyDescent="0.35">
      <c r="A441" s="19">
        <v>45733</v>
      </c>
      <c r="B441" s="20"/>
      <c r="C441" s="20"/>
      <c r="D441" s="20">
        <v>10000</v>
      </c>
      <c r="E441" s="99" t="s">
        <v>398</v>
      </c>
      <c r="F441" s="20">
        <f t="shared" si="6"/>
        <v>168980889</v>
      </c>
      <c r="G441" s="7" t="s">
        <v>330</v>
      </c>
      <c r="H441" s="24" t="s">
        <v>109</v>
      </c>
      <c r="I441" s="32" t="s">
        <v>152</v>
      </c>
    </row>
    <row r="442" spans="1:9" x14ac:dyDescent="0.35">
      <c r="A442" s="19">
        <v>45733</v>
      </c>
      <c r="B442" s="20"/>
      <c r="C442" s="20"/>
      <c r="D442" s="20">
        <v>50000</v>
      </c>
      <c r="E442" s="99" t="s">
        <v>398</v>
      </c>
      <c r="F442" s="20">
        <f t="shared" si="6"/>
        <v>169030889</v>
      </c>
      <c r="G442" s="7" t="s">
        <v>330</v>
      </c>
      <c r="H442" s="24" t="s">
        <v>109</v>
      </c>
      <c r="I442" s="32" t="s">
        <v>152</v>
      </c>
    </row>
    <row r="443" spans="1:9" x14ac:dyDescent="0.35">
      <c r="A443" s="19">
        <v>45733</v>
      </c>
      <c r="B443" s="20"/>
      <c r="C443" s="20"/>
      <c r="D443" s="20">
        <v>50000</v>
      </c>
      <c r="E443" s="99" t="s">
        <v>398</v>
      </c>
      <c r="F443" s="20">
        <f t="shared" si="6"/>
        <v>169080889</v>
      </c>
      <c r="G443" s="7" t="s">
        <v>330</v>
      </c>
      <c r="H443" s="24" t="s">
        <v>109</v>
      </c>
      <c r="I443" s="32" t="s">
        <v>152</v>
      </c>
    </row>
    <row r="444" spans="1:9" x14ac:dyDescent="0.35">
      <c r="A444" s="19">
        <v>45733</v>
      </c>
      <c r="B444" s="20"/>
      <c r="C444" s="20"/>
      <c r="D444" s="20">
        <v>100000</v>
      </c>
      <c r="E444" s="99" t="s">
        <v>398</v>
      </c>
      <c r="F444" s="20">
        <f t="shared" si="6"/>
        <v>169180889</v>
      </c>
      <c r="G444" s="7" t="s">
        <v>330</v>
      </c>
      <c r="H444" s="24" t="s">
        <v>109</v>
      </c>
      <c r="I444" s="32" t="s">
        <v>152</v>
      </c>
    </row>
    <row r="445" spans="1:9" x14ac:dyDescent="0.35">
      <c r="A445" s="19">
        <v>45733</v>
      </c>
      <c r="B445" s="20"/>
      <c r="C445" s="20"/>
      <c r="D445" s="20">
        <v>50000</v>
      </c>
      <c r="E445" s="99" t="s">
        <v>398</v>
      </c>
      <c r="F445" s="20">
        <f t="shared" si="6"/>
        <v>169230889</v>
      </c>
      <c r="G445" s="7" t="s">
        <v>330</v>
      </c>
      <c r="H445" s="24" t="s">
        <v>109</v>
      </c>
      <c r="I445" s="32" t="s">
        <v>152</v>
      </c>
    </row>
    <row r="446" spans="1:9" x14ac:dyDescent="0.35">
      <c r="A446" s="19">
        <v>45733</v>
      </c>
      <c r="B446" s="20"/>
      <c r="C446" s="20"/>
      <c r="D446" s="20">
        <v>20000</v>
      </c>
      <c r="E446" s="99" t="s">
        <v>398</v>
      </c>
      <c r="F446" s="20">
        <f t="shared" si="6"/>
        <v>169250889</v>
      </c>
      <c r="G446" s="7" t="s">
        <v>330</v>
      </c>
      <c r="H446" s="24" t="s">
        <v>109</v>
      </c>
      <c r="I446" s="32" t="s">
        <v>152</v>
      </c>
    </row>
    <row r="447" spans="1:9" x14ac:dyDescent="0.35">
      <c r="A447" s="19">
        <v>45733</v>
      </c>
      <c r="B447" s="20"/>
      <c r="C447" s="20"/>
      <c r="D447" s="20">
        <v>510</v>
      </c>
      <c r="E447" s="99" t="s">
        <v>398</v>
      </c>
      <c r="F447" s="20">
        <f t="shared" si="6"/>
        <v>169251399</v>
      </c>
      <c r="G447" s="7" t="s">
        <v>330</v>
      </c>
      <c r="H447" s="24" t="s">
        <v>109</v>
      </c>
      <c r="I447" s="32" t="s">
        <v>152</v>
      </c>
    </row>
    <row r="448" spans="1:9" x14ac:dyDescent="0.35">
      <c r="A448" s="19">
        <v>45733</v>
      </c>
      <c r="B448" s="20">
        <v>3000000</v>
      </c>
      <c r="C448" s="20"/>
      <c r="D448" s="20"/>
      <c r="E448" s="99" t="s">
        <v>398</v>
      </c>
      <c r="F448" s="20">
        <f t="shared" si="6"/>
        <v>166251399</v>
      </c>
      <c r="G448" s="7" t="s">
        <v>401</v>
      </c>
      <c r="H448" s="24" t="s">
        <v>327</v>
      </c>
      <c r="I448" s="32" t="s">
        <v>152</v>
      </c>
    </row>
    <row r="449" spans="1:9" x14ac:dyDescent="0.35">
      <c r="A449" s="19">
        <v>45733</v>
      </c>
      <c r="B449" s="20">
        <v>2500</v>
      </c>
      <c r="C449" s="20"/>
      <c r="D449" s="20"/>
      <c r="E449" s="99" t="s">
        <v>398</v>
      </c>
      <c r="F449" s="20">
        <f t="shared" si="6"/>
        <v>166248899</v>
      </c>
      <c r="G449" s="7" t="s">
        <v>402</v>
      </c>
      <c r="H449" s="24" t="s">
        <v>327</v>
      </c>
      <c r="I449" s="32" t="s">
        <v>152</v>
      </c>
    </row>
    <row r="450" spans="1:9" x14ac:dyDescent="0.35">
      <c r="A450" s="19">
        <v>45733</v>
      </c>
      <c r="B450" s="20"/>
      <c r="C450" s="20"/>
      <c r="D450" s="20">
        <v>100000</v>
      </c>
      <c r="E450" s="99" t="s">
        <v>398</v>
      </c>
      <c r="F450" s="20">
        <f t="shared" si="6"/>
        <v>166348899</v>
      </c>
      <c r="G450" s="7" t="s">
        <v>330</v>
      </c>
      <c r="H450" s="24" t="s">
        <v>109</v>
      </c>
      <c r="I450" s="32" t="s">
        <v>152</v>
      </c>
    </row>
    <row r="451" spans="1:9" x14ac:dyDescent="0.35">
      <c r="A451" s="19">
        <v>45733</v>
      </c>
      <c r="B451" s="20"/>
      <c r="C451" s="20"/>
      <c r="D451" s="20">
        <v>100000</v>
      </c>
      <c r="E451" s="99" t="s">
        <v>398</v>
      </c>
      <c r="F451" s="20">
        <f t="shared" si="6"/>
        <v>166448899</v>
      </c>
      <c r="G451" s="7" t="s">
        <v>330</v>
      </c>
      <c r="H451" s="24" t="s">
        <v>109</v>
      </c>
      <c r="I451" s="32" t="s">
        <v>152</v>
      </c>
    </row>
    <row r="452" spans="1:9" x14ac:dyDescent="0.35">
      <c r="A452" s="19">
        <v>45733</v>
      </c>
      <c r="B452" s="20"/>
      <c r="C452" s="20"/>
      <c r="D452" s="20">
        <v>25000</v>
      </c>
      <c r="E452" s="99" t="s">
        <v>398</v>
      </c>
      <c r="F452" s="20">
        <f t="shared" si="6"/>
        <v>166473899</v>
      </c>
      <c r="G452" s="7" t="s">
        <v>330</v>
      </c>
      <c r="H452" s="24" t="s">
        <v>109</v>
      </c>
      <c r="I452" s="32" t="s">
        <v>152</v>
      </c>
    </row>
    <row r="453" spans="1:9" x14ac:dyDescent="0.35">
      <c r="A453" s="19">
        <v>45733</v>
      </c>
      <c r="B453" s="20"/>
      <c r="C453" s="20"/>
      <c r="D453" s="20">
        <v>10000</v>
      </c>
      <c r="E453" s="99" t="s">
        <v>398</v>
      </c>
      <c r="F453" s="20">
        <f t="shared" si="6"/>
        <v>166483899</v>
      </c>
      <c r="G453" s="7" t="s">
        <v>330</v>
      </c>
      <c r="H453" s="24" t="s">
        <v>109</v>
      </c>
      <c r="I453" s="32" t="s">
        <v>152</v>
      </c>
    </row>
    <row r="454" spans="1:9" x14ac:dyDescent="0.35">
      <c r="A454" s="19">
        <v>45733</v>
      </c>
      <c r="B454" s="20"/>
      <c r="C454" s="20"/>
      <c r="D454" s="20">
        <v>10000</v>
      </c>
      <c r="E454" s="99" t="s">
        <v>398</v>
      </c>
      <c r="F454" s="20">
        <f t="shared" si="6"/>
        <v>166493899</v>
      </c>
      <c r="G454" s="7" t="s">
        <v>330</v>
      </c>
      <c r="H454" s="24" t="s">
        <v>109</v>
      </c>
      <c r="I454" s="32" t="s">
        <v>152</v>
      </c>
    </row>
    <row r="455" spans="1:9" x14ac:dyDescent="0.35">
      <c r="A455" s="19">
        <v>45733</v>
      </c>
      <c r="B455" s="20"/>
      <c r="C455" s="20"/>
      <c r="D455" s="20">
        <v>50000</v>
      </c>
      <c r="E455" s="99" t="s">
        <v>398</v>
      </c>
      <c r="F455" s="20">
        <f t="shared" si="6"/>
        <v>166543899</v>
      </c>
      <c r="G455" s="7" t="s">
        <v>330</v>
      </c>
      <c r="H455" s="24" t="s">
        <v>109</v>
      </c>
      <c r="I455" s="32" t="s">
        <v>152</v>
      </c>
    </row>
    <row r="456" spans="1:9" x14ac:dyDescent="0.35">
      <c r="A456" s="19">
        <v>45733</v>
      </c>
      <c r="B456" s="20"/>
      <c r="C456" s="20"/>
      <c r="D456" s="20">
        <v>10000</v>
      </c>
      <c r="E456" s="99" t="s">
        <v>398</v>
      </c>
      <c r="F456" s="20">
        <f t="shared" si="6"/>
        <v>166553899</v>
      </c>
      <c r="G456" s="7" t="s">
        <v>330</v>
      </c>
      <c r="H456" s="24" t="s">
        <v>109</v>
      </c>
      <c r="I456" s="32" t="s">
        <v>152</v>
      </c>
    </row>
    <row r="457" spans="1:9" x14ac:dyDescent="0.35">
      <c r="A457" s="19">
        <v>45733</v>
      </c>
      <c r="B457" s="20"/>
      <c r="C457" s="20"/>
      <c r="D457" s="20">
        <v>20000</v>
      </c>
      <c r="E457" s="99" t="s">
        <v>398</v>
      </c>
      <c r="F457" s="20">
        <f t="shared" si="6"/>
        <v>166573899</v>
      </c>
      <c r="G457" s="7" t="s">
        <v>330</v>
      </c>
      <c r="H457" s="24" t="s">
        <v>109</v>
      </c>
      <c r="I457" s="32" t="s">
        <v>152</v>
      </c>
    </row>
    <row r="458" spans="1:9" x14ac:dyDescent="0.35">
      <c r="A458" s="19">
        <v>45733</v>
      </c>
      <c r="B458" s="20"/>
      <c r="C458" s="20"/>
      <c r="D458" s="20">
        <v>50000</v>
      </c>
      <c r="E458" s="99" t="s">
        <v>398</v>
      </c>
      <c r="F458" s="20">
        <f t="shared" ref="F458:F528" si="7">+F457+D458-B458</f>
        <v>166623899</v>
      </c>
      <c r="G458" s="7" t="s">
        <v>330</v>
      </c>
      <c r="H458" s="24" t="s">
        <v>109</v>
      </c>
      <c r="I458" s="32" t="s">
        <v>152</v>
      </c>
    </row>
    <row r="459" spans="1:9" x14ac:dyDescent="0.35">
      <c r="A459" s="19">
        <v>45733</v>
      </c>
      <c r="B459" s="20"/>
      <c r="C459" s="20"/>
      <c r="D459" s="20">
        <v>100000</v>
      </c>
      <c r="E459" s="99" t="s">
        <v>398</v>
      </c>
      <c r="F459" s="20">
        <f t="shared" si="7"/>
        <v>166723899</v>
      </c>
      <c r="G459" s="7" t="s">
        <v>330</v>
      </c>
      <c r="H459" s="24" t="s">
        <v>109</v>
      </c>
      <c r="I459" s="32" t="s">
        <v>152</v>
      </c>
    </row>
    <row r="460" spans="1:9" x14ac:dyDescent="0.35">
      <c r="A460" s="19">
        <v>45733</v>
      </c>
      <c r="B460" s="20"/>
      <c r="C460" s="20"/>
      <c r="D460" s="20">
        <v>100000</v>
      </c>
      <c r="E460" s="99" t="s">
        <v>398</v>
      </c>
      <c r="F460" s="20">
        <f t="shared" si="7"/>
        <v>166823899</v>
      </c>
      <c r="G460" s="7" t="s">
        <v>330</v>
      </c>
      <c r="H460" s="24" t="s">
        <v>109</v>
      </c>
      <c r="I460" s="32" t="s">
        <v>152</v>
      </c>
    </row>
    <row r="461" spans="1:9" x14ac:dyDescent="0.35">
      <c r="A461" s="19">
        <v>45733</v>
      </c>
      <c r="B461" s="20"/>
      <c r="C461" s="20"/>
      <c r="D461" s="20">
        <v>30000</v>
      </c>
      <c r="E461" s="99" t="s">
        <v>398</v>
      </c>
      <c r="F461" s="20">
        <f t="shared" si="7"/>
        <v>166853899</v>
      </c>
      <c r="G461" s="7" t="s">
        <v>330</v>
      </c>
      <c r="H461" s="24" t="s">
        <v>109</v>
      </c>
      <c r="I461" s="32" t="s">
        <v>152</v>
      </c>
    </row>
    <row r="462" spans="1:9" x14ac:dyDescent="0.35">
      <c r="A462" s="19">
        <v>45733</v>
      </c>
      <c r="B462" s="20"/>
      <c r="C462" s="20"/>
      <c r="D462" s="20">
        <v>50000</v>
      </c>
      <c r="E462" s="99" t="s">
        <v>398</v>
      </c>
      <c r="F462" s="20">
        <f t="shared" si="7"/>
        <v>166903899</v>
      </c>
      <c r="G462" s="7" t="s">
        <v>330</v>
      </c>
      <c r="H462" s="24" t="s">
        <v>109</v>
      </c>
      <c r="I462" s="32" t="s">
        <v>152</v>
      </c>
    </row>
    <row r="463" spans="1:9" x14ac:dyDescent="0.35">
      <c r="A463" s="19">
        <v>45733</v>
      </c>
      <c r="B463" s="20"/>
      <c r="C463" s="20"/>
      <c r="D463" s="20">
        <v>15000</v>
      </c>
      <c r="E463" s="99" t="s">
        <v>398</v>
      </c>
      <c r="F463" s="20">
        <f t="shared" si="7"/>
        <v>166918899</v>
      </c>
      <c r="G463" s="7" t="s">
        <v>330</v>
      </c>
      <c r="H463" s="24" t="s">
        <v>109</v>
      </c>
      <c r="I463" s="32" t="s">
        <v>152</v>
      </c>
    </row>
    <row r="464" spans="1:9" x14ac:dyDescent="0.35">
      <c r="A464" s="19">
        <v>45733</v>
      </c>
      <c r="B464" s="20"/>
      <c r="C464" s="20"/>
      <c r="D464" s="20">
        <v>10000</v>
      </c>
      <c r="E464" s="99" t="s">
        <v>398</v>
      </c>
      <c r="F464" s="20">
        <f t="shared" si="7"/>
        <v>166928899</v>
      </c>
      <c r="G464" s="7" t="s">
        <v>330</v>
      </c>
      <c r="H464" s="24" t="s">
        <v>109</v>
      </c>
      <c r="I464" s="32" t="s">
        <v>152</v>
      </c>
    </row>
    <row r="465" spans="1:9" x14ac:dyDescent="0.35">
      <c r="A465" s="19">
        <v>45733</v>
      </c>
      <c r="B465" s="20"/>
      <c r="C465" s="20"/>
      <c r="D465" s="20">
        <v>50000</v>
      </c>
      <c r="E465" s="99" t="s">
        <v>398</v>
      </c>
      <c r="F465" s="20">
        <f t="shared" si="7"/>
        <v>166978899</v>
      </c>
      <c r="G465" s="7" t="s">
        <v>330</v>
      </c>
      <c r="H465" s="24" t="s">
        <v>109</v>
      </c>
      <c r="I465" s="32" t="s">
        <v>152</v>
      </c>
    </row>
    <row r="466" spans="1:9" x14ac:dyDescent="0.35">
      <c r="A466" s="19">
        <v>45733</v>
      </c>
      <c r="B466" s="20"/>
      <c r="C466" s="20"/>
      <c r="D466" s="20">
        <v>10000</v>
      </c>
      <c r="E466" s="99" t="s">
        <v>398</v>
      </c>
      <c r="F466" s="20">
        <f t="shared" si="7"/>
        <v>166988899</v>
      </c>
      <c r="G466" s="7" t="s">
        <v>330</v>
      </c>
      <c r="H466" s="24" t="s">
        <v>109</v>
      </c>
      <c r="I466" s="32" t="s">
        <v>152</v>
      </c>
    </row>
    <row r="467" spans="1:9" x14ac:dyDescent="0.35">
      <c r="A467" s="19">
        <v>45733</v>
      </c>
      <c r="B467" s="20"/>
      <c r="C467" s="20"/>
      <c r="D467" s="20">
        <v>100000</v>
      </c>
      <c r="E467" s="99" t="s">
        <v>398</v>
      </c>
      <c r="F467" s="20">
        <f t="shared" si="7"/>
        <v>167088899</v>
      </c>
      <c r="G467" s="7" t="s">
        <v>330</v>
      </c>
      <c r="H467" s="24" t="s">
        <v>109</v>
      </c>
      <c r="I467" s="32" t="s">
        <v>152</v>
      </c>
    </row>
    <row r="468" spans="1:9" x14ac:dyDescent="0.35">
      <c r="A468" s="19">
        <v>45733</v>
      </c>
      <c r="B468" s="20"/>
      <c r="C468" s="20"/>
      <c r="D468" s="20">
        <v>5000</v>
      </c>
      <c r="E468" s="99" t="s">
        <v>398</v>
      </c>
      <c r="F468" s="20">
        <f t="shared" si="7"/>
        <v>167093899</v>
      </c>
      <c r="G468" s="7" t="s">
        <v>330</v>
      </c>
      <c r="H468" s="24" t="s">
        <v>109</v>
      </c>
      <c r="I468" s="32" t="s">
        <v>152</v>
      </c>
    </row>
    <row r="469" spans="1:9" x14ac:dyDescent="0.35">
      <c r="A469" s="19">
        <v>45733</v>
      </c>
      <c r="B469" s="20"/>
      <c r="C469" s="20"/>
      <c r="D469" s="20">
        <v>150000</v>
      </c>
      <c r="E469" s="99" t="s">
        <v>398</v>
      </c>
      <c r="F469" s="20">
        <f t="shared" si="7"/>
        <v>167243899</v>
      </c>
      <c r="G469" s="7" t="s">
        <v>330</v>
      </c>
      <c r="H469" s="24" t="s">
        <v>109</v>
      </c>
      <c r="I469" s="32" t="s">
        <v>152</v>
      </c>
    </row>
    <row r="470" spans="1:9" x14ac:dyDescent="0.35">
      <c r="A470" s="19">
        <v>45733</v>
      </c>
      <c r="B470" s="20"/>
      <c r="C470" s="20"/>
      <c r="D470" s="20">
        <v>20000</v>
      </c>
      <c r="E470" s="99" t="s">
        <v>398</v>
      </c>
      <c r="F470" s="20">
        <f t="shared" si="7"/>
        <v>167263899</v>
      </c>
      <c r="G470" s="7" t="s">
        <v>330</v>
      </c>
      <c r="H470" s="24" t="s">
        <v>109</v>
      </c>
      <c r="I470" s="32" t="s">
        <v>152</v>
      </c>
    </row>
    <row r="471" spans="1:9" x14ac:dyDescent="0.35">
      <c r="A471" s="19">
        <v>45733</v>
      </c>
      <c r="B471" s="20">
        <v>58150000</v>
      </c>
      <c r="C471" s="20"/>
      <c r="D471" s="20"/>
      <c r="E471" s="99" t="s">
        <v>398</v>
      </c>
      <c r="F471" s="20">
        <f t="shared" si="7"/>
        <v>109113899</v>
      </c>
      <c r="G471" s="7" t="s">
        <v>403</v>
      </c>
      <c r="H471" s="59" t="s">
        <v>203</v>
      </c>
      <c r="I471" s="32" t="s">
        <v>152</v>
      </c>
    </row>
    <row r="472" spans="1:9" x14ac:dyDescent="0.35">
      <c r="A472" s="19">
        <v>45733</v>
      </c>
      <c r="B472" s="20">
        <v>2500</v>
      </c>
      <c r="C472" s="20"/>
      <c r="D472" s="20"/>
      <c r="E472" s="99" t="s">
        <v>398</v>
      </c>
      <c r="F472" s="20">
        <f t="shared" si="7"/>
        <v>109111399</v>
      </c>
      <c r="G472" s="7" t="s">
        <v>404</v>
      </c>
      <c r="H472" s="59" t="s">
        <v>203</v>
      </c>
      <c r="I472" s="32" t="s">
        <v>152</v>
      </c>
    </row>
    <row r="473" spans="1:9" x14ac:dyDescent="0.35">
      <c r="A473" s="19">
        <v>45733</v>
      </c>
      <c r="B473" s="20"/>
      <c r="C473" s="20"/>
      <c r="D473" s="23">
        <v>4230000</v>
      </c>
      <c r="E473" s="99" t="s">
        <v>398</v>
      </c>
      <c r="F473" s="20">
        <f t="shared" si="7"/>
        <v>113341399</v>
      </c>
      <c r="G473" s="24" t="s">
        <v>107</v>
      </c>
      <c r="H473" s="24" t="s">
        <v>107</v>
      </c>
      <c r="I473" s="32" t="s">
        <v>152</v>
      </c>
    </row>
    <row r="474" spans="1:9" x14ac:dyDescent="0.35">
      <c r="A474" s="19">
        <v>45733</v>
      </c>
      <c r="B474" s="20"/>
      <c r="C474" s="20"/>
      <c r="D474" s="23">
        <f>4756000-4230000</f>
        <v>526000</v>
      </c>
      <c r="E474" s="99" t="s">
        <v>398</v>
      </c>
      <c r="F474" s="20">
        <f t="shared" si="7"/>
        <v>113867399</v>
      </c>
      <c r="G474" s="24" t="s">
        <v>109</v>
      </c>
      <c r="H474" s="24" t="s">
        <v>109</v>
      </c>
      <c r="I474" s="32" t="s">
        <v>152</v>
      </c>
    </row>
    <row r="475" spans="1:9" x14ac:dyDescent="0.35">
      <c r="A475" s="19">
        <v>45733</v>
      </c>
      <c r="B475" s="20"/>
      <c r="C475" s="20"/>
      <c r="D475" s="23">
        <v>5578000</v>
      </c>
      <c r="E475" s="99" t="s">
        <v>398</v>
      </c>
      <c r="F475" s="20">
        <f t="shared" si="7"/>
        <v>119445399</v>
      </c>
      <c r="G475" s="24" t="s">
        <v>377</v>
      </c>
      <c r="H475" s="24" t="s">
        <v>109</v>
      </c>
      <c r="I475" s="32" t="s">
        <v>152</v>
      </c>
    </row>
    <row r="476" spans="1:9" x14ac:dyDescent="0.35">
      <c r="A476" s="19">
        <v>45733</v>
      </c>
      <c r="B476" s="20"/>
      <c r="C476" s="20"/>
      <c r="D476" s="23">
        <v>1000</v>
      </c>
      <c r="E476" s="99" t="s">
        <v>398</v>
      </c>
      <c r="F476" s="20">
        <f t="shared" si="7"/>
        <v>119446399</v>
      </c>
      <c r="G476" s="24" t="s">
        <v>115</v>
      </c>
      <c r="H476" s="24" t="s">
        <v>109</v>
      </c>
      <c r="I476" s="32" t="s">
        <v>152</v>
      </c>
    </row>
    <row r="477" spans="1:9" x14ac:dyDescent="0.35">
      <c r="A477" s="19"/>
      <c r="B477" s="20"/>
      <c r="C477" s="95">
        <v>10335000</v>
      </c>
      <c r="D477" s="95"/>
      <c r="E477" s="124"/>
      <c r="F477" s="20">
        <f t="shared" si="7"/>
        <v>119446399</v>
      </c>
      <c r="G477" s="125" t="s">
        <v>305</v>
      </c>
      <c r="H477" s="24"/>
      <c r="I477" s="32"/>
    </row>
    <row r="478" spans="1:9" x14ac:dyDescent="0.35">
      <c r="A478" s="19">
        <v>45734</v>
      </c>
      <c r="B478" s="20">
        <v>2800000</v>
      </c>
      <c r="C478" s="20"/>
      <c r="D478" s="20"/>
      <c r="E478" s="99" t="s">
        <v>398</v>
      </c>
      <c r="F478" s="20">
        <f t="shared" si="7"/>
        <v>116646399</v>
      </c>
      <c r="G478" s="7" t="s">
        <v>405</v>
      </c>
      <c r="H478" s="59" t="s">
        <v>201</v>
      </c>
      <c r="I478" s="32" t="s">
        <v>152</v>
      </c>
    </row>
    <row r="479" spans="1:9" x14ac:dyDescent="0.35">
      <c r="A479" s="19">
        <v>45734</v>
      </c>
      <c r="B479" s="20">
        <v>2500</v>
      </c>
      <c r="C479" s="20"/>
      <c r="D479" s="20"/>
      <c r="E479" s="99" t="s">
        <v>398</v>
      </c>
      <c r="F479" s="20">
        <f t="shared" si="7"/>
        <v>116643899</v>
      </c>
      <c r="G479" s="7" t="s">
        <v>406</v>
      </c>
      <c r="H479" s="59" t="s">
        <v>201</v>
      </c>
      <c r="I479" s="32" t="s">
        <v>152</v>
      </c>
    </row>
    <row r="480" spans="1:9" x14ac:dyDescent="0.35">
      <c r="A480" s="19">
        <v>45734</v>
      </c>
      <c r="B480" s="20"/>
      <c r="C480" s="20"/>
      <c r="D480" s="20">
        <v>50000</v>
      </c>
      <c r="E480" s="99" t="s">
        <v>398</v>
      </c>
      <c r="F480" s="20">
        <f t="shared" si="7"/>
        <v>116693899</v>
      </c>
      <c r="G480" s="7" t="s">
        <v>330</v>
      </c>
      <c r="H480" s="24" t="s">
        <v>109</v>
      </c>
      <c r="I480" s="32" t="s">
        <v>152</v>
      </c>
    </row>
    <row r="481" spans="1:9" x14ac:dyDescent="0.35">
      <c r="A481" s="19">
        <v>45734</v>
      </c>
      <c r="B481" s="20"/>
      <c r="C481" s="20"/>
      <c r="D481" s="20">
        <v>50000</v>
      </c>
      <c r="E481" s="99" t="s">
        <v>398</v>
      </c>
      <c r="F481" s="20">
        <f t="shared" si="7"/>
        <v>116743899</v>
      </c>
      <c r="G481" s="7" t="s">
        <v>330</v>
      </c>
      <c r="H481" s="24" t="s">
        <v>109</v>
      </c>
      <c r="I481" s="32" t="s">
        <v>152</v>
      </c>
    </row>
    <row r="482" spans="1:9" x14ac:dyDescent="0.35">
      <c r="A482" s="19">
        <v>45734</v>
      </c>
      <c r="B482" s="20"/>
      <c r="C482" s="20"/>
      <c r="D482" s="20">
        <v>100000</v>
      </c>
      <c r="E482" s="99" t="s">
        <v>398</v>
      </c>
      <c r="F482" s="20">
        <f t="shared" si="7"/>
        <v>116843899</v>
      </c>
      <c r="G482" s="7" t="s">
        <v>330</v>
      </c>
      <c r="H482" s="24" t="s">
        <v>109</v>
      </c>
      <c r="I482" s="32" t="s">
        <v>152</v>
      </c>
    </row>
    <row r="483" spans="1:9" x14ac:dyDescent="0.35">
      <c r="A483" s="19">
        <v>45734</v>
      </c>
      <c r="B483" s="20"/>
      <c r="C483" s="20"/>
      <c r="D483" s="20">
        <v>50000</v>
      </c>
      <c r="E483" s="99" t="s">
        <v>398</v>
      </c>
      <c r="F483" s="20">
        <f t="shared" si="7"/>
        <v>116893899</v>
      </c>
      <c r="G483" s="7" t="s">
        <v>330</v>
      </c>
      <c r="H483" s="24" t="s">
        <v>109</v>
      </c>
      <c r="I483" s="32" t="s">
        <v>152</v>
      </c>
    </row>
    <row r="484" spans="1:9" x14ac:dyDescent="0.35">
      <c r="A484" s="19">
        <v>45734</v>
      </c>
      <c r="B484" s="20"/>
      <c r="C484" s="20"/>
      <c r="D484" s="20">
        <v>10000</v>
      </c>
      <c r="E484" s="99" t="s">
        <v>398</v>
      </c>
      <c r="F484" s="20">
        <f t="shared" si="7"/>
        <v>116903899</v>
      </c>
      <c r="G484" s="7" t="s">
        <v>330</v>
      </c>
      <c r="H484" s="24" t="s">
        <v>109</v>
      </c>
      <c r="I484" s="32" t="s">
        <v>152</v>
      </c>
    </row>
    <row r="485" spans="1:9" x14ac:dyDescent="0.35">
      <c r="A485" s="19">
        <v>45734</v>
      </c>
      <c r="B485" s="20"/>
      <c r="C485" s="20"/>
      <c r="D485" s="20">
        <v>50000</v>
      </c>
      <c r="E485" s="99" t="s">
        <v>398</v>
      </c>
      <c r="F485" s="20">
        <f t="shared" si="7"/>
        <v>116953899</v>
      </c>
      <c r="G485" s="7" t="s">
        <v>330</v>
      </c>
      <c r="H485" s="24" t="s">
        <v>109</v>
      </c>
      <c r="I485" s="32" t="s">
        <v>152</v>
      </c>
    </row>
    <row r="486" spans="1:9" x14ac:dyDescent="0.35">
      <c r="A486" s="19">
        <v>45734</v>
      </c>
      <c r="B486" s="20"/>
      <c r="C486" s="20"/>
      <c r="D486" s="20">
        <v>10000</v>
      </c>
      <c r="E486" s="99" t="s">
        <v>398</v>
      </c>
      <c r="F486" s="20">
        <f t="shared" si="7"/>
        <v>116963899</v>
      </c>
      <c r="G486" s="7" t="s">
        <v>330</v>
      </c>
      <c r="H486" s="24" t="s">
        <v>109</v>
      </c>
      <c r="I486" s="32" t="s">
        <v>152</v>
      </c>
    </row>
    <row r="487" spans="1:9" x14ac:dyDescent="0.35">
      <c r="A487" s="19">
        <v>45734</v>
      </c>
      <c r="B487" s="20"/>
      <c r="C487" s="20"/>
      <c r="D487" s="20">
        <v>100000</v>
      </c>
      <c r="E487" s="99" t="s">
        <v>398</v>
      </c>
      <c r="F487" s="20">
        <f t="shared" si="7"/>
        <v>117063899</v>
      </c>
      <c r="G487" s="7" t="s">
        <v>330</v>
      </c>
      <c r="H487" s="24" t="s">
        <v>109</v>
      </c>
      <c r="I487" s="32" t="s">
        <v>152</v>
      </c>
    </row>
    <row r="488" spans="1:9" x14ac:dyDescent="0.35">
      <c r="A488" s="19">
        <v>45734</v>
      </c>
      <c r="B488" s="20"/>
      <c r="C488" s="20"/>
      <c r="D488" s="20">
        <v>20000</v>
      </c>
      <c r="E488" s="99" t="s">
        <v>398</v>
      </c>
      <c r="F488" s="20">
        <f t="shared" si="7"/>
        <v>117083899</v>
      </c>
      <c r="G488" s="7" t="s">
        <v>330</v>
      </c>
      <c r="H488" s="24" t="s">
        <v>109</v>
      </c>
      <c r="I488" s="32" t="s">
        <v>152</v>
      </c>
    </row>
    <row r="489" spans="1:9" x14ac:dyDescent="0.35">
      <c r="A489" s="19">
        <v>45735</v>
      </c>
      <c r="B489" s="20"/>
      <c r="C489" s="20"/>
      <c r="D489" s="20">
        <v>50000</v>
      </c>
      <c r="E489" s="99" t="s">
        <v>398</v>
      </c>
      <c r="F489" s="20">
        <f t="shared" si="7"/>
        <v>117133899</v>
      </c>
      <c r="G489" s="7" t="s">
        <v>330</v>
      </c>
      <c r="H489" s="24" t="s">
        <v>109</v>
      </c>
      <c r="I489" s="32" t="s">
        <v>152</v>
      </c>
    </row>
    <row r="490" spans="1:9" x14ac:dyDescent="0.35">
      <c r="A490" s="19">
        <v>45735</v>
      </c>
      <c r="B490" s="20"/>
      <c r="C490" s="20"/>
      <c r="D490" s="20">
        <v>25000</v>
      </c>
      <c r="E490" s="99" t="s">
        <v>398</v>
      </c>
      <c r="F490" s="20">
        <f t="shared" si="7"/>
        <v>117158899</v>
      </c>
      <c r="G490" s="7" t="s">
        <v>330</v>
      </c>
      <c r="H490" s="24" t="s">
        <v>109</v>
      </c>
      <c r="I490" s="32" t="s">
        <v>152</v>
      </c>
    </row>
    <row r="491" spans="1:9" x14ac:dyDescent="0.35">
      <c r="A491" s="19">
        <v>45735</v>
      </c>
      <c r="B491" s="20"/>
      <c r="C491" s="20"/>
      <c r="D491" s="20">
        <v>25000</v>
      </c>
      <c r="E491" s="99" t="s">
        <v>398</v>
      </c>
      <c r="F491" s="20">
        <f t="shared" si="7"/>
        <v>117183899</v>
      </c>
      <c r="G491" s="7" t="s">
        <v>330</v>
      </c>
      <c r="H491" s="24" t="s">
        <v>109</v>
      </c>
      <c r="I491" s="32" t="s">
        <v>152</v>
      </c>
    </row>
    <row r="492" spans="1:9" x14ac:dyDescent="0.35">
      <c r="A492" s="19">
        <v>45735</v>
      </c>
      <c r="B492" s="20"/>
      <c r="C492" s="20"/>
      <c r="D492" s="20">
        <v>100000</v>
      </c>
      <c r="E492" s="99" t="s">
        <v>398</v>
      </c>
      <c r="F492" s="20">
        <f t="shared" si="7"/>
        <v>117283899</v>
      </c>
      <c r="G492" s="7" t="s">
        <v>330</v>
      </c>
      <c r="H492" s="24" t="s">
        <v>109</v>
      </c>
      <c r="I492" s="32" t="s">
        <v>152</v>
      </c>
    </row>
    <row r="493" spans="1:9" x14ac:dyDescent="0.35">
      <c r="A493" s="19">
        <v>45735</v>
      </c>
      <c r="B493" s="20"/>
      <c r="C493" s="20"/>
      <c r="D493" s="20">
        <v>50000</v>
      </c>
      <c r="E493" s="99" t="s">
        <v>398</v>
      </c>
      <c r="F493" s="20">
        <f t="shared" si="7"/>
        <v>117333899</v>
      </c>
      <c r="G493" s="7" t="s">
        <v>330</v>
      </c>
      <c r="H493" s="24" t="s">
        <v>109</v>
      </c>
      <c r="I493" s="32" t="s">
        <v>152</v>
      </c>
    </row>
    <row r="494" spans="1:9" x14ac:dyDescent="0.35">
      <c r="A494" s="19">
        <v>45735</v>
      </c>
      <c r="B494" s="20"/>
      <c r="C494" s="20"/>
      <c r="D494" s="20">
        <v>25000</v>
      </c>
      <c r="E494" s="99" t="s">
        <v>398</v>
      </c>
      <c r="F494" s="20">
        <f t="shared" si="7"/>
        <v>117358899</v>
      </c>
      <c r="G494" s="7" t="s">
        <v>330</v>
      </c>
      <c r="H494" s="24" t="s">
        <v>109</v>
      </c>
      <c r="I494" s="32" t="s">
        <v>152</v>
      </c>
    </row>
    <row r="495" spans="1:9" x14ac:dyDescent="0.35">
      <c r="A495" s="19">
        <v>45735</v>
      </c>
      <c r="B495" s="20"/>
      <c r="C495" s="20"/>
      <c r="D495" s="20">
        <v>50000</v>
      </c>
      <c r="E495" s="99" t="s">
        <v>398</v>
      </c>
      <c r="F495" s="20">
        <f t="shared" si="7"/>
        <v>117408899</v>
      </c>
      <c r="G495" s="7" t="s">
        <v>330</v>
      </c>
      <c r="H495" s="24" t="s">
        <v>109</v>
      </c>
      <c r="I495" s="32" t="s">
        <v>152</v>
      </c>
    </row>
    <row r="496" spans="1:9" x14ac:dyDescent="0.35">
      <c r="A496" s="19">
        <v>45735</v>
      </c>
      <c r="B496" s="20"/>
      <c r="C496" s="20"/>
      <c r="D496" s="20">
        <v>10000</v>
      </c>
      <c r="E496" s="99" t="s">
        <v>398</v>
      </c>
      <c r="F496" s="20">
        <f t="shared" si="7"/>
        <v>117418899</v>
      </c>
      <c r="G496" s="7" t="s">
        <v>330</v>
      </c>
      <c r="H496" s="24" t="s">
        <v>109</v>
      </c>
      <c r="I496" s="32" t="s">
        <v>152</v>
      </c>
    </row>
    <row r="497" spans="1:9" x14ac:dyDescent="0.35">
      <c r="A497" s="19">
        <v>45735</v>
      </c>
      <c r="B497" s="20"/>
      <c r="C497" s="20"/>
      <c r="D497" s="20">
        <v>10000</v>
      </c>
      <c r="E497" s="99" t="s">
        <v>398</v>
      </c>
      <c r="F497" s="20">
        <f t="shared" si="7"/>
        <v>117428899</v>
      </c>
      <c r="G497" s="7" t="s">
        <v>330</v>
      </c>
      <c r="H497" s="24" t="s">
        <v>109</v>
      </c>
      <c r="I497" s="32" t="s">
        <v>152</v>
      </c>
    </row>
    <row r="498" spans="1:9" x14ac:dyDescent="0.35">
      <c r="A498" s="19">
        <v>45735</v>
      </c>
      <c r="B498" s="20"/>
      <c r="C498" s="20"/>
      <c r="D498" s="20">
        <v>100000</v>
      </c>
      <c r="E498" s="99" t="s">
        <v>398</v>
      </c>
      <c r="F498" s="20">
        <f t="shared" si="7"/>
        <v>117528899</v>
      </c>
      <c r="G498" s="7" t="s">
        <v>330</v>
      </c>
      <c r="H498" s="24" t="s">
        <v>109</v>
      </c>
      <c r="I498" s="32" t="s">
        <v>152</v>
      </c>
    </row>
    <row r="499" spans="1:9" x14ac:dyDescent="0.35">
      <c r="A499" s="19">
        <v>45735</v>
      </c>
      <c r="B499" s="20"/>
      <c r="C499" s="20"/>
      <c r="D499" s="20">
        <v>50000</v>
      </c>
      <c r="E499" s="99" t="s">
        <v>398</v>
      </c>
      <c r="F499" s="20">
        <f t="shared" si="7"/>
        <v>117578899</v>
      </c>
      <c r="G499" s="7" t="s">
        <v>330</v>
      </c>
      <c r="H499" s="24" t="s">
        <v>109</v>
      </c>
      <c r="I499" s="32" t="s">
        <v>152</v>
      </c>
    </row>
    <row r="500" spans="1:9" x14ac:dyDescent="0.35">
      <c r="A500" s="19">
        <v>45735</v>
      </c>
      <c r="B500" s="20"/>
      <c r="C500" s="20"/>
      <c r="D500" s="20">
        <v>10000</v>
      </c>
      <c r="E500" s="99" t="s">
        <v>398</v>
      </c>
      <c r="F500" s="20">
        <f t="shared" si="7"/>
        <v>117588899</v>
      </c>
      <c r="G500" s="7" t="s">
        <v>330</v>
      </c>
      <c r="H500" s="24" t="s">
        <v>109</v>
      </c>
      <c r="I500" s="32" t="s">
        <v>152</v>
      </c>
    </row>
    <row r="501" spans="1:9" x14ac:dyDescent="0.35">
      <c r="A501" s="19">
        <v>45735</v>
      </c>
      <c r="B501" s="20"/>
      <c r="C501" s="20"/>
      <c r="D501" s="20">
        <v>5000</v>
      </c>
      <c r="E501" s="99" t="s">
        <v>398</v>
      </c>
      <c r="F501" s="20">
        <f t="shared" si="7"/>
        <v>117593899</v>
      </c>
      <c r="G501" s="7" t="s">
        <v>330</v>
      </c>
      <c r="H501" s="24" t="s">
        <v>109</v>
      </c>
      <c r="I501" s="32" t="s">
        <v>152</v>
      </c>
    </row>
    <row r="502" spans="1:9" x14ac:dyDescent="0.35">
      <c r="A502" s="19">
        <v>45735</v>
      </c>
      <c r="B502" s="20"/>
      <c r="C502" s="20"/>
      <c r="D502" s="20">
        <v>50000</v>
      </c>
      <c r="E502" s="99" t="s">
        <v>398</v>
      </c>
      <c r="F502" s="20">
        <f t="shared" si="7"/>
        <v>117643899</v>
      </c>
      <c r="G502" s="7" t="s">
        <v>330</v>
      </c>
      <c r="H502" s="24" t="s">
        <v>109</v>
      </c>
      <c r="I502" s="32" t="s">
        <v>152</v>
      </c>
    </row>
    <row r="503" spans="1:9" x14ac:dyDescent="0.35">
      <c r="A503" s="19">
        <v>45735</v>
      </c>
      <c r="B503" s="20"/>
      <c r="C503" s="20"/>
      <c r="D503" s="20">
        <v>900000</v>
      </c>
      <c r="E503" s="99" t="s">
        <v>398</v>
      </c>
      <c r="F503" s="20">
        <f t="shared" si="7"/>
        <v>118543899</v>
      </c>
      <c r="G503" s="7" t="s">
        <v>407</v>
      </c>
      <c r="H503" s="24" t="s">
        <v>109</v>
      </c>
      <c r="I503" s="32" t="s">
        <v>152</v>
      </c>
    </row>
    <row r="504" spans="1:9" x14ac:dyDescent="0.35">
      <c r="A504" s="19">
        <v>45736</v>
      </c>
      <c r="B504" s="20"/>
      <c r="C504" s="20"/>
      <c r="D504" s="20">
        <v>50000</v>
      </c>
      <c r="E504" s="99" t="s">
        <v>398</v>
      </c>
      <c r="F504" s="20">
        <f t="shared" si="7"/>
        <v>118593899</v>
      </c>
      <c r="G504" s="7" t="s">
        <v>330</v>
      </c>
      <c r="H504" s="24" t="s">
        <v>109</v>
      </c>
      <c r="I504" s="32" t="s">
        <v>152</v>
      </c>
    </row>
    <row r="505" spans="1:9" x14ac:dyDescent="0.35">
      <c r="A505" s="19">
        <v>45736</v>
      </c>
      <c r="B505" s="20"/>
      <c r="C505" s="20"/>
      <c r="D505" s="20">
        <v>100000</v>
      </c>
      <c r="E505" s="99" t="s">
        <v>398</v>
      </c>
      <c r="F505" s="20">
        <f t="shared" si="7"/>
        <v>118693899</v>
      </c>
      <c r="G505" s="7" t="s">
        <v>330</v>
      </c>
      <c r="H505" s="24" t="s">
        <v>109</v>
      </c>
      <c r="I505" s="32" t="s">
        <v>152</v>
      </c>
    </row>
    <row r="506" spans="1:9" x14ac:dyDescent="0.35">
      <c r="A506" s="19">
        <v>45736</v>
      </c>
      <c r="B506" s="20"/>
      <c r="C506" s="20"/>
      <c r="D506" s="20">
        <v>25000</v>
      </c>
      <c r="E506" s="99" t="s">
        <v>398</v>
      </c>
      <c r="F506" s="20">
        <f t="shared" si="7"/>
        <v>118718899</v>
      </c>
      <c r="G506" s="7" t="s">
        <v>330</v>
      </c>
      <c r="H506" s="24" t="s">
        <v>109</v>
      </c>
      <c r="I506" s="32" t="s">
        <v>152</v>
      </c>
    </row>
    <row r="507" spans="1:9" x14ac:dyDescent="0.35">
      <c r="A507" s="19">
        <v>45736</v>
      </c>
      <c r="B507" s="20"/>
      <c r="C507" s="20"/>
      <c r="D507" s="20">
        <v>50000</v>
      </c>
      <c r="E507" s="99" t="s">
        <v>398</v>
      </c>
      <c r="F507" s="20">
        <f t="shared" si="7"/>
        <v>118768899</v>
      </c>
      <c r="G507" s="7" t="s">
        <v>330</v>
      </c>
      <c r="H507" s="24" t="s">
        <v>109</v>
      </c>
      <c r="I507" s="32" t="s">
        <v>152</v>
      </c>
    </row>
    <row r="508" spans="1:9" x14ac:dyDescent="0.35">
      <c r="A508" s="19">
        <v>45736</v>
      </c>
      <c r="B508" s="20"/>
      <c r="C508" s="20"/>
      <c r="D508" s="20">
        <v>50000</v>
      </c>
      <c r="E508" s="99" t="s">
        <v>398</v>
      </c>
      <c r="F508" s="20">
        <f t="shared" si="7"/>
        <v>118818899</v>
      </c>
      <c r="G508" s="7" t="s">
        <v>330</v>
      </c>
      <c r="H508" s="24" t="s">
        <v>109</v>
      </c>
      <c r="I508" s="32" t="s">
        <v>152</v>
      </c>
    </row>
    <row r="509" spans="1:9" x14ac:dyDescent="0.35">
      <c r="A509" s="19">
        <v>45736</v>
      </c>
      <c r="B509" s="20"/>
      <c r="C509" s="20"/>
      <c r="D509" s="20">
        <v>10000</v>
      </c>
      <c r="E509" s="99" t="s">
        <v>398</v>
      </c>
      <c r="F509" s="20">
        <f t="shared" si="7"/>
        <v>118828899</v>
      </c>
      <c r="G509" s="7" t="s">
        <v>330</v>
      </c>
      <c r="H509" s="24" t="s">
        <v>109</v>
      </c>
      <c r="I509" s="32" t="s">
        <v>152</v>
      </c>
    </row>
    <row r="510" spans="1:9" x14ac:dyDescent="0.35">
      <c r="A510" s="19">
        <v>45736</v>
      </c>
      <c r="B510" s="20"/>
      <c r="C510" s="20"/>
      <c r="D510" s="20">
        <v>50000</v>
      </c>
      <c r="E510" s="99" t="s">
        <v>398</v>
      </c>
      <c r="F510" s="20">
        <f t="shared" si="7"/>
        <v>118878899</v>
      </c>
      <c r="G510" s="7" t="s">
        <v>330</v>
      </c>
      <c r="H510" s="24" t="s">
        <v>109</v>
      </c>
      <c r="I510" s="32" t="s">
        <v>152</v>
      </c>
    </row>
    <row r="511" spans="1:9" x14ac:dyDescent="0.35">
      <c r="A511" s="19">
        <v>45736</v>
      </c>
      <c r="B511" s="20"/>
      <c r="C511" s="20"/>
      <c r="D511" s="20">
        <v>10000</v>
      </c>
      <c r="E511" s="99" t="s">
        <v>398</v>
      </c>
      <c r="F511" s="20">
        <f t="shared" si="7"/>
        <v>118888899</v>
      </c>
      <c r="G511" s="7" t="s">
        <v>330</v>
      </c>
      <c r="H511" s="24" t="s">
        <v>109</v>
      </c>
      <c r="I511" s="32" t="s">
        <v>152</v>
      </c>
    </row>
    <row r="512" spans="1:9" x14ac:dyDescent="0.35">
      <c r="A512" s="19">
        <v>45736</v>
      </c>
      <c r="B512" s="20"/>
      <c r="C512" s="20"/>
      <c r="D512" s="20">
        <v>100000</v>
      </c>
      <c r="E512" s="99" t="s">
        <v>398</v>
      </c>
      <c r="F512" s="20">
        <f t="shared" si="7"/>
        <v>118988899</v>
      </c>
      <c r="G512" s="7" t="s">
        <v>330</v>
      </c>
      <c r="H512" s="24" t="s">
        <v>109</v>
      </c>
      <c r="I512" s="32" t="s">
        <v>152</v>
      </c>
    </row>
    <row r="513" spans="1:9" x14ac:dyDescent="0.35">
      <c r="A513" s="19">
        <v>45736</v>
      </c>
      <c r="B513" s="20"/>
      <c r="C513" s="20"/>
      <c r="D513" s="20">
        <v>50000</v>
      </c>
      <c r="E513" s="99" t="s">
        <v>398</v>
      </c>
      <c r="F513" s="20">
        <f t="shared" si="7"/>
        <v>119038899</v>
      </c>
      <c r="G513" s="7" t="s">
        <v>330</v>
      </c>
      <c r="H513" s="24" t="s">
        <v>109</v>
      </c>
      <c r="I513" s="32" t="s">
        <v>152</v>
      </c>
    </row>
    <row r="514" spans="1:9" x14ac:dyDescent="0.35">
      <c r="A514" s="19">
        <v>45736</v>
      </c>
      <c r="B514" s="20"/>
      <c r="C514" s="20"/>
      <c r="D514" s="23">
        <v>4250000</v>
      </c>
      <c r="E514" s="99" t="s">
        <v>398</v>
      </c>
      <c r="F514" s="20">
        <f t="shared" si="7"/>
        <v>123288899</v>
      </c>
      <c r="G514" s="24" t="s">
        <v>409</v>
      </c>
      <c r="H514" s="24" t="s">
        <v>109</v>
      </c>
      <c r="I514" s="32" t="s">
        <v>152</v>
      </c>
    </row>
    <row r="515" spans="1:9" x14ac:dyDescent="0.35">
      <c r="A515" s="19">
        <v>45736</v>
      </c>
      <c r="B515" s="23">
        <v>425000</v>
      </c>
      <c r="C515" s="20"/>
      <c r="D515" s="23"/>
      <c r="E515" s="99" t="s">
        <v>398</v>
      </c>
      <c r="F515" s="20">
        <f t="shared" si="7"/>
        <v>122863899</v>
      </c>
      <c r="G515" s="24" t="s">
        <v>410</v>
      </c>
      <c r="H515" s="59" t="s">
        <v>144</v>
      </c>
      <c r="I515" s="32" t="s">
        <v>152</v>
      </c>
    </row>
    <row r="516" spans="1:9" x14ac:dyDescent="0.35">
      <c r="A516" s="19">
        <v>45736</v>
      </c>
      <c r="B516" s="23">
        <v>2006000</v>
      </c>
      <c r="C516" s="20"/>
      <c r="D516" s="23"/>
      <c r="E516" s="99" t="s">
        <v>398</v>
      </c>
      <c r="F516" s="20">
        <f t="shared" si="7"/>
        <v>120857899</v>
      </c>
      <c r="G516" s="24" t="s">
        <v>411</v>
      </c>
      <c r="H516" s="59" t="s">
        <v>321</v>
      </c>
      <c r="I516" s="32" t="s">
        <v>152</v>
      </c>
    </row>
    <row r="517" spans="1:9" x14ac:dyDescent="0.35">
      <c r="A517" s="19"/>
      <c r="B517" s="20"/>
      <c r="C517" s="95">
        <v>1819000</v>
      </c>
      <c r="D517" s="95"/>
      <c r="E517" s="124" t="s">
        <v>398</v>
      </c>
      <c r="F517" s="20">
        <f t="shared" si="7"/>
        <v>120857899</v>
      </c>
      <c r="G517" s="125" t="s">
        <v>98</v>
      </c>
      <c r="H517" s="24"/>
      <c r="I517" s="32"/>
    </row>
    <row r="518" spans="1:9" x14ac:dyDescent="0.35">
      <c r="A518" s="19">
        <v>45736</v>
      </c>
      <c r="B518" s="20"/>
      <c r="C518" s="20"/>
      <c r="D518" s="20">
        <v>25000</v>
      </c>
      <c r="E518" s="99" t="s">
        <v>398</v>
      </c>
      <c r="F518" s="20">
        <f t="shared" si="7"/>
        <v>120882899</v>
      </c>
      <c r="G518" s="7" t="s">
        <v>408</v>
      </c>
      <c r="H518" s="24" t="s">
        <v>109</v>
      </c>
      <c r="I518" s="32" t="s">
        <v>152</v>
      </c>
    </row>
    <row r="519" spans="1:9" x14ac:dyDescent="0.35">
      <c r="A519" s="19">
        <v>45737</v>
      </c>
      <c r="B519" s="20"/>
      <c r="C519" s="20"/>
      <c r="D519" s="20">
        <v>50000</v>
      </c>
      <c r="E519" s="99" t="s">
        <v>398</v>
      </c>
      <c r="F519" s="20">
        <f t="shared" si="7"/>
        <v>120932899</v>
      </c>
      <c r="G519" s="7" t="s">
        <v>330</v>
      </c>
      <c r="H519" s="24" t="s">
        <v>109</v>
      </c>
      <c r="I519" s="32" t="s">
        <v>152</v>
      </c>
    </row>
    <row r="520" spans="1:9" x14ac:dyDescent="0.35">
      <c r="A520" s="19">
        <v>45737</v>
      </c>
      <c r="B520" s="20"/>
      <c r="C520" s="20"/>
      <c r="D520" s="20">
        <v>200000</v>
      </c>
      <c r="E520" s="99" t="s">
        <v>398</v>
      </c>
      <c r="F520" s="20">
        <f t="shared" si="7"/>
        <v>121132899</v>
      </c>
      <c r="G520" s="7" t="s">
        <v>330</v>
      </c>
      <c r="H520" s="24" t="s">
        <v>109</v>
      </c>
      <c r="I520" s="32" t="s">
        <v>152</v>
      </c>
    </row>
    <row r="521" spans="1:9" x14ac:dyDescent="0.35">
      <c r="A521" s="19">
        <v>45737</v>
      </c>
      <c r="B521" s="20"/>
      <c r="C521" s="20"/>
      <c r="D521" s="20">
        <v>25000</v>
      </c>
      <c r="E521" s="99" t="s">
        <v>398</v>
      </c>
      <c r="F521" s="20">
        <f t="shared" si="7"/>
        <v>121157899</v>
      </c>
      <c r="G521" s="7" t="s">
        <v>330</v>
      </c>
      <c r="H521" s="24" t="s">
        <v>109</v>
      </c>
      <c r="I521" s="32" t="s">
        <v>152</v>
      </c>
    </row>
    <row r="522" spans="1:9" x14ac:dyDescent="0.35">
      <c r="A522" s="19">
        <v>45737</v>
      </c>
      <c r="B522" s="20"/>
      <c r="C522" s="20"/>
      <c r="D522" s="20">
        <v>100000</v>
      </c>
      <c r="E522" s="99" t="s">
        <v>398</v>
      </c>
      <c r="F522" s="20">
        <f t="shared" si="7"/>
        <v>121257899</v>
      </c>
      <c r="G522" s="7" t="s">
        <v>330</v>
      </c>
      <c r="H522" s="24" t="s">
        <v>109</v>
      </c>
      <c r="I522" s="32" t="s">
        <v>152</v>
      </c>
    </row>
    <row r="523" spans="1:9" x14ac:dyDescent="0.35">
      <c r="A523" s="19">
        <v>45737</v>
      </c>
      <c r="B523" s="20"/>
      <c r="C523" s="20"/>
      <c r="D523" s="20">
        <v>100000</v>
      </c>
      <c r="E523" s="99" t="s">
        <v>398</v>
      </c>
      <c r="F523" s="20">
        <f t="shared" si="7"/>
        <v>121357899</v>
      </c>
      <c r="G523" s="7" t="s">
        <v>330</v>
      </c>
      <c r="H523" s="24" t="s">
        <v>109</v>
      </c>
      <c r="I523" s="32" t="s">
        <v>152</v>
      </c>
    </row>
    <row r="524" spans="1:9" x14ac:dyDescent="0.35">
      <c r="A524" s="19">
        <v>45737</v>
      </c>
      <c r="B524" s="20"/>
      <c r="C524" s="20"/>
      <c r="D524" s="20">
        <v>10000</v>
      </c>
      <c r="E524" s="99" t="s">
        <v>398</v>
      </c>
      <c r="F524" s="20">
        <f t="shared" si="7"/>
        <v>121367899</v>
      </c>
      <c r="G524" s="7" t="s">
        <v>330</v>
      </c>
      <c r="H524" s="24" t="s">
        <v>109</v>
      </c>
      <c r="I524" s="32" t="s">
        <v>152</v>
      </c>
    </row>
    <row r="525" spans="1:9" x14ac:dyDescent="0.35">
      <c r="A525" s="19">
        <v>45737</v>
      </c>
      <c r="B525" s="20"/>
      <c r="C525" s="20"/>
      <c r="D525" s="20">
        <v>25000</v>
      </c>
      <c r="E525" s="99" t="s">
        <v>398</v>
      </c>
      <c r="F525" s="20">
        <f t="shared" si="7"/>
        <v>121392899</v>
      </c>
      <c r="G525" s="7" t="s">
        <v>330</v>
      </c>
      <c r="H525" s="24" t="s">
        <v>109</v>
      </c>
      <c r="I525" s="32" t="s">
        <v>152</v>
      </c>
    </row>
    <row r="526" spans="1:9" x14ac:dyDescent="0.35">
      <c r="A526" s="19">
        <v>45737</v>
      </c>
      <c r="B526" s="20"/>
      <c r="C526" s="20"/>
      <c r="D526" s="20">
        <v>50000</v>
      </c>
      <c r="E526" s="99" t="s">
        <v>398</v>
      </c>
      <c r="F526" s="20">
        <f t="shared" si="7"/>
        <v>121442899</v>
      </c>
      <c r="G526" s="7" t="s">
        <v>330</v>
      </c>
      <c r="H526" s="24" t="s">
        <v>109</v>
      </c>
      <c r="I526" s="32" t="s">
        <v>152</v>
      </c>
    </row>
    <row r="527" spans="1:9" x14ac:dyDescent="0.35">
      <c r="A527" s="19">
        <v>45737</v>
      </c>
      <c r="B527" s="20"/>
      <c r="C527" s="20"/>
      <c r="D527" s="20">
        <v>10000</v>
      </c>
      <c r="E527" s="99" t="s">
        <v>398</v>
      </c>
      <c r="F527" s="20">
        <f t="shared" si="7"/>
        <v>121452899</v>
      </c>
      <c r="G527" s="7" t="s">
        <v>330</v>
      </c>
      <c r="H527" s="24" t="s">
        <v>109</v>
      </c>
      <c r="I527" s="32" t="s">
        <v>152</v>
      </c>
    </row>
    <row r="528" spans="1:9" x14ac:dyDescent="0.35">
      <c r="A528" s="19">
        <v>45737</v>
      </c>
      <c r="B528" s="20"/>
      <c r="C528" s="20"/>
      <c r="D528" s="20">
        <v>100000</v>
      </c>
      <c r="E528" s="99" t="s">
        <v>398</v>
      </c>
      <c r="F528" s="20">
        <f t="shared" si="7"/>
        <v>121552899</v>
      </c>
      <c r="G528" s="7" t="s">
        <v>330</v>
      </c>
      <c r="H528" s="24" t="s">
        <v>109</v>
      </c>
      <c r="I528" s="32" t="s">
        <v>152</v>
      </c>
    </row>
    <row r="529" spans="1:9" x14ac:dyDescent="0.35">
      <c r="A529" s="19">
        <v>45737</v>
      </c>
      <c r="B529" s="20"/>
      <c r="C529" s="20"/>
      <c r="D529" s="20">
        <v>10000</v>
      </c>
      <c r="E529" s="99" t="s">
        <v>398</v>
      </c>
      <c r="F529" s="20">
        <f t="shared" ref="F529:F592" si="8">+F528+D529-B529</f>
        <v>121562899</v>
      </c>
      <c r="G529" s="7" t="s">
        <v>330</v>
      </c>
      <c r="H529" s="24" t="s">
        <v>109</v>
      </c>
      <c r="I529" s="32" t="s">
        <v>152</v>
      </c>
    </row>
    <row r="530" spans="1:9" x14ac:dyDescent="0.35">
      <c r="A530" s="19">
        <v>45737</v>
      </c>
      <c r="B530" s="20"/>
      <c r="C530" s="20"/>
      <c r="D530" s="20">
        <v>1000000</v>
      </c>
      <c r="E530" s="99" t="s">
        <v>398</v>
      </c>
      <c r="F530" s="20">
        <f t="shared" si="8"/>
        <v>122562899</v>
      </c>
      <c r="G530" s="7" t="s">
        <v>314</v>
      </c>
      <c r="H530" s="24" t="s">
        <v>109</v>
      </c>
      <c r="I530" s="32" t="s">
        <v>152</v>
      </c>
    </row>
    <row r="531" spans="1:9" x14ac:dyDescent="0.35">
      <c r="A531" s="19">
        <v>45737</v>
      </c>
      <c r="B531" s="20">
        <v>7000</v>
      </c>
      <c r="C531" s="20"/>
      <c r="D531" s="20"/>
      <c r="E531" s="99" t="s">
        <v>422</v>
      </c>
      <c r="F531" s="20">
        <f t="shared" si="8"/>
        <v>122555899</v>
      </c>
      <c r="G531" s="7" t="s">
        <v>423</v>
      </c>
      <c r="H531" s="24" t="s">
        <v>320</v>
      </c>
      <c r="I531" s="32" t="s">
        <v>152</v>
      </c>
    </row>
    <row r="532" spans="1:9" x14ac:dyDescent="0.35">
      <c r="A532" s="19">
        <v>45737</v>
      </c>
      <c r="B532" s="20"/>
      <c r="C532" s="20"/>
      <c r="D532" s="20">
        <v>100000</v>
      </c>
      <c r="E532" s="99" t="s">
        <v>422</v>
      </c>
      <c r="F532" s="20">
        <f t="shared" si="8"/>
        <v>122655899</v>
      </c>
      <c r="G532" s="7" t="s">
        <v>424</v>
      </c>
      <c r="H532" s="24" t="s">
        <v>109</v>
      </c>
      <c r="I532" s="32" t="s">
        <v>152</v>
      </c>
    </row>
    <row r="533" spans="1:9" x14ac:dyDescent="0.35">
      <c r="A533" s="19">
        <v>45740</v>
      </c>
      <c r="B533" s="20"/>
      <c r="C533" s="20"/>
      <c r="D533" s="20">
        <v>50000</v>
      </c>
      <c r="E533" s="99" t="s">
        <v>422</v>
      </c>
      <c r="F533" s="20">
        <f t="shared" si="8"/>
        <v>122705899</v>
      </c>
      <c r="G533" s="7" t="s">
        <v>330</v>
      </c>
      <c r="H533" s="24" t="s">
        <v>109</v>
      </c>
      <c r="I533" s="32" t="s">
        <v>152</v>
      </c>
    </row>
    <row r="534" spans="1:9" x14ac:dyDescent="0.35">
      <c r="A534" s="19">
        <v>45740</v>
      </c>
      <c r="B534" s="20"/>
      <c r="C534" s="20"/>
      <c r="D534" s="20">
        <v>100000</v>
      </c>
      <c r="E534" s="99" t="s">
        <v>422</v>
      </c>
      <c r="F534" s="20">
        <f t="shared" si="8"/>
        <v>122805899</v>
      </c>
      <c r="G534" s="7" t="s">
        <v>330</v>
      </c>
      <c r="H534" s="24" t="s">
        <v>109</v>
      </c>
      <c r="I534" s="32" t="s">
        <v>152</v>
      </c>
    </row>
    <row r="535" spans="1:9" x14ac:dyDescent="0.35">
      <c r="A535" s="19">
        <v>45740</v>
      </c>
      <c r="B535" s="20"/>
      <c r="C535" s="20"/>
      <c r="D535" s="20">
        <v>25000</v>
      </c>
      <c r="E535" s="99" t="s">
        <v>422</v>
      </c>
      <c r="F535" s="20">
        <f t="shared" si="8"/>
        <v>122830899</v>
      </c>
      <c r="G535" s="7" t="s">
        <v>330</v>
      </c>
      <c r="H535" s="24" t="s">
        <v>109</v>
      </c>
      <c r="I535" s="32" t="s">
        <v>152</v>
      </c>
    </row>
    <row r="536" spans="1:9" x14ac:dyDescent="0.35">
      <c r="A536" s="19">
        <v>45740</v>
      </c>
      <c r="B536" s="20"/>
      <c r="C536" s="20"/>
      <c r="D536" s="20">
        <v>100000</v>
      </c>
      <c r="E536" s="99" t="s">
        <v>422</v>
      </c>
      <c r="F536" s="20">
        <f t="shared" si="8"/>
        <v>122930899</v>
      </c>
      <c r="G536" s="7" t="s">
        <v>330</v>
      </c>
      <c r="H536" s="24" t="s">
        <v>109</v>
      </c>
      <c r="I536" s="32" t="s">
        <v>152</v>
      </c>
    </row>
    <row r="537" spans="1:9" x14ac:dyDescent="0.35">
      <c r="A537" s="19">
        <v>45740</v>
      </c>
      <c r="B537" s="20"/>
      <c r="C537" s="20"/>
      <c r="D537" s="20">
        <v>1000010</v>
      </c>
      <c r="E537" s="99" t="s">
        <v>422</v>
      </c>
      <c r="F537" s="20">
        <f t="shared" si="8"/>
        <v>123930909</v>
      </c>
      <c r="G537" s="7" t="s">
        <v>441</v>
      </c>
      <c r="H537" s="59" t="s">
        <v>105</v>
      </c>
      <c r="I537" s="32" t="s">
        <v>152</v>
      </c>
    </row>
    <row r="538" spans="1:9" x14ac:dyDescent="0.35">
      <c r="A538" s="19">
        <v>45740</v>
      </c>
      <c r="B538" s="20"/>
      <c r="C538" s="20"/>
      <c r="D538" s="20">
        <v>25000</v>
      </c>
      <c r="E538" s="99" t="s">
        <v>422</v>
      </c>
      <c r="F538" s="20">
        <f t="shared" si="8"/>
        <v>123955909</v>
      </c>
      <c r="G538" s="7" t="s">
        <v>330</v>
      </c>
      <c r="H538" s="24" t="s">
        <v>109</v>
      </c>
      <c r="I538" s="32" t="s">
        <v>152</v>
      </c>
    </row>
    <row r="539" spans="1:9" x14ac:dyDescent="0.35">
      <c r="A539" s="19">
        <v>45740</v>
      </c>
      <c r="B539" s="20"/>
      <c r="C539" s="20"/>
      <c r="D539" s="20">
        <v>10000</v>
      </c>
      <c r="E539" s="99" t="s">
        <v>422</v>
      </c>
      <c r="F539" s="20">
        <f t="shared" si="8"/>
        <v>123965909</v>
      </c>
      <c r="G539" s="7" t="s">
        <v>330</v>
      </c>
      <c r="H539" s="24" t="s">
        <v>109</v>
      </c>
      <c r="I539" s="32" t="s">
        <v>152</v>
      </c>
    </row>
    <row r="540" spans="1:9" x14ac:dyDescent="0.35">
      <c r="A540" s="19">
        <v>45740</v>
      </c>
      <c r="B540" s="20"/>
      <c r="C540" s="20"/>
      <c r="D540" s="20">
        <v>50000</v>
      </c>
      <c r="E540" s="99" t="s">
        <v>422</v>
      </c>
      <c r="F540" s="20">
        <f t="shared" si="8"/>
        <v>124015909</v>
      </c>
      <c r="G540" s="7" t="s">
        <v>330</v>
      </c>
      <c r="H540" s="24" t="s">
        <v>109</v>
      </c>
      <c r="I540" s="32" t="s">
        <v>152</v>
      </c>
    </row>
    <row r="541" spans="1:9" x14ac:dyDescent="0.35">
      <c r="A541" s="19">
        <v>45740</v>
      </c>
      <c r="B541" s="20"/>
      <c r="C541" s="20"/>
      <c r="D541" s="20">
        <v>10000</v>
      </c>
      <c r="E541" s="99" t="s">
        <v>422</v>
      </c>
      <c r="F541" s="20">
        <f t="shared" si="8"/>
        <v>124025909</v>
      </c>
      <c r="G541" s="7" t="s">
        <v>330</v>
      </c>
      <c r="H541" s="24" t="s">
        <v>109</v>
      </c>
      <c r="I541" s="32" t="s">
        <v>152</v>
      </c>
    </row>
    <row r="542" spans="1:9" x14ac:dyDescent="0.35">
      <c r="A542" s="19">
        <v>45740</v>
      </c>
      <c r="B542" s="20"/>
      <c r="C542" s="20"/>
      <c r="D542" s="20">
        <v>100000</v>
      </c>
      <c r="E542" s="99" t="s">
        <v>422</v>
      </c>
      <c r="F542" s="20">
        <f t="shared" si="8"/>
        <v>124125909</v>
      </c>
      <c r="G542" s="7" t="s">
        <v>330</v>
      </c>
      <c r="H542" s="24" t="s">
        <v>109</v>
      </c>
      <c r="I542" s="32" t="s">
        <v>152</v>
      </c>
    </row>
    <row r="543" spans="1:9" x14ac:dyDescent="0.35">
      <c r="A543" s="19">
        <v>45740</v>
      </c>
      <c r="B543" s="20"/>
      <c r="C543" s="20"/>
      <c r="D543" s="20">
        <v>20000</v>
      </c>
      <c r="E543" s="99" t="s">
        <v>422</v>
      </c>
      <c r="F543" s="20">
        <f t="shared" si="8"/>
        <v>124145909</v>
      </c>
      <c r="G543" s="7" t="s">
        <v>330</v>
      </c>
      <c r="H543" s="24" t="s">
        <v>109</v>
      </c>
      <c r="I543" s="32" t="s">
        <v>152</v>
      </c>
    </row>
    <row r="544" spans="1:9" x14ac:dyDescent="0.35">
      <c r="A544" s="19">
        <v>45740</v>
      </c>
      <c r="B544" s="20"/>
      <c r="C544" s="20"/>
      <c r="D544" s="20">
        <v>48000</v>
      </c>
      <c r="E544" s="99" t="s">
        <v>422</v>
      </c>
      <c r="F544" s="20">
        <f t="shared" si="8"/>
        <v>124193909</v>
      </c>
      <c r="G544" s="7" t="s">
        <v>330</v>
      </c>
      <c r="H544" s="24" t="s">
        <v>109</v>
      </c>
      <c r="I544" s="32" t="s">
        <v>152</v>
      </c>
    </row>
    <row r="545" spans="1:9" x14ac:dyDescent="0.35">
      <c r="A545" s="19">
        <v>45740</v>
      </c>
      <c r="B545" s="20"/>
      <c r="C545" s="20"/>
      <c r="D545" s="20">
        <v>100000</v>
      </c>
      <c r="E545" s="99" t="s">
        <v>422</v>
      </c>
      <c r="F545" s="20">
        <f t="shared" si="8"/>
        <v>124293909</v>
      </c>
      <c r="G545" s="7" t="s">
        <v>330</v>
      </c>
      <c r="H545" s="24" t="s">
        <v>109</v>
      </c>
      <c r="I545" s="32" t="s">
        <v>152</v>
      </c>
    </row>
    <row r="546" spans="1:9" x14ac:dyDescent="0.35">
      <c r="A546" s="19">
        <v>45740</v>
      </c>
      <c r="B546" s="20"/>
      <c r="C546" s="20"/>
      <c r="D546" s="20">
        <v>300000</v>
      </c>
      <c r="E546" s="99" t="s">
        <v>422</v>
      </c>
      <c r="F546" s="20">
        <f t="shared" si="8"/>
        <v>124593909</v>
      </c>
      <c r="G546" s="7" t="s">
        <v>330</v>
      </c>
      <c r="H546" s="24" t="s">
        <v>109</v>
      </c>
      <c r="I546" s="32" t="s">
        <v>152</v>
      </c>
    </row>
    <row r="547" spans="1:9" x14ac:dyDescent="0.35">
      <c r="A547" s="19">
        <v>45740</v>
      </c>
      <c r="B547" s="20"/>
      <c r="C547" s="20"/>
      <c r="D547" s="20">
        <v>20000</v>
      </c>
      <c r="E547" s="99" t="s">
        <v>422</v>
      </c>
      <c r="F547" s="20">
        <f t="shared" si="8"/>
        <v>124613909</v>
      </c>
      <c r="G547" s="7" t="s">
        <v>330</v>
      </c>
      <c r="H547" s="24" t="s">
        <v>109</v>
      </c>
      <c r="I547" s="32" t="s">
        <v>152</v>
      </c>
    </row>
    <row r="548" spans="1:9" x14ac:dyDescent="0.35">
      <c r="A548" s="19">
        <v>45740</v>
      </c>
      <c r="B548" s="20"/>
      <c r="C548" s="20"/>
      <c r="D548" s="20">
        <v>1474</v>
      </c>
      <c r="E548" s="99" t="s">
        <v>422</v>
      </c>
      <c r="F548" s="20">
        <f t="shared" si="8"/>
        <v>124615383</v>
      </c>
      <c r="G548" s="7" t="s">
        <v>330</v>
      </c>
      <c r="H548" s="24" t="s">
        <v>109</v>
      </c>
      <c r="I548" s="32" t="s">
        <v>152</v>
      </c>
    </row>
    <row r="549" spans="1:9" x14ac:dyDescent="0.35">
      <c r="A549" s="19">
        <v>45740</v>
      </c>
      <c r="B549" s="20"/>
      <c r="C549" s="20"/>
      <c r="D549" s="20">
        <v>5000</v>
      </c>
      <c r="E549" s="99" t="s">
        <v>422</v>
      </c>
      <c r="F549" s="20">
        <f t="shared" si="8"/>
        <v>124620383</v>
      </c>
      <c r="G549" s="7" t="s">
        <v>330</v>
      </c>
      <c r="H549" s="24" t="s">
        <v>109</v>
      </c>
      <c r="I549" s="32" t="s">
        <v>152</v>
      </c>
    </row>
    <row r="550" spans="1:9" x14ac:dyDescent="0.35">
      <c r="A550" s="19">
        <v>45740</v>
      </c>
      <c r="B550" s="20"/>
      <c r="C550" s="20"/>
      <c r="D550" s="20">
        <v>20000</v>
      </c>
      <c r="E550" s="99" t="s">
        <v>422</v>
      </c>
      <c r="F550" s="20">
        <f t="shared" si="8"/>
        <v>124640383</v>
      </c>
      <c r="G550" s="7" t="s">
        <v>330</v>
      </c>
      <c r="H550" s="24" t="s">
        <v>109</v>
      </c>
      <c r="I550" s="32" t="s">
        <v>152</v>
      </c>
    </row>
    <row r="551" spans="1:9" x14ac:dyDescent="0.35">
      <c r="A551" s="19">
        <v>45740</v>
      </c>
      <c r="B551" s="20"/>
      <c r="C551" s="20"/>
      <c r="D551" s="20">
        <v>2000000</v>
      </c>
      <c r="E551" s="99" t="s">
        <v>422</v>
      </c>
      <c r="F551" s="20">
        <f t="shared" si="8"/>
        <v>126640383</v>
      </c>
      <c r="G551" s="7" t="s">
        <v>425</v>
      </c>
      <c r="H551" s="24" t="s">
        <v>109</v>
      </c>
      <c r="I551" s="32" t="s">
        <v>152</v>
      </c>
    </row>
    <row r="552" spans="1:9" x14ac:dyDescent="0.35">
      <c r="A552" s="19">
        <v>45740</v>
      </c>
      <c r="B552" s="20"/>
      <c r="C552" s="20"/>
      <c r="D552" s="20">
        <v>1500000</v>
      </c>
      <c r="E552" s="99" t="s">
        <v>422</v>
      </c>
      <c r="F552" s="20">
        <f t="shared" si="8"/>
        <v>128140383</v>
      </c>
      <c r="G552" s="7" t="s">
        <v>440</v>
      </c>
      <c r="H552" s="59" t="s">
        <v>105</v>
      </c>
      <c r="I552" s="32" t="s">
        <v>152</v>
      </c>
    </row>
    <row r="553" spans="1:9" x14ac:dyDescent="0.35">
      <c r="A553" s="19">
        <v>45740</v>
      </c>
      <c r="B553" s="20"/>
      <c r="C553" s="20"/>
      <c r="D553" s="20">
        <v>25000</v>
      </c>
      <c r="E553" s="99" t="s">
        <v>422</v>
      </c>
      <c r="F553" s="20">
        <f t="shared" si="8"/>
        <v>128165383</v>
      </c>
      <c r="G553" s="7" t="s">
        <v>408</v>
      </c>
      <c r="H553" s="24" t="s">
        <v>109</v>
      </c>
      <c r="I553" s="32" t="s">
        <v>152</v>
      </c>
    </row>
    <row r="554" spans="1:9" x14ac:dyDescent="0.35">
      <c r="A554" s="19">
        <v>45740</v>
      </c>
      <c r="B554" s="20"/>
      <c r="C554" s="20"/>
      <c r="D554" s="20">
        <v>50000</v>
      </c>
      <c r="E554" s="99" t="s">
        <v>422</v>
      </c>
      <c r="F554" s="20">
        <f t="shared" si="8"/>
        <v>128215383</v>
      </c>
      <c r="G554" s="7" t="s">
        <v>330</v>
      </c>
      <c r="H554" s="24" t="s">
        <v>109</v>
      </c>
      <c r="I554" s="32" t="s">
        <v>152</v>
      </c>
    </row>
    <row r="555" spans="1:9" x14ac:dyDescent="0.35">
      <c r="A555" s="19">
        <v>45740</v>
      </c>
      <c r="B555" s="20"/>
      <c r="C555" s="20"/>
      <c r="D555" s="20">
        <v>100000</v>
      </c>
      <c r="E555" s="99" t="s">
        <v>422</v>
      </c>
      <c r="F555" s="20">
        <f t="shared" si="8"/>
        <v>128315383</v>
      </c>
      <c r="G555" s="7" t="s">
        <v>330</v>
      </c>
      <c r="H555" s="24" t="s">
        <v>109</v>
      </c>
      <c r="I555" s="32" t="s">
        <v>152</v>
      </c>
    </row>
    <row r="556" spans="1:9" x14ac:dyDescent="0.35">
      <c r="A556" s="19">
        <v>45740</v>
      </c>
      <c r="B556" s="20"/>
      <c r="C556" s="20"/>
      <c r="D556" s="20">
        <v>100000</v>
      </c>
      <c r="E556" s="99" t="s">
        <v>422</v>
      </c>
      <c r="F556" s="20">
        <f t="shared" si="8"/>
        <v>128415383</v>
      </c>
      <c r="G556" s="7" t="s">
        <v>330</v>
      </c>
      <c r="H556" s="24" t="s">
        <v>109</v>
      </c>
      <c r="I556" s="32" t="s">
        <v>152</v>
      </c>
    </row>
    <row r="557" spans="1:9" x14ac:dyDescent="0.35">
      <c r="A557" s="19">
        <v>45740</v>
      </c>
      <c r="B557" s="20"/>
      <c r="C557" s="20"/>
      <c r="D557" s="20">
        <v>100000</v>
      </c>
      <c r="E557" s="99" t="s">
        <v>422</v>
      </c>
      <c r="F557" s="20">
        <f t="shared" si="8"/>
        <v>128515383</v>
      </c>
      <c r="G557" s="7" t="s">
        <v>330</v>
      </c>
      <c r="H557" s="24" t="s">
        <v>109</v>
      </c>
      <c r="I557" s="32" t="s">
        <v>152</v>
      </c>
    </row>
    <row r="558" spans="1:9" x14ac:dyDescent="0.35">
      <c r="A558" s="19">
        <v>45740</v>
      </c>
      <c r="B558" s="20"/>
      <c r="C558" s="20"/>
      <c r="D558" s="20">
        <v>10000</v>
      </c>
      <c r="E558" s="99" t="s">
        <v>422</v>
      </c>
      <c r="F558" s="20">
        <f t="shared" si="8"/>
        <v>128525383</v>
      </c>
      <c r="G558" s="7" t="s">
        <v>330</v>
      </c>
      <c r="H558" s="24" t="s">
        <v>109</v>
      </c>
      <c r="I558" s="32" t="s">
        <v>152</v>
      </c>
    </row>
    <row r="559" spans="1:9" x14ac:dyDescent="0.35">
      <c r="A559" s="19">
        <v>45740</v>
      </c>
      <c r="B559" s="20"/>
      <c r="C559" s="20"/>
      <c r="D559" s="20">
        <v>10000</v>
      </c>
      <c r="E559" s="99" t="s">
        <v>422</v>
      </c>
      <c r="F559" s="20">
        <f t="shared" si="8"/>
        <v>128535383</v>
      </c>
      <c r="G559" s="7" t="s">
        <v>330</v>
      </c>
      <c r="H559" s="24" t="s">
        <v>109</v>
      </c>
      <c r="I559" s="32" t="s">
        <v>152</v>
      </c>
    </row>
    <row r="560" spans="1:9" x14ac:dyDescent="0.35">
      <c r="A560" s="19">
        <v>45740</v>
      </c>
      <c r="B560" s="20"/>
      <c r="C560" s="20"/>
      <c r="D560" s="20">
        <v>10000</v>
      </c>
      <c r="E560" s="99" t="s">
        <v>422</v>
      </c>
      <c r="F560" s="20">
        <f t="shared" si="8"/>
        <v>128545383</v>
      </c>
      <c r="G560" s="7" t="s">
        <v>330</v>
      </c>
      <c r="H560" s="24" t="s">
        <v>109</v>
      </c>
      <c r="I560" s="32" t="s">
        <v>152</v>
      </c>
    </row>
    <row r="561" spans="1:9" x14ac:dyDescent="0.35">
      <c r="A561" s="19">
        <v>45740</v>
      </c>
      <c r="B561" s="20"/>
      <c r="C561" s="20"/>
      <c r="D561" s="20">
        <v>25000</v>
      </c>
      <c r="E561" s="99" t="s">
        <v>422</v>
      </c>
      <c r="F561" s="20">
        <f t="shared" si="8"/>
        <v>128570383</v>
      </c>
      <c r="G561" s="7" t="s">
        <v>330</v>
      </c>
      <c r="H561" s="24" t="s">
        <v>109</v>
      </c>
      <c r="I561" s="32" t="s">
        <v>152</v>
      </c>
    </row>
    <row r="562" spans="1:9" x14ac:dyDescent="0.35">
      <c r="A562" s="19">
        <v>45740</v>
      </c>
      <c r="B562" s="20"/>
      <c r="C562" s="20"/>
      <c r="D562" s="20">
        <v>100000</v>
      </c>
      <c r="E562" s="99" t="s">
        <v>422</v>
      </c>
      <c r="F562" s="20">
        <f t="shared" si="8"/>
        <v>128670383</v>
      </c>
      <c r="G562" s="7" t="s">
        <v>330</v>
      </c>
      <c r="H562" s="24" t="s">
        <v>109</v>
      </c>
      <c r="I562" s="32" t="s">
        <v>152</v>
      </c>
    </row>
    <row r="563" spans="1:9" x14ac:dyDescent="0.35">
      <c r="A563" s="19">
        <v>45740</v>
      </c>
      <c r="B563" s="20"/>
      <c r="C563" s="20"/>
      <c r="D563" s="20">
        <v>25000</v>
      </c>
      <c r="E563" s="99" t="s">
        <v>422</v>
      </c>
      <c r="F563" s="20">
        <f t="shared" si="8"/>
        <v>128695383</v>
      </c>
      <c r="G563" s="7" t="s">
        <v>330</v>
      </c>
      <c r="H563" s="24" t="s">
        <v>109</v>
      </c>
      <c r="I563" s="32" t="s">
        <v>152</v>
      </c>
    </row>
    <row r="564" spans="1:9" x14ac:dyDescent="0.35">
      <c r="A564" s="19">
        <v>45740</v>
      </c>
      <c r="B564" s="20"/>
      <c r="C564" s="20"/>
      <c r="D564" s="20">
        <v>50000</v>
      </c>
      <c r="E564" s="99" t="s">
        <v>422</v>
      </c>
      <c r="F564" s="20">
        <f t="shared" si="8"/>
        <v>128745383</v>
      </c>
      <c r="G564" s="7" t="s">
        <v>330</v>
      </c>
      <c r="H564" s="24" t="s">
        <v>109</v>
      </c>
      <c r="I564" s="32" t="s">
        <v>152</v>
      </c>
    </row>
    <row r="565" spans="1:9" x14ac:dyDescent="0.35">
      <c r="A565" s="19">
        <v>45740</v>
      </c>
      <c r="B565" s="20"/>
      <c r="C565" s="20"/>
      <c r="D565" s="20">
        <v>20000</v>
      </c>
      <c r="E565" s="99" t="s">
        <v>422</v>
      </c>
      <c r="F565" s="20">
        <f t="shared" si="8"/>
        <v>128765383</v>
      </c>
      <c r="G565" s="7" t="s">
        <v>330</v>
      </c>
      <c r="H565" s="24" t="s">
        <v>109</v>
      </c>
      <c r="I565" s="32" t="s">
        <v>152</v>
      </c>
    </row>
    <row r="566" spans="1:9" x14ac:dyDescent="0.35">
      <c r="A566" s="19">
        <v>45740</v>
      </c>
      <c r="B566" s="20"/>
      <c r="C566" s="20"/>
      <c r="D566" s="20">
        <v>1000000</v>
      </c>
      <c r="E566" s="99" t="s">
        <v>422</v>
      </c>
      <c r="F566" s="20">
        <f t="shared" si="8"/>
        <v>129765383</v>
      </c>
      <c r="G566" s="7" t="s">
        <v>426</v>
      </c>
      <c r="H566" s="24" t="s">
        <v>109</v>
      </c>
      <c r="I566" s="32" t="s">
        <v>152</v>
      </c>
    </row>
    <row r="567" spans="1:9" x14ac:dyDescent="0.35">
      <c r="A567" s="19">
        <v>45740</v>
      </c>
      <c r="B567" s="20"/>
      <c r="C567" s="20"/>
      <c r="D567" s="20">
        <v>4000000</v>
      </c>
      <c r="E567" s="99" t="s">
        <v>422</v>
      </c>
      <c r="F567" s="20">
        <f t="shared" si="8"/>
        <v>133765383</v>
      </c>
      <c r="G567" s="7" t="s">
        <v>427</v>
      </c>
      <c r="H567" s="59" t="s">
        <v>105</v>
      </c>
      <c r="I567" s="32" t="s">
        <v>152</v>
      </c>
    </row>
    <row r="568" spans="1:9" x14ac:dyDescent="0.35">
      <c r="A568" s="19">
        <v>45740</v>
      </c>
      <c r="B568" s="20"/>
      <c r="C568" s="20"/>
      <c r="D568" s="20">
        <v>300000</v>
      </c>
      <c r="E568" s="99" t="s">
        <v>422</v>
      </c>
      <c r="F568" s="20">
        <f t="shared" si="8"/>
        <v>134065383</v>
      </c>
      <c r="G568" s="7" t="s">
        <v>428</v>
      </c>
      <c r="H568" s="24" t="s">
        <v>109</v>
      </c>
      <c r="I568" s="32" t="s">
        <v>152</v>
      </c>
    </row>
    <row r="569" spans="1:9" x14ac:dyDescent="0.35">
      <c r="A569" s="19">
        <v>45740</v>
      </c>
      <c r="B569" s="20"/>
      <c r="C569" s="20"/>
      <c r="D569" s="20">
        <v>5000000</v>
      </c>
      <c r="E569" s="99" t="s">
        <v>422</v>
      </c>
      <c r="F569" s="20">
        <f t="shared" si="8"/>
        <v>139065383</v>
      </c>
      <c r="G569" s="7" t="s">
        <v>429</v>
      </c>
      <c r="H569" s="59" t="s">
        <v>105</v>
      </c>
      <c r="I569" s="32" t="s">
        <v>152</v>
      </c>
    </row>
    <row r="570" spans="1:9" x14ac:dyDescent="0.35">
      <c r="A570" s="19">
        <v>45740</v>
      </c>
      <c r="B570" s="20"/>
      <c r="C570" s="20"/>
      <c r="D570" s="20">
        <v>20000</v>
      </c>
      <c r="E570" s="99" t="s">
        <v>422</v>
      </c>
      <c r="F570" s="20">
        <f t="shared" si="8"/>
        <v>139085383</v>
      </c>
      <c r="G570" s="7" t="s">
        <v>330</v>
      </c>
      <c r="H570" s="24" t="s">
        <v>109</v>
      </c>
      <c r="I570" s="32" t="s">
        <v>152</v>
      </c>
    </row>
    <row r="571" spans="1:9" x14ac:dyDescent="0.35">
      <c r="A571" s="19">
        <v>45740</v>
      </c>
      <c r="B571" s="20"/>
      <c r="C571" s="20"/>
      <c r="D571" s="20">
        <v>50000</v>
      </c>
      <c r="E571" s="99" t="s">
        <v>422</v>
      </c>
      <c r="F571" s="20">
        <f t="shared" si="8"/>
        <v>139135383</v>
      </c>
      <c r="G571" s="7" t="s">
        <v>330</v>
      </c>
      <c r="H571" s="24" t="s">
        <v>109</v>
      </c>
      <c r="I571" s="32" t="s">
        <v>152</v>
      </c>
    </row>
    <row r="572" spans="1:9" x14ac:dyDescent="0.35">
      <c r="A572" s="19">
        <v>45740</v>
      </c>
      <c r="B572" s="20"/>
      <c r="C572" s="20"/>
      <c r="D572" s="20">
        <v>25000</v>
      </c>
      <c r="E572" s="99" t="s">
        <v>422</v>
      </c>
      <c r="F572" s="20">
        <f t="shared" si="8"/>
        <v>139160383</v>
      </c>
      <c r="G572" s="7" t="s">
        <v>330</v>
      </c>
      <c r="H572" s="24" t="s">
        <v>109</v>
      </c>
      <c r="I572" s="32" t="s">
        <v>152</v>
      </c>
    </row>
    <row r="573" spans="1:9" x14ac:dyDescent="0.35">
      <c r="A573" s="19">
        <v>45740</v>
      </c>
      <c r="B573" s="20"/>
      <c r="C573" s="20"/>
      <c r="D573" s="20">
        <v>100000</v>
      </c>
      <c r="E573" s="99" t="s">
        <v>422</v>
      </c>
      <c r="F573" s="20">
        <f t="shared" si="8"/>
        <v>139260383</v>
      </c>
      <c r="G573" s="7" t="s">
        <v>330</v>
      </c>
      <c r="H573" s="24" t="s">
        <v>109</v>
      </c>
      <c r="I573" s="32" t="s">
        <v>152</v>
      </c>
    </row>
    <row r="574" spans="1:9" x14ac:dyDescent="0.35">
      <c r="A574" s="19">
        <v>45740</v>
      </c>
      <c r="B574" s="20"/>
      <c r="C574" s="20"/>
      <c r="D574" s="20">
        <v>5000</v>
      </c>
      <c r="E574" s="99" t="s">
        <v>422</v>
      </c>
      <c r="F574" s="20">
        <f t="shared" si="8"/>
        <v>139265383</v>
      </c>
      <c r="G574" s="7" t="s">
        <v>330</v>
      </c>
      <c r="H574" s="24" t="s">
        <v>109</v>
      </c>
      <c r="I574" s="32" t="s">
        <v>152</v>
      </c>
    </row>
    <row r="575" spans="1:9" x14ac:dyDescent="0.35">
      <c r="A575" s="19">
        <v>45740</v>
      </c>
      <c r="B575" s="20"/>
      <c r="C575" s="20"/>
      <c r="D575" s="20">
        <v>1000000</v>
      </c>
      <c r="E575" s="99" t="s">
        <v>422</v>
      </c>
      <c r="F575" s="20">
        <f t="shared" si="8"/>
        <v>140265383</v>
      </c>
      <c r="G575" s="7" t="s">
        <v>430</v>
      </c>
      <c r="H575" s="24" t="s">
        <v>109</v>
      </c>
      <c r="I575" s="32" t="s">
        <v>152</v>
      </c>
    </row>
    <row r="576" spans="1:9" x14ac:dyDescent="0.35">
      <c r="A576" s="19">
        <v>45740</v>
      </c>
      <c r="B576" s="20"/>
      <c r="C576" s="20"/>
      <c r="D576" s="20">
        <v>100000</v>
      </c>
      <c r="E576" s="99" t="s">
        <v>422</v>
      </c>
      <c r="F576" s="20">
        <f t="shared" si="8"/>
        <v>140365383</v>
      </c>
      <c r="G576" s="7" t="s">
        <v>330</v>
      </c>
      <c r="H576" s="24" t="s">
        <v>109</v>
      </c>
      <c r="I576" s="32" t="s">
        <v>152</v>
      </c>
    </row>
    <row r="577" spans="1:9" x14ac:dyDescent="0.35">
      <c r="A577" s="19">
        <v>45740</v>
      </c>
      <c r="B577" s="20"/>
      <c r="C577" s="20"/>
      <c r="D577" s="20">
        <v>9000</v>
      </c>
      <c r="E577" s="99" t="s">
        <v>422</v>
      </c>
      <c r="F577" s="20">
        <f t="shared" si="8"/>
        <v>140374383</v>
      </c>
      <c r="G577" s="7" t="s">
        <v>330</v>
      </c>
      <c r="H577" s="24" t="s">
        <v>109</v>
      </c>
      <c r="I577" s="32" t="s">
        <v>152</v>
      </c>
    </row>
    <row r="578" spans="1:9" x14ac:dyDescent="0.35">
      <c r="A578" s="19">
        <v>45740</v>
      </c>
      <c r="B578" s="20"/>
      <c r="C578" s="20"/>
      <c r="D578" s="20">
        <v>10000</v>
      </c>
      <c r="E578" s="99" t="s">
        <v>422</v>
      </c>
      <c r="F578" s="20">
        <f t="shared" si="8"/>
        <v>140384383</v>
      </c>
      <c r="G578" s="7" t="s">
        <v>330</v>
      </c>
      <c r="H578" s="24" t="s">
        <v>109</v>
      </c>
      <c r="I578" s="32" t="s">
        <v>152</v>
      </c>
    </row>
    <row r="579" spans="1:9" x14ac:dyDescent="0.35">
      <c r="A579" s="19">
        <v>45740</v>
      </c>
      <c r="B579" s="20"/>
      <c r="C579" s="20"/>
      <c r="D579" s="20">
        <v>50000</v>
      </c>
      <c r="E579" s="99" t="s">
        <v>422</v>
      </c>
      <c r="F579" s="20">
        <f t="shared" si="8"/>
        <v>140434383</v>
      </c>
      <c r="G579" s="7" t="s">
        <v>330</v>
      </c>
      <c r="H579" s="24" t="s">
        <v>109</v>
      </c>
      <c r="I579" s="32" t="s">
        <v>152</v>
      </c>
    </row>
    <row r="580" spans="1:9" x14ac:dyDescent="0.35">
      <c r="A580" s="19">
        <v>45740</v>
      </c>
      <c r="B580" s="20"/>
      <c r="C580" s="20"/>
      <c r="D580" s="20">
        <v>10000</v>
      </c>
      <c r="E580" s="99" t="s">
        <v>422</v>
      </c>
      <c r="F580" s="20">
        <f t="shared" si="8"/>
        <v>140444383</v>
      </c>
      <c r="G580" s="7" t="s">
        <v>330</v>
      </c>
      <c r="H580" s="24" t="s">
        <v>109</v>
      </c>
      <c r="I580" s="32" t="s">
        <v>152</v>
      </c>
    </row>
    <row r="581" spans="1:9" x14ac:dyDescent="0.35">
      <c r="A581" s="19">
        <v>45740</v>
      </c>
      <c r="B581" s="20"/>
      <c r="C581" s="20"/>
      <c r="D581" s="20">
        <v>25000</v>
      </c>
      <c r="E581" s="99" t="s">
        <v>422</v>
      </c>
      <c r="F581" s="20">
        <f t="shared" si="8"/>
        <v>140469383</v>
      </c>
      <c r="G581" s="7" t="s">
        <v>330</v>
      </c>
      <c r="H581" s="24" t="s">
        <v>109</v>
      </c>
      <c r="I581" s="32" t="s">
        <v>152</v>
      </c>
    </row>
    <row r="582" spans="1:9" x14ac:dyDescent="0.35">
      <c r="A582" s="19">
        <v>45740</v>
      </c>
      <c r="B582" s="20"/>
      <c r="C582" s="20"/>
      <c r="D582" s="20">
        <v>25000</v>
      </c>
      <c r="E582" s="99" t="s">
        <v>422</v>
      </c>
      <c r="F582" s="20">
        <f t="shared" si="8"/>
        <v>140494383</v>
      </c>
      <c r="G582" s="7" t="s">
        <v>330</v>
      </c>
      <c r="H582" s="24" t="s">
        <v>109</v>
      </c>
      <c r="I582" s="32" t="s">
        <v>152</v>
      </c>
    </row>
    <row r="583" spans="1:9" x14ac:dyDescent="0.35">
      <c r="A583" s="19">
        <v>45740</v>
      </c>
      <c r="B583" s="20"/>
      <c r="C583" s="20"/>
      <c r="D583" s="20">
        <v>5000</v>
      </c>
      <c r="E583" s="99" t="s">
        <v>422</v>
      </c>
      <c r="F583" s="20">
        <f t="shared" si="8"/>
        <v>140499383</v>
      </c>
      <c r="G583" s="7" t="s">
        <v>330</v>
      </c>
      <c r="H583" s="24" t="s">
        <v>109</v>
      </c>
      <c r="I583" s="32" t="s">
        <v>152</v>
      </c>
    </row>
    <row r="584" spans="1:9" x14ac:dyDescent="0.35">
      <c r="A584" s="19">
        <v>45740</v>
      </c>
      <c r="B584" s="20"/>
      <c r="C584" s="20"/>
      <c r="D584" s="20">
        <v>20000</v>
      </c>
      <c r="E584" s="99" t="s">
        <v>422</v>
      </c>
      <c r="F584" s="20">
        <f t="shared" si="8"/>
        <v>140519383</v>
      </c>
      <c r="G584" s="7" t="s">
        <v>330</v>
      </c>
      <c r="H584" s="24" t="s">
        <v>109</v>
      </c>
      <c r="I584" s="32" t="s">
        <v>152</v>
      </c>
    </row>
    <row r="585" spans="1:9" x14ac:dyDescent="0.35">
      <c r="A585" s="19">
        <v>45740</v>
      </c>
      <c r="B585" s="20"/>
      <c r="C585" s="20"/>
      <c r="D585" s="20">
        <v>10000</v>
      </c>
      <c r="E585" s="99" t="s">
        <v>422</v>
      </c>
      <c r="F585" s="20">
        <f t="shared" si="8"/>
        <v>140529383</v>
      </c>
      <c r="G585" s="7" t="s">
        <v>330</v>
      </c>
      <c r="H585" s="24" t="s">
        <v>109</v>
      </c>
      <c r="I585" s="32" t="s">
        <v>152</v>
      </c>
    </row>
    <row r="586" spans="1:9" x14ac:dyDescent="0.35">
      <c r="A586" s="19">
        <v>45740</v>
      </c>
      <c r="B586" s="20"/>
      <c r="C586" s="20"/>
      <c r="D586" s="20">
        <v>5252</v>
      </c>
      <c r="E586" s="99" t="s">
        <v>422</v>
      </c>
      <c r="F586" s="20">
        <f t="shared" si="8"/>
        <v>140534635</v>
      </c>
      <c r="G586" s="7" t="s">
        <v>330</v>
      </c>
      <c r="H586" s="24" t="s">
        <v>109</v>
      </c>
      <c r="I586" s="32" t="s">
        <v>152</v>
      </c>
    </row>
    <row r="587" spans="1:9" x14ac:dyDescent="0.35">
      <c r="A587" s="19">
        <v>45740</v>
      </c>
      <c r="B587" s="20"/>
      <c r="C587" s="20"/>
      <c r="D587" s="20">
        <v>401</v>
      </c>
      <c r="E587" s="99" t="s">
        <v>422</v>
      </c>
      <c r="F587" s="20">
        <f t="shared" si="8"/>
        <v>140535036</v>
      </c>
      <c r="G587" s="7" t="s">
        <v>330</v>
      </c>
      <c r="H587" s="24" t="s">
        <v>109</v>
      </c>
      <c r="I587" s="32" t="s">
        <v>152</v>
      </c>
    </row>
    <row r="588" spans="1:9" x14ac:dyDescent="0.35">
      <c r="A588" s="19">
        <v>45740</v>
      </c>
      <c r="B588" s="20"/>
      <c r="C588" s="20"/>
      <c r="D588" s="20">
        <v>50000</v>
      </c>
      <c r="E588" s="99" t="s">
        <v>422</v>
      </c>
      <c r="F588" s="20">
        <f t="shared" si="8"/>
        <v>140585036</v>
      </c>
      <c r="G588" s="7" t="s">
        <v>330</v>
      </c>
      <c r="H588" s="24" t="s">
        <v>109</v>
      </c>
      <c r="I588" s="32" t="s">
        <v>152</v>
      </c>
    </row>
    <row r="589" spans="1:9" x14ac:dyDescent="0.35">
      <c r="A589" s="19">
        <v>45740</v>
      </c>
      <c r="B589" s="20"/>
      <c r="C589" s="20"/>
      <c r="D589" s="20">
        <v>1000000</v>
      </c>
      <c r="E589" s="99" t="s">
        <v>422</v>
      </c>
      <c r="F589" s="20">
        <f t="shared" si="8"/>
        <v>141585036</v>
      </c>
      <c r="G589" s="7" t="s">
        <v>449</v>
      </c>
      <c r="H589" s="59" t="s">
        <v>105</v>
      </c>
      <c r="I589" s="32" t="s">
        <v>152</v>
      </c>
    </row>
    <row r="590" spans="1:9" x14ac:dyDescent="0.35">
      <c r="A590" s="19">
        <v>45741</v>
      </c>
      <c r="B590" s="20"/>
      <c r="C590" s="20"/>
      <c r="D590" s="20">
        <v>50000</v>
      </c>
      <c r="E590" s="99" t="s">
        <v>422</v>
      </c>
      <c r="F590" s="20">
        <f t="shared" si="8"/>
        <v>141635036</v>
      </c>
      <c r="G590" s="7" t="s">
        <v>330</v>
      </c>
      <c r="H590" s="24" t="s">
        <v>109</v>
      </c>
      <c r="I590" s="32" t="s">
        <v>152</v>
      </c>
    </row>
    <row r="591" spans="1:9" x14ac:dyDescent="0.35">
      <c r="A591" s="19">
        <v>45741</v>
      </c>
      <c r="B591" s="20"/>
      <c r="C591" s="20"/>
      <c r="D591" s="20">
        <v>100000</v>
      </c>
      <c r="E591" s="99" t="s">
        <v>422</v>
      </c>
      <c r="F591" s="20">
        <f t="shared" si="8"/>
        <v>141735036</v>
      </c>
      <c r="G591" s="7" t="s">
        <v>330</v>
      </c>
      <c r="H591" s="24" t="s">
        <v>109</v>
      </c>
      <c r="I591" s="32" t="s">
        <v>152</v>
      </c>
    </row>
    <row r="592" spans="1:9" x14ac:dyDescent="0.35">
      <c r="A592" s="19">
        <v>45741</v>
      </c>
      <c r="B592" s="20"/>
      <c r="C592" s="20"/>
      <c r="D592" s="20">
        <v>100000</v>
      </c>
      <c r="E592" s="99" t="s">
        <v>422</v>
      </c>
      <c r="F592" s="20">
        <f t="shared" si="8"/>
        <v>141835036</v>
      </c>
      <c r="G592" s="7" t="s">
        <v>330</v>
      </c>
      <c r="H592" s="24" t="s">
        <v>109</v>
      </c>
      <c r="I592" s="32" t="s">
        <v>152</v>
      </c>
    </row>
    <row r="593" spans="1:9" x14ac:dyDescent="0.35">
      <c r="A593" s="19">
        <v>45741</v>
      </c>
      <c r="B593" s="20"/>
      <c r="C593" s="20"/>
      <c r="D593" s="20">
        <v>25000</v>
      </c>
      <c r="E593" s="99" t="s">
        <v>422</v>
      </c>
      <c r="F593" s="20">
        <f t="shared" ref="F593:F642" si="9">+F592+D593-B593</f>
        <v>141860036</v>
      </c>
      <c r="G593" s="7" t="s">
        <v>330</v>
      </c>
      <c r="H593" s="24" t="s">
        <v>109</v>
      </c>
      <c r="I593" s="32" t="s">
        <v>152</v>
      </c>
    </row>
    <row r="594" spans="1:9" x14ac:dyDescent="0.35">
      <c r="A594" s="19">
        <v>45741</v>
      </c>
      <c r="B594" s="20"/>
      <c r="C594" s="20"/>
      <c r="D594" s="20">
        <v>10000</v>
      </c>
      <c r="E594" s="99" t="s">
        <v>422</v>
      </c>
      <c r="F594" s="20">
        <f t="shared" si="9"/>
        <v>141870036</v>
      </c>
      <c r="G594" s="7" t="s">
        <v>330</v>
      </c>
      <c r="H594" s="24" t="s">
        <v>109</v>
      </c>
      <c r="I594" s="32" t="s">
        <v>152</v>
      </c>
    </row>
    <row r="595" spans="1:9" x14ac:dyDescent="0.35">
      <c r="A595" s="19">
        <v>45741</v>
      </c>
      <c r="B595" s="20"/>
      <c r="C595" s="20"/>
      <c r="D595" s="20">
        <v>10000</v>
      </c>
      <c r="E595" s="99" t="s">
        <v>422</v>
      </c>
      <c r="F595" s="20">
        <f t="shared" si="9"/>
        <v>141880036</v>
      </c>
      <c r="G595" s="7" t="s">
        <v>330</v>
      </c>
      <c r="H595" s="24" t="s">
        <v>109</v>
      </c>
      <c r="I595" s="32" t="s">
        <v>152</v>
      </c>
    </row>
    <row r="596" spans="1:9" x14ac:dyDescent="0.35">
      <c r="A596" s="19">
        <v>45741</v>
      </c>
      <c r="B596" s="20"/>
      <c r="C596" s="20"/>
      <c r="D596" s="20">
        <v>100000</v>
      </c>
      <c r="E596" s="99" t="s">
        <v>422</v>
      </c>
      <c r="F596" s="20">
        <f t="shared" si="9"/>
        <v>141980036</v>
      </c>
      <c r="G596" s="7" t="s">
        <v>330</v>
      </c>
      <c r="H596" s="24" t="s">
        <v>109</v>
      </c>
      <c r="I596" s="32" t="s">
        <v>152</v>
      </c>
    </row>
    <row r="597" spans="1:9" x14ac:dyDescent="0.35">
      <c r="A597" s="19">
        <v>45741</v>
      </c>
      <c r="B597" s="20"/>
      <c r="C597" s="20"/>
      <c r="D597" s="20">
        <v>10000</v>
      </c>
      <c r="E597" s="99" t="s">
        <v>422</v>
      </c>
      <c r="F597" s="20">
        <f t="shared" si="9"/>
        <v>141990036</v>
      </c>
      <c r="G597" s="7" t="s">
        <v>330</v>
      </c>
      <c r="H597" s="24" t="s">
        <v>109</v>
      </c>
      <c r="I597" s="32" t="s">
        <v>152</v>
      </c>
    </row>
    <row r="598" spans="1:9" x14ac:dyDescent="0.35">
      <c r="A598" s="19">
        <v>45741</v>
      </c>
      <c r="B598" s="20"/>
      <c r="C598" s="20"/>
      <c r="D598" s="20">
        <v>20000</v>
      </c>
      <c r="E598" s="99" t="s">
        <v>422</v>
      </c>
      <c r="F598" s="20">
        <f t="shared" si="9"/>
        <v>142010036</v>
      </c>
      <c r="G598" s="7" t="s">
        <v>330</v>
      </c>
      <c r="H598" s="24" t="s">
        <v>109</v>
      </c>
      <c r="I598" s="32" t="s">
        <v>152</v>
      </c>
    </row>
    <row r="599" spans="1:9" x14ac:dyDescent="0.35">
      <c r="A599" s="19">
        <v>45741</v>
      </c>
      <c r="B599" s="20"/>
      <c r="C599" s="20"/>
      <c r="D599" s="20">
        <v>25000</v>
      </c>
      <c r="E599" s="99" t="s">
        <v>422</v>
      </c>
      <c r="F599" s="20">
        <f t="shared" si="9"/>
        <v>142035036</v>
      </c>
      <c r="G599" s="7" t="s">
        <v>330</v>
      </c>
      <c r="H599" s="24" t="s">
        <v>109</v>
      </c>
      <c r="I599" s="32" t="s">
        <v>152</v>
      </c>
    </row>
    <row r="600" spans="1:9" x14ac:dyDescent="0.35">
      <c r="A600" s="19">
        <v>45741</v>
      </c>
      <c r="B600" s="20"/>
      <c r="C600" s="20"/>
      <c r="D600" s="23">
        <v>4415000</v>
      </c>
      <c r="E600" s="99" t="s">
        <v>422</v>
      </c>
      <c r="F600" s="20">
        <f t="shared" si="9"/>
        <v>146450036</v>
      </c>
      <c r="G600" s="24" t="s">
        <v>107</v>
      </c>
      <c r="H600" s="24" t="s">
        <v>107</v>
      </c>
      <c r="I600" s="32" t="s">
        <v>152</v>
      </c>
    </row>
    <row r="601" spans="1:9" x14ac:dyDescent="0.35">
      <c r="A601" s="19">
        <v>45741</v>
      </c>
      <c r="B601" s="20"/>
      <c r="C601" s="20"/>
      <c r="D601" s="23">
        <f>4046000-2000000</f>
        <v>2046000</v>
      </c>
      <c r="E601" s="99" t="s">
        <v>422</v>
      </c>
      <c r="F601" s="20">
        <f t="shared" si="9"/>
        <v>148496036</v>
      </c>
      <c r="G601" s="24" t="s">
        <v>109</v>
      </c>
      <c r="H601" s="24" t="s">
        <v>109</v>
      </c>
      <c r="I601" s="32" t="s">
        <v>152</v>
      </c>
    </row>
    <row r="602" spans="1:9" x14ac:dyDescent="0.35">
      <c r="A602" s="19">
        <v>45741</v>
      </c>
      <c r="B602" s="20"/>
      <c r="C602" s="20"/>
      <c r="D602" s="23">
        <v>5026000</v>
      </c>
      <c r="E602" s="99" t="s">
        <v>422</v>
      </c>
      <c r="F602" s="20">
        <f t="shared" si="9"/>
        <v>153522036</v>
      </c>
      <c r="G602" s="24" t="s">
        <v>377</v>
      </c>
      <c r="H602" s="24" t="s">
        <v>109</v>
      </c>
      <c r="I602" s="32" t="s">
        <v>152</v>
      </c>
    </row>
    <row r="603" spans="1:9" x14ac:dyDescent="0.35">
      <c r="A603" s="19"/>
      <c r="B603" s="20"/>
      <c r="C603" s="20">
        <v>11487000</v>
      </c>
      <c r="D603" s="20"/>
      <c r="E603" s="99"/>
      <c r="F603" s="20">
        <f t="shared" si="9"/>
        <v>153522036</v>
      </c>
      <c r="G603" s="7" t="s">
        <v>305</v>
      </c>
      <c r="H603" s="24"/>
      <c r="I603" s="32"/>
    </row>
    <row r="604" spans="1:9" x14ac:dyDescent="0.35">
      <c r="A604" s="19">
        <v>45741</v>
      </c>
      <c r="B604" s="20"/>
      <c r="C604" s="20"/>
      <c r="D604" s="20">
        <v>20000</v>
      </c>
      <c r="E604" s="99" t="s">
        <v>422</v>
      </c>
      <c r="F604" s="20">
        <f t="shared" si="9"/>
        <v>153542036</v>
      </c>
      <c r="G604" s="7" t="s">
        <v>453</v>
      </c>
      <c r="H604" s="24" t="s">
        <v>109</v>
      </c>
      <c r="I604" s="32" t="s">
        <v>152</v>
      </c>
    </row>
    <row r="605" spans="1:9" x14ac:dyDescent="0.35">
      <c r="A605" s="19">
        <v>45742</v>
      </c>
      <c r="B605" s="20"/>
      <c r="C605" s="20"/>
      <c r="D605" s="20">
        <v>50000</v>
      </c>
      <c r="E605" s="99" t="s">
        <v>422</v>
      </c>
      <c r="F605" s="20">
        <f t="shared" si="9"/>
        <v>153592036</v>
      </c>
      <c r="G605" s="7" t="s">
        <v>330</v>
      </c>
      <c r="H605" s="24" t="s">
        <v>109</v>
      </c>
      <c r="I605" s="32" t="s">
        <v>152</v>
      </c>
    </row>
    <row r="606" spans="1:9" x14ac:dyDescent="0.35">
      <c r="A606" s="19">
        <v>45742</v>
      </c>
      <c r="B606" s="20"/>
      <c r="C606" s="20"/>
      <c r="D606" s="20">
        <v>50000</v>
      </c>
      <c r="E606" s="99" t="s">
        <v>422</v>
      </c>
      <c r="F606" s="20">
        <f t="shared" si="9"/>
        <v>153642036</v>
      </c>
      <c r="G606" s="7" t="s">
        <v>330</v>
      </c>
      <c r="H606" s="24" t="s">
        <v>109</v>
      </c>
      <c r="I606" s="32" t="s">
        <v>152</v>
      </c>
    </row>
    <row r="607" spans="1:9" x14ac:dyDescent="0.35">
      <c r="A607" s="19">
        <v>45742</v>
      </c>
      <c r="B607" s="20"/>
      <c r="C607" s="20"/>
      <c r="D607" s="20">
        <v>50000</v>
      </c>
      <c r="E607" s="99" t="s">
        <v>422</v>
      </c>
      <c r="F607" s="20">
        <f t="shared" si="9"/>
        <v>153692036</v>
      </c>
      <c r="G607" s="7" t="s">
        <v>330</v>
      </c>
      <c r="H607" s="24" t="s">
        <v>109</v>
      </c>
      <c r="I607" s="32" t="s">
        <v>152</v>
      </c>
    </row>
    <row r="608" spans="1:9" x14ac:dyDescent="0.35">
      <c r="A608" s="19">
        <v>45742</v>
      </c>
      <c r="B608" s="20"/>
      <c r="C608" s="20"/>
      <c r="D608" s="20">
        <v>100000</v>
      </c>
      <c r="E608" s="99" t="s">
        <v>422</v>
      </c>
      <c r="F608" s="20">
        <f t="shared" si="9"/>
        <v>153792036</v>
      </c>
      <c r="G608" s="7" t="s">
        <v>330</v>
      </c>
      <c r="H608" s="24" t="s">
        <v>109</v>
      </c>
      <c r="I608" s="32" t="s">
        <v>152</v>
      </c>
    </row>
    <row r="609" spans="1:9" x14ac:dyDescent="0.35">
      <c r="A609" s="19">
        <v>45742</v>
      </c>
      <c r="B609" s="20"/>
      <c r="C609" s="20"/>
      <c r="D609" s="20">
        <v>25000</v>
      </c>
      <c r="E609" s="99" t="s">
        <v>422</v>
      </c>
      <c r="F609" s="20">
        <f t="shared" si="9"/>
        <v>153817036</v>
      </c>
      <c r="G609" s="7" t="s">
        <v>330</v>
      </c>
      <c r="H609" s="24" t="s">
        <v>109</v>
      </c>
      <c r="I609" s="32" t="s">
        <v>152</v>
      </c>
    </row>
    <row r="610" spans="1:9" x14ac:dyDescent="0.35">
      <c r="A610" s="19">
        <v>45742</v>
      </c>
      <c r="B610" s="20"/>
      <c r="C610" s="20"/>
      <c r="D610" s="20">
        <v>10000</v>
      </c>
      <c r="E610" s="99" t="s">
        <v>422</v>
      </c>
      <c r="F610" s="20">
        <f t="shared" si="9"/>
        <v>153827036</v>
      </c>
      <c r="G610" s="7" t="s">
        <v>330</v>
      </c>
      <c r="H610" s="24" t="s">
        <v>109</v>
      </c>
      <c r="I610" s="32" t="s">
        <v>152</v>
      </c>
    </row>
    <row r="611" spans="1:9" x14ac:dyDescent="0.35">
      <c r="A611" s="19">
        <v>45742</v>
      </c>
      <c r="B611" s="20"/>
      <c r="C611" s="20"/>
      <c r="D611" s="20">
        <v>10000</v>
      </c>
      <c r="E611" s="99" t="s">
        <v>422</v>
      </c>
      <c r="F611" s="20">
        <f t="shared" si="9"/>
        <v>153837036</v>
      </c>
      <c r="G611" s="7" t="s">
        <v>330</v>
      </c>
      <c r="H611" s="24" t="s">
        <v>109</v>
      </c>
      <c r="I611" s="32" t="s">
        <v>152</v>
      </c>
    </row>
    <row r="612" spans="1:9" x14ac:dyDescent="0.35">
      <c r="A612" s="19">
        <v>45742</v>
      </c>
      <c r="B612" s="20"/>
      <c r="C612" s="20"/>
      <c r="D612" s="20">
        <v>100000</v>
      </c>
      <c r="E612" s="99" t="s">
        <v>422</v>
      </c>
      <c r="F612" s="20">
        <f t="shared" si="9"/>
        <v>153937036</v>
      </c>
      <c r="G612" s="7" t="s">
        <v>330</v>
      </c>
      <c r="H612" s="24" t="s">
        <v>109</v>
      </c>
      <c r="I612" s="32" t="s">
        <v>152</v>
      </c>
    </row>
    <row r="613" spans="1:9" x14ac:dyDescent="0.35">
      <c r="A613" s="19">
        <v>45742</v>
      </c>
      <c r="B613" s="20"/>
      <c r="C613" s="20"/>
      <c r="D613" s="20">
        <v>50000</v>
      </c>
      <c r="E613" s="99" t="s">
        <v>422</v>
      </c>
      <c r="F613" s="20">
        <f t="shared" si="9"/>
        <v>153987036</v>
      </c>
      <c r="G613" s="7" t="s">
        <v>330</v>
      </c>
      <c r="H613" s="24" t="s">
        <v>109</v>
      </c>
      <c r="I613" s="32" t="s">
        <v>152</v>
      </c>
    </row>
    <row r="614" spans="1:9" x14ac:dyDescent="0.35">
      <c r="A614" s="19">
        <v>45742</v>
      </c>
      <c r="B614" s="20"/>
      <c r="C614" s="20"/>
      <c r="D614" s="20">
        <v>25000</v>
      </c>
      <c r="E614" s="99" t="s">
        <v>422</v>
      </c>
      <c r="F614" s="20">
        <f t="shared" si="9"/>
        <v>154012036</v>
      </c>
      <c r="G614" s="7" t="s">
        <v>330</v>
      </c>
      <c r="H614" s="24" t="s">
        <v>109</v>
      </c>
      <c r="I614" s="32" t="s">
        <v>152</v>
      </c>
    </row>
    <row r="615" spans="1:9" x14ac:dyDescent="0.35">
      <c r="A615" s="19">
        <v>45742</v>
      </c>
      <c r="B615" s="20"/>
      <c r="C615" s="20"/>
      <c r="D615" s="20">
        <v>5000</v>
      </c>
      <c r="E615" s="99" t="s">
        <v>422</v>
      </c>
      <c r="F615" s="20">
        <f t="shared" si="9"/>
        <v>154017036</v>
      </c>
      <c r="G615" s="7" t="s">
        <v>330</v>
      </c>
      <c r="H615" s="24" t="s">
        <v>109</v>
      </c>
      <c r="I615" s="32" t="s">
        <v>152</v>
      </c>
    </row>
    <row r="616" spans="1:9" x14ac:dyDescent="0.35">
      <c r="A616" s="19">
        <v>45742</v>
      </c>
      <c r="B616" s="20"/>
      <c r="C616" s="20"/>
      <c r="D616" s="20">
        <v>100000</v>
      </c>
      <c r="E616" s="99" t="s">
        <v>422</v>
      </c>
      <c r="F616" s="20">
        <f t="shared" si="9"/>
        <v>154117036</v>
      </c>
      <c r="G616" s="7" t="s">
        <v>330</v>
      </c>
      <c r="H616" s="24" t="s">
        <v>109</v>
      </c>
      <c r="I616" s="32" t="s">
        <v>152</v>
      </c>
    </row>
    <row r="617" spans="1:9" x14ac:dyDescent="0.35">
      <c r="A617" s="19">
        <v>45743</v>
      </c>
      <c r="B617" s="20"/>
      <c r="C617" s="20"/>
      <c r="D617" s="20">
        <v>50000</v>
      </c>
      <c r="E617" s="99" t="s">
        <v>422</v>
      </c>
      <c r="F617" s="20">
        <f t="shared" si="9"/>
        <v>154167036</v>
      </c>
      <c r="G617" s="7" t="s">
        <v>453</v>
      </c>
      <c r="H617" s="24" t="s">
        <v>109</v>
      </c>
      <c r="I617" s="32" t="s">
        <v>152</v>
      </c>
    </row>
    <row r="618" spans="1:9" x14ac:dyDescent="0.35">
      <c r="A618" s="19">
        <v>45743</v>
      </c>
      <c r="B618" s="20"/>
      <c r="C618" s="20"/>
      <c r="D618" s="20">
        <v>40000</v>
      </c>
      <c r="E618" s="99" t="s">
        <v>422</v>
      </c>
      <c r="F618" s="20">
        <f t="shared" si="9"/>
        <v>154207036</v>
      </c>
      <c r="G618" s="7" t="s">
        <v>330</v>
      </c>
      <c r="H618" s="24" t="s">
        <v>109</v>
      </c>
      <c r="I618" s="32" t="s">
        <v>152</v>
      </c>
    </row>
    <row r="619" spans="1:9" x14ac:dyDescent="0.35">
      <c r="A619" s="19">
        <v>45743</v>
      </c>
      <c r="B619" s="20"/>
      <c r="C619" s="20"/>
      <c r="D619" s="20">
        <v>50000</v>
      </c>
      <c r="E619" s="99" t="s">
        <v>422</v>
      </c>
      <c r="F619" s="20">
        <f t="shared" si="9"/>
        <v>154257036</v>
      </c>
      <c r="G619" s="7" t="s">
        <v>330</v>
      </c>
      <c r="H619" s="24" t="s">
        <v>109</v>
      </c>
      <c r="I619" s="32" t="s">
        <v>152</v>
      </c>
    </row>
    <row r="620" spans="1:9" x14ac:dyDescent="0.35">
      <c r="A620" s="19">
        <v>45743</v>
      </c>
      <c r="B620" s="20"/>
      <c r="C620" s="20"/>
      <c r="D620" s="20">
        <v>4000000</v>
      </c>
      <c r="E620" s="99" t="s">
        <v>422</v>
      </c>
      <c r="F620" s="20">
        <f t="shared" si="9"/>
        <v>158257036</v>
      </c>
      <c r="G620" s="7" t="s">
        <v>461</v>
      </c>
      <c r="H620" s="59" t="s">
        <v>105</v>
      </c>
      <c r="I620" s="32" t="s">
        <v>152</v>
      </c>
    </row>
    <row r="621" spans="1:9" x14ac:dyDescent="0.35">
      <c r="A621" s="19">
        <v>45743</v>
      </c>
      <c r="B621" s="20"/>
      <c r="C621" s="20"/>
      <c r="D621" s="20">
        <v>50000</v>
      </c>
      <c r="E621" s="99" t="s">
        <v>422</v>
      </c>
      <c r="F621" s="20">
        <f t="shared" si="9"/>
        <v>158307036</v>
      </c>
      <c r="G621" s="7" t="s">
        <v>330</v>
      </c>
      <c r="H621" s="24" t="s">
        <v>109</v>
      </c>
      <c r="I621" s="32" t="s">
        <v>152</v>
      </c>
    </row>
    <row r="622" spans="1:9" x14ac:dyDescent="0.35">
      <c r="A622" s="19">
        <v>45743</v>
      </c>
      <c r="B622" s="20"/>
      <c r="C622" s="20"/>
      <c r="D622" s="20">
        <v>10000</v>
      </c>
      <c r="E622" s="99" t="s">
        <v>422</v>
      </c>
      <c r="F622" s="20">
        <f t="shared" si="9"/>
        <v>158317036</v>
      </c>
      <c r="G622" s="7" t="s">
        <v>330</v>
      </c>
      <c r="H622" s="24" t="s">
        <v>109</v>
      </c>
      <c r="I622" s="32" t="s">
        <v>152</v>
      </c>
    </row>
    <row r="623" spans="1:9" x14ac:dyDescent="0.35">
      <c r="A623" s="19">
        <v>45743</v>
      </c>
      <c r="B623" s="20"/>
      <c r="C623" s="20"/>
      <c r="D623" s="20">
        <v>10000</v>
      </c>
      <c r="E623" s="99" t="s">
        <v>422</v>
      </c>
      <c r="F623" s="20">
        <f t="shared" si="9"/>
        <v>158327036</v>
      </c>
      <c r="G623" s="7" t="s">
        <v>330</v>
      </c>
      <c r="H623" s="24" t="s">
        <v>109</v>
      </c>
      <c r="I623" s="32" t="s">
        <v>152</v>
      </c>
    </row>
    <row r="624" spans="1:9" x14ac:dyDescent="0.35">
      <c r="A624" s="19">
        <v>45743</v>
      </c>
      <c r="B624" s="20"/>
      <c r="C624" s="20"/>
      <c r="D624" s="20">
        <v>50000</v>
      </c>
      <c r="E624" s="99" t="s">
        <v>422</v>
      </c>
      <c r="F624" s="20">
        <f t="shared" si="9"/>
        <v>158377036</v>
      </c>
      <c r="G624" s="7" t="s">
        <v>330</v>
      </c>
      <c r="H624" s="24" t="s">
        <v>109</v>
      </c>
      <c r="I624" s="32" t="s">
        <v>152</v>
      </c>
    </row>
    <row r="625" spans="1:9" x14ac:dyDescent="0.35">
      <c r="A625" s="19">
        <v>45743</v>
      </c>
      <c r="B625" s="20"/>
      <c r="C625" s="20"/>
      <c r="D625" s="20">
        <v>100000</v>
      </c>
      <c r="E625" s="99" t="s">
        <v>422</v>
      </c>
      <c r="F625" s="20">
        <f t="shared" si="9"/>
        <v>158477036</v>
      </c>
      <c r="G625" s="7" t="s">
        <v>330</v>
      </c>
      <c r="H625" s="24" t="s">
        <v>109</v>
      </c>
      <c r="I625" s="32" t="s">
        <v>152</v>
      </c>
    </row>
    <row r="626" spans="1:9" x14ac:dyDescent="0.35">
      <c r="A626" s="19">
        <v>45743</v>
      </c>
      <c r="B626" s="20">
        <v>4000000</v>
      </c>
      <c r="C626" s="20"/>
      <c r="D626" s="20"/>
      <c r="E626" s="99" t="s">
        <v>422</v>
      </c>
      <c r="F626" s="20">
        <f t="shared" si="9"/>
        <v>154477036</v>
      </c>
      <c r="G626" s="7" t="s">
        <v>454</v>
      </c>
      <c r="H626" s="59" t="s">
        <v>201</v>
      </c>
      <c r="I626" s="32" t="s">
        <v>152</v>
      </c>
    </row>
    <row r="627" spans="1:9" x14ac:dyDescent="0.35">
      <c r="A627" s="19">
        <v>45743</v>
      </c>
      <c r="B627" s="20">
        <v>2500</v>
      </c>
      <c r="C627" s="20"/>
      <c r="D627" s="20"/>
      <c r="E627" s="99" t="s">
        <v>422</v>
      </c>
      <c r="F627" s="20">
        <f t="shared" si="9"/>
        <v>154474536</v>
      </c>
      <c r="G627" s="7" t="s">
        <v>454</v>
      </c>
      <c r="H627" s="59" t="s">
        <v>201</v>
      </c>
      <c r="I627" s="32" t="s">
        <v>152</v>
      </c>
    </row>
    <row r="628" spans="1:9" x14ac:dyDescent="0.35">
      <c r="A628" s="19">
        <v>45743</v>
      </c>
      <c r="B628" s="20">
        <v>5400000</v>
      </c>
      <c r="C628" s="20"/>
      <c r="D628" s="20"/>
      <c r="E628" s="99" t="s">
        <v>422</v>
      </c>
      <c r="F628" s="20">
        <f t="shared" si="9"/>
        <v>149074536</v>
      </c>
      <c r="G628" s="7" t="s">
        <v>455</v>
      </c>
      <c r="H628" s="59" t="s">
        <v>201</v>
      </c>
      <c r="I628" s="32" t="s">
        <v>152</v>
      </c>
    </row>
    <row r="629" spans="1:9" x14ac:dyDescent="0.35">
      <c r="A629" s="19">
        <v>45743</v>
      </c>
      <c r="B629" s="20">
        <v>6500</v>
      </c>
      <c r="C629" s="20"/>
      <c r="D629" s="20"/>
      <c r="E629" s="99" t="s">
        <v>422</v>
      </c>
      <c r="F629" s="20">
        <f t="shared" si="9"/>
        <v>149068036</v>
      </c>
      <c r="G629" s="7" t="s">
        <v>455</v>
      </c>
      <c r="H629" s="59" t="s">
        <v>201</v>
      </c>
      <c r="I629" s="32" t="s">
        <v>152</v>
      </c>
    </row>
    <row r="630" spans="1:9" x14ac:dyDescent="0.35">
      <c r="A630" s="19">
        <v>45743</v>
      </c>
      <c r="B630" s="20">
        <v>6500000</v>
      </c>
      <c r="C630" s="20"/>
      <c r="D630" s="20"/>
      <c r="E630" s="99" t="s">
        <v>422</v>
      </c>
      <c r="F630" s="20">
        <f t="shared" si="9"/>
        <v>142568036</v>
      </c>
      <c r="G630" s="7" t="s">
        <v>456</v>
      </c>
      <c r="H630" s="59" t="s">
        <v>201</v>
      </c>
      <c r="I630" s="32" t="s">
        <v>152</v>
      </c>
    </row>
    <row r="631" spans="1:9" x14ac:dyDescent="0.35">
      <c r="A631" s="19">
        <v>45743</v>
      </c>
      <c r="B631" s="20">
        <v>6500</v>
      </c>
      <c r="C631" s="20"/>
      <c r="D631" s="20"/>
      <c r="E631" s="99" t="s">
        <v>422</v>
      </c>
      <c r="F631" s="20">
        <f t="shared" si="9"/>
        <v>142561536</v>
      </c>
      <c r="G631" s="7" t="s">
        <v>456</v>
      </c>
      <c r="H631" s="59" t="s">
        <v>201</v>
      </c>
      <c r="I631" s="32" t="s">
        <v>152</v>
      </c>
    </row>
    <row r="632" spans="1:9" x14ac:dyDescent="0.35">
      <c r="A632" s="19">
        <v>45743</v>
      </c>
      <c r="B632" s="20">
        <v>5000000</v>
      </c>
      <c r="C632" s="20"/>
      <c r="D632" s="20"/>
      <c r="E632" s="99" t="s">
        <v>422</v>
      </c>
      <c r="F632" s="20">
        <f t="shared" si="9"/>
        <v>137561536</v>
      </c>
      <c r="G632" s="7" t="s">
        <v>457</v>
      </c>
      <c r="H632" s="59" t="s">
        <v>325</v>
      </c>
      <c r="I632" s="32" t="s">
        <v>152</v>
      </c>
    </row>
    <row r="633" spans="1:9" x14ac:dyDescent="0.35">
      <c r="A633" s="19">
        <v>45743</v>
      </c>
      <c r="B633" s="20">
        <v>6500</v>
      </c>
      <c r="C633" s="20"/>
      <c r="D633" s="20"/>
      <c r="E633" s="99" t="s">
        <v>422</v>
      </c>
      <c r="F633" s="20">
        <f t="shared" si="9"/>
        <v>137555036</v>
      </c>
      <c r="G633" s="7" t="s">
        <v>457</v>
      </c>
      <c r="H633" s="59" t="s">
        <v>325</v>
      </c>
      <c r="I633" s="32" t="s">
        <v>152</v>
      </c>
    </row>
    <row r="634" spans="1:9" x14ac:dyDescent="0.35">
      <c r="A634" s="19">
        <v>45743</v>
      </c>
      <c r="B634" s="20">
        <v>3000000</v>
      </c>
      <c r="C634" s="20"/>
      <c r="D634" s="20"/>
      <c r="E634" s="99" t="s">
        <v>422</v>
      </c>
      <c r="F634" s="20">
        <f t="shared" si="9"/>
        <v>134555036</v>
      </c>
      <c r="G634" s="7" t="s">
        <v>458</v>
      </c>
      <c r="H634" s="59" t="s">
        <v>201</v>
      </c>
      <c r="I634" s="32" t="s">
        <v>152</v>
      </c>
    </row>
    <row r="635" spans="1:9" x14ac:dyDescent="0.35">
      <c r="A635" s="19">
        <v>45743</v>
      </c>
      <c r="B635" s="20">
        <v>6500</v>
      </c>
      <c r="C635" s="20"/>
      <c r="D635" s="20"/>
      <c r="E635" s="99" t="s">
        <v>422</v>
      </c>
      <c r="F635" s="20">
        <f t="shared" si="9"/>
        <v>134548536</v>
      </c>
      <c r="G635" s="7" t="s">
        <v>458</v>
      </c>
      <c r="H635" s="59" t="s">
        <v>201</v>
      </c>
      <c r="I635" s="32" t="s">
        <v>152</v>
      </c>
    </row>
    <row r="636" spans="1:9" x14ac:dyDescent="0.35">
      <c r="A636" s="19">
        <v>45743</v>
      </c>
      <c r="B636" s="20">
        <v>4000000</v>
      </c>
      <c r="C636" s="20"/>
      <c r="D636" s="20"/>
      <c r="E636" s="99" t="s">
        <v>422</v>
      </c>
      <c r="F636" s="20">
        <f t="shared" si="9"/>
        <v>130548536</v>
      </c>
      <c r="G636" s="7" t="s">
        <v>459</v>
      </c>
      <c r="H636" s="59" t="s">
        <v>325</v>
      </c>
      <c r="I636" s="32" t="s">
        <v>152</v>
      </c>
    </row>
    <row r="637" spans="1:9" x14ac:dyDescent="0.35">
      <c r="A637" s="19">
        <v>45743</v>
      </c>
      <c r="B637" s="20">
        <v>6500</v>
      </c>
      <c r="C637" s="20"/>
      <c r="D637" s="20"/>
      <c r="E637" s="99" t="s">
        <v>422</v>
      </c>
      <c r="F637" s="20">
        <f t="shared" si="9"/>
        <v>130542036</v>
      </c>
      <c r="G637" s="7" t="s">
        <v>459</v>
      </c>
      <c r="H637" s="59" t="s">
        <v>325</v>
      </c>
      <c r="I637" s="32" t="s">
        <v>152</v>
      </c>
    </row>
    <row r="638" spans="1:9" x14ac:dyDescent="0.35">
      <c r="A638" s="19">
        <v>45743</v>
      </c>
      <c r="B638" s="20">
        <v>4000000</v>
      </c>
      <c r="C638" s="20"/>
      <c r="D638" s="20"/>
      <c r="E638" s="99" t="s">
        <v>422</v>
      </c>
      <c r="F638" s="20">
        <f t="shared" si="9"/>
        <v>126542036</v>
      </c>
      <c r="G638" s="7" t="s">
        <v>460</v>
      </c>
      <c r="H638" s="59" t="s">
        <v>325</v>
      </c>
      <c r="I638" s="32" t="s">
        <v>152</v>
      </c>
    </row>
    <row r="639" spans="1:9" x14ac:dyDescent="0.35">
      <c r="A639" s="19">
        <v>45743</v>
      </c>
      <c r="B639" s="20">
        <v>6500</v>
      </c>
      <c r="C639" s="20"/>
      <c r="D639" s="20"/>
      <c r="E639" s="99" t="s">
        <v>422</v>
      </c>
      <c r="F639" s="20">
        <f t="shared" si="9"/>
        <v>126535536</v>
      </c>
      <c r="G639" s="7" t="s">
        <v>460</v>
      </c>
      <c r="H639" s="59" t="s">
        <v>325</v>
      </c>
      <c r="I639" s="32" t="s">
        <v>152</v>
      </c>
    </row>
    <row r="640" spans="1:9" x14ac:dyDescent="0.35">
      <c r="A640" s="19">
        <v>45743</v>
      </c>
      <c r="B640" s="20">
        <v>5000000</v>
      </c>
      <c r="C640" s="20"/>
      <c r="D640" s="20"/>
      <c r="E640" s="99" t="s">
        <v>422</v>
      </c>
      <c r="F640" s="20">
        <f t="shared" si="9"/>
        <v>121535536</v>
      </c>
      <c r="G640" s="7" t="s">
        <v>181</v>
      </c>
      <c r="H640" s="59" t="s">
        <v>325</v>
      </c>
      <c r="I640" s="32" t="s">
        <v>152</v>
      </c>
    </row>
    <row r="641" spans="1:9" x14ac:dyDescent="0.35">
      <c r="A641" s="19">
        <v>45743</v>
      </c>
      <c r="B641" s="20"/>
      <c r="C641" s="20"/>
      <c r="D641" s="20">
        <v>100000</v>
      </c>
      <c r="E641" s="99" t="s">
        <v>422</v>
      </c>
      <c r="F641" s="20">
        <f t="shared" si="9"/>
        <v>121635536</v>
      </c>
      <c r="G641" s="7" t="s">
        <v>330</v>
      </c>
      <c r="H641" s="24" t="s">
        <v>109</v>
      </c>
      <c r="I641" s="32" t="s">
        <v>152</v>
      </c>
    </row>
    <row r="642" spans="1:9" x14ac:dyDescent="0.35">
      <c r="A642" s="19">
        <v>45743</v>
      </c>
      <c r="B642" s="20"/>
      <c r="C642" s="20"/>
      <c r="D642" s="20">
        <v>50000</v>
      </c>
      <c r="E642" s="99" t="s">
        <v>422</v>
      </c>
      <c r="F642" s="20">
        <f t="shared" si="9"/>
        <v>121685536</v>
      </c>
      <c r="G642" s="7" t="s">
        <v>330</v>
      </c>
      <c r="H642" s="24" t="s">
        <v>109</v>
      </c>
      <c r="I642" s="32" t="s">
        <v>152</v>
      </c>
    </row>
    <row r="643" spans="1:9" x14ac:dyDescent="0.35">
      <c r="A643" s="19">
        <v>45744</v>
      </c>
      <c r="B643" s="20"/>
      <c r="C643" s="20"/>
      <c r="D643" s="20">
        <v>50000</v>
      </c>
      <c r="E643" s="99" t="s">
        <v>474</v>
      </c>
      <c r="F643" s="20">
        <f>+F642+D643-B643</f>
        <v>121735536</v>
      </c>
      <c r="G643" s="7" t="s">
        <v>330</v>
      </c>
      <c r="H643" s="24" t="s">
        <v>109</v>
      </c>
      <c r="I643" s="32" t="s">
        <v>152</v>
      </c>
    </row>
    <row r="644" spans="1:9" x14ac:dyDescent="0.35">
      <c r="A644" s="19">
        <v>45744</v>
      </c>
      <c r="B644" s="20"/>
      <c r="C644" s="20"/>
      <c r="D644" s="20">
        <v>100000</v>
      </c>
      <c r="E644" s="99" t="s">
        <v>474</v>
      </c>
      <c r="F644" s="20">
        <f t="shared" ref="F644:F698" si="10">+F643+D644-B644</f>
        <v>121835536</v>
      </c>
      <c r="G644" s="7" t="s">
        <v>330</v>
      </c>
      <c r="H644" s="24" t="s">
        <v>109</v>
      </c>
      <c r="I644" s="32" t="s">
        <v>152</v>
      </c>
    </row>
    <row r="645" spans="1:9" x14ac:dyDescent="0.35">
      <c r="A645" s="19">
        <v>45744</v>
      </c>
      <c r="B645" s="20"/>
      <c r="C645" s="20"/>
      <c r="D645" s="20">
        <v>24000</v>
      </c>
      <c r="E645" s="99" t="s">
        <v>474</v>
      </c>
      <c r="F645" s="20">
        <f t="shared" si="10"/>
        <v>121859536</v>
      </c>
      <c r="G645" s="7" t="s">
        <v>330</v>
      </c>
      <c r="H645" s="24" t="s">
        <v>109</v>
      </c>
      <c r="I645" s="32" t="s">
        <v>152</v>
      </c>
    </row>
    <row r="646" spans="1:9" x14ac:dyDescent="0.35">
      <c r="A646" s="19">
        <v>45744</v>
      </c>
      <c r="B646" s="20"/>
      <c r="C646" s="20"/>
      <c r="D646" s="20">
        <v>100000</v>
      </c>
      <c r="E646" s="99" t="s">
        <v>474</v>
      </c>
      <c r="F646" s="20">
        <f t="shared" si="10"/>
        <v>121959536</v>
      </c>
      <c r="G646" s="7" t="s">
        <v>330</v>
      </c>
      <c r="H646" s="24" t="s">
        <v>109</v>
      </c>
      <c r="I646" s="32" t="s">
        <v>152</v>
      </c>
    </row>
    <row r="647" spans="1:9" x14ac:dyDescent="0.35">
      <c r="A647" s="19">
        <v>45744</v>
      </c>
      <c r="B647" s="20"/>
      <c r="C647" s="20"/>
      <c r="D647" s="20">
        <v>25000</v>
      </c>
      <c r="E647" s="99" t="s">
        <v>474</v>
      </c>
      <c r="F647" s="20">
        <f t="shared" si="10"/>
        <v>121984536</v>
      </c>
      <c r="G647" s="7" t="s">
        <v>330</v>
      </c>
      <c r="H647" s="24" t="s">
        <v>109</v>
      </c>
      <c r="I647" s="32" t="s">
        <v>152</v>
      </c>
    </row>
    <row r="648" spans="1:9" x14ac:dyDescent="0.35">
      <c r="A648" s="19">
        <v>45744</v>
      </c>
      <c r="B648" s="20"/>
      <c r="C648" s="20"/>
      <c r="D648" s="20">
        <v>50000</v>
      </c>
      <c r="E648" s="99" t="s">
        <v>474</v>
      </c>
      <c r="F648" s="20">
        <f t="shared" si="10"/>
        <v>122034536</v>
      </c>
      <c r="G648" s="7" t="s">
        <v>330</v>
      </c>
      <c r="H648" s="24" t="s">
        <v>109</v>
      </c>
      <c r="I648" s="32" t="s">
        <v>152</v>
      </c>
    </row>
    <row r="649" spans="1:9" x14ac:dyDescent="0.35">
      <c r="A649" s="19">
        <v>45744</v>
      </c>
      <c r="B649" s="20"/>
      <c r="C649" s="20"/>
      <c r="D649" s="20">
        <v>15000</v>
      </c>
      <c r="E649" s="99" t="s">
        <v>474</v>
      </c>
      <c r="F649" s="20">
        <f t="shared" si="10"/>
        <v>122049536</v>
      </c>
      <c r="G649" s="7" t="s">
        <v>330</v>
      </c>
      <c r="H649" s="24" t="s">
        <v>109</v>
      </c>
      <c r="I649" s="32" t="s">
        <v>152</v>
      </c>
    </row>
    <row r="650" spans="1:9" x14ac:dyDescent="0.35">
      <c r="A650" s="19">
        <v>45744</v>
      </c>
      <c r="B650" s="20"/>
      <c r="C650" s="20"/>
      <c r="D650" s="20">
        <v>1000000</v>
      </c>
      <c r="E650" s="99" t="s">
        <v>474</v>
      </c>
      <c r="F650" s="20">
        <f t="shared" si="10"/>
        <v>123049536</v>
      </c>
      <c r="G650" s="7" t="s">
        <v>486</v>
      </c>
      <c r="H650" s="59" t="s">
        <v>105</v>
      </c>
      <c r="I650" s="32" t="s">
        <v>152</v>
      </c>
    </row>
    <row r="651" spans="1:9" x14ac:dyDescent="0.35">
      <c r="A651" s="19">
        <v>45744</v>
      </c>
      <c r="B651" s="20"/>
      <c r="C651" s="20"/>
      <c r="D651" s="20">
        <v>10000</v>
      </c>
      <c r="E651" s="99" t="s">
        <v>474</v>
      </c>
      <c r="F651" s="20">
        <f t="shared" si="10"/>
        <v>123059536</v>
      </c>
      <c r="G651" s="7" t="s">
        <v>330</v>
      </c>
      <c r="H651" s="24" t="s">
        <v>109</v>
      </c>
      <c r="I651" s="32" t="s">
        <v>152</v>
      </c>
    </row>
    <row r="652" spans="1:9" x14ac:dyDescent="0.35">
      <c r="A652" s="19">
        <v>45744</v>
      </c>
      <c r="B652" s="20"/>
      <c r="C652" s="20"/>
      <c r="D652" s="20">
        <v>100000</v>
      </c>
      <c r="E652" s="99" t="s">
        <v>474</v>
      </c>
      <c r="F652" s="20">
        <f t="shared" si="10"/>
        <v>123159536</v>
      </c>
      <c r="G652" s="7" t="s">
        <v>330</v>
      </c>
      <c r="H652" s="24" t="s">
        <v>109</v>
      </c>
      <c r="I652" s="32" t="s">
        <v>152</v>
      </c>
    </row>
    <row r="653" spans="1:9" x14ac:dyDescent="0.35">
      <c r="A653" s="19">
        <v>45744</v>
      </c>
      <c r="B653" s="20"/>
      <c r="C653" s="20"/>
      <c r="D653" s="20">
        <v>100000</v>
      </c>
      <c r="E653" s="99" t="s">
        <v>474</v>
      </c>
      <c r="F653" s="20">
        <f t="shared" si="10"/>
        <v>123259536</v>
      </c>
      <c r="G653" s="7" t="s">
        <v>330</v>
      </c>
      <c r="H653" s="24" t="s">
        <v>109</v>
      </c>
      <c r="I653" s="32" t="s">
        <v>152</v>
      </c>
    </row>
    <row r="654" spans="1:9" x14ac:dyDescent="0.35">
      <c r="A654" s="19">
        <v>45744</v>
      </c>
      <c r="B654" s="20"/>
      <c r="C654" s="20"/>
      <c r="D654" s="20">
        <v>50000</v>
      </c>
      <c r="E654" s="99" t="s">
        <v>474</v>
      </c>
      <c r="F654" s="20">
        <f t="shared" si="10"/>
        <v>123309536</v>
      </c>
      <c r="G654" s="7" t="s">
        <v>330</v>
      </c>
      <c r="H654" s="24" t="s">
        <v>109</v>
      </c>
      <c r="I654" s="32" t="s">
        <v>152</v>
      </c>
    </row>
    <row r="655" spans="1:9" x14ac:dyDescent="0.35">
      <c r="A655" s="19">
        <v>45744</v>
      </c>
      <c r="B655" s="20"/>
      <c r="C655" s="20"/>
      <c r="D655" s="20">
        <v>100000</v>
      </c>
      <c r="E655" s="99" t="s">
        <v>474</v>
      </c>
      <c r="F655" s="20">
        <f t="shared" si="10"/>
        <v>123409536</v>
      </c>
      <c r="G655" s="7" t="s">
        <v>330</v>
      </c>
      <c r="H655" s="24" t="s">
        <v>109</v>
      </c>
      <c r="I655" s="32" t="s">
        <v>152</v>
      </c>
    </row>
    <row r="656" spans="1:9" x14ac:dyDescent="0.35">
      <c r="A656" s="19">
        <v>45744</v>
      </c>
      <c r="B656" s="20"/>
      <c r="C656" s="20"/>
      <c r="D656" s="20">
        <v>25000</v>
      </c>
      <c r="E656" s="99" t="s">
        <v>474</v>
      </c>
      <c r="F656" s="20">
        <f t="shared" si="10"/>
        <v>123434536</v>
      </c>
      <c r="G656" s="7" t="s">
        <v>330</v>
      </c>
      <c r="H656" s="24" t="s">
        <v>109</v>
      </c>
      <c r="I656" s="32" t="s">
        <v>152</v>
      </c>
    </row>
    <row r="657" spans="1:9" x14ac:dyDescent="0.35">
      <c r="A657" s="19">
        <v>45744</v>
      </c>
      <c r="B657" s="20"/>
      <c r="C657" s="20"/>
      <c r="D657" s="20">
        <v>200000</v>
      </c>
      <c r="E657" s="99" t="s">
        <v>474</v>
      </c>
      <c r="F657" s="20">
        <f t="shared" si="10"/>
        <v>123634536</v>
      </c>
      <c r="G657" s="7" t="s">
        <v>330</v>
      </c>
      <c r="H657" s="24" t="s">
        <v>109</v>
      </c>
      <c r="I657" s="32" t="s">
        <v>152</v>
      </c>
    </row>
    <row r="658" spans="1:9" x14ac:dyDescent="0.35">
      <c r="A658" s="19">
        <v>45744</v>
      </c>
      <c r="B658" s="20"/>
      <c r="C658" s="20"/>
      <c r="D658" s="20">
        <v>20000</v>
      </c>
      <c r="E658" s="99" t="s">
        <v>474</v>
      </c>
      <c r="F658" s="20">
        <f t="shared" si="10"/>
        <v>123654536</v>
      </c>
      <c r="G658" s="7" t="s">
        <v>330</v>
      </c>
      <c r="H658" s="24" t="s">
        <v>109</v>
      </c>
      <c r="I658" s="32" t="s">
        <v>152</v>
      </c>
    </row>
    <row r="659" spans="1:9" x14ac:dyDescent="0.35">
      <c r="A659" s="19">
        <v>45744</v>
      </c>
      <c r="B659" s="20"/>
      <c r="C659" s="20"/>
      <c r="D659" s="20">
        <v>30000</v>
      </c>
      <c r="E659" s="99" t="s">
        <v>474</v>
      </c>
      <c r="F659" s="20">
        <f t="shared" si="10"/>
        <v>123684536</v>
      </c>
      <c r="G659" s="7" t="s">
        <v>330</v>
      </c>
      <c r="H659" s="24" t="s">
        <v>109</v>
      </c>
      <c r="I659" s="32" t="s">
        <v>152</v>
      </c>
    </row>
    <row r="660" spans="1:9" x14ac:dyDescent="0.35">
      <c r="A660" s="19">
        <v>45744</v>
      </c>
      <c r="B660" s="20"/>
      <c r="C660" s="20"/>
      <c r="D660" s="20">
        <v>10000</v>
      </c>
      <c r="E660" s="99" t="s">
        <v>474</v>
      </c>
      <c r="F660" s="20">
        <f t="shared" si="10"/>
        <v>123694536</v>
      </c>
      <c r="G660" s="7" t="s">
        <v>330</v>
      </c>
      <c r="H660" s="24" t="s">
        <v>109</v>
      </c>
      <c r="I660" s="32" t="s">
        <v>152</v>
      </c>
    </row>
    <row r="661" spans="1:9" x14ac:dyDescent="0.35">
      <c r="A661" s="19">
        <v>45744</v>
      </c>
      <c r="B661" s="20"/>
      <c r="C661" s="20"/>
      <c r="D661" s="20">
        <v>20000</v>
      </c>
      <c r="E661" s="99" t="s">
        <v>474</v>
      </c>
      <c r="F661" s="20">
        <f t="shared" si="10"/>
        <v>123714536</v>
      </c>
      <c r="G661" s="7" t="s">
        <v>330</v>
      </c>
      <c r="H661" s="24" t="s">
        <v>109</v>
      </c>
      <c r="I661" s="32" t="s">
        <v>152</v>
      </c>
    </row>
    <row r="662" spans="1:9" x14ac:dyDescent="0.35">
      <c r="A662" s="19">
        <v>45744</v>
      </c>
      <c r="B662" s="20"/>
      <c r="C662" s="20"/>
      <c r="D662" s="20">
        <v>20000</v>
      </c>
      <c r="E662" s="99" t="s">
        <v>474</v>
      </c>
      <c r="F662" s="20">
        <f t="shared" si="10"/>
        <v>123734536</v>
      </c>
      <c r="G662" s="7" t="s">
        <v>330</v>
      </c>
      <c r="H662" s="24" t="s">
        <v>109</v>
      </c>
      <c r="I662" s="32" t="s">
        <v>152</v>
      </c>
    </row>
    <row r="663" spans="1:9" x14ac:dyDescent="0.35">
      <c r="A663" s="19">
        <v>45744</v>
      </c>
      <c r="B663" s="20"/>
      <c r="C663" s="20"/>
      <c r="D663" s="20">
        <v>10000</v>
      </c>
      <c r="E663" s="99" t="s">
        <v>474</v>
      </c>
      <c r="F663" s="20">
        <f t="shared" si="10"/>
        <v>123744536</v>
      </c>
      <c r="G663" s="7" t="s">
        <v>330</v>
      </c>
      <c r="H663" s="24" t="s">
        <v>109</v>
      </c>
      <c r="I663" s="32" t="s">
        <v>152</v>
      </c>
    </row>
    <row r="664" spans="1:9" x14ac:dyDescent="0.35">
      <c r="A664" s="19">
        <v>45744</v>
      </c>
      <c r="B664" s="20"/>
      <c r="C664" s="20"/>
      <c r="D664" s="20">
        <v>20000</v>
      </c>
      <c r="E664" s="99" t="s">
        <v>474</v>
      </c>
      <c r="F664" s="20">
        <f t="shared" si="10"/>
        <v>123764536</v>
      </c>
      <c r="G664" s="7" t="s">
        <v>330</v>
      </c>
      <c r="H664" s="24" t="s">
        <v>109</v>
      </c>
      <c r="I664" s="32" t="s">
        <v>152</v>
      </c>
    </row>
    <row r="665" spans="1:9" x14ac:dyDescent="0.35">
      <c r="A665" s="19">
        <v>45744</v>
      </c>
      <c r="B665" s="20"/>
      <c r="C665" s="20"/>
      <c r="D665" s="20">
        <v>1000000</v>
      </c>
      <c r="E665" s="99" t="s">
        <v>474</v>
      </c>
      <c r="F665" s="20">
        <f t="shared" si="10"/>
        <v>124764536</v>
      </c>
      <c r="G665" s="7" t="s">
        <v>487</v>
      </c>
      <c r="H665" s="59" t="s">
        <v>105</v>
      </c>
      <c r="I665" s="32" t="s">
        <v>152</v>
      </c>
    </row>
    <row r="666" spans="1:9" x14ac:dyDescent="0.35">
      <c r="A666" s="19">
        <v>45744</v>
      </c>
      <c r="B666" s="20">
        <v>53150000</v>
      </c>
      <c r="C666" s="20"/>
      <c r="D666" s="20"/>
      <c r="E666" s="99" t="s">
        <v>474</v>
      </c>
      <c r="F666" s="20">
        <f t="shared" si="10"/>
        <v>71614536</v>
      </c>
      <c r="G666" s="7" t="s">
        <v>488</v>
      </c>
      <c r="H666" s="59" t="s">
        <v>201</v>
      </c>
      <c r="I666" s="32" t="s">
        <v>152</v>
      </c>
    </row>
    <row r="667" spans="1:9" x14ac:dyDescent="0.35">
      <c r="A667" s="19">
        <v>45744</v>
      </c>
      <c r="B667" s="20">
        <v>2500</v>
      </c>
      <c r="C667" s="20"/>
      <c r="D667" s="20"/>
      <c r="E667" s="99" t="s">
        <v>474</v>
      </c>
      <c r="F667" s="20">
        <f t="shared" si="10"/>
        <v>71612036</v>
      </c>
      <c r="G667" s="7" t="s">
        <v>488</v>
      </c>
      <c r="H667" s="59" t="s">
        <v>201</v>
      </c>
      <c r="I667" s="32" t="s">
        <v>152</v>
      </c>
    </row>
    <row r="668" spans="1:9" x14ac:dyDescent="0.35">
      <c r="A668" s="19">
        <v>45744</v>
      </c>
      <c r="B668" s="20"/>
      <c r="C668" s="20"/>
      <c r="D668" s="20">
        <v>1000000</v>
      </c>
      <c r="E668" s="99" t="s">
        <v>474</v>
      </c>
      <c r="F668" s="20">
        <f t="shared" si="10"/>
        <v>72612036</v>
      </c>
      <c r="G668" s="7" t="s">
        <v>489</v>
      </c>
      <c r="H668" s="24" t="s">
        <v>109</v>
      </c>
      <c r="I668" s="32" t="s">
        <v>152</v>
      </c>
    </row>
    <row r="669" spans="1:9" x14ac:dyDescent="0.35">
      <c r="A669" s="19">
        <v>45744</v>
      </c>
      <c r="B669" s="20"/>
      <c r="C669" s="20"/>
      <c r="D669" s="20">
        <v>50000</v>
      </c>
      <c r="E669" s="99" t="s">
        <v>474</v>
      </c>
      <c r="F669" s="20">
        <f t="shared" si="10"/>
        <v>72662036</v>
      </c>
      <c r="G669" s="7" t="s">
        <v>330</v>
      </c>
      <c r="H669" s="24" t="s">
        <v>109</v>
      </c>
      <c r="I669" s="32" t="s">
        <v>152</v>
      </c>
    </row>
    <row r="670" spans="1:9" x14ac:dyDescent="0.35">
      <c r="A670" s="19">
        <v>45744</v>
      </c>
      <c r="B670" s="20"/>
      <c r="C670" s="20"/>
      <c r="D670" s="20">
        <v>20000</v>
      </c>
      <c r="E670" s="99" t="s">
        <v>474</v>
      </c>
      <c r="F670" s="20">
        <f t="shared" si="10"/>
        <v>72682036</v>
      </c>
      <c r="G670" s="7" t="s">
        <v>330</v>
      </c>
      <c r="H670" s="24" t="s">
        <v>109</v>
      </c>
      <c r="I670" s="32" t="s">
        <v>152</v>
      </c>
    </row>
    <row r="671" spans="1:9" x14ac:dyDescent="0.35">
      <c r="A671" s="19">
        <v>45744</v>
      </c>
      <c r="B671" s="20"/>
      <c r="C671" s="20"/>
      <c r="D671" s="20">
        <v>200000</v>
      </c>
      <c r="E671" s="99" t="s">
        <v>474</v>
      </c>
      <c r="F671" s="20">
        <f t="shared" si="10"/>
        <v>72882036</v>
      </c>
      <c r="G671" s="7" t="s">
        <v>330</v>
      </c>
      <c r="H671" s="24" t="s">
        <v>109</v>
      </c>
      <c r="I671" s="32" t="s">
        <v>152</v>
      </c>
    </row>
    <row r="672" spans="1:9" x14ac:dyDescent="0.35">
      <c r="A672" s="19">
        <v>45744</v>
      </c>
      <c r="B672" s="20"/>
      <c r="C672" s="20"/>
      <c r="D672" s="20">
        <v>50000</v>
      </c>
      <c r="E672" s="99" t="s">
        <v>474</v>
      </c>
      <c r="F672" s="20">
        <f t="shared" si="10"/>
        <v>72932036</v>
      </c>
      <c r="G672" s="7" t="s">
        <v>330</v>
      </c>
      <c r="H672" s="24" t="s">
        <v>109</v>
      </c>
      <c r="I672" s="32" t="s">
        <v>152</v>
      </c>
    </row>
    <row r="673" spans="1:9" x14ac:dyDescent="0.35">
      <c r="A673" s="19">
        <v>45744</v>
      </c>
      <c r="B673" s="20"/>
      <c r="C673" s="20"/>
      <c r="D673" s="20">
        <v>100000</v>
      </c>
      <c r="E673" s="99" t="s">
        <v>474</v>
      </c>
      <c r="F673" s="20">
        <f t="shared" si="10"/>
        <v>73032036</v>
      </c>
      <c r="G673" s="7" t="s">
        <v>330</v>
      </c>
      <c r="H673" s="24" t="s">
        <v>109</v>
      </c>
      <c r="I673" s="32" t="s">
        <v>152</v>
      </c>
    </row>
    <row r="674" spans="1:9" x14ac:dyDescent="0.35">
      <c r="A674" s="19">
        <v>45744</v>
      </c>
      <c r="B674" s="20"/>
      <c r="C674" s="20"/>
      <c r="D674" s="20">
        <v>2000000</v>
      </c>
      <c r="E674" s="99" t="s">
        <v>474</v>
      </c>
      <c r="F674" s="20">
        <f t="shared" si="10"/>
        <v>75032036</v>
      </c>
      <c r="G674" s="7" t="s">
        <v>490</v>
      </c>
      <c r="H674" s="24" t="s">
        <v>109</v>
      </c>
      <c r="I674" s="32" t="s">
        <v>152</v>
      </c>
    </row>
    <row r="675" spans="1:9" x14ac:dyDescent="0.35">
      <c r="A675" s="19">
        <v>45744</v>
      </c>
      <c r="B675" s="20"/>
      <c r="C675" s="20"/>
      <c r="D675" s="20">
        <v>100000</v>
      </c>
      <c r="E675" s="99" t="s">
        <v>474</v>
      </c>
      <c r="F675" s="20">
        <f t="shared" si="10"/>
        <v>75132036</v>
      </c>
      <c r="G675" s="7" t="s">
        <v>330</v>
      </c>
      <c r="H675" s="24" t="s">
        <v>109</v>
      </c>
      <c r="I675" s="32" t="s">
        <v>152</v>
      </c>
    </row>
    <row r="676" spans="1:9" x14ac:dyDescent="0.35">
      <c r="A676" s="19">
        <v>45744</v>
      </c>
      <c r="B676" s="20"/>
      <c r="C676" s="20"/>
      <c r="D676" s="20">
        <v>50000</v>
      </c>
      <c r="E676" s="99" t="s">
        <v>474</v>
      </c>
      <c r="F676" s="20">
        <f t="shared" si="10"/>
        <v>75182036</v>
      </c>
      <c r="G676" s="7" t="s">
        <v>330</v>
      </c>
      <c r="H676" s="24" t="s">
        <v>109</v>
      </c>
      <c r="I676" s="32" t="s">
        <v>152</v>
      </c>
    </row>
    <row r="677" spans="1:9" x14ac:dyDescent="0.35">
      <c r="A677" s="19">
        <v>45744</v>
      </c>
      <c r="B677" s="20"/>
      <c r="C677" s="20"/>
      <c r="D677" s="20">
        <v>10000</v>
      </c>
      <c r="E677" s="99" t="s">
        <v>474</v>
      </c>
      <c r="F677" s="20">
        <f t="shared" si="10"/>
        <v>75192036</v>
      </c>
      <c r="G677" s="7" t="s">
        <v>330</v>
      </c>
      <c r="H677" s="24" t="s">
        <v>109</v>
      </c>
      <c r="I677" s="32" t="s">
        <v>152</v>
      </c>
    </row>
    <row r="678" spans="1:9" x14ac:dyDescent="0.35">
      <c r="A678" s="19">
        <v>45744</v>
      </c>
      <c r="B678" s="20"/>
      <c r="C678" s="20"/>
      <c r="D678" s="20">
        <v>30000</v>
      </c>
      <c r="E678" s="99" t="s">
        <v>474</v>
      </c>
      <c r="F678" s="20">
        <f t="shared" si="10"/>
        <v>75222036</v>
      </c>
      <c r="G678" s="7" t="s">
        <v>330</v>
      </c>
      <c r="H678" s="24" t="s">
        <v>109</v>
      </c>
      <c r="I678" s="32" t="s">
        <v>152</v>
      </c>
    </row>
    <row r="679" spans="1:9" x14ac:dyDescent="0.35">
      <c r="A679" s="19">
        <v>45744</v>
      </c>
      <c r="B679" s="20"/>
      <c r="C679" s="20"/>
      <c r="D679" s="20">
        <v>3475000</v>
      </c>
      <c r="E679" s="99" t="s">
        <v>474</v>
      </c>
      <c r="F679" s="20">
        <f t="shared" si="10"/>
        <v>78697036</v>
      </c>
      <c r="G679" s="7" t="s">
        <v>491</v>
      </c>
      <c r="H679" s="59" t="s">
        <v>105</v>
      </c>
      <c r="I679" s="32" t="s">
        <v>152</v>
      </c>
    </row>
    <row r="680" spans="1:9" x14ac:dyDescent="0.35">
      <c r="A680" s="19">
        <v>45744</v>
      </c>
      <c r="B680" s="20"/>
      <c r="C680" s="20"/>
      <c r="D680" s="20">
        <v>50000</v>
      </c>
      <c r="E680" s="99" t="s">
        <v>474</v>
      </c>
      <c r="F680" s="20">
        <f t="shared" si="10"/>
        <v>78747036</v>
      </c>
      <c r="G680" s="7" t="s">
        <v>330</v>
      </c>
      <c r="H680" s="24" t="s">
        <v>109</v>
      </c>
      <c r="I680" s="32" t="s">
        <v>152</v>
      </c>
    </row>
    <row r="681" spans="1:9" x14ac:dyDescent="0.35">
      <c r="A681" s="19">
        <v>45744</v>
      </c>
      <c r="B681" s="20"/>
      <c r="C681" s="20"/>
      <c r="D681" s="20">
        <v>3000000</v>
      </c>
      <c r="E681" s="99" t="s">
        <v>474</v>
      </c>
      <c r="F681" s="20">
        <f t="shared" si="10"/>
        <v>81747036</v>
      </c>
      <c r="G681" s="7" t="s">
        <v>491</v>
      </c>
      <c r="H681" s="59" t="s">
        <v>105</v>
      </c>
      <c r="I681" s="32" t="s">
        <v>152</v>
      </c>
    </row>
    <row r="682" spans="1:9" x14ac:dyDescent="0.35">
      <c r="A682" s="19">
        <v>45744</v>
      </c>
      <c r="B682" s="20"/>
      <c r="C682" s="20"/>
      <c r="D682" s="20">
        <v>100000</v>
      </c>
      <c r="E682" s="99" t="s">
        <v>474</v>
      </c>
      <c r="F682" s="20">
        <f t="shared" si="10"/>
        <v>81847036</v>
      </c>
      <c r="G682" s="7" t="s">
        <v>330</v>
      </c>
      <c r="H682" s="24" t="s">
        <v>109</v>
      </c>
      <c r="I682" s="32" t="s">
        <v>152</v>
      </c>
    </row>
    <row r="683" spans="1:9" x14ac:dyDescent="0.35">
      <c r="A683" s="19">
        <v>45744</v>
      </c>
      <c r="B683" s="20"/>
      <c r="C683" s="20"/>
      <c r="D683" s="20">
        <v>25000</v>
      </c>
      <c r="E683" s="99" t="s">
        <v>474</v>
      </c>
      <c r="F683" s="20">
        <f t="shared" si="10"/>
        <v>81872036</v>
      </c>
      <c r="G683" s="7" t="s">
        <v>330</v>
      </c>
      <c r="H683" s="24" t="s">
        <v>109</v>
      </c>
      <c r="I683" s="32" t="s">
        <v>152</v>
      </c>
    </row>
    <row r="684" spans="1:9" x14ac:dyDescent="0.35">
      <c r="A684" s="19">
        <v>45744</v>
      </c>
      <c r="B684" s="20"/>
      <c r="C684" s="20"/>
      <c r="D684" s="20">
        <v>50000</v>
      </c>
      <c r="E684" s="99" t="s">
        <v>474</v>
      </c>
      <c r="F684" s="20">
        <f t="shared" si="10"/>
        <v>81922036</v>
      </c>
      <c r="G684" s="7" t="s">
        <v>330</v>
      </c>
      <c r="H684" s="24" t="s">
        <v>109</v>
      </c>
      <c r="I684" s="32" t="s">
        <v>152</v>
      </c>
    </row>
    <row r="685" spans="1:9" x14ac:dyDescent="0.35">
      <c r="A685" s="19">
        <v>45744</v>
      </c>
      <c r="B685" s="20"/>
      <c r="C685" s="20"/>
      <c r="D685" s="20">
        <v>200000</v>
      </c>
      <c r="E685" s="99" t="s">
        <v>474</v>
      </c>
      <c r="F685" s="20">
        <f t="shared" si="10"/>
        <v>82122036</v>
      </c>
      <c r="G685" s="7" t="s">
        <v>330</v>
      </c>
      <c r="H685" s="24" t="s">
        <v>109</v>
      </c>
      <c r="I685" s="32" t="s">
        <v>152</v>
      </c>
    </row>
    <row r="686" spans="1:9" x14ac:dyDescent="0.35">
      <c r="A686" s="19">
        <v>45744</v>
      </c>
      <c r="B686" s="20"/>
      <c r="C686" s="20"/>
      <c r="D686" s="20">
        <v>30000</v>
      </c>
      <c r="E686" s="99" t="s">
        <v>474</v>
      </c>
      <c r="F686" s="20">
        <f t="shared" si="10"/>
        <v>82152036</v>
      </c>
      <c r="G686" s="7" t="s">
        <v>330</v>
      </c>
      <c r="H686" s="24" t="s">
        <v>109</v>
      </c>
      <c r="I686" s="32" t="s">
        <v>152</v>
      </c>
    </row>
    <row r="687" spans="1:9" x14ac:dyDescent="0.35">
      <c r="A687" s="19">
        <v>45744</v>
      </c>
      <c r="B687" s="20"/>
      <c r="C687" s="20"/>
      <c r="D687" s="20">
        <v>20000</v>
      </c>
      <c r="E687" s="99" t="s">
        <v>474</v>
      </c>
      <c r="F687" s="20">
        <f t="shared" si="10"/>
        <v>82172036</v>
      </c>
      <c r="G687" s="7" t="s">
        <v>330</v>
      </c>
      <c r="H687" s="24" t="s">
        <v>109</v>
      </c>
      <c r="I687" s="32" t="s">
        <v>152</v>
      </c>
    </row>
    <row r="688" spans="1:9" x14ac:dyDescent="0.35">
      <c r="A688" s="19">
        <v>45744</v>
      </c>
      <c r="B688" s="20"/>
      <c r="C688" s="20"/>
      <c r="D688" s="20">
        <v>150000</v>
      </c>
      <c r="E688" s="99" t="s">
        <v>474</v>
      </c>
      <c r="F688" s="20">
        <f t="shared" si="10"/>
        <v>82322036</v>
      </c>
      <c r="G688" s="7" t="s">
        <v>330</v>
      </c>
      <c r="H688" s="24" t="s">
        <v>109</v>
      </c>
      <c r="I688" s="32" t="s">
        <v>152</v>
      </c>
    </row>
    <row r="689" spans="1:9" x14ac:dyDescent="0.35">
      <c r="A689" s="19">
        <v>45744</v>
      </c>
      <c r="B689" s="20"/>
      <c r="C689" s="20"/>
      <c r="D689" s="20">
        <v>10000</v>
      </c>
      <c r="E689" s="99" t="s">
        <v>474</v>
      </c>
      <c r="F689" s="20">
        <f t="shared" si="10"/>
        <v>82332036</v>
      </c>
      <c r="G689" s="7" t="s">
        <v>330</v>
      </c>
      <c r="H689" s="24" t="s">
        <v>109</v>
      </c>
      <c r="I689" s="32" t="s">
        <v>152</v>
      </c>
    </row>
    <row r="690" spans="1:9" x14ac:dyDescent="0.35">
      <c r="A690" s="19">
        <v>45744</v>
      </c>
      <c r="B690" s="20"/>
      <c r="C690" s="20"/>
      <c r="D690" s="20">
        <v>1000000</v>
      </c>
      <c r="E690" s="99" t="s">
        <v>474</v>
      </c>
      <c r="F690" s="20">
        <f t="shared" si="10"/>
        <v>83332036</v>
      </c>
      <c r="G690" s="7" t="s">
        <v>330</v>
      </c>
      <c r="H690" s="24" t="s">
        <v>109</v>
      </c>
      <c r="I690" s="32" t="s">
        <v>152</v>
      </c>
    </row>
    <row r="691" spans="1:9" x14ac:dyDescent="0.35">
      <c r="A691" s="19">
        <v>45744</v>
      </c>
      <c r="B691" s="20"/>
      <c r="C691" s="20"/>
      <c r="D691" s="20">
        <v>50000</v>
      </c>
      <c r="E691" s="99" t="s">
        <v>474</v>
      </c>
      <c r="F691" s="20">
        <f t="shared" si="10"/>
        <v>83382036</v>
      </c>
      <c r="G691" s="7" t="s">
        <v>330</v>
      </c>
      <c r="H691" s="24" t="s">
        <v>109</v>
      </c>
      <c r="I691" s="32" t="s">
        <v>152</v>
      </c>
    </row>
    <row r="692" spans="1:9" x14ac:dyDescent="0.35">
      <c r="A692" s="19">
        <v>45744</v>
      </c>
      <c r="B692" s="20"/>
      <c r="C692" s="20"/>
      <c r="D692" s="20">
        <v>6000</v>
      </c>
      <c r="E692" s="99" t="s">
        <v>474</v>
      </c>
      <c r="F692" s="20">
        <f t="shared" si="10"/>
        <v>83388036</v>
      </c>
      <c r="G692" s="7" t="s">
        <v>330</v>
      </c>
      <c r="H692" s="24" t="s">
        <v>109</v>
      </c>
      <c r="I692" s="32" t="s">
        <v>152</v>
      </c>
    </row>
    <row r="693" spans="1:9" x14ac:dyDescent="0.35">
      <c r="A693" s="19">
        <v>45744</v>
      </c>
      <c r="B693" s="20"/>
      <c r="C693" s="20"/>
      <c r="D693" s="20">
        <v>20000</v>
      </c>
      <c r="E693" s="99" t="s">
        <v>474</v>
      </c>
      <c r="F693" s="20">
        <f t="shared" si="10"/>
        <v>83408036</v>
      </c>
      <c r="G693" s="7" t="s">
        <v>330</v>
      </c>
      <c r="H693" s="24" t="s">
        <v>109</v>
      </c>
      <c r="I693" s="32" t="s">
        <v>152</v>
      </c>
    </row>
    <row r="694" spans="1:9" x14ac:dyDescent="0.35">
      <c r="A694" s="19">
        <v>45744</v>
      </c>
      <c r="B694" s="20"/>
      <c r="C694" s="20"/>
      <c r="D694" s="20">
        <v>150000</v>
      </c>
      <c r="E694" s="99" t="s">
        <v>474</v>
      </c>
      <c r="F694" s="20">
        <f t="shared" si="10"/>
        <v>83558036</v>
      </c>
      <c r="G694" s="7" t="s">
        <v>330</v>
      </c>
      <c r="H694" s="24" t="s">
        <v>109</v>
      </c>
      <c r="I694" s="32" t="s">
        <v>152</v>
      </c>
    </row>
    <row r="695" spans="1:9" x14ac:dyDescent="0.35">
      <c r="A695" s="19">
        <v>45744</v>
      </c>
      <c r="B695" s="20"/>
      <c r="C695" s="20"/>
      <c r="D695" s="20">
        <v>6570000</v>
      </c>
      <c r="E695" s="99" t="s">
        <v>474</v>
      </c>
      <c r="F695" s="20">
        <f t="shared" si="10"/>
        <v>90128036</v>
      </c>
      <c r="G695" s="7" t="s">
        <v>491</v>
      </c>
      <c r="H695" s="59" t="s">
        <v>105</v>
      </c>
      <c r="I695" s="32" t="s">
        <v>152</v>
      </c>
    </row>
    <row r="696" spans="1:9" x14ac:dyDescent="0.35">
      <c r="A696" s="19">
        <v>45744</v>
      </c>
      <c r="B696" s="20"/>
      <c r="C696" s="20"/>
      <c r="D696" s="20">
        <v>50000</v>
      </c>
      <c r="E696" s="99" t="s">
        <v>474</v>
      </c>
      <c r="F696" s="20">
        <f t="shared" si="10"/>
        <v>90178036</v>
      </c>
      <c r="G696" s="7" t="s">
        <v>330</v>
      </c>
      <c r="H696" s="24" t="s">
        <v>109</v>
      </c>
      <c r="I696" s="32" t="s">
        <v>152</v>
      </c>
    </row>
    <row r="697" spans="1:9" x14ac:dyDescent="0.35">
      <c r="A697" s="19">
        <v>45744</v>
      </c>
      <c r="B697" s="20"/>
      <c r="C697" s="20"/>
      <c r="D697" s="20">
        <v>5000</v>
      </c>
      <c r="E697" s="99" t="s">
        <v>474</v>
      </c>
      <c r="F697" s="20">
        <f t="shared" si="10"/>
        <v>90183036</v>
      </c>
      <c r="G697" s="7" t="s">
        <v>330</v>
      </c>
      <c r="H697" s="24" t="s">
        <v>109</v>
      </c>
      <c r="I697" s="32" t="s">
        <v>152</v>
      </c>
    </row>
    <row r="698" spans="1:9" x14ac:dyDescent="0.35">
      <c r="A698" s="19">
        <v>45744</v>
      </c>
      <c r="B698" s="20"/>
      <c r="C698" s="20"/>
      <c r="D698" s="20">
        <v>5000</v>
      </c>
      <c r="E698" s="99" t="s">
        <v>474</v>
      </c>
      <c r="F698" s="20">
        <f t="shared" si="10"/>
        <v>90188036</v>
      </c>
      <c r="G698" s="7" t="s">
        <v>330</v>
      </c>
      <c r="H698" s="24" t="s">
        <v>109</v>
      </c>
      <c r="I698" s="32" t="s">
        <v>152</v>
      </c>
    </row>
    <row r="699" spans="1:9" x14ac:dyDescent="0.35">
      <c r="A699" s="106"/>
      <c r="B699" s="106"/>
      <c r="C699" s="106"/>
      <c r="D699" s="106"/>
      <c r="E699" s="106"/>
      <c r="F699" s="106"/>
      <c r="G699" s="106"/>
      <c r="H699" s="106"/>
      <c r="I699" s="106"/>
    </row>
    <row r="700" spans="1:9" x14ac:dyDescent="0.35">
      <c r="A700" s="129">
        <v>45660</v>
      </c>
      <c r="B700" s="130"/>
      <c r="C700" s="131"/>
      <c r="D700" s="131">
        <v>2836352</v>
      </c>
      <c r="E700" s="132" t="s">
        <v>357</v>
      </c>
      <c r="F700" s="130"/>
      <c r="G700" s="133" t="s">
        <v>107</v>
      </c>
      <c r="H700" s="133" t="s">
        <v>206</v>
      </c>
      <c r="I700" s="134" t="s">
        <v>108</v>
      </c>
    </row>
    <row r="701" spans="1:9" x14ac:dyDescent="0.35">
      <c r="A701" s="129">
        <v>45660</v>
      </c>
      <c r="B701" s="130"/>
      <c r="C701" s="131"/>
      <c r="D701" s="131">
        <v>2163648</v>
      </c>
      <c r="E701" s="132" t="s">
        <v>357</v>
      </c>
      <c r="F701" s="130"/>
      <c r="G701" s="133" t="s">
        <v>109</v>
      </c>
      <c r="H701" s="133" t="s">
        <v>207</v>
      </c>
      <c r="I701" s="134" t="s">
        <v>108</v>
      </c>
    </row>
    <row r="702" spans="1:9" x14ac:dyDescent="0.35">
      <c r="A702" s="129"/>
      <c r="B702" s="135"/>
      <c r="C702" s="135">
        <v>5000000</v>
      </c>
      <c r="D702" s="135"/>
      <c r="E702" s="135"/>
      <c r="F702" s="135">
        <v>5000000</v>
      </c>
      <c r="G702" s="136" t="s">
        <v>142</v>
      </c>
      <c r="H702" s="133"/>
      <c r="I702" s="137"/>
    </row>
    <row r="703" spans="1:9" x14ac:dyDescent="0.35">
      <c r="A703" s="129">
        <v>45660</v>
      </c>
      <c r="B703" s="135">
        <v>675000</v>
      </c>
      <c r="C703" s="135"/>
      <c r="D703" s="135"/>
      <c r="E703" s="132" t="s">
        <v>357</v>
      </c>
      <c r="F703" s="135">
        <f t="shared" ref="F703:F734" si="11">+F702+D703-B703</f>
        <v>4325000</v>
      </c>
      <c r="G703" s="136" t="s">
        <v>111</v>
      </c>
      <c r="H703" s="133" t="s">
        <v>328</v>
      </c>
      <c r="I703" s="134" t="s">
        <v>108</v>
      </c>
    </row>
    <row r="704" spans="1:9" x14ac:dyDescent="0.35">
      <c r="A704" s="129">
        <v>45660</v>
      </c>
      <c r="B704" s="135">
        <v>130000</v>
      </c>
      <c r="C704" s="135"/>
      <c r="D704" s="135"/>
      <c r="E704" s="132" t="s">
        <v>357</v>
      </c>
      <c r="F704" s="135">
        <f t="shared" si="11"/>
        <v>4195000</v>
      </c>
      <c r="G704" s="136" t="s">
        <v>112</v>
      </c>
      <c r="H704" s="133" t="s">
        <v>322</v>
      </c>
      <c r="I704" s="134" t="s">
        <v>108</v>
      </c>
    </row>
    <row r="705" spans="1:9" x14ac:dyDescent="0.35">
      <c r="A705" s="129">
        <v>45660</v>
      </c>
      <c r="B705" s="135">
        <v>180000</v>
      </c>
      <c r="C705" s="135"/>
      <c r="D705" s="135"/>
      <c r="E705" s="132" t="s">
        <v>357</v>
      </c>
      <c r="F705" s="135">
        <f t="shared" si="11"/>
        <v>4015000</v>
      </c>
      <c r="G705" s="136" t="s">
        <v>116</v>
      </c>
      <c r="H705" s="133" t="s">
        <v>327</v>
      </c>
      <c r="I705" s="134" t="s">
        <v>108</v>
      </c>
    </row>
    <row r="706" spans="1:9" x14ac:dyDescent="0.35">
      <c r="A706" s="129">
        <v>45660</v>
      </c>
      <c r="B706" s="135">
        <v>170000</v>
      </c>
      <c r="C706" s="135"/>
      <c r="D706" s="135"/>
      <c r="E706" s="132" t="s">
        <v>357</v>
      </c>
      <c r="F706" s="135">
        <f t="shared" si="11"/>
        <v>3845000</v>
      </c>
      <c r="G706" s="136" t="s">
        <v>113</v>
      </c>
      <c r="H706" s="133" t="s">
        <v>322</v>
      </c>
      <c r="I706" s="134" t="s">
        <v>108</v>
      </c>
    </row>
    <row r="707" spans="1:9" x14ac:dyDescent="0.35">
      <c r="A707" s="129">
        <v>45664</v>
      </c>
      <c r="B707" s="135">
        <v>500000</v>
      </c>
      <c r="C707" s="131"/>
      <c r="D707" s="135"/>
      <c r="E707" s="132" t="s">
        <v>357</v>
      </c>
      <c r="F707" s="135">
        <f t="shared" si="11"/>
        <v>3345000</v>
      </c>
      <c r="G707" s="136" t="s">
        <v>117</v>
      </c>
      <c r="H707" s="133" t="s">
        <v>322</v>
      </c>
      <c r="I707" s="134" t="s">
        <v>108</v>
      </c>
    </row>
    <row r="708" spans="1:9" x14ac:dyDescent="0.35">
      <c r="A708" s="129">
        <v>45669</v>
      </c>
      <c r="B708" s="138">
        <v>750000</v>
      </c>
      <c r="C708" s="131"/>
      <c r="D708" s="135"/>
      <c r="E708" s="132" t="s">
        <v>357</v>
      </c>
      <c r="F708" s="135">
        <f t="shared" si="11"/>
        <v>2595000</v>
      </c>
      <c r="G708" s="136" t="s">
        <v>118</v>
      </c>
      <c r="H708" s="133" t="s">
        <v>323</v>
      </c>
      <c r="I708" s="134" t="s">
        <v>108</v>
      </c>
    </row>
    <row r="709" spans="1:9" x14ac:dyDescent="0.35">
      <c r="A709" s="129">
        <v>45669</v>
      </c>
      <c r="B709" s="138">
        <v>130000</v>
      </c>
      <c r="C709" s="131"/>
      <c r="D709" s="139"/>
      <c r="E709" s="132" t="s">
        <v>357</v>
      </c>
      <c r="F709" s="135">
        <f t="shared" si="11"/>
        <v>2465000</v>
      </c>
      <c r="G709" s="136" t="s">
        <v>112</v>
      </c>
      <c r="H709" s="133" t="s">
        <v>322</v>
      </c>
      <c r="I709" s="134" t="s">
        <v>108</v>
      </c>
    </row>
    <row r="710" spans="1:9" x14ac:dyDescent="0.35">
      <c r="A710" s="129">
        <v>45669</v>
      </c>
      <c r="B710" s="138">
        <v>104000</v>
      </c>
      <c r="C710" s="135"/>
      <c r="D710" s="135"/>
      <c r="E710" s="132" t="s">
        <v>357</v>
      </c>
      <c r="F710" s="135">
        <f t="shared" si="11"/>
        <v>2361000</v>
      </c>
      <c r="G710" s="136" t="s">
        <v>119</v>
      </c>
      <c r="H710" s="133" t="s">
        <v>327</v>
      </c>
      <c r="I710" s="134" t="s">
        <v>108</v>
      </c>
    </row>
    <row r="711" spans="1:9" x14ac:dyDescent="0.35">
      <c r="A711" s="129">
        <v>45669</v>
      </c>
      <c r="B711" s="138">
        <v>200000</v>
      </c>
      <c r="C711" s="131"/>
      <c r="D711" s="130"/>
      <c r="E711" s="132" t="s">
        <v>357</v>
      </c>
      <c r="F711" s="135">
        <f t="shared" si="11"/>
        <v>2161000</v>
      </c>
      <c r="G711" s="136" t="s">
        <v>120</v>
      </c>
      <c r="H711" s="133" t="s">
        <v>322</v>
      </c>
      <c r="I711" s="134" t="s">
        <v>108</v>
      </c>
    </row>
    <row r="712" spans="1:9" x14ac:dyDescent="0.35">
      <c r="A712" s="129">
        <v>45669</v>
      </c>
      <c r="B712" s="138">
        <v>500000</v>
      </c>
      <c r="C712" s="135"/>
      <c r="D712" s="139"/>
      <c r="E712" s="132" t="s">
        <v>357</v>
      </c>
      <c r="F712" s="135">
        <f t="shared" si="11"/>
        <v>1661000</v>
      </c>
      <c r="G712" s="136" t="s">
        <v>122</v>
      </c>
      <c r="H712" s="133" t="s">
        <v>323</v>
      </c>
      <c r="I712" s="134" t="s">
        <v>108</v>
      </c>
    </row>
    <row r="713" spans="1:9" x14ac:dyDescent="0.35">
      <c r="A713" s="129">
        <v>45669</v>
      </c>
      <c r="B713" s="135"/>
      <c r="C713" s="135"/>
      <c r="D713" s="139">
        <v>2000000</v>
      </c>
      <c r="E713" s="132" t="s">
        <v>357</v>
      </c>
      <c r="F713" s="135">
        <f t="shared" si="11"/>
        <v>3661000</v>
      </c>
      <c r="G713" s="136" t="s">
        <v>110</v>
      </c>
      <c r="H713" s="133" t="s">
        <v>109</v>
      </c>
      <c r="I713" s="134" t="s">
        <v>108</v>
      </c>
    </row>
    <row r="714" spans="1:9" x14ac:dyDescent="0.35">
      <c r="A714" s="129">
        <v>45669</v>
      </c>
      <c r="B714" s="140">
        <v>2000000</v>
      </c>
      <c r="C714" s="135"/>
      <c r="D714" s="135"/>
      <c r="E714" s="132" t="s">
        <v>357</v>
      </c>
      <c r="F714" s="135">
        <f t="shared" si="11"/>
        <v>1661000</v>
      </c>
      <c r="G714" s="136" t="s">
        <v>121</v>
      </c>
      <c r="H714" s="133" t="s">
        <v>328</v>
      </c>
      <c r="I714" s="134" t="s">
        <v>108</v>
      </c>
    </row>
    <row r="715" spans="1:9" x14ac:dyDescent="0.35">
      <c r="A715" s="129">
        <v>45669</v>
      </c>
      <c r="B715" s="140">
        <v>500000</v>
      </c>
      <c r="C715" s="135"/>
      <c r="D715" s="139"/>
      <c r="E715" s="132" t="s">
        <v>357</v>
      </c>
      <c r="F715" s="135">
        <f t="shared" si="11"/>
        <v>1161000</v>
      </c>
      <c r="G715" s="136" t="s">
        <v>122</v>
      </c>
      <c r="H715" s="133" t="s">
        <v>323</v>
      </c>
      <c r="I715" s="134" t="s">
        <v>108</v>
      </c>
    </row>
    <row r="716" spans="1:9" x14ac:dyDescent="0.35">
      <c r="A716" s="129">
        <v>45670</v>
      </c>
      <c r="B716" s="140">
        <v>140000</v>
      </c>
      <c r="C716" s="135"/>
      <c r="D716" s="135"/>
      <c r="E716" s="132" t="s">
        <v>357</v>
      </c>
      <c r="F716" s="135">
        <f t="shared" si="11"/>
        <v>1021000</v>
      </c>
      <c r="G716" s="136" t="s">
        <v>123</v>
      </c>
      <c r="H716" s="133" t="s">
        <v>320</v>
      </c>
      <c r="I716" s="134" t="s">
        <v>108</v>
      </c>
    </row>
    <row r="717" spans="1:9" x14ac:dyDescent="0.35">
      <c r="A717" s="129">
        <v>45670</v>
      </c>
      <c r="B717" s="140">
        <v>197000</v>
      </c>
      <c r="C717" s="135"/>
      <c r="D717" s="135"/>
      <c r="E717" s="132" t="s">
        <v>357</v>
      </c>
      <c r="F717" s="135">
        <f t="shared" si="11"/>
        <v>824000</v>
      </c>
      <c r="G717" s="136" t="s">
        <v>124</v>
      </c>
      <c r="H717" s="133" t="s">
        <v>322</v>
      </c>
      <c r="I717" s="134" t="s">
        <v>108</v>
      </c>
    </row>
    <row r="718" spans="1:9" x14ac:dyDescent="0.35">
      <c r="A718" s="129">
        <v>45670</v>
      </c>
      <c r="B718" s="140">
        <v>72000</v>
      </c>
      <c r="C718" s="131"/>
      <c r="D718" s="135"/>
      <c r="E718" s="132" t="s">
        <v>357</v>
      </c>
      <c r="F718" s="135">
        <f t="shared" si="11"/>
        <v>752000</v>
      </c>
      <c r="G718" s="136" t="s">
        <v>137</v>
      </c>
      <c r="H718" s="133" t="s">
        <v>327</v>
      </c>
      <c r="I718" s="134" t="s">
        <v>108</v>
      </c>
    </row>
    <row r="719" spans="1:9" x14ac:dyDescent="0.35">
      <c r="A719" s="129">
        <v>45674</v>
      </c>
      <c r="B719" s="135"/>
      <c r="C719" s="131"/>
      <c r="D719" s="131">
        <v>33000</v>
      </c>
      <c r="E719" s="132" t="s">
        <v>357</v>
      </c>
      <c r="F719" s="135">
        <f t="shared" si="11"/>
        <v>785000</v>
      </c>
      <c r="G719" s="136"/>
      <c r="H719" s="133" t="s">
        <v>107</v>
      </c>
      <c r="I719" s="134" t="s">
        <v>108</v>
      </c>
    </row>
    <row r="720" spans="1:9" x14ac:dyDescent="0.35">
      <c r="A720" s="129">
        <v>45674</v>
      </c>
      <c r="B720" s="135"/>
      <c r="C720" s="131"/>
      <c r="D720" s="131">
        <v>2967000</v>
      </c>
      <c r="E720" s="132" t="s">
        <v>357</v>
      </c>
      <c r="F720" s="135">
        <f t="shared" si="11"/>
        <v>3752000</v>
      </c>
      <c r="G720" s="136"/>
      <c r="H720" s="133" t="s">
        <v>109</v>
      </c>
      <c r="I720" s="134" t="s">
        <v>108</v>
      </c>
    </row>
    <row r="721" spans="1:9" x14ac:dyDescent="0.35">
      <c r="A721" s="129"/>
      <c r="B721" s="135"/>
      <c r="C721" s="135">
        <v>3000000</v>
      </c>
      <c r="D721" s="135"/>
      <c r="E721" s="135"/>
      <c r="F721" s="135">
        <f t="shared" si="11"/>
        <v>3752000</v>
      </c>
      <c r="G721" s="136" t="s">
        <v>110</v>
      </c>
      <c r="H721" s="133"/>
      <c r="I721" s="141"/>
    </row>
    <row r="722" spans="1:9" x14ac:dyDescent="0.35">
      <c r="A722" s="129">
        <v>45682</v>
      </c>
      <c r="B722" s="135">
        <v>100000</v>
      </c>
      <c r="C722" s="131"/>
      <c r="D722" s="130"/>
      <c r="E722" s="132" t="s">
        <v>357</v>
      </c>
      <c r="F722" s="135">
        <f t="shared" si="11"/>
        <v>3652000</v>
      </c>
      <c r="G722" s="136" t="s">
        <v>186</v>
      </c>
      <c r="H722" s="133" t="s">
        <v>322</v>
      </c>
      <c r="I722" s="134" t="s">
        <v>108</v>
      </c>
    </row>
    <row r="723" spans="1:9" x14ac:dyDescent="0.35">
      <c r="A723" s="129">
        <v>45682</v>
      </c>
      <c r="B723" s="142">
        <v>130000</v>
      </c>
      <c r="C723" s="135"/>
      <c r="D723" s="135"/>
      <c r="E723" s="132" t="s">
        <v>357</v>
      </c>
      <c r="F723" s="135">
        <f t="shared" si="11"/>
        <v>3522000</v>
      </c>
      <c r="G723" s="136" t="s">
        <v>112</v>
      </c>
      <c r="H723" s="133" t="s">
        <v>322</v>
      </c>
      <c r="I723" s="134" t="s">
        <v>108</v>
      </c>
    </row>
    <row r="724" spans="1:9" x14ac:dyDescent="0.35">
      <c r="A724" s="129">
        <v>45683</v>
      </c>
      <c r="B724" s="142">
        <v>90000</v>
      </c>
      <c r="C724" s="135"/>
      <c r="D724" s="135"/>
      <c r="E724" s="132" t="s">
        <v>357</v>
      </c>
      <c r="F724" s="135">
        <f t="shared" si="11"/>
        <v>3432000</v>
      </c>
      <c r="G724" s="136" t="s">
        <v>187</v>
      </c>
      <c r="H724" s="133" t="s">
        <v>327</v>
      </c>
      <c r="I724" s="134" t="s">
        <v>108</v>
      </c>
    </row>
    <row r="725" spans="1:9" x14ac:dyDescent="0.35">
      <c r="A725" s="129">
        <v>45687</v>
      </c>
      <c r="B725" s="142">
        <v>500000</v>
      </c>
      <c r="C725" s="135"/>
      <c r="D725" s="135"/>
      <c r="E725" s="132" t="s">
        <v>357</v>
      </c>
      <c r="F725" s="135">
        <f t="shared" si="11"/>
        <v>2932000</v>
      </c>
      <c r="G725" s="136" t="s">
        <v>191</v>
      </c>
      <c r="H725" s="133" t="s">
        <v>323</v>
      </c>
      <c r="I725" s="134" t="s">
        <v>108</v>
      </c>
    </row>
    <row r="726" spans="1:9" x14ac:dyDescent="0.35">
      <c r="A726" s="129">
        <v>45687</v>
      </c>
      <c r="B726" s="142">
        <v>400000</v>
      </c>
      <c r="C726" s="135"/>
      <c r="D726" s="135"/>
      <c r="E726" s="132" t="s">
        <v>357</v>
      </c>
      <c r="F726" s="135">
        <f t="shared" si="11"/>
        <v>2532000</v>
      </c>
      <c r="G726" s="136" t="s">
        <v>188</v>
      </c>
      <c r="H726" s="133" t="s">
        <v>323</v>
      </c>
      <c r="I726" s="134" t="s">
        <v>108</v>
      </c>
    </row>
    <row r="727" spans="1:9" x14ac:dyDescent="0.35">
      <c r="A727" s="129">
        <v>45687</v>
      </c>
      <c r="B727" s="142">
        <v>500000</v>
      </c>
      <c r="C727" s="135"/>
      <c r="D727" s="135"/>
      <c r="E727" s="132" t="s">
        <v>357</v>
      </c>
      <c r="F727" s="135">
        <f t="shared" si="11"/>
        <v>2032000</v>
      </c>
      <c r="G727" s="136" t="s">
        <v>189</v>
      </c>
      <c r="H727" s="133" t="s">
        <v>322</v>
      </c>
      <c r="I727" s="134" t="s">
        <v>108</v>
      </c>
    </row>
    <row r="728" spans="1:9" x14ac:dyDescent="0.35">
      <c r="A728" s="129">
        <v>45687</v>
      </c>
      <c r="B728" s="142">
        <v>500000</v>
      </c>
      <c r="C728" s="135"/>
      <c r="D728" s="135"/>
      <c r="E728" s="132" t="s">
        <v>357</v>
      </c>
      <c r="F728" s="135">
        <f t="shared" si="11"/>
        <v>1532000</v>
      </c>
      <c r="G728" s="136" t="s">
        <v>190</v>
      </c>
      <c r="H728" s="133" t="s">
        <v>322</v>
      </c>
      <c r="I728" s="134" t="s">
        <v>108</v>
      </c>
    </row>
    <row r="729" spans="1:9" x14ac:dyDescent="0.35">
      <c r="A729" s="129">
        <v>45687</v>
      </c>
      <c r="B729" s="142"/>
      <c r="C729" s="131"/>
      <c r="D729" s="135">
        <v>2000000</v>
      </c>
      <c r="E729" s="143" t="s">
        <v>357</v>
      </c>
      <c r="F729" s="135">
        <f t="shared" si="11"/>
        <v>3532000</v>
      </c>
      <c r="G729" s="136" t="s">
        <v>110</v>
      </c>
      <c r="H729" s="133" t="s">
        <v>109</v>
      </c>
      <c r="I729" s="134" t="s">
        <v>108</v>
      </c>
    </row>
    <row r="730" spans="1:9" x14ac:dyDescent="0.35">
      <c r="A730" s="129">
        <v>45690</v>
      </c>
      <c r="B730" s="142">
        <v>90000</v>
      </c>
      <c r="C730" s="131"/>
      <c r="D730" s="135"/>
      <c r="E730" s="132" t="s">
        <v>358</v>
      </c>
      <c r="F730" s="135">
        <f t="shared" si="11"/>
        <v>3442000</v>
      </c>
      <c r="G730" s="136" t="s">
        <v>119</v>
      </c>
      <c r="H730" s="133" t="s">
        <v>327</v>
      </c>
      <c r="I730" s="134" t="s">
        <v>108</v>
      </c>
    </row>
    <row r="731" spans="1:9" x14ac:dyDescent="0.35">
      <c r="A731" s="129">
        <v>45691</v>
      </c>
      <c r="B731" s="142">
        <v>130000</v>
      </c>
      <c r="C731" s="135"/>
      <c r="D731" s="135"/>
      <c r="E731" s="132" t="s">
        <v>358</v>
      </c>
      <c r="F731" s="135">
        <f t="shared" si="11"/>
        <v>3312000</v>
      </c>
      <c r="G731" s="136" t="s">
        <v>112</v>
      </c>
      <c r="H731" s="133" t="s">
        <v>322</v>
      </c>
      <c r="I731" s="134" t="s">
        <v>108</v>
      </c>
    </row>
    <row r="732" spans="1:9" x14ac:dyDescent="0.35">
      <c r="A732" s="129">
        <v>45692</v>
      </c>
      <c r="B732" s="135">
        <v>150000</v>
      </c>
      <c r="C732" s="134"/>
      <c r="D732" s="134"/>
      <c r="E732" s="132" t="s">
        <v>358</v>
      </c>
      <c r="F732" s="135">
        <f t="shared" si="11"/>
        <v>3162000</v>
      </c>
      <c r="G732" s="136" t="s">
        <v>186</v>
      </c>
      <c r="H732" s="133" t="s">
        <v>322</v>
      </c>
      <c r="I732" s="134" t="s">
        <v>108</v>
      </c>
    </row>
    <row r="733" spans="1:9" x14ac:dyDescent="0.35">
      <c r="A733" s="129">
        <v>45695</v>
      </c>
      <c r="B733" s="135">
        <v>500000</v>
      </c>
      <c r="C733" s="134"/>
      <c r="D733" s="134"/>
      <c r="E733" s="132" t="s">
        <v>358</v>
      </c>
      <c r="F733" s="135">
        <f t="shared" si="11"/>
        <v>2662000</v>
      </c>
      <c r="G733" s="136" t="s">
        <v>122</v>
      </c>
      <c r="H733" s="133" t="s">
        <v>323</v>
      </c>
      <c r="I733" s="134" t="s">
        <v>108</v>
      </c>
    </row>
    <row r="734" spans="1:9" x14ac:dyDescent="0.35">
      <c r="A734" s="129">
        <v>45692</v>
      </c>
      <c r="B734" s="135">
        <v>500000</v>
      </c>
      <c r="C734" s="134"/>
      <c r="D734" s="134"/>
      <c r="E734" s="132" t="s">
        <v>358</v>
      </c>
      <c r="F734" s="135">
        <f t="shared" si="11"/>
        <v>2162000</v>
      </c>
      <c r="G734" s="136" t="s">
        <v>266</v>
      </c>
      <c r="H734" s="133" t="s">
        <v>322</v>
      </c>
      <c r="I734" s="134" t="s">
        <v>108</v>
      </c>
    </row>
    <row r="735" spans="1:9" x14ac:dyDescent="0.35">
      <c r="A735" s="129">
        <v>45692</v>
      </c>
      <c r="B735" s="135">
        <v>200000</v>
      </c>
      <c r="C735" s="134"/>
      <c r="D735" s="134"/>
      <c r="E735" s="132" t="s">
        <v>358</v>
      </c>
      <c r="F735" s="135">
        <f t="shared" ref="F735:F811" si="12">+F734+D735-B735</f>
        <v>1962000</v>
      </c>
      <c r="G735" s="136" t="s">
        <v>267</v>
      </c>
      <c r="H735" s="133" t="s">
        <v>322</v>
      </c>
      <c r="I735" s="134" t="s">
        <v>108</v>
      </c>
    </row>
    <row r="736" spans="1:9" x14ac:dyDescent="0.35">
      <c r="A736" s="129">
        <v>45693</v>
      </c>
      <c r="B736" s="135">
        <v>50000</v>
      </c>
      <c r="C736" s="134"/>
      <c r="D736" s="134"/>
      <c r="E736" s="143" t="s">
        <v>358</v>
      </c>
      <c r="F736" s="135">
        <f t="shared" si="12"/>
        <v>1912000</v>
      </c>
      <c r="G736" s="136" t="s">
        <v>268</v>
      </c>
      <c r="H736" s="133" t="s">
        <v>327</v>
      </c>
      <c r="I736" s="134" t="s">
        <v>108</v>
      </c>
    </row>
    <row r="737" spans="1:9" x14ac:dyDescent="0.35">
      <c r="A737" s="129">
        <v>45697</v>
      </c>
      <c r="B737" s="135">
        <v>90000</v>
      </c>
      <c r="C737" s="134"/>
      <c r="D737" s="134"/>
      <c r="E737" s="132" t="s">
        <v>358</v>
      </c>
      <c r="F737" s="135">
        <f t="shared" si="12"/>
        <v>1822000</v>
      </c>
      <c r="G737" s="136" t="s">
        <v>119</v>
      </c>
      <c r="H737" s="133" t="s">
        <v>327</v>
      </c>
      <c r="I737" s="134" t="s">
        <v>108</v>
      </c>
    </row>
    <row r="738" spans="1:9" x14ac:dyDescent="0.35">
      <c r="A738" s="129">
        <v>45698</v>
      </c>
      <c r="B738" s="135">
        <v>50000</v>
      </c>
      <c r="C738" s="134"/>
      <c r="D738" s="134"/>
      <c r="E738" s="132" t="s">
        <v>358</v>
      </c>
      <c r="F738" s="135">
        <f t="shared" si="12"/>
        <v>1772000</v>
      </c>
      <c r="G738" s="136" t="s">
        <v>280</v>
      </c>
      <c r="H738" s="133" t="s">
        <v>322</v>
      </c>
      <c r="I738" s="134" t="s">
        <v>108</v>
      </c>
    </row>
    <row r="739" spans="1:9" x14ac:dyDescent="0.35">
      <c r="A739" s="129">
        <v>45702</v>
      </c>
      <c r="B739" s="135">
        <v>500000</v>
      </c>
      <c r="C739" s="134"/>
      <c r="D739" s="134"/>
      <c r="E739" s="132" t="s">
        <v>358</v>
      </c>
      <c r="F739" s="135">
        <f t="shared" si="12"/>
        <v>1272000</v>
      </c>
      <c r="G739" s="136" t="s">
        <v>122</v>
      </c>
      <c r="H739" s="133" t="s">
        <v>323</v>
      </c>
      <c r="I739" s="134" t="s">
        <v>108</v>
      </c>
    </row>
    <row r="740" spans="1:9" x14ac:dyDescent="0.35">
      <c r="A740" s="129">
        <v>45702</v>
      </c>
      <c r="B740" s="135"/>
      <c r="C740" s="134"/>
      <c r="D740" s="135">
        <v>750000</v>
      </c>
      <c r="E740" s="132" t="s">
        <v>358</v>
      </c>
      <c r="F740" s="135">
        <f t="shared" si="12"/>
        <v>2022000</v>
      </c>
      <c r="G740" s="136" t="s">
        <v>281</v>
      </c>
      <c r="H740" s="133" t="s">
        <v>109</v>
      </c>
      <c r="I740" s="134" t="s">
        <v>108</v>
      </c>
    </row>
    <row r="741" spans="1:9" x14ac:dyDescent="0.35">
      <c r="A741" s="129">
        <v>45703</v>
      </c>
      <c r="B741" s="135">
        <v>1000000</v>
      </c>
      <c r="C741" s="134"/>
      <c r="D741" s="134"/>
      <c r="E741" s="132" t="s">
        <v>358</v>
      </c>
      <c r="F741" s="135">
        <f t="shared" si="12"/>
        <v>1022000</v>
      </c>
      <c r="G741" s="136" t="s">
        <v>296</v>
      </c>
      <c r="H741" s="133" t="s">
        <v>321</v>
      </c>
      <c r="I741" s="134" t="s">
        <v>108</v>
      </c>
    </row>
    <row r="742" spans="1:9" x14ac:dyDescent="0.35">
      <c r="A742" s="129">
        <v>45703</v>
      </c>
      <c r="B742" s="135">
        <v>395000</v>
      </c>
      <c r="C742" s="134"/>
      <c r="D742" s="134"/>
      <c r="E742" s="132" t="s">
        <v>358</v>
      </c>
      <c r="F742" s="135">
        <f t="shared" si="12"/>
        <v>627000</v>
      </c>
      <c r="G742" s="136" t="s">
        <v>297</v>
      </c>
      <c r="H742" s="133" t="s">
        <v>321</v>
      </c>
      <c r="I742" s="134" t="s">
        <v>108</v>
      </c>
    </row>
    <row r="743" spans="1:9" x14ac:dyDescent="0.35">
      <c r="A743" s="129">
        <v>45704</v>
      </c>
      <c r="B743" s="135">
        <v>90000</v>
      </c>
      <c r="C743" s="134"/>
      <c r="D743" s="134"/>
      <c r="E743" s="132" t="s">
        <v>358</v>
      </c>
      <c r="F743" s="135">
        <f t="shared" si="12"/>
        <v>537000</v>
      </c>
      <c r="G743" s="136" t="s">
        <v>298</v>
      </c>
      <c r="H743" s="133" t="s">
        <v>327</v>
      </c>
      <c r="I743" s="134" t="s">
        <v>108</v>
      </c>
    </row>
    <row r="744" spans="1:9" x14ac:dyDescent="0.35">
      <c r="A744" s="129">
        <v>45704</v>
      </c>
      <c r="B744" s="135">
        <v>20000</v>
      </c>
      <c r="C744" s="134"/>
      <c r="D744" s="134"/>
      <c r="E744" s="132" t="s">
        <v>358</v>
      </c>
      <c r="F744" s="135">
        <f t="shared" si="12"/>
        <v>517000</v>
      </c>
      <c r="G744" s="136" t="s">
        <v>299</v>
      </c>
      <c r="H744" s="133" t="s">
        <v>322</v>
      </c>
      <c r="I744" s="134" t="s">
        <v>108</v>
      </c>
    </row>
    <row r="745" spans="1:9" x14ac:dyDescent="0.35">
      <c r="A745" s="129">
        <v>45705</v>
      </c>
      <c r="B745" s="135"/>
      <c r="C745" s="134"/>
      <c r="D745" s="135">
        <v>2000000</v>
      </c>
      <c r="E745" s="132" t="s">
        <v>358</v>
      </c>
      <c r="F745" s="135">
        <f t="shared" si="12"/>
        <v>2517000</v>
      </c>
      <c r="G745" s="136" t="s">
        <v>110</v>
      </c>
      <c r="H745" s="133" t="s">
        <v>109</v>
      </c>
      <c r="I745" s="134" t="s">
        <v>108</v>
      </c>
    </row>
    <row r="746" spans="1:9" x14ac:dyDescent="0.35">
      <c r="A746" s="129">
        <v>45705</v>
      </c>
      <c r="B746" s="135">
        <v>92000</v>
      </c>
      <c r="C746" s="134"/>
      <c r="D746" s="134"/>
      <c r="E746" s="132" t="s">
        <v>358</v>
      </c>
      <c r="F746" s="135">
        <f t="shared" si="12"/>
        <v>2425000</v>
      </c>
      <c r="G746" s="136" t="s">
        <v>300</v>
      </c>
      <c r="H746" s="133" t="s">
        <v>322</v>
      </c>
      <c r="I746" s="134" t="s">
        <v>108</v>
      </c>
    </row>
    <row r="747" spans="1:9" x14ac:dyDescent="0.35">
      <c r="A747" s="129">
        <v>45706</v>
      </c>
      <c r="B747" s="135">
        <v>45000</v>
      </c>
      <c r="C747" s="134"/>
      <c r="D747" s="134"/>
      <c r="E747" s="132" t="s">
        <v>358</v>
      </c>
      <c r="F747" s="135">
        <f t="shared" si="12"/>
        <v>2380000</v>
      </c>
      <c r="G747" s="136" t="s">
        <v>301</v>
      </c>
      <c r="H747" s="133" t="s">
        <v>322</v>
      </c>
      <c r="I747" s="134" t="s">
        <v>108</v>
      </c>
    </row>
    <row r="748" spans="1:9" x14ac:dyDescent="0.35">
      <c r="A748" s="129">
        <v>45709</v>
      </c>
      <c r="B748" s="135">
        <v>500000</v>
      </c>
      <c r="C748" s="134"/>
      <c r="D748" s="134"/>
      <c r="E748" s="132" t="s">
        <v>358</v>
      </c>
      <c r="F748" s="135">
        <f t="shared" si="12"/>
        <v>1880000</v>
      </c>
      <c r="G748" s="136" t="s">
        <v>302</v>
      </c>
      <c r="H748" s="133" t="s">
        <v>323</v>
      </c>
      <c r="I748" s="134" t="s">
        <v>108</v>
      </c>
    </row>
    <row r="749" spans="1:9" x14ac:dyDescent="0.35">
      <c r="A749" s="129">
        <v>45710</v>
      </c>
      <c r="B749" s="135">
        <v>1000000</v>
      </c>
      <c r="C749" s="134"/>
      <c r="D749" s="134"/>
      <c r="E749" s="132" t="s">
        <v>358</v>
      </c>
      <c r="F749" s="135">
        <f t="shared" si="12"/>
        <v>880000</v>
      </c>
      <c r="G749" s="136" t="s">
        <v>309</v>
      </c>
      <c r="H749" s="133" t="s">
        <v>328</v>
      </c>
      <c r="I749" s="134" t="s">
        <v>108</v>
      </c>
    </row>
    <row r="750" spans="1:9" x14ac:dyDescent="0.35">
      <c r="A750" s="129">
        <v>45711</v>
      </c>
      <c r="B750" s="135">
        <v>60000</v>
      </c>
      <c r="C750" s="134"/>
      <c r="D750" s="134"/>
      <c r="E750" s="132" t="s">
        <v>358</v>
      </c>
      <c r="F750" s="135">
        <f t="shared" si="12"/>
        <v>820000</v>
      </c>
      <c r="G750" s="136" t="s">
        <v>310</v>
      </c>
      <c r="H750" s="133" t="s">
        <v>327</v>
      </c>
      <c r="I750" s="134" t="s">
        <v>108</v>
      </c>
    </row>
    <row r="751" spans="1:9" x14ac:dyDescent="0.35">
      <c r="A751" s="129">
        <v>45711</v>
      </c>
      <c r="B751" s="135">
        <v>100000</v>
      </c>
      <c r="C751" s="134"/>
      <c r="D751" s="134"/>
      <c r="E751" s="132" t="s">
        <v>358</v>
      </c>
      <c r="F751" s="135">
        <f t="shared" si="12"/>
        <v>720000</v>
      </c>
      <c r="G751" s="136" t="s">
        <v>311</v>
      </c>
      <c r="H751" s="133" t="s">
        <v>320</v>
      </c>
      <c r="I751" s="134" t="s">
        <v>108</v>
      </c>
    </row>
    <row r="752" spans="1:9" x14ac:dyDescent="0.35">
      <c r="A752" s="129">
        <v>45712</v>
      </c>
      <c r="B752" s="135">
        <v>250000</v>
      </c>
      <c r="C752" s="134"/>
      <c r="D752" s="134"/>
      <c r="E752" s="132" t="s">
        <v>358</v>
      </c>
      <c r="F752" s="135">
        <f t="shared" si="12"/>
        <v>470000</v>
      </c>
      <c r="G752" s="136" t="s">
        <v>312</v>
      </c>
      <c r="H752" s="133" t="s">
        <v>320</v>
      </c>
      <c r="I752" s="134" t="s">
        <v>108</v>
      </c>
    </row>
    <row r="753" spans="1:9" x14ac:dyDescent="0.35">
      <c r="A753" s="144">
        <v>45712</v>
      </c>
      <c r="B753" s="135">
        <v>130000</v>
      </c>
      <c r="C753" s="134"/>
      <c r="D753" s="135"/>
      <c r="E753" s="132" t="s">
        <v>358</v>
      </c>
      <c r="F753" s="135">
        <f t="shared" si="12"/>
        <v>340000</v>
      </c>
      <c r="G753" s="136" t="s">
        <v>313</v>
      </c>
      <c r="H753" s="133" t="s">
        <v>320</v>
      </c>
      <c r="I753" s="134" t="s">
        <v>108</v>
      </c>
    </row>
    <row r="754" spans="1:9" x14ac:dyDescent="0.35">
      <c r="A754" s="144">
        <v>45712</v>
      </c>
      <c r="B754" s="135"/>
      <c r="C754" s="134"/>
      <c r="D754" s="135">
        <v>1000000</v>
      </c>
      <c r="E754" s="132" t="s">
        <v>358</v>
      </c>
      <c r="F754" s="135">
        <f t="shared" si="12"/>
        <v>1340000</v>
      </c>
      <c r="G754" s="136" t="s">
        <v>110</v>
      </c>
      <c r="H754" s="133" t="s">
        <v>109</v>
      </c>
      <c r="I754" s="134" t="s">
        <v>108</v>
      </c>
    </row>
    <row r="755" spans="1:9" x14ac:dyDescent="0.35">
      <c r="A755" s="144">
        <v>45717</v>
      </c>
      <c r="B755" s="135">
        <v>400000</v>
      </c>
      <c r="C755" s="134"/>
      <c r="D755" s="135"/>
      <c r="E755" s="134" t="s">
        <v>329</v>
      </c>
      <c r="F755" s="135">
        <f t="shared" si="12"/>
        <v>940000</v>
      </c>
      <c r="G755" s="136" t="s">
        <v>188</v>
      </c>
      <c r="H755" s="133" t="s">
        <v>323</v>
      </c>
      <c r="I755" s="134" t="s">
        <v>108</v>
      </c>
    </row>
    <row r="756" spans="1:9" x14ac:dyDescent="0.35">
      <c r="A756" s="144">
        <v>45717</v>
      </c>
      <c r="B756" s="135">
        <v>200000</v>
      </c>
      <c r="C756" s="134"/>
      <c r="D756" s="135"/>
      <c r="E756" s="134" t="s">
        <v>329</v>
      </c>
      <c r="F756" s="135">
        <f t="shared" si="12"/>
        <v>740000</v>
      </c>
      <c r="G756" s="136" t="s">
        <v>353</v>
      </c>
      <c r="H756" s="133" t="s">
        <v>322</v>
      </c>
      <c r="I756" s="134" t="s">
        <v>108</v>
      </c>
    </row>
    <row r="757" spans="1:9" x14ac:dyDescent="0.35">
      <c r="A757" s="144">
        <v>45718</v>
      </c>
      <c r="B757" s="135">
        <v>100000</v>
      </c>
      <c r="C757" s="134"/>
      <c r="D757" s="135"/>
      <c r="E757" s="134" t="s">
        <v>329</v>
      </c>
      <c r="F757" s="135">
        <f t="shared" si="12"/>
        <v>640000</v>
      </c>
      <c r="G757" s="136" t="s">
        <v>354</v>
      </c>
      <c r="H757" s="133" t="s">
        <v>320</v>
      </c>
      <c r="I757" s="134" t="s">
        <v>108</v>
      </c>
    </row>
    <row r="758" spans="1:9" x14ac:dyDescent="0.35">
      <c r="A758" s="144">
        <v>45719</v>
      </c>
      <c r="B758" s="135">
        <v>50000</v>
      </c>
      <c r="C758" s="134"/>
      <c r="D758" s="135"/>
      <c r="E758" s="134" t="s">
        <v>329</v>
      </c>
      <c r="F758" s="135">
        <f t="shared" si="12"/>
        <v>590000</v>
      </c>
      <c r="G758" s="136" t="s">
        <v>355</v>
      </c>
      <c r="H758" s="133" t="s">
        <v>320</v>
      </c>
      <c r="I758" s="134" t="s">
        <v>108</v>
      </c>
    </row>
    <row r="759" spans="1:9" x14ac:dyDescent="0.35">
      <c r="A759" s="144">
        <v>45720</v>
      </c>
      <c r="B759" s="135"/>
      <c r="C759" s="134"/>
      <c r="D759" s="135">
        <v>3000000</v>
      </c>
      <c r="E759" s="134" t="s">
        <v>329</v>
      </c>
      <c r="F759" s="135">
        <f t="shared" si="12"/>
        <v>3590000</v>
      </c>
      <c r="G759" s="136" t="s">
        <v>110</v>
      </c>
      <c r="H759" s="133" t="s">
        <v>109</v>
      </c>
      <c r="I759" s="134" t="s">
        <v>108</v>
      </c>
    </row>
    <row r="760" spans="1:9" x14ac:dyDescent="0.35">
      <c r="A760" s="144">
        <v>45721</v>
      </c>
      <c r="B760" s="135">
        <v>130000</v>
      </c>
      <c r="C760" s="134"/>
      <c r="D760" s="135"/>
      <c r="E760" s="134" t="s">
        <v>329</v>
      </c>
      <c r="F760" s="135">
        <f t="shared" si="12"/>
        <v>3460000</v>
      </c>
      <c r="G760" s="136" t="s">
        <v>356</v>
      </c>
      <c r="H760" s="133" t="s">
        <v>322</v>
      </c>
      <c r="I760" s="134" t="s">
        <v>108</v>
      </c>
    </row>
    <row r="761" spans="1:9" x14ac:dyDescent="0.35">
      <c r="A761" s="144">
        <v>45722</v>
      </c>
      <c r="B761" s="135">
        <v>500000</v>
      </c>
      <c r="C761" s="134"/>
      <c r="D761" s="135"/>
      <c r="E761" s="134" t="s">
        <v>329</v>
      </c>
      <c r="F761" s="135">
        <f t="shared" si="12"/>
        <v>2960000</v>
      </c>
      <c r="G761" s="136" t="s">
        <v>191</v>
      </c>
      <c r="H761" s="133" t="s">
        <v>323</v>
      </c>
      <c r="I761" s="134" t="s">
        <v>108</v>
      </c>
    </row>
    <row r="762" spans="1:9" x14ac:dyDescent="0.35">
      <c r="A762" s="144">
        <v>45723</v>
      </c>
      <c r="B762" s="135">
        <v>150000</v>
      </c>
      <c r="C762" s="134"/>
      <c r="D762" s="135"/>
      <c r="E762" s="134" t="s">
        <v>367</v>
      </c>
      <c r="F762" s="135">
        <f t="shared" si="12"/>
        <v>2810000</v>
      </c>
      <c r="G762" s="136" t="s">
        <v>392</v>
      </c>
      <c r="H762" s="133" t="s">
        <v>203</v>
      </c>
      <c r="I762" s="134" t="s">
        <v>108</v>
      </c>
    </row>
    <row r="763" spans="1:9" x14ac:dyDescent="0.35">
      <c r="A763" s="144">
        <v>45723</v>
      </c>
      <c r="B763" s="135">
        <v>245000</v>
      </c>
      <c r="C763" s="134"/>
      <c r="D763" s="135"/>
      <c r="E763" s="134" t="s">
        <v>367</v>
      </c>
      <c r="F763" s="135">
        <f t="shared" si="12"/>
        <v>2565000</v>
      </c>
      <c r="G763" s="136" t="s">
        <v>393</v>
      </c>
      <c r="H763" s="133" t="s">
        <v>322</v>
      </c>
      <c r="I763" s="134" t="s">
        <v>108</v>
      </c>
    </row>
    <row r="764" spans="1:9" x14ac:dyDescent="0.35">
      <c r="A764" s="144">
        <v>45727</v>
      </c>
      <c r="B764" s="135">
        <v>150000</v>
      </c>
      <c r="C764" s="134"/>
      <c r="D764" s="135"/>
      <c r="E764" s="134" t="s">
        <v>367</v>
      </c>
      <c r="F764" s="135">
        <f t="shared" si="12"/>
        <v>2415000</v>
      </c>
      <c r="G764" s="136" t="s">
        <v>394</v>
      </c>
      <c r="H764" s="133" t="s">
        <v>320</v>
      </c>
      <c r="I764" s="134" t="s">
        <v>108</v>
      </c>
    </row>
    <row r="765" spans="1:9" x14ac:dyDescent="0.35">
      <c r="A765" s="144">
        <v>45728</v>
      </c>
      <c r="B765" s="135">
        <v>130000</v>
      </c>
      <c r="C765" s="134"/>
      <c r="D765" s="135"/>
      <c r="E765" s="134" t="s">
        <v>367</v>
      </c>
      <c r="F765" s="135">
        <f t="shared" si="12"/>
        <v>2285000</v>
      </c>
      <c r="G765" s="136" t="s">
        <v>395</v>
      </c>
      <c r="H765" s="133" t="s">
        <v>322</v>
      </c>
      <c r="I765" s="134" t="s">
        <v>108</v>
      </c>
    </row>
    <row r="766" spans="1:9" x14ac:dyDescent="0.35">
      <c r="A766" s="144">
        <v>45728</v>
      </c>
      <c r="B766" s="135">
        <v>200000</v>
      </c>
      <c r="C766" s="134"/>
      <c r="D766" s="135"/>
      <c r="E766" s="134" t="s">
        <v>367</v>
      </c>
      <c r="F766" s="135">
        <f t="shared" si="12"/>
        <v>2085000</v>
      </c>
      <c r="G766" s="136" t="s">
        <v>396</v>
      </c>
      <c r="H766" s="133" t="s">
        <v>322</v>
      </c>
      <c r="I766" s="134" t="s">
        <v>108</v>
      </c>
    </row>
    <row r="767" spans="1:9" x14ac:dyDescent="0.35">
      <c r="A767" s="144">
        <v>45728</v>
      </c>
      <c r="B767" s="135">
        <v>240000</v>
      </c>
      <c r="C767" s="134"/>
      <c r="D767" s="135"/>
      <c r="E767" s="134" t="s">
        <v>367</v>
      </c>
      <c r="F767" s="135">
        <f t="shared" si="12"/>
        <v>1845000</v>
      </c>
      <c r="G767" s="136" t="s">
        <v>397</v>
      </c>
      <c r="H767" s="133" t="s">
        <v>320</v>
      </c>
      <c r="I767" s="134" t="s">
        <v>108</v>
      </c>
    </row>
    <row r="768" spans="1:9" x14ac:dyDescent="0.35">
      <c r="A768" s="144">
        <v>45730</v>
      </c>
      <c r="B768" s="135">
        <v>500000</v>
      </c>
      <c r="C768" s="134"/>
      <c r="D768" s="135"/>
      <c r="E768" s="134" t="s">
        <v>367</v>
      </c>
      <c r="F768" s="135">
        <f t="shared" si="12"/>
        <v>1345000</v>
      </c>
      <c r="G768" s="136" t="s">
        <v>191</v>
      </c>
      <c r="H768" s="133" t="s">
        <v>323</v>
      </c>
      <c r="I768" s="134" t="s">
        <v>108</v>
      </c>
    </row>
    <row r="769" spans="1:9" x14ac:dyDescent="0.35">
      <c r="A769" s="144">
        <v>45732</v>
      </c>
      <c r="B769" s="135">
        <v>585000</v>
      </c>
      <c r="C769" s="134"/>
      <c r="D769" s="135"/>
      <c r="E769" s="134" t="s">
        <v>398</v>
      </c>
      <c r="F769" s="135">
        <f t="shared" si="12"/>
        <v>760000</v>
      </c>
      <c r="G769" s="136" t="s">
        <v>412</v>
      </c>
      <c r="H769" s="133" t="s">
        <v>320</v>
      </c>
      <c r="I769" s="134" t="s">
        <v>108</v>
      </c>
    </row>
    <row r="770" spans="1:9" x14ac:dyDescent="0.35">
      <c r="A770" s="144">
        <v>45732</v>
      </c>
      <c r="B770" s="135">
        <v>100000</v>
      </c>
      <c r="C770" s="134"/>
      <c r="D770" s="135"/>
      <c r="E770" s="134" t="s">
        <v>398</v>
      </c>
      <c r="F770" s="135">
        <f t="shared" si="12"/>
        <v>660000</v>
      </c>
      <c r="G770" s="136" t="s">
        <v>413</v>
      </c>
      <c r="H770" s="133" t="s">
        <v>322</v>
      </c>
      <c r="I770" s="134" t="s">
        <v>108</v>
      </c>
    </row>
    <row r="771" spans="1:9" x14ac:dyDescent="0.35">
      <c r="A771" s="144">
        <v>45733</v>
      </c>
      <c r="B771" s="135"/>
      <c r="C771" s="134"/>
      <c r="D771" s="135">
        <v>5000000</v>
      </c>
      <c r="E771" s="134" t="s">
        <v>398</v>
      </c>
      <c r="F771" s="135">
        <f t="shared" si="12"/>
        <v>5660000</v>
      </c>
      <c r="G771" s="136" t="s">
        <v>414</v>
      </c>
      <c r="H771" s="133" t="s">
        <v>109</v>
      </c>
      <c r="I771" s="134" t="s">
        <v>108</v>
      </c>
    </row>
    <row r="772" spans="1:9" x14ac:dyDescent="0.35">
      <c r="A772" s="144">
        <v>45735</v>
      </c>
      <c r="B772" s="135">
        <v>1250000</v>
      </c>
      <c r="C772" s="134"/>
      <c r="D772" s="135"/>
      <c r="E772" s="134" t="s">
        <v>398</v>
      </c>
      <c r="F772" s="135">
        <f t="shared" si="12"/>
        <v>4410000</v>
      </c>
      <c r="G772" s="136" t="s">
        <v>415</v>
      </c>
      <c r="H772" s="133" t="s">
        <v>323</v>
      </c>
      <c r="I772" s="134" t="s">
        <v>108</v>
      </c>
    </row>
    <row r="773" spans="1:9" x14ac:dyDescent="0.35">
      <c r="A773" s="144">
        <v>45735</v>
      </c>
      <c r="B773" s="135">
        <v>100000</v>
      </c>
      <c r="C773" s="134"/>
      <c r="D773" s="135"/>
      <c r="E773" s="134" t="s">
        <v>398</v>
      </c>
      <c r="F773" s="135">
        <f t="shared" si="12"/>
        <v>4310000</v>
      </c>
      <c r="G773" s="136" t="s">
        <v>416</v>
      </c>
      <c r="H773" s="133" t="s">
        <v>322</v>
      </c>
      <c r="I773" s="134" t="s">
        <v>108</v>
      </c>
    </row>
    <row r="774" spans="1:9" x14ac:dyDescent="0.35">
      <c r="A774" s="144">
        <v>45736</v>
      </c>
      <c r="B774" s="135">
        <v>200000</v>
      </c>
      <c r="C774" s="134"/>
      <c r="D774" s="135"/>
      <c r="E774" s="134" t="s">
        <v>398</v>
      </c>
      <c r="F774" s="135">
        <f t="shared" si="12"/>
        <v>4110000</v>
      </c>
      <c r="G774" s="136" t="s">
        <v>417</v>
      </c>
      <c r="H774" s="133" t="s">
        <v>327</v>
      </c>
      <c r="I774" s="134" t="s">
        <v>108</v>
      </c>
    </row>
    <row r="775" spans="1:9" x14ac:dyDescent="0.35">
      <c r="A775" s="144">
        <v>45737</v>
      </c>
      <c r="B775" s="135">
        <v>500000</v>
      </c>
      <c r="C775" s="134"/>
      <c r="D775" s="135"/>
      <c r="E775" s="134" t="s">
        <v>398</v>
      </c>
      <c r="F775" s="135">
        <f t="shared" si="12"/>
        <v>3610000</v>
      </c>
      <c r="G775" s="136" t="s">
        <v>302</v>
      </c>
      <c r="H775" s="133" t="s">
        <v>323</v>
      </c>
      <c r="I775" s="134" t="s">
        <v>108</v>
      </c>
    </row>
    <row r="776" spans="1:9" x14ac:dyDescent="0.35">
      <c r="A776" s="144">
        <v>45737</v>
      </c>
      <c r="B776" s="135">
        <v>250000</v>
      </c>
      <c r="C776" s="134"/>
      <c r="D776" s="135"/>
      <c r="E776" s="134" t="s">
        <v>422</v>
      </c>
      <c r="F776" s="135">
        <f t="shared" si="12"/>
        <v>3360000</v>
      </c>
      <c r="G776" s="136" t="s">
        <v>462</v>
      </c>
      <c r="H776" s="133" t="s">
        <v>203</v>
      </c>
      <c r="I776" s="134" t="s">
        <v>108</v>
      </c>
    </row>
    <row r="777" spans="1:9" x14ac:dyDescent="0.35">
      <c r="A777" s="144">
        <v>45738</v>
      </c>
      <c r="B777" s="135">
        <v>250000</v>
      </c>
      <c r="C777" s="134"/>
      <c r="D777" s="135"/>
      <c r="E777" s="134" t="s">
        <v>422</v>
      </c>
      <c r="F777" s="135">
        <f t="shared" si="12"/>
        <v>3110000</v>
      </c>
      <c r="G777" s="136" t="s">
        <v>463</v>
      </c>
      <c r="H777" s="133" t="s">
        <v>322</v>
      </c>
      <c r="I777" s="134" t="s">
        <v>108</v>
      </c>
    </row>
    <row r="778" spans="1:9" x14ac:dyDescent="0.35">
      <c r="A778" s="144">
        <v>45739</v>
      </c>
      <c r="B778" s="135"/>
      <c r="C778" s="134"/>
      <c r="D778" s="135">
        <v>2000000</v>
      </c>
      <c r="E778" s="134" t="s">
        <v>422</v>
      </c>
      <c r="F778" s="135">
        <f t="shared" si="12"/>
        <v>5110000</v>
      </c>
      <c r="G778" s="136" t="s">
        <v>414</v>
      </c>
      <c r="H778" s="133" t="s">
        <v>109</v>
      </c>
      <c r="I778" s="134" t="s">
        <v>108</v>
      </c>
    </row>
    <row r="779" spans="1:9" x14ac:dyDescent="0.35">
      <c r="A779" s="144">
        <v>45739</v>
      </c>
      <c r="B779" s="135">
        <v>120000</v>
      </c>
      <c r="C779" s="134"/>
      <c r="D779" s="135"/>
      <c r="E779" s="134" t="s">
        <v>422</v>
      </c>
      <c r="F779" s="135">
        <f t="shared" si="12"/>
        <v>4990000</v>
      </c>
      <c r="G779" s="136" t="s">
        <v>464</v>
      </c>
      <c r="H779" s="133" t="s">
        <v>322</v>
      </c>
      <c r="I779" s="134" t="s">
        <v>108</v>
      </c>
    </row>
    <row r="780" spans="1:9" x14ac:dyDescent="0.35">
      <c r="A780" s="144">
        <v>45744</v>
      </c>
      <c r="B780" s="135">
        <v>500000</v>
      </c>
      <c r="C780" s="134"/>
      <c r="D780" s="135"/>
      <c r="E780" s="134" t="s">
        <v>422</v>
      </c>
      <c r="F780" s="135">
        <f t="shared" si="12"/>
        <v>4490000</v>
      </c>
      <c r="G780" s="136" t="s">
        <v>191</v>
      </c>
      <c r="H780" s="133" t="s">
        <v>323</v>
      </c>
      <c r="I780" s="134" t="s">
        <v>108</v>
      </c>
    </row>
    <row r="781" spans="1:9" x14ac:dyDescent="0.35">
      <c r="A781" s="6"/>
      <c r="B781" s="6"/>
      <c r="C781" s="6"/>
      <c r="D781" s="6"/>
      <c r="E781" s="6"/>
      <c r="F781" s="6"/>
      <c r="G781" s="6"/>
      <c r="H781" s="34"/>
      <c r="I781" s="34"/>
    </row>
    <row r="782" spans="1:9" x14ac:dyDescent="0.35">
      <c r="A782" s="100">
        <v>45716</v>
      </c>
      <c r="B782" s="101"/>
      <c r="C782" s="102"/>
      <c r="D782" s="101">
        <v>250000</v>
      </c>
      <c r="E782" s="102" t="s">
        <v>329</v>
      </c>
      <c r="F782" s="101">
        <f>+F780+D782-B782</f>
        <v>4740000</v>
      </c>
      <c r="G782" s="103" t="s">
        <v>377</v>
      </c>
      <c r="H782" s="104" t="s">
        <v>109</v>
      </c>
      <c r="I782" s="109" t="s">
        <v>374</v>
      </c>
    </row>
    <row r="783" spans="1:9" x14ac:dyDescent="0.35">
      <c r="A783" s="100">
        <v>45717</v>
      </c>
      <c r="B783" s="101"/>
      <c r="C783" s="102"/>
      <c r="D783" s="101">
        <v>2015000</v>
      </c>
      <c r="E783" s="102" t="s">
        <v>329</v>
      </c>
      <c r="F783" s="101">
        <f t="shared" si="12"/>
        <v>6755000</v>
      </c>
      <c r="G783" s="103" t="s">
        <v>377</v>
      </c>
      <c r="H783" s="104" t="s">
        <v>109</v>
      </c>
      <c r="I783" s="109" t="s">
        <v>374</v>
      </c>
    </row>
    <row r="784" spans="1:9" x14ac:dyDescent="0.35">
      <c r="A784" s="100">
        <v>45718</v>
      </c>
      <c r="B784" s="101"/>
      <c r="C784" s="102"/>
      <c r="D784" s="101">
        <v>1100000</v>
      </c>
      <c r="E784" s="102" t="s">
        <v>329</v>
      </c>
      <c r="F784" s="101">
        <f t="shared" si="12"/>
        <v>7855000</v>
      </c>
      <c r="G784" s="103" t="s">
        <v>377</v>
      </c>
      <c r="H784" s="104" t="s">
        <v>109</v>
      </c>
      <c r="I784" s="109" t="s">
        <v>374</v>
      </c>
    </row>
    <row r="785" spans="1:9" x14ac:dyDescent="0.35">
      <c r="A785" s="100">
        <v>45719</v>
      </c>
      <c r="B785" s="101"/>
      <c r="C785" s="102"/>
      <c r="D785" s="101">
        <v>1920000</v>
      </c>
      <c r="E785" s="102" t="s">
        <v>329</v>
      </c>
      <c r="F785" s="101">
        <f t="shared" si="12"/>
        <v>9775000</v>
      </c>
      <c r="G785" s="103" t="s">
        <v>377</v>
      </c>
      <c r="H785" s="104" t="s">
        <v>109</v>
      </c>
      <c r="I785" s="109" t="s">
        <v>374</v>
      </c>
    </row>
    <row r="786" spans="1:9" x14ac:dyDescent="0.35">
      <c r="A786" s="100">
        <v>45720</v>
      </c>
      <c r="B786" s="101"/>
      <c r="C786" s="102"/>
      <c r="D786" s="101">
        <v>836000</v>
      </c>
      <c r="E786" s="102" t="s">
        <v>329</v>
      </c>
      <c r="F786" s="101">
        <f t="shared" si="12"/>
        <v>10611000</v>
      </c>
      <c r="G786" s="103" t="s">
        <v>377</v>
      </c>
      <c r="H786" s="104" t="s">
        <v>109</v>
      </c>
      <c r="I786" s="109" t="s">
        <v>374</v>
      </c>
    </row>
    <row r="787" spans="1:9" x14ac:dyDescent="0.35">
      <c r="A787" s="100">
        <v>45721</v>
      </c>
      <c r="B787" s="101"/>
      <c r="C787" s="102"/>
      <c r="D787" s="101">
        <v>1450000</v>
      </c>
      <c r="E787" s="102" t="s">
        <v>329</v>
      </c>
      <c r="F787" s="101">
        <f t="shared" si="12"/>
        <v>12061000</v>
      </c>
      <c r="G787" s="103" t="s">
        <v>377</v>
      </c>
      <c r="H787" s="104" t="s">
        <v>109</v>
      </c>
      <c r="I787" s="109" t="s">
        <v>374</v>
      </c>
    </row>
    <row r="788" spans="1:9" x14ac:dyDescent="0.35">
      <c r="A788" s="100">
        <v>45722</v>
      </c>
      <c r="B788" s="101"/>
      <c r="C788" s="102"/>
      <c r="D788" s="101">
        <v>1507000</v>
      </c>
      <c r="E788" s="102" t="s">
        <v>329</v>
      </c>
      <c r="F788" s="101">
        <f t="shared" si="12"/>
        <v>13568000</v>
      </c>
      <c r="G788" s="103" t="s">
        <v>377</v>
      </c>
      <c r="H788" s="104" t="s">
        <v>109</v>
      </c>
      <c r="I788" s="109" t="s">
        <v>374</v>
      </c>
    </row>
    <row r="789" spans="1:9" x14ac:dyDescent="0.35">
      <c r="A789" s="100">
        <v>45716</v>
      </c>
      <c r="B789" s="101">
        <v>410000</v>
      </c>
      <c r="C789" s="102"/>
      <c r="D789" s="101"/>
      <c r="E789" s="102" t="s">
        <v>329</v>
      </c>
      <c r="F789" s="101">
        <f t="shared" si="12"/>
        <v>13158000</v>
      </c>
      <c r="G789" s="103" t="s">
        <v>376</v>
      </c>
      <c r="H789" s="104" t="s">
        <v>323</v>
      </c>
      <c r="I789" s="109" t="s">
        <v>374</v>
      </c>
    </row>
    <row r="790" spans="1:9" x14ac:dyDescent="0.35">
      <c r="A790" s="100">
        <v>45717</v>
      </c>
      <c r="B790" s="101">
        <v>860000</v>
      </c>
      <c r="C790" s="102"/>
      <c r="D790" s="101"/>
      <c r="E790" s="102" t="s">
        <v>329</v>
      </c>
      <c r="F790" s="101">
        <f t="shared" si="12"/>
        <v>12298000</v>
      </c>
      <c r="G790" s="103" t="s">
        <v>378</v>
      </c>
      <c r="H790" s="104" t="s">
        <v>323</v>
      </c>
      <c r="I790" s="109" t="s">
        <v>374</v>
      </c>
    </row>
    <row r="791" spans="1:9" x14ac:dyDescent="0.35">
      <c r="A791" s="100">
        <v>45718</v>
      </c>
      <c r="B791" s="101">
        <v>860000</v>
      </c>
      <c r="C791" s="102"/>
      <c r="D791" s="101"/>
      <c r="E791" s="102" t="s">
        <v>329</v>
      </c>
      <c r="F791" s="101">
        <f t="shared" si="12"/>
        <v>11438000</v>
      </c>
      <c r="G791" s="103" t="s">
        <v>378</v>
      </c>
      <c r="H791" s="104" t="s">
        <v>323</v>
      </c>
      <c r="I791" s="109" t="s">
        <v>374</v>
      </c>
    </row>
    <row r="792" spans="1:9" x14ac:dyDescent="0.35">
      <c r="A792" s="100">
        <v>45719</v>
      </c>
      <c r="B792" s="101">
        <v>510000</v>
      </c>
      <c r="C792" s="102"/>
      <c r="D792" s="101"/>
      <c r="E792" s="102" t="s">
        <v>329</v>
      </c>
      <c r="F792" s="101">
        <f t="shared" si="12"/>
        <v>10928000</v>
      </c>
      <c r="G792" s="103" t="s">
        <v>375</v>
      </c>
      <c r="H792" s="104" t="s">
        <v>323</v>
      </c>
      <c r="I792" s="109" t="s">
        <v>374</v>
      </c>
    </row>
    <row r="793" spans="1:9" x14ac:dyDescent="0.35">
      <c r="A793" s="100">
        <v>45720</v>
      </c>
      <c r="B793" s="101">
        <v>510000</v>
      </c>
      <c r="C793" s="102"/>
      <c r="D793" s="101"/>
      <c r="E793" s="102" t="s">
        <v>329</v>
      </c>
      <c r="F793" s="101">
        <f t="shared" si="12"/>
        <v>10418000</v>
      </c>
      <c r="G793" s="103" t="s">
        <v>375</v>
      </c>
      <c r="H793" s="104" t="s">
        <v>323</v>
      </c>
      <c r="I793" s="109" t="s">
        <v>374</v>
      </c>
    </row>
    <row r="794" spans="1:9" x14ac:dyDescent="0.35">
      <c r="A794" s="100">
        <v>45721</v>
      </c>
      <c r="B794" s="101">
        <v>510000</v>
      </c>
      <c r="C794" s="102"/>
      <c r="D794" s="101"/>
      <c r="E794" s="102" t="s">
        <v>329</v>
      </c>
      <c r="F794" s="101">
        <f t="shared" si="12"/>
        <v>9908000</v>
      </c>
      <c r="G794" s="103" t="s">
        <v>375</v>
      </c>
      <c r="H794" s="104" t="s">
        <v>323</v>
      </c>
      <c r="I794" s="109" t="s">
        <v>374</v>
      </c>
    </row>
    <row r="795" spans="1:9" x14ac:dyDescent="0.35">
      <c r="A795" s="100">
        <v>45722</v>
      </c>
      <c r="B795" s="101">
        <v>860000</v>
      </c>
      <c r="C795" s="102"/>
      <c r="D795" s="101"/>
      <c r="E795" s="102" t="s">
        <v>329</v>
      </c>
      <c r="F795" s="101">
        <f t="shared" si="12"/>
        <v>9048000</v>
      </c>
      <c r="G795" s="103" t="s">
        <v>378</v>
      </c>
      <c r="H795" s="104" t="s">
        <v>323</v>
      </c>
      <c r="I795" s="109" t="s">
        <v>374</v>
      </c>
    </row>
    <row r="796" spans="1:9" x14ac:dyDescent="0.35">
      <c r="A796" s="100">
        <v>45723</v>
      </c>
      <c r="B796" s="101"/>
      <c r="C796" s="102"/>
      <c r="D796" s="101">
        <v>1601000</v>
      </c>
      <c r="E796" s="102" t="s">
        <v>367</v>
      </c>
      <c r="F796" s="101">
        <f t="shared" si="12"/>
        <v>10649000</v>
      </c>
      <c r="G796" s="103" t="s">
        <v>377</v>
      </c>
      <c r="H796" s="104" t="s">
        <v>109</v>
      </c>
      <c r="I796" s="109" t="s">
        <v>374</v>
      </c>
    </row>
    <row r="797" spans="1:9" x14ac:dyDescent="0.35">
      <c r="A797" s="100">
        <v>45724</v>
      </c>
      <c r="B797" s="101"/>
      <c r="C797" s="102"/>
      <c r="D797" s="101">
        <v>1636000</v>
      </c>
      <c r="E797" s="102" t="s">
        <v>367</v>
      </c>
      <c r="F797" s="101">
        <f t="shared" si="12"/>
        <v>12285000</v>
      </c>
      <c r="G797" s="103" t="s">
        <v>377</v>
      </c>
      <c r="H797" s="104" t="s">
        <v>109</v>
      </c>
      <c r="I797" s="109" t="s">
        <v>374</v>
      </c>
    </row>
    <row r="798" spans="1:9" x14ac:dyDescent="0.35">
      <c r="A798" s="100">
        <v>45725</v>
      </c>
      <c r="B798" s="101"/>
      <c r="C798" s="102"/>
      <c r="D798" s="101">
        <v>1589000</v>
      </c>
      <c r="E798" s="102" t="s">
        <v>367</v>
      </c>
      <c r="F798" s="101">
        <f t="shared" si="12"/>
        <v>13874000</v>
      </c>
      <c r="G798" s="103" t="s">
        <v>377</v>
      </c>
      <c r="H798" s="104" t="s">
        <v>109</v>
      </c>
      <c r="I798" s="109" t="s">
        <v>374</v>
      </c>
    </row>
    <row r="799" spans="1:9" x14ac:dyDescent="0.35">
      <c r="A799" s="100">
        <v>45726</v>
      </c>
      <c r="B799" s="101"/>
      <c r="C799" s="102"/>
      <c r="D799" s="101">
        <v>1210000</v>
      </c>
      <c r="E799" s="102" t="s">
        <v>367</v>
      </c>
      <c r="F799" s="101">
        <f t="shared" si="12"/>
        <v>15084000</v>
      </c>
      <c r="G799" s="103" t="s">
        <v>377</v>
      </c>
      <c r="H799" s="104" t="s">
        <v>109</v>
      </c>
      <c r="I799" s="109" t="s">
        <v>374</v>
      </c>
    </row>
    <row r="800" spans="1:9" x14ac:dyDescent="0.35">
      <c r="A800" s="100">
        <v>45726</v>
      </c>
      <c r="B800" s="101">
        <v>4558000</v>
      </c>
      <c r="C800" s="102"/>
      <c r="D800" s="101"/>
      <c r="E800" s="102" t="s">
        <v>367</v>
      </c>
      <c r="F800" s="101">
        <f t="shared" si="12"/>
        <v>10526000</v>
      </c>
      <c r="G800" s="103" t="s">
        <v>379</v>
      </c>
      <c r="H800" s="104" t="s">
        <v>320</v>
      </c>
      <c r="I800" s="109" t="s">
        <v>374</v>
      </c>
    </row>
    <row r="801" spans="1:9" x14ac:dyDescent="0.35">
      <c r="A801" s="100">
        <v>45723</v>
      </c>
      <c r="B801" s="101">
        <v>510000</v>
      </c>
      <c r="C801" s="102"/>
      <c r="D801" s="101"/>
      <c r="E801" s="102" t="s">
        <v>367</v>
      </c>
      <c r="F801" s="101">
        <f t="shared" si="12"/>
        <v>10016000</v>
      </c>
      <c r="G801" s="103" t="s">
        <v>375</v>
      </c>
      <c r="H801" s="104" t="s">
        <v>323</v>
      </c>
      <c r="I801" s="109" t="s">
        <v>374</v>
      </c>
    </row>
    <row r="802" spans="1:9" x14ac:dyDescent="0.35">
      <c r="A802" s="100">
        <v>45724</v>
      </c>
      <c r="B802" s="101">
        <v>860000</v>
      </c>
      <c r="C802" s="102"/>
      <c r="D802" s="101"/>
      <c r="E802" s="102" t="s">
        <v>367</v>
      </c>
      <c r="F802" s="101">
        <f t="shared" si="12"/>
        <v>9156000</v>
      </c>
      <c r="G802" s="103" t="s">
        <v>378</v>
      </c>
      <c r="H802" s="104" t="s">
        <v>323</v>
      </c>
      <c r="I802" s="109" t="s">
        <v>374</v>
      </c>
    </row>
    <row r="803" spans="1:9" x14ac:dyDescent="0.35">
      <c r="A803" s="100">
        <v>45725</v>
      </c>
      <c r="B803" s="101">
        <v>860000</v>
      </c>
      <c r="C803" s="102"/>
      <c r="D803" s="101"/>
      <c r="E803" s="102" t="s">
        <v>367</v>
      </c>
      <c r="F803" s="101">
        <f t="shared" si="12"/>
        <v>8296000</v>
      </c>
      <c r="G803" s="103" t="s">
        <v>378</v>
      </c>
      <c r="H803" s="104" t="s">
        <v>323</v>
      </c>
      <c r="I803" s="109" t="s">
        <v>374</v>
      </c>
    </row>
    <row r="804" spans="1:9" x14ac:dyDescent="0.35">
      <c r="A804" s="100">
        <v>45726</v>
      </c>
      <c r="B804" s="101">
        <v>510000</v>
      </c>
      <c r="C804" s="102"/>
      <c r="D804" s="101"/>
      <c r="E804" s="102" t="s">
        <v>367</v>
      </c>
      <c r="F804" s="101">
        <f t="shared" si="12"/>
        <v>7786000</v>
      </c>
      <c r="G804" s="103" t="s">
        <v>375</v>
      </c>
      <c r="H804" s="104" t="s">
        <v>323</v>
      </c>
      <c r="I804" s="109" t="s">
        <v>374</v>
      </c>
    </row>
    <row r="805" spans="1:9" x14ac:dyDescent="0.35">
      <c r="A805" s="100">
        <v>45727</v>
      </c>
      <c r="B805" s="101"/>
      <c r="C805" s="102"/>
      <c r="D805" s="101">
        <v>1608000</v>
      </c>
      <c r="E805" s="102" t="s">
        <v>367</v>
      </c>
      <c r="F805" s="101">
        <f t="shared" si="12"/>
        <v>9394000</v>
      </c>
      <c r="G805" s="103" t="s">
        <v>377</v>
      </c>
      <c r="H805" s="104" t="s">
        <v>109</v>
      </c>
      <c r="I805" s="109" t="s">
        <v>374</v>
      </c>
    </row>
    <row r="806" spans="1:9" x14ac:dyDescent="0.35">
      <c r="A806" s="100">
        <v>45728</v>
      </c>
      <c r="B806" s="101"/>
      <c r="C806" s="102"/>
      <c r="D806" s="101">
        <v>1404000</v>
      </c>
      <c r="E806" s="102" t="s">
        <v>367</v>
      </c>
      <c r="F806" s="101">
        <f t="shared" si="12"/>
        <v>10798000</v>
      </c>
      <c r="G806" s="103" t="s">
        <v>377</v>
      </c>
      <c r="H806" s="104" t="s">
        <v>109</v>
      </c>
      <c r="I806" s="109" t="s">
        <v>374</v>
      </c>
    </row>
    <row r="807" spans="1:9" x14ac:dyDescent="0.35">
      <c r="A807" s="100">
        <v>45729</v>
      </c>
      <c r="B807" s="101"/>
      <c r="C807" s="102"/>
      <c r="D807" s="101">
        <v>1150000</v>
      </c>
      <c r="E807" s="102" t="s">
        <v>367</v>
      </c>
      <c r="F807" s="101">
        <f t="shared" si="12"/>
        <v>11948000</v>
      </c>
      <c r="G807" s="103" t="s">
        <v>377</v>
      </c>
      <c r="H807" s="104" t="s">
        <v>109</v>
      </c>
      <c r="I807" s="109" t="s">
        <v>374</v>
      </c>
    </row>
    <row r="808" spans="1:9" x14ac:dyDescent="0.35">
      <c r="A808" s="100">
        <v>45727</v>
      </c>
      <c r="B808" s="101">
        <v>510000</v>
      </c>
      <c r="C808" s="102"/>
      <c r="D808" s="101"/>
      <c r="E808" s="102" t="s">
        <v>367</v>
      </c>
      <c r="F808" s="101">
        <f t="shared" si="12"/>
        <v>11438000</v>
      </c>
      <c r="G808" s="103" t="s">
        <v>375</v>
      </c>
      <c r="H808" s="104" t="s">
        <v>323</v>
      </c>
      <c r="I808" s="109" t="s">
        <v>374</v>
      </c>
    </row>
    <row r="809" spans="1:9" x14ac:dyDescent="0.35">
      <c r="A809" s="100">
        <v>45728</v>
      </c>
      <c r="B809" s="101">
        <v>510000</v>
      </c>
      <c r="C809" s="102"/>
      <c r="D809" s="101"/>
      <c r="E809" s="102" t="s">
        <v>367</v>
      </c>
      <c r="F809" s="101">
        <f t="shared" si="12"/>
        <v>10928000</v>
      </c>
      <c r="G809" s="103" t="s">
        <v>375</v>
      </c>
      <c r="H809" s="104" t="s">
        <v>323</v>
      </c>
      <c r="I809" s="109" t="s">
        <v>374</v>
      </c>
    </row>
    <row r="810" spans="1:9" x14ac:dyDescent="0.35">
      <c r="A810" s="100">
        <v>45729</v>
      </c>
      <c r="B810" s="101">
        <v>860000</v>
      </c>
      <c r="C810" s="102"/>
      <c r="D810" s="101"/>
      <c r="E810" s="102" t="s">
        <v>367</v>
      </c>
      <c r="F810" s="101">
        <f t="shared" si="12"/>
        <v>10068000</v>
      </c>
      <c r="G810" s="103" t="s">
        <v>378</v>
      </c>
      <c r="H810" s="104" t="s">
        <v>323</v>
      </c>
      <c r="I810" s="109" t="s">
        <v>374</v>
      </c>
    </row>
    <row r="811" spans="1:9" x14ac:dyDescent="0.35">
      <c r="A811" s="100">
        <v>45730</v>
      </c>
      <c r="B811" s="101"/>
      <c r="C811" s="102"/>
      <c r="D811" s="101">
        <v>1120000</v>
      </c>
      <c r="E811" s="102" t="s">
        <v>398</v>
      </c>
      <c r="F811" s="101">
        <f t="shared" si="12"/>
        <v>11188000</v>
      </c>
      <c r="G811" s="103" t="s">
        <v>377</v>
      </c>
      <c r="H811" s="104" t="s">
        <v>109</v>
      </c>
      <c r="I811" s="109" t="s">
        <v>374</v>
      </c>
    </row>
    <row r="812" spans="1:9" x14ac:dyDescent="0.35">
      <c r="A812" s="100">
        <v>45731</v>
      </c>
      <c r="B812" s="101"/>
      <c r="C812" s="102"/>
      <c r="D812" s="101">
        <v>1147000</v>
      </c>
      <c r="E812" s="102" t="s">
        <v>398</v>
      </c>
      <c r="F812" s="101">
        <f t="shared" ref="F812:F847" si="13">+F811+D812-B812</f>
        <v>12335000</v>
      </c>
      <c r="G812" s="103" t="s">
        <v>377</v>
      </c>
      <c r="H812" s="104" t="s">
        <v>109</v>
      </c>
      <c r="I812" s="109" t="s">
        <v>374</v>
      </c>
    </row>
    <row r="813" spans="1:9" x14ac:dyDescent="0.35">
      <c r="A813" s="100">
        <v>45732</v>
      </c>
      <c r="B813" s="101"/>
      <c r="C813" s="102"/>
      <c r="D813" s="101">
        <v>1107000</v>
      </c>
      <c r="E813" s="102" t="s">
        <v>398</v>
      </c>
      <c r="F813" s="101">
        <f t="shared" si="13"/>
        <v>13442000</v>
      </c>
      <c r="G813" s="103" t="s">
        <v>377</v>
      </c>
      <c r="H813" s="104" t="s">
        <v>109</v>
      </c>
      <c r="I813" s="109" t="s">
        <v>374</v>
      </c>
    </row>
    <row r="814" spans="1:9" x14ac:dyDescent="0.35">
      <c r="A814" s="100">
        <v>45733</v>
      </c>
      <c r="B814" s="101"/>
      <c r="C814" s="102"/>
      <c r="D814" s="101">
        <v>1140000</v>
      </c>
      <c r="E814" s="102" t="s">
        <v>398</v>
      </c>
      <c r="F814" s="101">
        <f t="shared" si="13"/>
        <v>14582000</v>
      </c>
      <c r="G814" s="103" t="s">
        <v>377</v>
      </c>
      <c r="H814" s="104" t="s">
        <v>109</v>
      </c>
      <c r="I814" s="109" t="s">
        <v>374</v>
      </c>
    </row>
    <row r="815" spans="1:9" x14ac:dyDescent="0.35">
      <c r="A815" s="100">
        <v>45734</v>
      </c>
      <c r="B815" s="101"/>
      <c r="C815" s="102"/>
      <c r="D815" s="101">
        <v>1086000</v>
      </c>
      <c r="E815" s="102" t="s">
        <v>398</v>
      </c>
      <c r="F815" s="101">
        <f t="shared" si="13"/>
        <v>15668000</v>
      </c>
      <c r="G815" s="103" t="s">
        <v>377</v>
      </c>
      <c r="H815" s="104" t="s">
        <v>109</v>
      </c>
      <c r="I815" s="109" t="s">
        <v>374</v>
      </c>
    </row>
    <row r="816" spans="1:9" x14ac:dyDescent="0.35">
      <c r="A816" s="100">
        <v>45735</v>
      </c>
      <c r="B816" s="101"/>
      <c r="C816" s="102"/>
      <c r="D816" s="101">
        <v>1217000</v>
      </c>
      <c r="E816" s="102" t="s">
        <v>398</v>
      </c>
      <c r="F816" s="101">
        <f t="shared" si="13"/>
        <v>16885000</v>
      </c>
      <c r="G816" s="103" t="s">
        <v>377</v>
      </c>
      <c r="H816" s="104" t="s">
        <v>109</v>
      </c>
      <c r="I816" s="109" t="s">
        <v>374</v>
      </c>
    </row>
    <row r="817" spans="1:9" x14ac:dyDescent="0.35">
      <c r="A817" s="100">
        <v>45736</v>
      </c>
      <c r="B817" s="101"/>
      <c r="C817" s="102"/>
      <c r="D817" s="101">
        <v>1650000</v>
      </c>
      <c r="E817" s="102" t="s">
        <v>398</v>
      </c>
      <c r="F817" s="101">
        <f t="shared" si="13"/>
        <v>18535000</v>
      </c>
      <c r="G817" s="103" t="s">
        <v>377</v>
      </c>
      <c r="H817" s="104" t="s">
        <v>109</v>
      </c>
      <c r="I817" s="109" t="s">
        <v>374</v>
      </c>
    </row>
    <row r="818" spans="1:9" x14ac:dyDescent="0.35">
      <c r="A818" s="100">
        <v>45737</v>
      </c>
      <c r="B818" s="101"/>
      <c r="C818" s="102"/>
      <c r="D818" s="101">
        <v>1104000</v>
      </c>
      <c r="E818" s="102" t="s">
        <v>422</v>
      </c>
      <c r="F818" s="101">
        <f t="shared" si="13"/>
        <v>19639000</v>
      </c>
      <c r="G818" s="103" t="s">
        <v>377</v>
      </c>
      <c r="H818" s="104" t="s">
        <v>109</v>
      </c>
      <c r="I818" s="109" t="s">
        <v>374</v>
      </c>
    </row>
    <row r="819" spans="1:9" x14ac:dyDescent="0.35">
      <c r="A819" s="100">
        <v>45738</v>
      </c>
      <c r="B819" s="101"/>
      <c r="C819" s="102"/>
      <c r="D819" s="101">
        <v>1750000</v>
      </c>
      <c r="E819" s="102" t="s">
        <v>422</v>
      </c>
      <c r="F819" s="101">
        <f t="shared" si="13"/>
        <v>21389000</v>
      </c>
      <c r="G819" s="103" t="s">
        <v>377</v>
      </c>
      <c r="H819" s="104" t="s">
        <v>109</v>
      </c>
      <c r="I819" s="109" t="s">
        <v>374</v>
      </c>
    </row>
    <row r="820" spans="1:9" x14ac:dyDescent="0.35">
      <c r="A820" s="100">
        <v>45739</v>
      </c>
      <c r="B820" s="101"/>
      <c r="C820" s="102"/>
      <c r="D820" s="101">
        <v>1602000</v>
      </c>
      <c r="E820" s="102" t="s">
        <v>422</v>
      </c>
      <c r="F820" s="101">
        <f t="shared" si="13"/>
        <v>22991000</v>
      </c>
      <c r="G820" s="103" t="s">
        <v>377</v>
      </c>
      <c r="H820" s="104" t="s">
        <v>109</v>
      </c>
      <c r="I820" s="109" t="s">
        <v>374</v>
      </c>
    </row>
    <row r="821" spans="1:9" x14ac:dyDescent="0.35">
      <c r="A821" s="100">
        <v>45740</v>
      </c>
      <c r="B821" s="101"/>
      <c r="C821" s="102"/>
      <c r="D821" s="101">
        <v>1564000</v>
      </c>
      <c r="E821" s="102" t="s">
        <v>422</v>
      </c>
      <c r="F821" s="101">
        <f t="shared" si="13"/>
        <v>24555000</v>
      </c>
      <c r="G821" s="103" t="s">
        <v>377</v>
      </c>
      <c r="H821" s="104" t="s">
        <v>109</v>
      </c>
      <c r="I821" s="109" t="s">
        <v>374</v>
      </c>
    </row>
    <row r="822" spans="1:9" x14ac:dyDescent="0.35">
      <c r="A822" s="100">
        <v>45741</v>
      </c>
      <c r="B822" s="101"/>
      <c r="C822" s="102"/>
      <c r="D822" s="101">
        <v>1338000</v>
      </c>
      <c r="E822" s="102" t="s">
        <v>422</v>
      </c>
      <c r="F822" s="101">
        <f t="shared" si="13"/>
        <v>25893000</v>
      </c>
      <c r="G822" s="103" t="s">
        <v>377</v>
      </c>
      <c r="H822" s="104" t="s">
        <v>109</v>
      </c>
      <c r="I822" s="109" t="s">
        <v>374</v>
      </c>
    </row>
    <row r="823" spans="1:9" x14ac:dyDescent="0.35">
      <c r="A823" s="100">
        <v>45742</v>
      </c>
      <c r="B823" s="101"/>
      <c r="C823" s="102"/>
      <c r="D823" s="101">
        <v>2380000</v>
      </c>
      <c r="E823" s="102" t="s">
        <v>422</v>
      </c>
      <c r="F823" s="101">
        <f t="shared" si="13"/>
        <v>28273000</v>
      </c>
      <c r="G823" s="103" t="s">
        <v>377</v>
      </c>
      <c r="H823" s="104" t="s">
        <v>109</v>
      </c>
      <c r="I823" s="109" t="s">
        <v>374</v>
      </c>
    </row>
    <row r="824" spans="1:9" x14ac:dyDescent="0.35">
      <c r="A824" s="100">
        <v>45743</v>
      </c>
      <c r="B824" s="101"/>
      <c r="C824" s="102"/>
      <c r="D824" s="101">
        <v>1784000</v>
      </c>
      <c r="E824" s="102" t="s">
        <v>422</v>
      </c>
      <c r="F824" s="101">
        <f>+F823+D824-B824</f>
        <v>30057000</v>
      </c>
      <c r="G824" s="103" t="s">
        <v>377</v>
      </c>
      <c r="H824" s="104" t="s">
        <v>109</v>
      </c>
      <c r="I824" s="109" t="s">
        <v>374</v>
      </c>
    </row>
    <row r="825" spans="1:9" x14ac:dyDescent="0.35">
      <c r="A825" s="100">
        <v>45730</v>
      </c>
      <c r="B825" s="101">
        <v>510000</v>
      </c>
      <c r="C825" s="102"/>
      <c r="D825" s="101"/>
      <c r="E825" s="102" t="s">
        <v>398</v>
      </c>
      <c r="F825" s="101">
        <f>+F824+D825-B825</f>
        <v>29547000</v>
      </c>
      <c r="G825" s="103" t="s">
        <v>375</v>
      </c>
      <c r="H825" s="104" t="s">
        <v>323</v>
      </c>
      <c r="I825" s="109" t="s">
        <v>374</v>
      </c>
    </row>
    <row r="826" spans="1:9" x14ac:dyDescent="0.35">
      <c r="A826" s="100">
        <v>45731</v>
      </c>
      <c r="B826" s="101">
        <v>510000</v>
      </c>
      <c r="C826" s="102"/>
      <c r="D826" s="101"/>
      <c r="E826" s="102" t="s">
        <v>398</v>
      </c>
      <c r="F826" s="101">
        <f t="shared" si="13"/>
        <v>29037000</v>
      </c>
      <c r="G826" s="103" t="s">
        <v>375</v>
      </c>
      <c r="H826" s="104" t="s">
        <v>323</v>
      </c>
      <c r="I826" s="109" t="s">
        <v>374</v>
      </c>
    </row>
    <row r="827" spans="1:9" x14ac:dyDescent="0.35">
      <c r="A827" s="100">
        <v>45732</v>
      </c>
      <c r="B827" s="101">
        <v>700000</v>
      </c>
      <c r="C827" s="102"/>
      <c r="D827" s="101"/>
      <c r="E827" s="102" t="s">
        <v>398</v>
      </c>
      <c r="F827" s="101">
        <f t="shared" si="13"/>
        <v>28337000</v>
      </c>
      <c r="G827" s="103" t="s">
        <v>418</v>
      </c>
      <c r="H827" s="104" t="s">
        <v>323</v>
      </c>
      <c r="I827" s="109" t="s">
        <v>374</v>
      </c>
    </row>
    <row r="828" spans="1:9" x14ac:dyDescent="0.35">
      <c r="A828" s="100">
        <v>45733</v>
      </c>
      <c r="B828" s="101">
        <v>350000</v>
      </c>
      <c r="C828" s="102"/>
      <c r="D828" s="101"/>
      <c r="E828" s="102" t="s">
        <v>398</v>
      </c>
      <c r="F828" s="101">
        <f t="shared" si="13"/>
        <v>27987000</v>
      </c>
      <c r="G828" s="103" t="s">
        <v>419</v>
      </c>
      <c r="H828" s="104" t="s">
        <v>323</v>
      </c>
      <c r="I828" s="109" t="s">
        <v>374</v>
      </c>
    </row>
    <row r="829" spans="1:9" x14ac:dyDescent="0.35">
      <c r="A829" s="100">
        <v>45734</v>
      </c>
      <c r="B829" s="101">
        <v>350000</v>
      </c>
      <c r="C829" s="102"/>
      <c r="D829" s="101"/>
      <c r="E829" s="102" t="s">
        <v>398</v>
      </c>
      <c r="F829" s="101">
        <f>+F828+D829-B829</f>
        <v>27637000</v>
      </c>
      <c r="G829" s="103" t="s">
        <v>419</v>
      </c>
      <c r="H829" s="104" t="s">
        <v>323</v>
      </c>
      <c r="I829" s="109" t="s">
        <v>374</v>
      </c>
    </row>
    <row r="830" spans="1:9" x14ac:dyDescent="0.35">
      <c r="A830" s="100">
        <v>45735</v>
      </c>
      <c r="B830" s="101">
        <v>350000</v>
      </c>
      <c r="C830" s="102"/>
      <c r="D830" s="101"/>
      <c r="E830" s="102" t="s">
        <v>398</v>
      </c>
      <c r="F830" s="101">
        <f t="shared" si="13"/>
        <v>27287000</v>
      </c>
      <c r="G830" s="103" t="s">
        <v>419</v>
      </c>
      <c r="H830" s="104" t="s">
        <v>323</v>
      </c>
      <c r="I830" s="109" t="s">
        <v>374</v>
      </c>
    </row>
    <row r="831" spans="1:9" x14ac:dyDescent="0.35">
      <c r="A831" s="100">
        <v>45736</v>
      </c>
      <c r="B831" s="101">
        <v>700000</v>
      </c>
      <c r="C831" s="102"/>
      <c r="D831" s="101"/>
      <c r="E831" s="102" t="s">
        <v>398</v>
      </c>
      <c r="F831" s="101">
        <f t="shared" si="13"/>
        <v>26587000</v>
      </c>
      <c r="G831" s="103" t="s">
        <v>418</v>
      </c>
      <c r="H831" s="104" t="s">
        <v>323</v>
      </c>
      <c r="I831" s="109" t="s">
        <v>374</v>
      </c>
    </row>
    <row r="832" spans="1:9" x14ac:dyDescent="0.35">
      <c r="A832" s="100">
        <v>45733</v>
      </c>
      <c r="B832" s="101">
        <v>5578000</v>
      </c>
      <c r="C832" s="102"/>
      <c r="D832" s="101"/>
      <c r="E832" s="102" t="s">
        <v>398</v>
      </c>
      <c r="F832" s="101">
        <f t="shared" si="13"/>
        <v>21009000</v>
      </c>
      <c r="G832" s="103" t="s">
        <v>379</v>
      </c>
      <c r="H832" s="104" t="s">
        <v>320</v>
      </c>
      <c r="I832" s="109" t="s">
        <v>374</v>
      </c>
    </row>
    <row r="833" spans="1:9" x14ac:dyDescent="0.35">
      <c r="A833" s="100">
        <v>45737</v>
      </c>
      <c r="B833" s="101">
        <v>350000</v>
      </c>
      <c r="C833" s="102"/>
      <c r="D833" s="101"/>
      <c r="E833" s="102" t="s">
        <v>422</v>
      </c>
      <c r="F833" s="101">
        <f t="shared" si="13"/>
        <v>20659000</v>
      </c>
      <c r="G833" s="103" t="s">
        <v>419</v>
      </c>
      <c r="H833" s="104" t="s">
        <v>323</v>
      </c>
      <c r="I833" s="109" t="s">
        <v>374</v>
      </c>
    </row>
    <row r="834" spans="1:9" x14ac:dyDescent="0.35">
      <c r="A834" s="100">
        <v>45738</v>
      </c>
      <c r="B834" s="101">
        <v>700000</v>
      </c>
      <c r="C834" s="102"/>
      <c r="D834" s="101"/>
      <c r="E834" s="102" t="s">
        <v>422</v>
      </c>
      <c r="F834" s="101">
        <f t="shared" si="13"/>
        <v>19959000</v>
      </c>
      <c r="G834" s="103" t="s">
        <v>418</v>
      </c>
      <c r="H834" s="104" t="s">
        <v>323</v>
      </c>
      <c r="I834" s="109" t="s">
        <v>374</v>
      </c>
    </row>
    <row r="835" spans="1:9" x14ac:dyDescent="0.35">
      <c r="A835" s="100">
        <v>45739</v>
      </c>
      <c r="B835" s="101">
        <v>700000</v>
      </c>
      <c r="C835" s="102"/>
      <c r="D835" s="101"/>
      <c r="E835" s="102" t="s">
        <v>422</v>
      </c>
      <c r="F835" s="101">
        <f t="shared" si="13"/>
        <v>19259000</v>
      </c>
      <c r="G835" s="103" t="s">
        <v>418</v>
      </c>
      <c r="H835" s="104" t="s">
        <v>323</v>
      </c>
      <c r="I835" s="109" t="s">
        <v>374</v>
      </c>
    </row>
    <row r="836" spans="1:9" x14ac:dyDescent="0.35">
      <c r="A836" s="100">
        <v>45740</v>
      </c>
      <c r="B836" s="101">
        <v>350000</v>
      </c>
      <c r="C836" s="102"/>
      <c r="D836" s="101"/>
      <c r="E836" s="102" t="s">
        <v>422</v>
      </c>
      <c r="F836" s="101">
        <f t="shared" si="13"/>
        <v>18909000</v>
      </c>
      <c r="G836" s="103" t="s">
        <v>419</v>
      </c>
      <c r="H836" s="104" t="s">
        <v>323</v>
      </c>
      <c r="I836" s="109" t="s">
        <v>374</v>
      </c>
    </row>
    <row r="837" spans="1:9" x14ac:dyDescent="0.35">
      <c r="A837" s="100">
        <v>45741</v>
      </c>
      <c r="B837" s="101">
        <v>350000</v>
      </c>
      <c r="C837" s="102"/>
      <c r="D837" s="101"/>
      <c r="E837" s="102" t="s">
        <v>422</v>
      </c>
      <c r="F837" s="101">
        <f t="shared" si="13"/>
        <v>18559000</v>
      </c>
      <c r="G837" s="103" t="s">
        <v>419</v>
      </c>
      <c r="H837" s="104" t="s">
        <v>323</v>
      </c>
      <c r="I837" s="109" t="s">
        <v>374</v>
      </c>
    </row>
    <row r="838" spans="1:9" x14ac:dyDescent="0.35">
      <c r="A838" s="100">
        <v>45742</v>
      </c>
      <c r="B838" s="101">
        <v>350000</v>
      </c>
      <c r="C838" s="102"/>
      <c r="D838" s="101"/>
      <c r="E838" s="102" t="s">
        <v>422</v>
      </c>
      <c r="F838" s="101">
        <f t="shared" si="13"/>
        <v>18209000</v>
      </c>
      <c r="G838" s="103" t="s">
        <v>419</v>
      </c>
      <c r="H838" s="104" t="s">
        <v>323</v>
      </c>
      <c r="I838" s="109" t="s">
        <v>374</v>
      </c>
    </row>
    <row r="839" spans="1:9" x14ac:dyDescent="0.35">
      <c r="A839" s="100">
        <v>45743</v>
      </c>
      <c r="B839" s="101">
        <v>700000</v>
      </c>
      <c r="C839" s="102"/>
      <c r="D839" s="101"/>
      <c r="E839" s="102" t="s">
        <v>422</v>
      </c>
      <c r="F839" s="101">
        <f t="shared" si="13"/>
        <v>17509000</v>
      </c>
      <c r="G839" s="103" t="s">
        <v>418</v>
      </c>
      <c r="H839" s="104" t="s">
        <v>323</v>
      </c>
      <c r="I839" s="109" t="s">
        <v>374</v>
      </c>
    </row>
    <row r="840" spans="1:9" x14ac:dyDescent="0.35">
      <c r="A840" s="100">
        <v>45741</v>
      </c>
      <c r="B840" s="101">
        <v>5026000</v>
      </c>
      <c r="C840" s="102"/>
      <c r="D840" s="101"/>
      <c r="E840" s="102" t="s">
        <v>422</v>
      </c>
      <c r="F840" s="101">
        <f t="shared" si="13"/>
        <v>12483000</v>
      </c>
      <c r="G840" s="103" t="s">
        <v>379</v>
      </c>
      <c r="H840" s="104" t="s">
        <v>320</v>
      </c>
      <c r="I840" s="109" t="s">
        <v>374</v>
      </c>
    </row>
    <row r="841" spans="1:9" x14ac:dyDescent="0.35">
      <c r="A841" s="145">
        <v>45733</v>
      </c>
      <c r="B841" s="146"/>
      <c r="C841" s="147"/>
      <c r="D841" s="146">
        <v>1000000</v>
      </c>
      <c r="E841" s="147" t="s">
        <v>422</v>
      </c>
      <c r="F841" s="146">
        <f>+F840+D841-B841</f>
        <v>13483000</v>
      </c>
      <c r="G841" s="148" t="s">
        <v>432</v>
      </c>
      <c r="H841" s="150" t="s">
        <v>105</v>
      </c>
      <c r="I841" s="149" t="s">
        <v>431</v>
      </c>
    </row>
    <row r="842" spans="1:9" x14ac:dyDescent="0.35">
      <c r="A842" s="145">
        <v>45736</v>
      </c>
      <c r="B842" s="146"/>
      <c r="C842" s="147"/>
      <c r="D842" s="146">
        <v>1000000</v>
      </c>
      <c r="E842" s="147" t="s">
        <v>422</v>
      </c>
      <c r="F842" s="146">
        <f t="shared" si="13"/>
        <v>14483000</v>
      </c>
      <c r="G842" s="148" t="s">
        <v>433</v>
      </c>
      <c r="H842" s="150" t="s">
        <v>107</v>
      </c>
      <c r="I842" s="149" t="s">
        <v>431</v>
      </c>
    </row>
    <row r="843" spans="1:9" x14ac:dyDescent="0.35">
      <c r="A843" s="145">
        <v>45738</v>
      </c>
      <c r="B843" s="146"/>
      <c r="C843" s="147"/>
      <c r="D843" s="146">
        <v>1000000</v>
      </c>
      <c r="E843" s="147" t="s">
        <v>422</v>
      </c>
      <c r="F843" s="146">
        <f t="shared" si="13"/>
        <v>15483000</v>
      </c>
      <c r="G843" s="148" t="s">
        <v>434</v>
      </c>
      <c r="H843" s="150" t="s">
        <v>105</v>
      </c>
      <c r="I843" s="149" t="s">
        <v>431</v>
      </c>
    </row>
    <row r="844" spans="1:9" x14ac:dyDescent="0.35">
      <c r="A844" s="145">
        <v>45738</v>
      </c>
      <c r="B844" s="146"/>
      <c r="C844" s="147"/>
      <c r="D844" s="146">
        <v>4000000</v>
      </c>
      <c r="E844" s="147" t="s">
        <v>422</v>
      </c>
      <c r="F844" s="146">
        <f t="shared" si="13"/>
        <v>19483000</v>
      </c>
      <c r="G844" s="148" t="s">
        <v>435</v>
      </c>
      <c r="H844" s="150" t="s">
        <v>105</v>
      </c>
      <c r="I844" s="149" t="s">
        <v>431</v>
      </c>
    </row>
    <row r="845" spans="1:9" x14ac:dyDescent="0.35">
      <c r="A845" s="145">
        <v>45738</v>
      </c>
      <c r="B845" s="146"/>
      <c r="C845" s="147"/>
      <c r="D845" s="146">
        <v>5000000</v>
      </c>
      <c r="E845" s="147" t="s">
        <v>422</v>
      </c>
      <c r="F845" s="146">
        <f t="shared" si="13"/>
        <v>24483000</v>
      </c>
      <c r="G845" s="148" t="s">
        <v>436</v>
      </c>
      <c r="H845" s="150" t="s">
        <v>105</v>
      </c>
      <c r="I845" s="149" t="s">
        <v>431</v>
      </c>
    </row>
    <row r="846" spans="1:9" x14ac:dyDescent="0.35">
      <c r="A846" s="145">
        <v>45738</v>
      </c>
      <c r="B846" s="146"/>
      <c r="C846" s="147"/>
      <c r="D846" s="146">
        <v>500000</v>
      </c>
      <c r="E846" s="147" t="s">
        <v>422</v>
      </c>
      <c r="F846" s="146">
        <f t="shared" si="13"/>
        <v>24983000</v>
      </c>
      <c r="G846" s="148" t="s">
        <v>437</v>
      </c>
      <c r="H846" s="150" t="s">
        <v>105</v>
      </c>
      <c r="I846" s="149" t="s">
        <v>431</v>
      </c>
    </row>
    <row r="847" spans="1:9" x14ac:dyDescent="0.35">
      <c r="A847" s="145">
        <v>45738</v>
      </c>
      <c r="B847" s="146"/>
      <c r="C847" s="147"/>
      <c r="D847" s="146">
        <v>300000</v>
      </c>
      <c r="E847" s="147" t="s">
        <v>422</v>
      </c>
      <c r="F847" s="146">
        <f t="shared" si="13"/>
        <v>25283000</v>
      </c>
      <c r="G847" s="148" t="s">
        <v>438</v>
      </c>
      <c r="H847" s="150" t="s">
        <v>109</v>
      </c>
      <c r="I847" s="149" t="s">
        <v>431</v>
      </c>
    </row>
    <row r="848" spans="1:9" x14ac:dyDescent="0.35">
      <c r="A848" s="145">
        <v>45740</v>
      </c>
      <c r="B848" s="146"/>
      <c r="C848" s="147"/>
      <c r="D848" s="146">
        <v>4000000</v>
      </c>
      <c r="E848" s="147" t="s">
        <v>422</v>
      </c>
      <c r="F848" s="146">
        <f t="shared" ref="F848:F872" si="14">+F847+D848-B848</f>
        <v>29283000</v>
      </c>
      <c r="G848" s="148" t="s">
        <v>450</v>
      </c>
      <c r="H848" s="150" t="s">
        <v>105</v>
      </c>
      <c r="I848" s="149" t="s">
        <v>431</v>
      </c>
    </row>
    <row r="849" spans="1:9" x14ac:dyDescent="0.35">
      <c r="A849" s="145">
        <v>45740</v>
      </c>
      <c r="B849" s="146"/>
      <c r="C849" s="147"/>
      <c r="D849" s="146">
        <v>2500000</v>
      </c>
      <c r="E849" s="147" t="s">
        <v>422</v>
      </c>
      <c r="F849" s="146">
        <f t="shared" si="14"/>
        <v>31783000</v>
      </c>
      <c r="G849" s="148" t="s">
        <v>451</v>
      </c>
      <c r="H849" s="150" t="s">
        <v>105</v>
      </c>
      <c r="I849" s="149" t="s">
        <v>431</v>
      </c>
    </row>
    <row r="850" spans="1:9" x14ac:dyDescent="0.35">
      <c r="A850" s="145">
        <v>45740</v>
      </c>
      <c r="B850" s="146"/>
      <c r="C850" s="147"/>
      <c r="D850" s="146">
        <v>2000000</v>
      </c>
      <c r="E850" s="147" t="s">
        <v>422</v>
      </c>
      <c r="F850" s="146">
        <f t="shared" si="14"/>
        <v>33783000</v>
      </c>
      <c r="G850" s="148" t="s">
        <v>452</v>
      </c>
      <c r="H850" s="150" t="s">
        <v>105</v>
      </c>
      <c r="I850" s="149" t="s">
        <v>431</v>
      </c>
    </row>
    <row r="851" spans="1:9" x14ac:dyDescent="0.35">
      <c r="A851" s="145">
        <v>45741</v>
      </c>
      <c r="B851" s="146"/>
      <c r="C851" s="147"/>
      <c r="D851" s="146">
        <v>2400000</v>
      </c>
      <c r="E851" s="147" t="s">
        <v>422</v>
      </c>
      <c r="F851" s="146">
        <f t="shared" si="14"/>
        <v>36183000</v>
      </c>
      <c r="G851" s="148" t="s">
        <v>465</v>
      </c>
      <c r="H851" s="150" t="s">
        <v>105</v>
      </c>
      <c r="I851" s="149" t="s">
        <v>431</v>
      </c>
    </row>
    <row r="852" spans="1:9" x14ac:dyDescent="0.35">
      <c r="A852" s="145">
        <v>45742</v>
      </c>
      <c r="B852" s="146"/>
      <c r="C852" s="147"/>
      <c r="D852" s="146">
        <v>50000</v>
      </c>
      <c r="E852" s="147" t="s">
        <v>422</v>
      </c>
      <c r="F852" s="146">
        <f t="shared" si="14"/>
        <v>36233000</v>
      </c>
      <c r="G852" s="148" t="s">
        <v>467</v>
      </c>
      <c r="H852" s="150" t="s">
        <v>109</v>
      </c>
      <c r="I852" s="149" t="s">
        <v>431</v>
      </c>
    </row>
    <row r="853" spans="1:9" x14ac:dyDescent="0.35">
      <c r="A853" s="145">
        <v>45742</v>
      </c>
      <c r="B853" s="146"/>
      <c r="C853" s="147"/>
      <c r="D853" s="146">
        <v>150000</v>
      </c>
      <c r="E853" s="147" t="s">
        <v>422</v>
      </c>
      <c r="F853" s="146">
        <f t="shared" si="14"/>
        <v>36383000</v>
      </c>
      <c r="G853" s="148" t="s">
        <v>468</v>
      </c>
      <c r="H853" s="150" t="s">
        <v>109</v>
      </c>
      <c r="I853" s="149" t="s">
        <v>431</v>
      </c>
    </row>
    <row r="854" spans="1:9" x14ac:dyDescent="0.35">
      <c r="A854" s="145">
        <v>45742</v>
      </c>
      <c r="B854" s="146"/>
      <c r="C854" s="147"/>
      <c r="D854" s="146">
        <v>150000</v>
      </c>
      <c r="E854" s="147" t="s">
        <v>422</v>
      </c>
      <c r="F854" s="146">
        <f t="shared" si="14"/>
        <v>36533000</v>
      </c>
      <c r="G854" s="148" t="s">
        <v>469</v>
      </c>
      <c r="H854" s="150" t="s">
        <v>109</v>
      </c>
      <c r="I854" s="149" t="s">
        <v>431</v>
      </c>
    </row>
    <row r="855" spans="1:9" x14ac:dyDescent="0.35">
      <c r="A855" s="145">
        <v>45742</v>
      </c>
      <c r="B855" s="146"/>
      <c r="C855" s="147"/>
      <c r="D855" s="146">
        <v>500000</v>
      </c>
      <c r="E855" s="147" t="s">
        <v>422</v>
      </c>
      <c r="F855" s="146">
        <f t="shared" si="14"/>
        <v>37033000</v>
      </c>
      <c r="G855" s="148" t="s">
        <v>466</v>
      </c>
      <c r="H855" s="150" t="s">
        <v>105</v>
      </c>
      <c r="I855" s="149" t="s">
        <v>431</v>
      </c>
    </row>
    <row r="856" spans="1:9" x14ac:dyDescent="0.35">
      <c r="A856" s="145">
        <v>45742</v>
      </c>
      <c r="B856" s="146"/>
      <c r="C856" s="147"/>
      <c r="D856" s="146">
        <v>5000000</v>
      </c>
      <c r="E856" s="147" t="s">
        <v>422</v>
      </c>
      <c r="F856" s="146">
        <f t="shared" si="14"/>
        <v>42033000</v>
      </c>
      <c r="G856" s="148" t="s">
        <v>470</v>
      </c>
      <c r="H856" s="150" t="s">
        <v>105</v>
      </c>
      <c r="I856" s="149" t="s">
        <v>431</v>
      </c>
    </row>
    <row r="857" spans="1:9" x14ac:dyDescent="0.35">
      <c r="A857" s="145">
        <v>45743</v>
      </c>
      <c r="B857" s="146"/>
      <c r="C857" s="147"/>
      <c r="D857" s="146">
        <v>500000</v>
      </c>
      <c r="E857" s="147" t="s">
        <v>422</v>
      </c>
      <c r="F857" s="146">
        <f t="shared" si="14"/>
        <v>42533000</v>
      </c>
      <c r="G857" s="148" t="s">
        <v>471</v>
      </c>
      <c r="H857" s="150" t="s">
        <v>105</v>
      </c>
      <c r="I857" s="149" t="s">
        <v>431</v>
      </c>
    </row>
    <row r="858" spans="1:9" x14ac:dyDescent="0.35">
      <c r="A858" s="145">
        <v>45743</v>
      </c>
      <c r="B858" s="146"/>
      <c r="C858" s="147"/>
      <c r="D858" s="146">
        <v>80000</v>
      </c>
      <c r="E858" s="147" t="s">
        <v>422</v>
      </c>
      <c r="F858" s="146">
        <f t="shared" si="14"/>
        <v>42613000</v>
      </c>
      <c r="G858" s="148" t="s">
        <v>469</v>
      </c>
      <c r="H858" s="150" t="s">
        <v>109</v>
      </c>
      <c r="I858" s="149" t="s">
        <v>431</v>
      </c>
    </row>
    <row r="859" spans="1:9" x14ac:dyDescent="0.35">
      <c r="A859" s="145">
        <v>45743</v>
      </c>
      <c r="B859" s="146"/>
      <c r="C859" s="147"/>
      <c r="D859" s="146">
        <v>400000</v>
      </c>
      <c r="E859" s="147" t="s">
        <v>422</v>
      </c>
      <c r="F859" s="146">
        <f t="shared" si="14"/>
        <v>43013000</v>
      </c>
      <c r="G859" s="148" t="s">
        <v>472</v>
      </c>
      <c r="H859" s="150" t="s">
        <v>105</v>
      </c>
      <c r="I859" s="149" t="s">
        <v>431</v>
      </c>
    </row>
    <row r="860" spans="1:9" x14ac:dyDescent="0.35">
      <c r="A860" s="145">
        <v>45743</v>
      </c>
      <c r="B860" s="146"/>
      <c r="C860" s="147"/>
      <c r="D860" s="146">
        <v>2000000</v>
      </c>
      <c r="E860" s="147" t="s">
        <v>422</v>
      </c>
      <c r="F860" s="146">
        <f t="shared" si="14"/>
        <v>45013000</v>
      </c>
      <c r="G860" s="148" t="s">
        <v>473</v>
      </c>
      <c r="H860" s="150" t="s">
        <v>105</v>
      </c>
      <c r="I860" s="149" t="s">
        <v>431</v>
      </c>
    </row>
    <row r="861" spans="1:9" x14ac:dyDescent="0.35">
      <c r="A861" s="145">
        <v>45744</v>
      </c>
      <c r="B861" s="146"/>
      <c r="C861" s="147"/>
      <c r="D861" s="146">
        <v>5000000</v>
      </c>
      <c r="E861" s="147" t="s">
        <v>474</v>
      </c>
      <c r="F861" s="146">
        <f t="shared" si="14"/>
        <v>50013000</v>
      </c>
      <c r="G861" s="148" t="s">
        <v>475</v>
      </c>
      <c r="H861" s="150" t="s">
        <v>105</v>
      </c>
      <c r="I861" s="149" t="s">
        <v>431</v>
      </c>
    </row>
    <row r="862" spans="1:9" x14ac:dyDescent="0.35">
      <c r="A862" s="145">
        <v>45744</v>
      </c>
      <c r="B862" s="146"/>
      <c r="C862" s="147"/>
      <c r="D862" s="146">
        <v>100000</v>
      </c>
      <c r="E862" s="147" t="s">
        <v>474</v>
      </c>
      <c r="F862" s="146">
        <f t="shared" si="14"/>
        <v>50113000</v>
      </c>
      <c r="G862" s="148" t="s">
        <v>477</v>
      </c>
      <c r="H862" s="150" t="s">
        <v>109</v>
      </c>
      <c r="I862" s="149" t="s">
        <v>431</v>
      </c>
    </row>
    <row r="863" spans="1:9" x14ac:dyDescent="0.35">
      <c r="A863" s="145">
        <v>45744</v>
      </c>
      <c r="B863" s="146"/>
      <c r="C863" s="147"/>
      <c r="D863" s="146">
        <v>100000</v>
      </c>
      <c r="E863" s="147" t="s">
        <v>474</v>
      </c>
      <c r="F863" s="146">
        <f t="shared" si="14"/>
        <v>50213000</v>
      </c>
      <c r="G863" s="148" t="s">
        <v>478</v>
      </c>
      <c r="H863" s="150" t="s">
        <v>109</v>
      </c>
      <c r="I863" s="149" t="s">
        <v>431</v>
      </c>
    </row>
    <row r="864" spans="1:9" x14ac:dyDescent="0.35">
      <c r="A864" s="145">
        <v>45744</v>
      </c>
      <c r="B864" s="146"/>
      <c r="C864" s="147"/>
      <c r="D864" s="146">
        <v>2000000</v>
      </c>
      <c r="E864" s="147" t="s">
        <v>474</v>
      </c>
      <c r="F864" s="146">
        <f t="shared" si="14"/>
        <v>52213000</v>
      </c>
      <c r="G864" s="148" t="s">
        <v>479</v>
      </c>
      <c r="H864" s="150" t="s">
        <v>109</v>
      </c>
      <c r="I864" s="149" t="s">
        <v>431</v>
      </c>
    </row>
    <row r="865" spans="1:9" x14ac:dyDescent="0.35">
      <c r="A865" s="145">
        <v>45745</v>
      </c>
      <c r="B865" s="146"/>
      <c r="C865" s="147"/>
      <c r="D865" s="146">
        <v>5000000</v>
      </c>
      <c r="E865" s="147" t="s">
        <v>474</v>
      </c>
      <c r="F865" s="146">
        <f t="shared" si="14"/>
        <v>57213000</v>
      </c>
      <c r="G865" s="148" t="s">
        <v>476</v>
      </c>
      <c r="H865" s="150" t="s">
        <v>105</v>
      </c>
      <c r="I865" s="149" t="s">
        <v>431</v>
      </c>
    </row>
    <row r="866" spans="1:9" x14ac:dyDescent="0.35">
      <c r="A866" s="158">
        <v>45738</v>
      </c>
      <c r="B866" s="152"/>
      <c r="C866" s="151"/>
      <c r="D866" s="152">
        <v>1000000</v>
      </c>
      <c r="E866" s="151" t="s">
        <v>422</v>
      </c>
      <c r="F866" s="152">
        <f>+F865+D866-B866</f>
        <v>58213000</v>
      </c>
      <c r="G866" s="153" t="s">
        <v>442</v>
      </c>
      <c r="H866" s="154" t="s">
        <v>105</v>
      </c>
      <c r="I866" s="159" t="s">
        <v>439</v>
      </c>
    </row>
    <row r="867" spans="1:9" x14ac:dyDescent="0.35">
      <c r="A867" s="158">
        <v>45738</v>
      </c>
      <c r="B867" s="152"/>
      <c r="C867" s="151"/>
      <c r="D867" s="152">
        <v>2000000</v>
      </c>
      <c r="E867" s="151" t="s">
        <v>422</v>
      </c>
      <c r="F867" s="152">
        <f t="shared" si="14"/>
        <v>60213000</v>
      </c>
      <c r="G867" s="153" t="s">
        <v>443</v>
      </c>
      <c r="H867" s="154" t="s">
        <v>105</v>
      </c>
      <c r="I867" s="159" t="s">
        <v>439</v>
      </c>
    </row>
    <row r="868" spans="1:9" x14ac:dyDescent="0.35">
      <c r="A868" s="158">
        <v>45738</v>
      </c>
      <c r="B868" s="152"/>
      <c r="C868" s="151"/>
      <c r="D868" s="152">
        <v>1000000</v>
      </c>
      <c r="E868" s="151" t="s">
        <v>422</v>
      </c>
      <c r="F868" s="152">
        <f t="shared" si="14"/>
        <v>61213000</v>
      </c>
      <c r="G868" s="153" t="s">
        <v>444</v>
      </c>
      <c r="H868" s="154" t="s">
        <v>105</v>
      </c>
      <c r="I868" s="159" t="s">
        <v>439</v>
      </c>
    </row>
    <row r="869" spans="1:9" x14ac:dyDescent="0.35">
      <c r="A869" s="158">
        <v>45738</v>
      </c>
      <c r="B869" s="152"/>
      <c r="C869" s="151"/>
      <c r="D869" s="152">
        <v>1000000</v>
      </c>
      <c r="E869" s="151" t="s">
        <v>422</v>
      </c>
      <c r="F869" s="152">
        <f t="shared" si="14"/>
        <v>62213000</v>
      </c>
      <c r="G869" s="153" t="s">
        <v>445</v>
      </c>
      <c r="H869" s="154" t="s">
        <v>105</v>
      </c>
      <c r="I869" s="159" t="s">
        <v>439</v>
      </c>
    </row>
    <row r="870" spans="1:9" x14ac:dyDescent="0.35">
      <c r="A870" s="158">
        <v>45738</v>
      </c>
      <c r="B870" s="152"/>
      <c r="C870" s="151"/>
      <c r="D870" s="152">
        <v>200000</v>
      </c>
      <c r="E870" s="151" t="s">
        <v>422</v>
      </c>
      <c r="F870" s="152">
        <f t="shared" si="14"/>
        <v>62413000</v>
      </c>
      <c r="G870" s="153" t="s">
        <v>446</v>
      </c>
      <c r="H870" s="154" t="s">
        <v>109</v>
      </c>
      <c r="I870" s="159" t="s">
        <v>439</v>
      </c>
    </row>
    <row r="871" spans="1:9" x14ac:dyDescent="0.35">
      <c r="A871" s="158">
        <v>45738</v>
      </c>
      <c r="B871" s="152"/>
      <c r="C871" s="151"/>
      <c r="D871" s="152">
        <v>10000000</v>
      </c>
      <c r="E871" s="151" t="s">
        <v>422</v>
      </c>
      <c r="F871" s="152">
        <f t="shared" si="14"/>
        <v>72413000</v>
      </c>
      <c r="G871" s="153" t="s">
        <v>448</v>
      </c>
      <c r="H871" s="154" t="s">
        <v>105</v>
      </c>
      <c r="I871" s="159" t="s">
        <v>439</v>
      </c>
    </row>
    <row r="872" spans="1:9" x14ac:dyDescent="0.35">
      <c r="A872" s="158">
        <v>45738</v>
      </c>
      <c r="B872" s="152"/>
      <c r="C872" s="151"/>
      <c r="D872" s="152">
        <v>1500000</v>
      </c>
      <c r="E872" s="151" t="s">
        <v>422</v>
      </c>
      <c r="F872" s="152">
        <f t="shared" si="14"/>
        <v>73913000</v>
      </c>
      <c r="G872" s="153" t="s">
        <v>447</v>
      </c>
      <c r="H872" s="154" t="s">
        <v>109</v>
      </c>
      <c r="I872" s="159" t="s">
        <v>439</v>
      </c>
    </row>
    <row r="873" spans="1:9" x14ac:dyDescent="0.35">
      <c r="A873" s="158">
        <v>45745</v>
      </c>
      <c r="B873" s="152"/>
      <c r="C873" s="151"/>
      <c r="D873" s="152">
        <v>3000000</v>
      </c>
      <c r="E873" s="151" t="s">
        <v>474</v>
      </c>
      <c r="F873" s="152">
        <f t="shared" ref="F873:F878" si="15">+F872+D873-B873</f>
        <v>76913000</v>
      </c>
      <c r="G873" s="153" t="s">
        <v>480</v>
      </c>
      <c r="H873" s="154" t="s">
        <v>105</v>
      </c>
      <c r="I873" s="159" t="s">
        <v>439</v>
      </c>
    </row>
    <row r="874" spans="1:9" x14ac:dyDescent="0.35">
      <c r="A874" s="158">
        <v>45745</v>
      </c>
      <c r="B874" s="152"/>
      <c r="C874" s="151"/>
      <c r="D874" s="152">
        <v>5000000</v>
      </c>
      <c r="E874" s="151" t="s">
        <v>474</v>
      </c>
      <c r="F874" s="152">
        <f t="shared" si="15"/>
        <v>81913000</v>
      </c>
      <c r="G874" s="153" t="s">
        <v>481</v>
      </c>
      <c r="H874" s="154" t="s">
        <v>105</v>
      </c>
      <c r="I874" s="159" t="s">
        <v>439</v>
      </c>
    </row>
    <row r="875" spans="1:9" x14ac:dyDescent="0.35">
      <c r="A875" s="158">
        <v>45745</v>
      </c>
      <c r="B875" s="152"/>
      <c r="C875" s="151"/>
      <c r="D875" s="152">
        <v>1000000</v>
      </c>
      <c r="E875" s="151" t="s">
        <v>474</v>
      </c>
      <c r="F875" s="152">
        <f t="shared" si="15"/>
        <v>82913000</v>
      </c>
      <c r="G875" s="153" t="s">
        <v>482</v>
      </c>
      <c r="H875" s="154" t="s">
        <v>105</v>
      </c>
      <c r="I875" s="159" t="s">
        <v>439</v>
      </c>
    </row>
    <row r="876" spans="1:9" x14ac:dyDescent="0.35">
      <c r="A876" s="158">
        <v>45745</v>
      </c>
      <c r="B876" s="152"/>
      <c r="C876" s="151"/>
      <c r="D876" s="152">
        <v>60000</v>
      </c>
      <c r="E876" s="151" t="s">
        <v>474</v>
      </c>
      <c r="F876" s="152">
        <f t="shared" si="15"/>
        <v>82973000</v>
      </c>
      <c r="G876" s="153" t="s">
        <v>483</v>
      </c>
      <c r="H876" s="154" t="s">
        <v>109</v>
      </c>
      <c r="I876" s="159" t="s">
        <v>439</v>
      </c>
    </row>
    <row r="877" spans="1:9" x14ac:dyDescent="0.35">
      <c r="A877" s="158">
        <v>45745</v>
      </c>
      <c r="B877" s="152"/>
      <c r="C877" s="151"/>
      <c r="D877" s="152">
        <v>80000</v>
      </c>
      <c r="E877" s="151" t="s">
        <v>474</v>
      </c>
      <c r="F877" s="152">
        <f t="shared" si="15"/>
        <v>83053000</v>
      </c>
      <c r="G877" s="153" t="s">
        <v>484</v>
      </c>
      <c r="H877" s="154" t="s">
        <v>109</v>
      </c>
      <c r="I877" s="159" t="s">
        <v>439</v>
      </c>
    </row>
    <row r="878" spans="1:9" x14ac:dyDescent="0.35">
      <c r="A878" s="158">
        <v>45745</v>
      </c>
      <c r="B878" s="152"/>
      <c r="C878" s="151"/>
      <c r="D878" s="152">
        <v>200000</v>
      </c>
      <c r="E878" s="151" t="s">
        <v>474</v>
      </c>
      <c r="F878" s="152">
        <f t="shared" si="15"/>
        <v>83253000</v>
      </c>
      <c r="G878" s="153" t="s">
        <v>485</v>
      </c>
      <c r="H878" s="154" t="s">
        <v>109</v>
      </c>
      <c r="I878" s="159" t="s">
        <v>439</v>
      </c>
    </row>
  </sheetData>
  <mergeCells count="1">
    <mergeCell ref="A1:G1"/>
  </mergeCells>
  <dataValidations count="1">
    <dataValidation type="list" allowBlank="1" showInputMessage="1" showErrorMessage="1" sqref="H700:H754 H695 H681 H679 H665:H667 H650 H841:H878 H626:H640 H620 H776 H589 H537 H531 H569 H567 H552 H774 H771 H515:H516 H471:H472 H478:H479 H436 H762 H425:H426 H411:H412 H397:H398 H354 H367:H368" xr:uid="{00000000-0002-0000-0100-000000000000}">
      <formula1>$A$1:$A$24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Akun!$A$1:$A$27</xm:f>
          </x14:formula1>
          <xm:sqref>H8:H254</xm:sqref>
        </x14:dataValidation>
        <x14:dataValidation type="list" allowBlank="1" showInputMessage="1" showErrorMessage="1" xr:uid="{00000000-0002-0000-0100-000002000000}">
          <x14:formula1>
            <xm:f>'D:\ALJABAR\[RK Masjid AL Jabbar Upgrade.xlsx]Akun'!#REF!</xm:f>
          </x14:formula1>
          <xm:sqref>H772:H773 H355:H366 H255:H353 H369:H396 H399:H410 H413:H424 H755:H761 H427:H435 H437:H470 H473:H477 H480:H514 H763:H770 H538:H551 H553:H566 H568 H517:H530 H532:H536 H570:H588 H782:H840 H621:H625 H590:H619 H775 H777:H780 H641:H649 H651:H664 H696:H698 H680 H682:H694 H668:H678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37"/>
  <sheetViews>
    <sheetView workbookViewId="0">
      <pane xSplit="1" ySplit="7" topLeftCell="B20" activePane="bottomRight" state="frozen"/>
      <selection pane="topRight" activeCell="C1" sqref="C1"/>
      <selection pane="bottomLeft" activeCell="A8" sqref="A8"/>
      <selection pane="bottomRight" activeCell="D38" sqref="D38"/>
    </sheetView>
  </sheetViews>
  <sheetFormatPr defaultRowHeight="14.5" x14ac:dyDescent="0.35"/>
  <cols>
    <col min="1" max="1" width="12.1796875" bestFit="1" customWidth="1"/>
    <col min="2" max="2" width="12.54296875" bestFit="1" customWidth="1"/>
    <col min="3" max="3" width="12.54296875" customWidth="1"/>
    <col min="4" max="4" width="11.54296875" bestFit="1" customWidth="1"/>
    <col min="5" max="5" width="12.54296875" bestFit="1" customWidth="1"/>
    <col min="6" max="6" width="95.54296875" bestFit="1" customWidth="1"/>
  </cols>
  <sheetData>
    <row r="1" spans="1:8" x14ac:dyDescent="0.35">
      <c r="A1" s="244" t="s">
        <v>76</v>
      </c>
      <c r="B1" s="244"/>
      <c r="C1" s="244"/>
      <c r="D1" s="244"/>
      <c r="E1" s="244"/>
      <c r="F1" s="244"/>
    </row>
    <row r="2" spans="1:8" x14ac:dyDescent="0.35">
      <c r="A2" s="2"/>
      <c r="B2" s="2"/>
      <c r="C2" s="2"/>
      <c r="D2" s="2"/>
      <c r="E2" s="2"/>
      <c r="F2" s="2"/>
    </row>
    <row r="3" spans="1:8" x14ac:dyDescent="0.35">
      <c r="A3" s="4" t="s">
        <v>49</v>
      </c>
    </row>
    <row r="4" spans="1:8" x14ac:dyDescent="0.35">
      <c r="A4" s="4" t="s">
        <v>50</v>
      </c>
    </row>
    <row r="5" spans="1:8" x14ac:dyDescent="0.35">
      <c r="A5" s="4" t="s">
        <v>51</v>
      </c>
    </row>
    <row r="6" spans="1:8" x14ac:dyDescent="0.35">
      <c r="B6" s="16"/>
      <c r="C6" s="16"/>
    </row>
    <row r="7" spans="1:8" x14ac:dyDescent="0.35">
      <c r="A7" s="6" t="s">
        <v>2</v>
      </c>
      <c r="B7" s="6" t="s">
        <v>3</v>
      </c>
      <c r="C7" s="6"/>
      <c r="D7" s="6" t="s">
        <v>4</v>
      </c>
      <c r="E7" s="6"/>
      <c r="F7" s="6" t="s">
        <v>6</v>
      </c>
    </row>
    <row r="8" spans="1:8" x14ac:dyDescent="0.35">
      <c r="A8" s="8">
        <v>45650</v>
      </c>
      <c r="B8" s="9"/>
      <c r="C8" s="9"/>
      <c r="D8" s="9">
        <v>5000000</v>
      </c>
      <c r="E8" s="9"/>
      <c r="F8" s="7" t="s">
        <v>81</v>
      </c>
    </row>
    <row r="9" spans="1:8" x14ac:dyDescent="0.35">
      <c r="A9" s="8">
        <v>45663</v>
      </c>
      <c r="B9" s="9"/>
      <c r="C9" s="9"/>
      <c r="D9" s="9">
        <v>78179873</v>
      </c>
      <c r="E9" s="9"/>
      <c r="F9" s="7" t="s">
        <v>77</v>
      </c>
    </row>
    <row r="10" spans="1:8" x14ac:dyDescent="0.35">
      <c r="A10" s="8">
        <v>45663</v>
      </c>
      <c r="B10" s="9"/>
      <c r="C10" s="9"/>
      <c r="D10" s="9">
        <v>45435000</v>
      </c>
      <c r="E10" s="9"/>
      <c r="F10" s="7" t="s">
        <v>78</v>
      </c>
    </row>
    <row r="11" spans="1:8" x14ac:dyDescent="0.35">
      <c r="A11" s="8"/>
      <c r="B11" s="9"/>
      <c r="C11" s="9"/>
      <c r="D11" s="9"/>
      <c r="E11" s="11">
        <f>SUM(D8:D10)</f>
        <v>128614873</v>
      </c>
      <c r="F11" s="7"/>
    </row>
    <row r="12" spans="1:8" x14ac:dyDescent="0.35">
      <c r="A12" s="8">
        <v>45660</v>
      </c>
      <c r="B12" s="9"/>
      <c r="C12" s="9"/>
      <c r="D12" s="9">
        <v>1800000</v>
      </c>
      <c r="E12" s="9"/>
      <c r="F12" s="7" t="s">
        <v>54</v>
      </c>
    </row>
    <row r="13" spans="1:8" x14ac:dyDescent="0.35">
      <c r="A13" s="8">
        <v>45660</v>
      </c>
      <c r="B13" s="9"/>
      <c r="C13" s="9"/>
      <c r="D13" s="9">
        <v>500000</v>
      </c>
      <c r="E13" s="9"/>
      <c r="F13" s="7" t="s">
        <v>53</v>
      </c>
      <c r="H13" s="13"/>
    </row>
    <row r="14" spans="1:8" x14ac:dyDescent="0.35">
      <c r="A14" s="8">
        <v>45664</v>
      </c>
      <c r="B14" s="9"/>
      <c r="C14" s="9"/>
      <c r="D14" s="9">
        <v>1000000</v>
      </c>
      <c r="E14" s="9"/>
      <c r="F14" s="7" t="s">
        <v>59</v>
      </c>
    </row>
    <row r="15" spans="1:8" x14ac:dyDescent="0.35">
      <c r="A15" s="8">
        <v>45663</v>
      </c>
      <c r="B15" s="9"/>
      <c r="C15" s="9"/>
      <c r="D15" s="9">
        <v>400000</v>
      </c>
      <c r="E15" s="9"/>
      <c r="F15" s="7" t="s">
        <v>56</v>
      </c>
    </row>
    <row r="16" spans="1:8" x14ac:dyDescent="0.35">
      <c r="A16" s="8">
        <v>45660</v>
      </c>
      <c r="B16" s="9"/>
      <c r="C16" s="9"/>
      <c r="D16" s="9">
        <v>2000000</v>
      </c>
      <c r="E16" s="9"/>
      <c r="F16" s="7" t="s">
        <v>55</v>
      </c>
    </row>
    <row r="17" spans="1:6" x14ac:dyDescent="0.35">
      <c r="A17" s="8"/>
      <c r="B17" s="9"/>
      <c r="C17" s="9"/>
      <c r="D17" s="9"/>
      <c r="E17" s="11">
        <f>SUM(D12:D16)</f>
        <v>5700000</v>
      </c>
      <c r="F17" s="7"/>
    </row>
    <row r="18" spans="1:6" x14ac:dyDescent="0.35">
      <c r="A18" s="8">
        <v>45665</v>
      </c>
      <c r="B18" s="9"/>
      <c r="C18" s="9"/>
      <c r="D18" s="9">
        <v>504000</v>
      </c>
      <c r="E18" s="9"/>
      <c r="F18" s="7" t="s">
        <v>71</v>
      </c>
    </row>
    <row r="19" spans="1:6" x14ac:dyDescent="0.35">
      <c r="A19" s="8">
        <v>45665</v>
      </c>
      <c r="B19" s="9"/>
      <c r="C19" s="9"/>
      <c r="D19" s="9">
        <v>300000</v>
      </c>
      <c r="E19" s="9"/>
      <c r="F19" s="7" t="s">
        <v>65</v>
      </c>
    </row>
    <row r="20" spans="1:6" x14ac:dyDescent="0.35">
      <c r="A20" s="8">
        <v>45664</v>
      </c>
      <c r="B20" s="9"/>
      <c r="C20" s="9"/>
      <c r="D20" s="9">
        <v>600000</v>
      </c>
      <c r="E20" s="9"/>
      <c r="F20" s="7" t="s">
        <v>61</v>
      </c>
    </row>
    <row r="21" spans="1:6" x14ac:dyDescent="0.35">
      <c r="A21" s="8">
        <v>45664</v>
      </c>
      <c r="B21" s="9"/>
      <c r="C21" s="9"/>
      <c r="D21" s="9">
        <v>600000</v>
      </c>
      <c r="E21" s="9"/>
      <c r="F21" s="7" t="s">
        <v>64</v>
      </c>
    </row>
    <row r="22" spans="1:6" x14ac:dyDescent="0.35">
      <c r="A22" s="8">
        <v>45665</v>
      </c>
      <c r="B22" s="9"/>
      <c r="C22" s="9"/>
      <c r="D22" s="9">
        <v>300000</v>
      </c>
      <c r="E22" s="9"/>
      <c r="F22" s="7" t="s">
        <v>66</v>
      </c>
    </row>
    <row r="23" spans="1:6" x14ac:dyDescent="0.35">
      <c r="A23" s="8">
        <v>45665</v>
      </c>
      <c r="B23" s="9"/>
      <c r="C23" s="9"/>
      <c r="D23" s="9">
        <v>300000</v>
      </c>
      <c r="E23" s="9"/>
      <c r="F23" s="7" t="s">
        <v>68</v>
      </c>
    </row>
    <row r="24" spans="1:6" x14ac:dyDescent="0.35">
      <c r="A24" s="8">
        <v>45664</v>
      </c>
      <c r="B24" s="9"/>
      <c r="C24" s="9"/>
      <c r="D24" s="9">
        <v>300000</v>
      </c>
      <c r="E24" s="9"/>
      <c r="F24" s="7" t="s">
        <v>60</v>
      </c>
    </row>
    <row r="25" spans="1:6" x14ac:dyDescent="0.35">
      <c r="A25" s="8">
        <v>45665</v>
      </c>
      <c r="B25" s="9"/>
      <c r="C25" s="9"/>
      <c r="D25" s="9">
        <v>300000</v>
      </c>
      <c r="E25" s="9"/>
      <c r="F25" s="7" t="s">
        <v>67</v>
      </c>
    </row>
    <row r="26" spans="1:6" x14ac:dyDescent="0.35">
      <c r="A26" s="8">
        <v>45665</v>
      </c>
      <c r="B26" s="9"/>
      <c r="C26" s="9"/>
      <c r="D26" s="9">
        <v>100000</v>
      </c>
      <c r="E26" s="9"/>
      <c r="F26" s="7" t="s">
        <v>72</v>
      </c>
    </row>
    <row r="27" spans="1:6" x14ac:dyDescent="0.35">
      <c r="A27" s="8"/>
      <c r="B27" s="9"/>
      <c r="C27" s="9"/>
      <c r="D27" s="9"/>
      <c r="E27" s="11">
        <f>SUM(D18:D26)</f>
        <v>3304000</v>
      </c>
      <c r="F27" s="7"/>
    </row>
    <row r="28" spans="1:6" x14ac:dyDescent="0.35">
      <c r="A28" s="8">
        <v>45665</v>
      </c>
      <c r="B28" s="9">
        <v>2500</v>
      </c>
      <c r="C28" s="9"/>
      <c r="D28" s="9"/>
      <c r="E28" s="9"/>
      <c r="F28" s="7" t="s">
        <v>79</v>
      </c>
    </row>
    <row r="29" spans="1:6" x14ac:dyDescent="0.35">
      <c r="A29" s="8">
        <v>45664</v>
      </c>
      <c r="B29" s="9">
        <v>2500</v>
      </c>
      <c r="C29" s="9"/>
      <c r="D29" s="9"/>
      <c r="E29" s="9"/>
      <c r="F29" s="7" t="s">
        <v>63</v>
      </c>
    </row>
    <row r="30" spans="1:6" x14ac:dyDescent="0.35">
      <c r="A30" s="8">
        <v>45659</v>
      </c>
      <c r="B30" s="9">
        <v>200000</v>
      </c>
      <c r="C30" s="9"/>
      <c r="D30" s="9"/>
      <c r="E30" s="9"/>
      <c r="F30" s="7" t="s">
        <v>73</v>
      </c>
    </row>
    <row r="31" spans="1:6" x14ac:dyDescent="0.35">
      <c r="A31" s="8"/>
      <c r="B31" s="9"/>
      <c r="C31" s="11">
        <f>SUM(B28:B30)</f>
        <v>205000</v>
      </c>
      <c r="D31" s="9"/>
      <c r="E31" s="9"/>
      <c r="F31" s="7"/>
    </row>
    <row r="32" spans="1:6" x14ac:dyDescent="0.35">
      <c r="A32" s="8">
        <v>45665</v>
      </c>
      <c r="B32" s="9">
        <v>2000000</v>
      </c>
      <c r="C32" s="9"/>
      <c r="D32" s="9"/>
      <c r="E32" s="9"/>
      <c r="F32" s="7" t="s">
        <v>80</v>
      </c>
    </row>
    <row r="33" spans="1:6" x14ac:dyDescent="0.35">
      <c r="A33" s="8">
        <v>45664</v>
      </c>
      <c r="B33" s="9">
        <v>1250000</v>
      </c>
      <c r="C33" s="9"/>
      <c r="D33" s="9"/>
      <c r="E33" s="9"/>
      <c r="F33" s="7" t="s">
        <v>74</v>
      </c>
    </row>
    <row r="34" spans="1:6" x14ac:dyDescent="0.35">
      <c r="A34" s="8">
        <v>45665</v>
      </c>
      <c r="B34" s="9">
        <v>500000</v>
      </c>
      <c r="C34" s="9"/>
      <c r="D34" s="9"/>
      <c r="E34" s="9"/>
      <c r="F34" s="7" t="s">
        <v>75</v>
      </c>
    </row>
    <row r="35" spans="1:6" x14ac:dyDescent="0.35">
      <c r="C35" s="15">
        <f>SUM(B32:B34)</f>
        <v>3750000</v>
      </c>
    </row>
    <row r="36" spans="1:6" x14ac:dyDescent="0.35">
      <c r="C36" s="14"/>
      <c r="E36" s="14"/>
    </row>
    <row r="37" spans="1:6" x14ac:dyDescent="0.35">
      <c r="B37" s="16" t="s">
        <v>82</v>
      </c>
      <c r="E37" s="12">
        <v>133663873</v>
      </c>
    </row>
  </sheetData>
  <sortState xmlns:xlrd2="http://schemas.microsoft.com/office/spreadsheetml/2017/richdata2" ref="A8:G30">
    <sortCondition ref="F8:F30"/>
  </sortState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90"/>
  <sheetViews>
    <sheetView zoomScale="85" zoomScaleNormal="85" workbookViewId="0">
      <pane xSplit="1" ySplit="7" topLeftCell="F8" activePane="bottomRight" state="frozen"/>
      <selection pane="topRight" activeCell="C1" sqref="C1"/>
      <selection pane="bottomLeft" activeCell="A8" sqref="A8"/>
      <selection pane="bottomRight" activeCell="K21" sqref="K21"/>
    </sheetView>
  </sheetViews>
  <sheetFormatPr defaultRowHeight="14.5" x14ac:dyDescent="0.35"/>
  <cols>
    <col min="1" max="1" width="18.26953125" style="18" customWidth="1"/>
    <col min="2" max="2" width="12.453125" style="18" customWidth="1"/>
    <col min="3" max="3" width="13.1796875" style="18" hidden="1" customWidth="1"/>
    <col min="4" max="4" width="12.54296875" style="18" hidden="1" customWidth="1"/>
    <col min="5" max="5" width="56.7265625" style="18" customWidth="1"/>
    <col min="6" max="6" width="26" style="18" bestFit="1" customWidth="1"/>
    <col min="7" max="7" width="11.54296875" style="18" bestFit="1" customWidth="1"/>
    <col min="8" max="8" width="10.54296875" style="18" bestFit="1" customWidth="1"/>
    <col min="9" max="9" width="10.54296875" style="18" hidden="1" customWidth="1"/>
    <col min="10" max="10" width="11.54296875" style="18" hidden="1" customWidth="1"/>
    <col min="11" max="11" width="43.7265625" style="18" bestFit="1" customWidth="1"/>
    <col min="12" max="12" width="35.453125" style="18" bestFit="1" customWidth="1"/>
    <col min="13" max="13" width="9.1796875" style="18"/>
    <col min="14" max="14" width="2.81640625" style="18" bestFit="1" customWidth="1"/>
    <col min="15" max="15" width="26" bestFit="1" customWidth="1"/>
  </cols>
  <sheetData>
    <row r="1" spans="1:15" x14ac:dyDescent="0.35">
      <c r="A1" s="244" t="s">
        <v>104</v>
      </c>
      <c r="B1" s="244"/>
      <c r="C1" s="244"/>
      <c r="D1" s="244"/>
      <c r="E1" s="244"/>
      <c r="F1"/>
      <c r="G1" s="25"/>
      <c r="N1" s="30"/>
      <c r="O1" s="30"/>
    </row>
    <row r="2" spans="1:15" x14ac:dyDescent="0.35">
      <c r="A2" s="2"/>
      <c r="B2" s="2"/>
      <c r="C2" s="2"/>
      <c r="D2" s="2"/>
      <c r="E2" s="2"/>
      <c r="G2" s="25"/>
      <c r="N2" s="30"/>
      <c r="O2" s="30"/>
    </row>
    <row r="3" spans="1:15" x14ac:dyDescent="0.35">
      <c r="A3" s="22" t="s">
        <v>49</v>
      </c>
      <c r="N3" s="30"/>
      <c r="O3" s="30"/>
    </row>
    <row r="4" spans="1:15" x14ac:dyDescent="0.35">
      <c r="A4" s="22" t="s">
        <v>50</v>
      </c>
      <c r="G4" s="2" t="s">
        <v>108</v>
      </c>
      <c r="N4" s="30"/>
      <c r="O4" s="30"/>
    </row>
    <row r="5" spans="1:15" x14ac:dyDescent="0.35">
      <c r="A5" s="22" t="s">
        <v>220</v>
      </c>
      <c r="N5" s="30"/>
      <c r="O5" s="30"/>
    </row>
    <row r="6" spans="1:15" x14ac:dyDescent="0.35">
      <c r="N6" s="30"/>
      <c r="O6" s="30"/>
    </row>
    <row r="7" spans="1:15" x14ac:dyDescent="0.35">
      <c r="A7" s="6" t="s">
        <v>2</v>
      </c>
      <c r="B7" s="6" t="s">
        <v>3</v>
      </c>
      <c r="C7" s="6" t="s">
        <v>4</v>
      </c>
      <c r="D7" s="6" t="s">
        <v>192</v>
      </c>
      <c r="E7" s="6" t="s">
        <v>6</v>
      </c>
      <c r="F7" s="34" t="s">
        <v>141</v>
      </c>
      <c r="G7" s="6" t="s">
        <v>2</v>
      </c>
      <c r="H7" s="6" t="s">
        <v>3</v>
      </c>
      <c r="I7" s="6" t="s">
        <v>192</v>
      </c>
      <c r="J7" s="6" t="s">
        <v>4</v>
      </c>
      <c r="K7" s="6" t="s">
        <v>6</v>
      </c>
      <c r="L7" s="34" t="s">
        <v>141</v>
      </c>
      <c r="N7" s="30"/>
      <c r="O7" s="30"/>
    </row>
    <row r="8" spans="1:15" x14ac:dyDescent="0.35">
      <c r="A8" s="19">
        <v>45650</v>
      </c>
      <c r="B8" s="6"/>
      <c r="C8" s="23">
        <v>5000000</v>
      </c>
      <c r="D8" s="6"/>
      <c r="E8" s="24" t="s">
        <v>105</v>
      </c>
      <c r="F8" s="24" t="s">
        <v>204</v>
      </c>
      <c r="G8" s="33">
        <v>45660</v>
      </c>
      <c r="H8" s="6"/>
      <c r="I8" s="6"/>
      <c r="J8" s="41">
        <v>2836352</v>
      </c>
      <c r="K8" s="24" t="s">
        <v>107</v>
      </c>
      <c r="L8" s="24" t="s">
        <v>206</v>
      </c>
      <c r="O8" s="30"/>
    </row>
    <row r="9" spans="1:15" x14ac:dyDescent="0.35">
      <c r="A9" s="19">
        <v>45659</v>
      </c>
      <c r="B9" s="43">
        <v>200000</v>
      </c>
      <c r="C9" s="20"/>
      <c r="D9" s="20"/>
      <c r="E9" s="10" t="s">
        <v>102</v>
      </c>
      <c r="F9" s="24" t="s">
        <v>198</v>
      </c>
      <c r="G9" s="33">
        <v>45660</v>
      </c>
      <c r="H9" s="6"/>
      <c r="I9" s="6"/>
      <c r="J9" s="41">
        <v>2163648</v>
      </c>
      <c r="K9" s="24" t="s">
        <v>109</v>
      </c>
      <c r="L9" s="24" t="s">
        <v>207</v>
      </c>
      <c r="O9" s="30"/>
    </row>
    <row r="10" spans="1:15" x14ac:dyDescent="0.35">
      <c r="A10" s="19">
        <v>45660</v>
      </c>
      <c r="B10" s="43"/>
      <c r="C10" s="43">
        <v>500000</v>
      </c>
      <c r="D10" s="45" t="s">
        <v>154</v>
      </c>
      <c r="E10" s="10" t="s">
        <v>53</v>
      </c>
      <c r="F10" s="24" t="s">
        <v>109</v>
      </c>
      <c r="G10" s="33">
        <v>45660</v>
      </c>
      <c r="H10" s="38">
        <v>675000</v>
      </c>
      <c r="I10" s="38"/>
      <c r="J10" s="38"/>
      <c r="K10" s="10" t="s">
        <v>111</v>
      </c>
      <c r="L10" s="24" t="s">
        <v>199</v>
      </c>
      <c r="O10" s="30"/>
    </row>
    <row r="11" spans="1:15" x14ac:dyDescent="0.35">
      <c r="A11" s="19">
        <v>45660</v>
      </c>
      <c r="B11" s="43"/>
      <c r="C11" s="43">
        <v>1800000</v>
      </c>
      <c r="D11" s="45" t="s">
        <v>154</v>
      </c>
      <c r="E11" s="10" t="s">
        <v>84</v>
      </c>
      <c r="F11" s="24" t="s">
        <v>109</v>
      </c>
      <c r="G11" s="33">
        <v>45660</v>
      </c>
      <c r="H11" s="38">
        <v>130000</v>
      </c>
      <c r="I11" s="38"/>
      <c r="J11" s="38"/>
      <c r="K11" s="10" t="s">
        <v>112</v>
      </c>
      <c r="L11" s="24" t="s">
        <v>199</v>
      </c>
    </row>
    <row r="12" spans="1:15" x14ac:dyDescent="0.35">
      <c r="A12" s="19">
        <v>45660</v>
      </c>
      <c r="B12" s="43"/>
      <c r="C12" s="43">
        <v>2000000</v>
      </c>
      <c r="D12" s="45" t="s">
        <v>154</v>
      </c>
      <c r="E12" s="10" t="s">
        <v>55</v>
      </c>
      <c r="F12" s="24" t="s">
        <v>109</v>
      </c>
      <c r="G12" s="33">
        <v>45660</v>
      </c>
      <c r="H12" s="38">
        <v>180000</v>
      </c>
      <c r="I12" s="38"/>
      <c r="J12" s="38"/>
      <c r="K12" s="10" t="s">
        <v>116</v>
      </c>
      <c r="L12" s="24" t="s">
        <v>199</v>
      </c>
    </row>
    <row r="13" spans="1:15" x14ac:dyDescent="0.35">
      <c r="A13" s="19">
        <v>45663</v>
      </c>
      <c r="B13" s="43"/>
      <c r="C13" s="43">
        <v>400000</v>
      </c>
      <c r="D13" s="45" t="s">
        <v>154</v>
      </c>
      <c r="E13" s="10" t="s">
        <v>56</v>
      </c>
      <c r="F13" s="24" t="s">
        <v>109</v>
      </c>
      <c r="G13" s="33">
        <v>45660</v>
      </c>
      <c r="H13" s="38">
        <v>170000</v>
      </c>
      <c r="I13" s="38"/>
      <c r="J13" s="38"/>
      <c r="K13" s="10" t="s">
        <v>113</v>
      </c>
      <c r="L13" s="24" t="s">
        <v>199</v>
      </c>
    </row>
    <row r="14" spans="1:15" x14ac:dyDescent="0.35">
      <c r="A14" s="19">
        <v>45663</v>
      </c>
      <c r="B14" s="43"/>
      <c r="C14" s="23">
        <v>44196050</v>
      </c>
      <c r="D14" s="20"/>
      <c r="E14" s="24" t="s">
        <v>105</v>
      </c>
      <c r="F14" s="24" t="s">
        <v>204</v>
      </c>
      <c r="G14" s="33">
        <v>45664</v>
      </c>
      <c r="H14" s="38">
        <v>500000</v>
      </c>
      <c r="I14" s="38"/>
      <c r="J14" s="38"/>
      <c r="K14" s="10" t="s">
        <v>117</v>
      </c>
      <c r="L14" s="24" t="s">
        <v>199</v>
      </c>
    </row>
    <row r="15" spans="1:15" x14ac:dyDescent="0.35">
      <c r="A15" s="19">
        <v>45663</v>
      </c>
      <c r="B15" s="43"/>
      <c r="C15" s="23">
        <v>33983823</v>
      </c>
      <c r="D15" s="20"/>
      <c r="E15" s="24" t="s">
        <v>106</v>
      </c>
      <c r="F15" s="24" t="s">
        <v>205</v>
      </c>
      <c r="G15" s="33">
        <v>45669</v>
      </c>
      <c r="H15" s="42">
        <v>750000</v>
      </c>
      <c r="I15" s="42" t="s">
        <v>153</v>
      </c>
      <c r="J15" s="38"/>
      <c r="K15" s="10" t="s">
        <v>118</v>
      </c>
      <c r="L15" s="24" t="s">
        <v>198</v>
      </c>
    </row>
    <row r="16" spans="1:15" x14ac:dyDescent="0.35">
      <c r="A16" s="19">
        <v>45663</v>
      </c>
      <c r="B16" s="43"/>
      <c r="C16" s="23">
        <v>5594227</v>
      </c>
      <c r="D16" s="20"/>
      <c r="E16" s="24" t="s">
        <v>106</v>
      </c>
      <c r="F16" s="24" t="s">
        <v>205</v>
      </c>
      <c r="G16" s="33">
        <v>45669</v>
      </c>
      <c r="H16" s="42">
        <v>130000</v>
      </c>
      <c r="I16" s="42" t="s">
        <v>153</v>
      </c>
      <c r="J16" s="21"/>
      <c r="K16" s="10" t="s">
        <v>112</v>
      </c>
      <c r="L16" s="24" t="s">
        <v>199</v>
      </c>
    </row>
    <row r="17" spans="1:12" x14ac:dyDescent="0.35">
      <c r="A17" s="19">
        <v>45663</v>
      </c>
      <c r="B17" s="43"/>
      <c r="C17" s="23">
        <v>39840773</v>
      </c>
      <c r="D17" s="20"/>
      <c r="E17" s="24" t="s">
        <v>107</v>
      </c>
      <c r="F17" s="24" t="s">
        <v>206</v>
      </c>
      <c r="G17" s="33">
        <v>45669</v>
      </c>
      <c r="H17" s="42">
        <v>104000</v>
      </c>
      <c r="I17" s="42" t="s">
        <v>153</v>
      </c>
      <c r="J17" s="38"/>
      <c r="K17" s="10" t="s">
        <v>119</v>
      </c>
      <c r="L17" s="24" t="s">
        <v>199</v>
      </c>
    </row>
    <row r="18" spans="1:12" x14ac:dyDescent="0.35">
      <c r="A18" s="19">
        <v>45664</v>
      </c>
      <c r="B18" s="43"/>
      <c r="C18" s="43">
        <v>1000000</v>
      </c>
      <c r="D18" s="45" t="s">
        <v>154</v>
      </c>
      <c r="E18" s="10" t="s">
        <v>83</v>
      </c>
      <c r="F18" s="24" t="s">
        <v>139</v>
      </c>
      <c r="G18" s="33">
        <v>45669</v>
      </c>
      <c r="H18" s="42">
        <v>200000</v>
      </c>
      <c r="I18" s="42" t="s">
        <v>153</v>
      </c>
      <c r="J18" s="6"/>
      <c r="K18" s="10" t="s">
        <v>120</v>
      </c>
      <c r="L18" s="24" t="s">
        <v>199</v>
      </c>
    </row>
    <row r="19" spans="1:12" x14ac:dyDescent="0.35">
      <c r="A19" s="19">
        <v>45664</v>
      </c>
      <c r="B19" s="43"/>
      <c r="C19" s="43">
        <v>300000</v>
      </c>
      <c r="D19" s="45" t="s">
        <v>154</v>
      </c>
      <c r="E19" s="10" t="s">
        <v>60</v>
      </c>
      <c r="F19" s="24" t="s">
        <v>139</v>
      </c>
      <c r="G19" s="33">
        <v>45669</v>
      </c>
      <c r="H19" s="42">
        <v>500000</v>
      </c>
      <c r="I19" s="42" t="s">
        <v>153</v>
      </c>
      <c r="J19" s="21"/>
      <c r="K19" s="10" t="s">
        <v>122</v>
      </c>
      <c r="L19" s="24" t="s">
        <v>198</v>
      </c>
    </row>
    <row r="20" spans="1:12" x14ac:dyDescent="0.35">
      <c r="A20" s="19">
        <v>45664</v>
      </c>
      <c r="B20" s="43"/>
      <c r="C20" s="43">
        <v>600000</v>
      </c>
      <c r="D20" s="45" t="s">
        <v>154</v>
      </c>
      <c r="E20" s="10" t="s">
        <v>61</v>
      </c>
      <c r="F20" s="24" t="s">
        <v>139</v>
      </c>
      <c r="G20" s="33">
        <v>45669</v>
      </c>
      <c r="H20" s="20"/>
      <c r="I20" s="20"/>
      <c r="J20" s="21">
        <v>2000000</v>
      </c>
      <c r="K20" s="10" t="s">
        <v>110</v>
      </c>
      <c r="L20" s="24" t="s">
        <v>109</v>
      </c>
    </row>
    <row r="21" spans="1:12" x14ac:dyDescent="0.35">
      <c r="A21" s="19">
        <v>45664</v>
      </c>
      <c r="B21" s="43">
        <v>1250000</v>
      </c>
      <c r="C21" s="43"/>
      <c r="D21" s="20"/>
      <c r="E21" s="10" t="s">
        <v>62</v>
      </c>
      <c r="F21" s="24" t="s">
        <v>199</v>
      </c>
      <c r="G21" s="33">
        <v>45669</v>
      </c>
      <c r="H21" s="46">
        <v>2000000</v>
      </c>
      <c r="I21" s="46" t="s">
        <v>155</v>
      </c>
      <c r="J21" s="20"/>
      <c r="K21" s="10" t="s">
        <v>121</v>
      </c>
      <c r="L21" s="24" t="s">
        <v>199</v>
      </c>
    </row>
    <row r="22" spans="1:12" x14ac:dyDescent="0.35">
      <c r="A22" s="19">
        <v>45664</v>
      </c>
      <c r="B22" s="43">
        <v>2500</v>
      </c>
      <c r="C22" s="43"/>
      <c r="D22" s="20"/>
      <c r="E22" s="10" t="s">
        <v>63</v>
      </c>
      <c r="F22" s="24" t="s">
        <v>199</v>
      </c>
      <c r="G22" s="33">
        <v>45669</v>
      </c>
      <c r="H22" s="46">
        <v>500000</v>
      </c>
      <c r="I22" s="46" t="s">
        <v>155</v>
      </c>
      <c r="J22" s="21"/>
      <c r="K22" s="10" t="s">
        <v>122</v>
      </c>
      <c r="L22" s="24" t="s">
        <v>198</v>
      </c>
    </row>
    <row r="23" spans="1:12" x14ac:dyDescent="0.35">
      <c r="A23" s="19">
        <v>45664</v>
      </c>
      <c r="B23" s="43"/>
      <c r="C23" s="43">
        <v>600000</v>
      </c>
      <c r="D23" s="45" t="s">
        <v>154</v>
      </c>
      <c r="E23" s="10" t="s">
        <v>64</v>
      </c>
      <c r="F23" s="24" t="s">
        <v>139</v>
      </c>
      <c r="G23" s="33">
        <v>45670</v>
      </c>
      <c r="H23" s="46">
        <v>140000</v>
      </c>
      <c r="I23" s="46" t="s">
        <v>155</v>
      </c>
      <c r="J23" s="20"/>
      <c r="K23" s="10" t="s">
        <v>123</v>
      </c>
      <c r="L23" s="24" t="s">
        <v>199</v>
      </c>
    </row>
    <row r="24" spans="1:12" x14ac:dyDescent="0.35">
      <c r="A24" s="19">
        <v>45665</v>
      </c>
      <c r="B24" s="43"/>
      <c r="C24" s="43">
        <v>300000</v>
      </c>
      <c r="D24" s="45" t="s">
        <v>154</v>
      </c>
      <c r="E24" s="10" t="s">
        <v>65</v>
      </c>
      <c r="F24" s="24" t="s">
        <v>139</v>
      </c>
      <c r="G24" s="33">
        <v>45670</v>
      </c>
      <c r="H24" s="46">
        <v>197000</v>
      </c>
      <c r="I24" s="46" t="s">
        <v>155</v>
      </c>
      <c r="J24" s="20"/>
      <c r="K24" s="10" t="s">
        <v>124</v>
      </c>
      <c r="L24" s="24" t="s">
        <v>199</v>
      </c>
    </row>
    <row r="25" spans="1:12" x14ac:dyDescent="0.35">
      <c r="A25" s="19">
        <v>45665</v>
      </c>
      <c r="B25" s="43"/>
      <c r="C25" s="43">
        <v>300000</v>
      </c>
      <c r="D25" s="45" t="s">
        <v>154</v>
      </c>
      <c r="E25" s="10" t="s">
        <v>66</v>
      </c>
      <c r="F25" s="24" t="s">
        <v>139</v>
      </c>
      <c r="G25" s="33">
        <v>45670</v>
      </c>
      <c r="H25" s="46">
        <v>72000</v>
      </c>
      <c r="I25" s="46" t="s">
        <v>155</v>
      </c>
      <c r="J25" s="20"/>
      <c r="K25" s="10" t="s">
        <v>137</v>
      </c>
      <c r="L25" s="24" t="s">
        <v>199</v>
      </c>
    </row>
    <row r="26" spans="1:12" x14ac:dyDescent="0.35">
      <c r="A26" s="19">
        <v>45665</v>
      </c>
      <c r="B26" s="43"/>
      <c r="C26" s="43">
        <v>300000</v>
      </c>
      <c r="D26" s="45" t="s">
        <v>154</v>
      </c>
      <c r="E26" s="10" t="s">
        <v>67</v>
      </c>
      <c r="F26" s="24" t="s">
        <v>139</v>
      </c>
      <c r="G26" s="33">
        <v>45674</v>
      </c>
      <c r="H26" s="20"/>
      <c r="I26" s="20"/>
      <c r="J26" s="23">
        <v>33000</v>
      </c>
      <c r="K26" s="10"/>
      <c r="L26" s="24" t="s">
        <v>107</v>
      </c>
    </row>
    <row r="27" spans="1:12" x14ac:dyDescent="0.35">
      <c r="A27" s="19">
        <v>45665</v>
      </c>
      <c r="B27" s="43"/>
      <c r="C27" s="43">
        <v>300000</v>
      </c>
      <c r="D27" s="45" t="s">
        <v>154</v>
      </c>
      <c r="E27" s="10" t="s">
        <v>68</v>
      </c>
      <c r="F27" s="24" t="s">
        <v>139</v>
      </c>
      <c r="G27" s="33">
        <v>45674</v>
      </c>
      <c r="H27" s="20"/>
      <c r="I27" s="20"/>
      <c r="J27" s="23">
        <v>2967000</v>
      </c>
      <c r="K27" s="10"/>
      <c r="L27" s="24" t="s">
        <v>109</v>
      </c>
    </row>
    <row r="28" spans="1:12" x14ac:dyDescent="0.35">
      <c r="A28" s="19">
        <v>45665</v>
      </c>
      <c r="B28" s="43">
        <v>500000</v>
      </c>
      <c r="C28" s="43"/>
      <c r="D28" s="20"/>
      <c r="E28" s="10" t="s">
        <v>85</v>
      </c>
      <c r="F28" s="24" t="s">
        <v>199</v>
      </c>
      <c r="G28" s="33">
        <v>45682</v>
      </c>
      <c r="H28" s="20">
        <v>100000</v>
      </c>
      <c r="I28" s="56" t="s">
        <v>159</v>
      </c>
      <c r="J28" s="6"/>
      <c r="K28" s="10" t="s">
        <v>186</v>
      </c>
      <c r="L28" s="24" t="s">
        <v>199</v>
      </c>
    </row>
    <row r="29" spans="1:12" x14ac:dyDescent="0.35">
      <c r="A29" s="19">
        <v>45665</v>
      </c>
      <c r="B29" s="43">
        <v>2000000</v>
      </c>
      <c r="C29" s="43"/>
      <c r="D29" s="20"/>
      <c r="E29" s="10" t="s">
        <v>69</v>
      </c>
      <c r="F29" s="24" t="s">
        <v>143</v>
      </c>
      <c r="G29" s="33">
        <v>45682</v>
      </c>
      <c r="H29" s="58">
        <v>130000</v>
      </c>
      <c r="I29" s="56" t="s">
        <v>159</v>
      </c>
      <c r="J29" s="20"/>
      <c r="K29" s="10" t="s">
        <v>112</v>
      </c>
      <c r="L29" s="24" t="s">
        <v>199</v>
      </c>
    </row>
    <row r="30" spans="1:12" x14ac:dyDescent="0.35">
      <c r="A30" s="19">
        <v>45665</v>
      </c>
      <c r="B30" s="43">
        <v>2500</v>
      </c>
      <c r="C30" s="43"/>
      <c r="D30" s="20"/>
      <c r="E30" s="10" t="s">
        <v>70</v>
      </c>
      <c r="F30" s="24" t="s">
        <v>143</v>
      </c>
      <c r="G30" s="33">
        <v>45683</v>
      </c>
      <c r="H30" s="58">
        <v>90000</v>
      </c>
      <c r="I30" s="56" t="s">
        <v>159</v>
      </c>
      <c r="J30" s="20"/>
      <c r="K30" s="10" t="s">
        <v>187</v>
      </c>
      <c r="L30" s="24" t="s">
        <v>199</v>
      </c>
    </row>
    <row r="31" spans="1:12" x14ac:dyDescent="0.35">
      <c r="A31" s="19">
        <v>45665</v>
      </c>
      <c r="B31" s="43"/>
      <c r="C31" s="43">
        <v>504000</v>
      </c>
      <c r="D31" s="45" t="s">
        <v>154</v>
      </c>
      <c r="E31" s="10" t="s">
        <v>71</v>
      </c>
      <c r="F31" s="24" t="s">
        <v>139</v>
      </c>
      <c r="G31" s="33">
        <v>45687</v>
      </c>
      <c r="H31" s="58">
        <v>500000</v>
      </c>
      <c r="I31" s="56" t="s">
        <v>159</v>
      </c>
      <c r="J31" s="20"/>
      <c r="K31" s="10" t="s">
        <v>191</v>
      </c>
      <c r="L31" s="24" t="s">
        <v>198</v>
      </c>
    </row>
    <row r="32" spans="1:12" x14ac:dyDescent="0.35">
      <c r="A32" s="19">
        <v>45665</v>
      </c>
      <c r="B32" s="43"/>
      <c r="C32" s="43">
        <v>100000</v>
      </c>
      <c r="D32" s="45" t="s">
        <v>154</v>
      </c>
      <c r="E32" s="10" t="s">
        <v>72</v>
      </c>
      <c r="F32" s="24" t="s">
        <v>139</v>
      </c>
      <c r="G32" s="33">
        <v>45687</v>
      </c>
      <c r="H32" s="58">
        <v>400000</v>
      </c>
      <c r="I32" s="56" t="s">
        <v>159</v>
      </c>
      <c r="J32" s="20"/>
      <c r="K32" s="10" t="s">
        <v>188</v>
      </c>
      <c r="L32" s="24" t="s">
        <v>198</v>
      </c>
    </row>
    <row r="33" spans="1:12" x14ac:dyDescent="0.35">
      <c r="A33" s="17">
        <v>45666</v>
      </c>
      <c r="B33" s="44"/>
      <c r="C33" s="44">
        <v>400000</v>
      </c>
      <c r="D33" s="45" t="s">
        <v>154</v>
      </c>
      <c r="E33" s="10" t="s">
        <v>86</v>
      </c>
      <c r="F33" s="24" t="s">
        <v>140</v>
      </c>
      <c r="G33" s="33">
        <v>45687</v>
      </c>
      <c r="H33" s="58">
        <v>500000</v>
      </c>
      <c r="I33" s="56" t="s">
        <v>159</v>
      </c>
      <c r="J33" s="20"/>
      <c r="K33" s="10" t="s">
        <v>189</v>
      </c>
      <c r="L33" s="24" t="s">
        <v>199</v>
      </c>
    </row>
    <row r="34" spans="1:12" x14ac:dyDescent="0.35">
      <c r="A34" s="17">
        <v>45666</v>
      </c>
      <c r="B34" s="44"/>
      <c r="C34" s="44">
        <v>300000</v>
      </c>
      <c r="D34" s="45" t="s">
        <v>154</v>
      </c>
      <c r="E34" s="10" t="s">
        <v>87</v>
      </c>
      <c r="F34" s="24" t="s">
        <v>139</v>
      </c>
      <c r="G34" s="33">
        <v>45687</v>
      </c>
      <c r="H34" s="58">
        <v>500000</v>
      </c>
      <c r="I34" s="56" t="s">
        <v>159</v>
      </c>
      <c r="J34" s="20"/>
      <c r="K34" s="10" t="s">
        <v>190</v>
      </c>
      <c r="L34" s="24" t="s">
        <v>199</v>
      </c>
    </row>
    <row r="35" spans="1:12" x14ac:dyDescent="0.35">
      <c r="A35" s="17">
        <v>45666</v>
      </c>
      <c r="B35" s="44"/>
      <c r="C35" s="44">
        <v>300000</v>
      </c>
      <c r="D35" s="45" t="s">
        <v>154</v>
      </c>
      <c r="E35" s="10" t="s">
        <v>88</v>
      </c>
      <c r="F35" s="24" t="s">
        <v>139</v>
      </c>
      <c r="G35" s="19">
        <v>45687</v>
      </c>
      <c r="H35" s="58"/>
      <c r="I35" s="56" t="s">
        <v>159</v>
      </c>
      <c r="J35" s="20">
        <v>2000000</v>
      </c>
      <c r="K35" s="10" t="s">
        <v>110</v>
      </c>
      <c r="L35" s="24" t="s">
        <v>109</v>
      </c>
    </row>
    <row r="36" spans="1:12" x14ac:dyDescent="0.35">
      <c r="A36" s="17">
        <v>45667</v>
      </c>
      <c r="B36" s="44"/>
      <c r="C36" s="44">
        <v>600000</v>
      </c>
      <c r="D36" s="45" t="s">
        <v>154</v>
      </c>
      <c r="E36" s="10" t="s">
        <v>89</v>
      </c>
      <c r="F36" s="59" t="s">
        <v>139</v>
      </c>
      <c r="G36" s="35"/>
      <c r="H36" s="29"/>
      <c r="I36" s="61"/>
      <c r="J36" s="29"/>
      <c r="K36" s="30"/>
    </row>
    <row r="37" spans="1:12" x14ac:dyDescent="0.35">
      <c r="A37" s="17">
        <v>45667</v>
      </c>
      <c r="B37" s="44"/>
      <c r="C37" s="44">
        <v>350000</v>
      </c>
      <c r="D37" s="45" t="s">
        <v>154</v>
      </c>
      <c r="E37" s="10" t="s">
        <v>90</v>
      </c>
      <c r="F37" s="59" t="s">
        <v>139</v>
      </c>
      <c r="G37" s="35"/>
      <c r="H37" s="60"/>
      <c r="I37" s="61"/>
      <c r="J37" s="29"/>
      <c r="K37" s="13"/>
    </row>
    <row r="38" spans="1:12" x14ac:dyDescent="0.35">
      <c r="A38" s="17">
        <v>45667</v>
      </c>
      <c r="B38" s="44">
        <v>1600000</v>
      </c>
      <c r="C38" s="21"/>
      <c r="D38" s="21"/>
      <c r="E38" s="10" t="s">
        <v>91</v>
      </c>
      <c r="F38" s="24" t="s">
        <v>143</v>
      </c>
      <c r="J38" s="26"/>
    </row>
    <row r="39" spans="1:12" x14ac:dyDescent="0.35">
      <c r="A39" s="17">
        <v>45667</v>
      </c>
      <c r="B39" s="44">
        <v>2500</v>
      </c>
      <c r="C39" s="21"/>
      <c r="D39" s="21"/>
      <c r="E39" s="10" t="s">
        <v>92</v>
      </c>
      <c r="F39" s="24" t="s">
        <v>143</v>
      </c>
    </row>
    <row r="40" spans="1:12" x14ac:dyDescent="0.35">
      <c r="A40" s="17">
        <v>45670</v>
      </c>
      <c r="B40" s="39">
        <v>750000</v>
      </c>
      <c r="C40" s="21"/>
      <c r="D40" s="39" t="s">
        <v>153</v>
      </c>
      <c r="E40" s="10" t="s">
        <v>93</v>
      </c>
      <c r="F40" s="24" t="s">
        <v>198</v>
      </c>
    </row>
    <row r="41" spans="1:12" x14ac:dyDescent="0.35">
      <c r="A41" s="17">
        <v>45670</v>
      </c>
      <c r="B41" s="39">
        <v>2500</v>
      </c>
      <c r="C41" s="21"/>
      <c r="D41" s="39" t="s">
        <v>153</v>
      </c>
      <c r="E41" s="10" t="s">
        <v>94</v>
      </c>
      <c r="F41" s="24" t="s">
        <v>198</v>
      </c>
    </row>
    <row r="42" spans="1:12" x14ac:dyDescent="0.35">
      <c r="A42" s="17">
        <v>45670</v>
      </c>
      <c r="B42" s="21"/>
      <c r="C42" s="39">
        <v>300000</v>
      </c>
      <c r="D42" s="39" t="s">
        <v>153</v>
      </c>
      <c r="E42" s="10" t="s">
        <v>95</v>
      </c>
      <c r="F42" s="24" t="s">
        <v>109</v>
      </c>
    </row>
    <row r="43" spans="1:12" x14ac:dyDescent="0.35">
      <c r="A43" s="17">
        <v>45670</v>
      </c>
      <c r="B43" s="21"/>
      <c r="C43" s="39">
        <v>50000</v>
      </c>
      <c r="D43" s="39" t="s">
        <v>153</v>
      </c>
      <c r="E43" s="10" t="s">
        <v>56</v>
      </c>
      <c r="F43" s="24" t="s">
        <v>109</v>
      </c>
    </row>
    <row r="44" spans="1:12" x14ac:dyDescent="0.35">
      <c r="A44" s="17">
        <v>45670</v>
      </c>
      <c r="B44" s="21"/>
      <c r="C44" s="39">
        <v>100000</v>
      </c>
      <c r="D44" s="39" t="s">
        <v>153</v>
      </c>
      <c r="E44" s="10" t="s">
        <v>96</v>
      </c>
      <c r="F44" s="24" t="s">
        <v>109</v>
      </c>
    </row>
    <row r="45" spans="1:12" x14ac:dyDescent="0.35">
      <c r="A45" s="17">
        <v>45670</v>
      </c>
      <c r="B45" s="21"/>
      <c r="C45" s="39">
        <v>3000000</v>
      </c>
      <c r="D45" s="39" t="s">
        <v>153</v>
      </c>
      <c r="E45" s="10" t="s">
        <v>97</v>
      </c>
      <c r="F45" s="24" t="s">
        <v>109</v>
      </c>
    </row>
    <row r="46" spans="1:12" x14ac:dyDescent="0.35">
      <c r="A46" s="17">
        <v>45670</v>
      </c>
      <c r="B46" s="21"/>
      <c r="C46" s="39">
        <v>2773000</v>
      </c>
      <c r="D46" s="39" t="s">
        <v>153</v>
      </c>
      <c r="E46" s="24" t="s">
        <v>107</v>
      </c>
      <c r="F46" s="24" t="s">
        <v>107</v>
      </c>
      <c r="G46" s="29"/>
      <c r="H46" s="30"/>
      <c r="I46" s="30"/>
    </row>
    <row r="47" spans="1:12" x14ac:dyDescent="0.35">
      <c r="A47" s="17">
        <v>45670</v>
      </c>
      <c r="B47" s="21"/>
      <c r="C47" s="39">
        <v>3977000</v>
      </c>
      <c r="D47" s="39" t="s">
        <v>153</v>
      </c>
      <c r="E47" s="24" t="s">
        <v>109</v>
      </c>
      <c r="F47" s="24" t="s">
        <v>109</v>
      </c>
      <c r="G47" s="29"/>
      <c r="H47" s="30"/>
      <c r="I47" s="30"/>
    </row>
    <row r="48" spans="1:12" x14ac:dyDescent="0.35">
      <c r="A48" s="17">
        <v>45670</v>
      </c>
      <c r="B48" s="21">
        <v>2000000</v>
      </c>
      <c r="C48" s="39"/>
      <c r="D48" s="39" t="s">
        <v>153</v>
      </c>
      <c r="E48" s="28" t="s">
        <v>114</v>
      </c>
      <c r="F48" s="24" t="s">
        <v>198</v>
      </c>
      <c r="G48" s="31"/>
    </row>
    <row r="49" spans="1:15" x14ac:dyDescent="0.35">
      <c r="A49" s="17">
        <v>45670</v>
      </c>
      <c r="B49" s="21">
        <v>200000</v>
      </c>
      <c r="C49" s="39"/>
      <c r="D49" s="39" t="s">
        <v>153</v>
      </c>
      <c r="E49" s="28" t="s">
        <v>115</v>
      </c>
      <c r="F49" s="24" t="s">
        <v>198</v>
      </c>
      <c r="G49" s="31"/>
    </row>
    <row r="50" spans="1:15" s="18" customFormat="1" x14ac:dyDescent="0.35">
      <c r="A50" s="17">
        <v>45671</v>
      </c>
      <c r="B50" s="21"/>
      <c r="C50" s="39">
        <v>100000</v>
      </c>
      <c r="D50" s="39" t="s">
        <v>153</v>
      </c>
      <c r="E50" s="10" t="s">
        <v>99</v>
      </c>
      <c r="F50" s="24" t="s">
        <v>109</v>
      </c>
      <c r="G50" s="31"/>
      <c r="O50"/>
    </row>
    <row r="51" spans="1:15" s="18" customFormat="1" x14ac:dyDescent="0.35">
      <c r="A51" s="17">
        <v>45671</v>
      </c>
      <c r="B51" s="21"/>
      <c r="C51" s="39">
        <v>7000</v>
      </c>
      <c r="D51" s="39" t="s">
        <v>153</v>
      </c>
      <c r="E51" s="10" t="s">
        <v>100</v>
      </c>
      <c r="F51" s="24" t="s">
        <v>109</v>
      </c>
      <c r="G51" s="26"/>
      <c r="O51"/>
    </row>
    <row r="52" spans="1:15" s="18" customFormat="1" x14ac:dyDescent="0.35">
      <c r="A52" s="17">
        <v>45671</v>
      </c>
      <c r="B52" s="21"/>
      <c r="C52" s="39">
        <v>1000000</v>
      </c>
      <c r="D52" s="39" t="s">
        <v>153</v>
      </c>
      <c r="E52" s="10" t="s">
        <v>101</v>
      </c>
      <c r="F52" s="24" t="s">
        <v>109</v>
      </c>
      <c r="O52"/>
    </row>
    <row r="53" spans="1:15" s="18" customFormat="1" x14ac:dyDescent="0.35">
      <c r="A53" s="17">
        <v>45672</v>
      </c>
      <c r="B53" s="21"/>
      <c r="C53" s="39">
        <v>600000</v>
      </c>
      <c r="D53" s="39" t="s">
        <v>153</v>
      </c>
      <c r="E53" s="10" t="s">
        <v>86</v>
      </c>
      <c r="F53" s="24" t="s">
        <v>140</v>
      </c>
      <c r="O53"/>
    </row>
    <row r="54" spans="1:15" s="18" customFormat="1" x14ac:dyDescent="0.35">
      <c r="A54" s="19">
        <v>45673</v>
      </c>
      <c r="B54" s="9"/>
      <c r="C54" s="40">
        <v>250000</v>
      </c>
      <c r="D54" s="39" t="s">
        <v>153</v>
      </c>
      <c r="E54" s="10" t="s">
        <v>61</v>
      </c>
      <c r="F54" s="24" t="s">
        <v>139</v>
      </c>
      <c r="O54"/>
    </row>
    <row r="55" spans="1:15" s="18" customFormat="1" x14ac:dyDescent="0.35">
      <c r="A55" s="19">
        <v>45674</v>
      </c>
      <c r="B55" s="40">
        <v>2500000</v>
      </c>
      <c r="C55" s="9"/>
      <c r="D55" s="9"/>
      <c r="E55" s="10" t="s">
        <v>103</v>
      </c>
      <c r="F55" s="24" t="s">
        <v>143</v>
      </c>
      <c r="O55"/>
    </row>
    <row r="56" spans="1:15" s="18" customFormat="1" x14ac:dyDescent="0.35">
      <c r="A56" s="17">
        <v>45677</v>
      </c>
      <c r="B56" s="9"/>
      <c r="C56" s="47">
        <v>50000</v>
      </c>
      <c r="D56" s="9"/>
      <c r="E56" s="10" t="s">
        <v>126</v>
      </c>
      <c r="F56" s="24" t="s">
        <v>109</v>
      </c>
      <c r="O56"/>
    </row>
    <row r="57" spans="1:15" s="18" customFormat="1" x14ac:dyDescent="0.35">
      <c r="A57" s="17">
        <v>45677</v>
      </c>
      <c r="B57" s="9"/>
      <c r="C57" s="47">
        <v>5000</v>
      </c>
      <c r="D57" s="9"/>
      <c r="E57" s="10" t="s">
        <v>127</v>
      </c>
      <c r="F57" s="24" t="s">
        <v>109</v>
      </c>
      <c r="O57"/>
    </row>
    <row r="58" spans="1:15" s="18" customFormat="1" x14ac:dyDescent="0.35">
      <c r="A58" s="17">
        <v>45677</v>
      </c>
      <c r="B58" s="9"/>
      <c r="C58" s="47">
        <v>4044000</v>
      </c>
      <c r="D58" s="9"/>
      <c r="E58" s="24" t="s">
        <v>107</v>
      </c>
      <c r="F58" s="24" t="s">
        <v>107</v>
      </c>
      <c r="O58"/>
    </row>
    <row r="59" spans="1:15" s="18" customFormat="1" x14ac:dyDescent="0.35">
      <c r="A59" s="17">
        <v>45677</v>
      </c>
      <c r="B59" s="9"/>
      <c r="C59" s="47">
        <v>2967000</v>
      </c>
      <c r="D59" s="46" t="s">
        <v>155</v>
      </c>
      <c r="E59" s="24" t="s">
        <v>109</v>
      </c>
      <c r="F59" s="24" t="s">
        <v>109</v>
      </c>
      <c r="O59"/>
    </row>
    <row r="60" spans="1:15" s="18" customFormat="1" x14ac:dyDescent="0.35">
      <c r="A60" s="17">
        <v>45677</v>
      </c>
      <c r="B60" s="9">
        <v>3000000</v>
      </c>
      <c r="C60" s="9"/>
      <c r="D60" s="9"/>
      <c r="E60" s="28" t="s">
        <v>114</v>
      </c>
      <c r="F60" s="24" t="s">
        <v>198</v>
      </c>
      <c r="G60" s="26"/>
      <c r="O60"/>
    </row>
    <row r="61" spans="1:15" s="18" customFormat="1" x14ac:dyDescent="0.35">
      <c r="A61" s="17">
        <v>45677</v>
      </c>
      <c r="B61" s="9">
        <v>20000</v>
      </c>
      <c r="C61" s="9"/>
      <c r="D61" s="46" t="s">
        <v>155</v>
      </c>
      <c r="E61" s="28" t="s">
        <v>115</v>
      </c>
      <c r="F61" s="24" t="s">
        <v>198</v>
      </c>
      <c r="O61"/>
    </row>
    <row r="62" spans="1:15" s="18" customFormat="1" x14ac:dyDescent="0.35">
      <c r="A62" s="17">
        <v>45677</v>
      </c>
      <c r="B62" s="9"/>
      <c r="C62" s="9"/>
      <c r="D62" s="9"/>
      <c r="E62" s="7" t="s">
        <v>125</v>
      </c>
      <c r="F62" s="24"/>
      <c r="O62"/>
    </row>
    <row r="63" spans="1:15" s="18" customFormat="1" x14ac:dyDescent="0.35">
      <c r="A63" s="17">
        <v>45677</v>
      </c>
      <c r="B63" s="9"/>
      <c r="C63" s="47">
        <v>5165000</v>
      </c>
      <c r="D63" s="46" t="s">
        <v>155</v>
      </c>
      <c r="E63" s="10" t="s">
        <v>98</v>
      </c>
      <c r="F63" s="24" t="s">
        <v>109</v>
      </c>
      <c r="O63"/>
    </row>
    <row r="64" spans="1:15" s="18" customFormat="1" x14ac:dyDescent="0.35">
      <c r="A64" s="17">
        <v>45678</v>
      </c>
      <c r="B64" s="9"/>
      <c r="C64" s="47">
        <v>10000</v>
      </c>
      <c r="D64" s="46" t="s">
        <v>155</v>
      </c>
      <c r="E64" s="10" t="s">
        <v>127</v>
      </c>
      <c r="F64" s="24" t="s">
        <v>109</v>
      </c>
      <c r="O64"/>
    </row>
    <row r="65" spans="1:15" s="18" customFormat="1" x14ac:dyDescent="0.35">
      <c r="A65" s="17">
        <v>45678</v>
      </c>
      <c r="B65" s="9"/>
      <c r="C65" s="47">
        <v>10000</v>
      </c>
      <c r="D65" s="46" t="s">
        <v>155</v>
      </c>
      <c r="E65" s="10" t="s">
        <v>128</v>
      </c>
      <c r="F65" s="24" t="s">
        <v>109</v>
      </c>
      <c r="O65"/>
    </row>
    <row r="66" spans="1:15" s="18" customFormat="1" x14ac:dyDescent="0.35">
      <c r="A66" s="17">
        <v>45678</v>
      </c>
      <c r="B66" s="9">
        <v>750000</v>
      </c>
      <c r="C66" s="47"/>
      <c r="D66" s="46" t="s">
        <v>155</v>
      </c>
      <c r="E66" s="7" t="s">
        <v>131</v>
      </c>
      <c r="F66" s="24" t="s">
        <v>198</v>
      </c>
      <c r="O66"/>
    </row>
    <row r="67" spans="1:15" s="18" customFormat="1" x14ac:dyDescent="0.35">
      <c r="A67" s="17">
        <v>45678</v>
      </c>
      <c r="B67" s="9">
        <v>2500</v>
      </c>
      <c r="C67" s="47"/>
      <c r="D67" s="46" t="s">
        <v>155</v>
      </c>
      <c r="E67" s="7" t="s">
        <v>130</v>
      </c>
      <c r="F67" s="24" t="s">
        <v>198</v>
      </c>
      <c r="O67"/>
    </row>
    <row r="68" spans="1:15" s="18" customFormat="1" x14ac:dyDescent="0.35">
      <c r="A68" s="17">
        <v>45678</v>
      </c>
      <c r="B68" s="9">
        <v>756500</v>
      </c>
      <c r="C68" s="47"/>
      <c r="D68" s="46" t="s">
        <v>155</v>
      </c>
      <c r="E68" s="7" t="s">
        <v>132</v>
      </c>
      <c r="F68" s="24" t="s">
        <v>198</v>
      </c>
      <c r="O68"/>
    </row>
    <row r="69" spans="1:15" s="18" customFormat="1" x14ac:dyDescent="0.35">
      <c r="A69" s="17">
        <v>45678</v>
      </c>
      <c r="B69" s="9">
        <v>2500</v>
      </c>
      <c r="C69" s="47"/>
      <c r="D69" s="46" t="s">
        <v>155</v>
      </c>
      <c r="E69" s="7" t="s">
        <v>133</v>
      </c>
      <c r="F69" s="24" t="s">
        <v>198</v>
      </c>
      <c r="O69"/>
    </row>
    <row r="70" spans="1:15" s="18" customFormat="1" x14ac:dyDescent="0.35">
      <c r="A70" s="17">
        <v>45679</v>
      </c>
      <c r="B70" s="9"/>
      <c r="C70" s="47">
        <v>10000</v>
      </c>
      <c r="D70" s="46" t="s">
        <v>155</v>
      </c>
      <c r="E70" s="10" t="s">
        <v>128</v>
      </c>
      <c r="F70" s="24" t="s">
        <v>109</v>
      </c>
      <c r="O70"/>
    </row>
    <row r="71" spans="1:15" s="18" customFormat="1" x14ac:dyDescent="0.35">
      <c r="A71" s="17">
        <v>45679</v>
      </c>
      <c r="B71" s="9"/>
      <c r="C71" s="47">
        <v>1200000</v>
      </c>
      <c r="D71" s="46" t="s">
        <v>155</v>
      </c>
      <c r="E71" s="10" t="s">
        <v>129</v>
      </c>
      <c r="F71" s="24" t="s">
        <v>109</v>
      </c>
      <c r="O71"/>
    </row>
    <row r="72" spans="1:15" s="18" customFormat="1" x14ac:dyDescent="0.35">
      <c r="A72" s="17">
        <v>45679</v>
      </c>
      <c r="B72" s="9"/>
      <c r="C72" s="47">
        <v>500000</v>
      </c>
      <c r="D72" s="46" t="s">
        <v>155</v>
      </c>
      <c r="E72" s="10" t="s">
        <v>145</v>
      </c>
      <c r="F72" s="24" t="s">
        <v>139</v>
      </c>
      <c r="O72"/>
    </row>
    <row r="73" spans="1:15" s="18" customFormat="1" x14ac:dyDescent="0.35">
      <c r="A73" s="17">
        <v>45680</v>
      </c>
      <c r="B73" s="9"/>
      <c r="C73" s="47">
        <v>10000</v>
      </c>
      <c r="D73" s="46" t="s">
        <v>155</v>
      </c>
      <c r="E73" s="10" t="s">
        <v>146</v>
      </c>
      <c r="F73" s="24" t="s">
        <v>109</v>
      </c>
      <c r="O73"/>
    </row>
    <row r="74" spans="1:15" s="18" customFormat="1" x14ac:dyDescent="0.35">
      <c r="A74" s="17">
        <v>45680</v>
      </c>
      <c r="B74" s="9"/>
      <c r="C74" s="47">
        <v>300000</v>
      </c>
      <c r="D74" s="46" t="s">
        <v>155</v>
      </c>
      <c r="E74" s="10" t="s">
        <v>147</v>
      </c>
      <c r="F74" s="24" t="s">
        <v>139</v>
      </c>
      <c r="O74"/>
    </row>
    <row r="75" spans="1:15" s="18" customFormat="1" x14ac:dyDescent="0.35">
      <c r="A75" s="17">
        <v>45681</v>
      </c>
      <c r="B75" s="9"/>
      <c r="C75" s="47">
        <v>300000</v>
      </c>
      <c r="D75" s="46" t="s">
        <v>155</v>
      </c>
      <c r="E75" s="10" t="s">
        <v>61</v>
      </c>
      <c r="F75" s="24" t="s">
        <v>139</v>
      </c>
      <c r="O75"/>
    </row>
    <row r="76" spans="1:15" s="18" customFormat="1" x14ac:dyDescent="0.35">
      <c r="A76" s="17">
        <v>45681</v>
      </c>
      <c r="B76" s="9"/>
      <c r="C76" s="47">
        <v>150000</v>
      </c>
      <c r="D76" s="46" t="s">
        <v>155</v>
      </c>
      <c r="E76" s="10" t="s">
        <v>156</v>
      </c>
      <c r="F76" s="24" t="s">
        <v>109</v>
      </c>
      <c r="O76"/>
    </row>
    <row r="77" spans="1:15" s="18" customFormat="1" x14ac:dyDescent="0.35">
      <c r="A77" s="17">
        <v>45681</v>
      </c>
      <c r="B77" s="9"/>
      <c r="C77" s="47">
        <v>10000</v>
      </c>
      <c r="D77" s="46" t="s">
        <v>155</v>
      </c>
      <c r="E77" s="10" t="s">
        <v>157</v>
      </c>
      <c r="F77" s="24" t="s">
        <v>109</v>
      </c>
      <c r="O77"/>
    </row>
    <row r="78" spans="1:15" s="18" customFormat="1" x14ac:dyDescent="0.35">
      <c r="A78" s="17">
        <v>45681</v>
      </c>
      <c r="B78" s="9"/>
      <c r="C78" s="47">
        <v>300000</v>
      </c>
      <c r="D78" s="46" t="s">
        <v>155</v>
      </c>
      <c r="E78" s="10" t="s">
        <v>87</v>
      </c>
      <c r="F78" s="24" t="s">
        <v>139</v>
      </c>
      <c r="O78"/>
    </row>
    <row r="79" spans="1:15" s="18" customFormat="1" x14ac:dyDescent="0.35">
      <c r="A79" s="17">
        <v>45681</v>
      </c>
      <c r="B79" s="9"/>
      <c r="C79" s="47">
        <v>300000</v>
      </c>
      <c r="D79" s="46" t="s">
        <v>155</v>
      </c>
      <c r="E79" s="10" t="s">
        <v>157</v>
      </c>
      <c r="F79" s="24" t="s">
        <v>109</v>
      </c>
      <c r="O79"/>
    </row>
    <row r="80" spans="1:15" s="18" customFormat="1" x14ac:dyDescent="0.35">
      <c r="A80" s="48">
        <v>45681</v>
      </c>
      <c r="B80" s="49">
        <v>1400000</v>
      </c>
      <c r="C80" s="51"/>
      <c r="D80" s="52" t="s">
        <v>155</v>
      </c>
      <c r="E80" s="54" t="s">
        <v>158</v>
      </c>
      <c r="F80" s="55" t="s">
        <v>143</v>
      </c>
      <c r="O80"/>
    </row>
    <row r="81" spans="1:15" s="18" customFormat="1" x14ac:dyDescent="0.35">
      <c r="A81" s="17">
        <v>45687</v>
      </c>
      <c r="B81" s="9"/>
      <c r="C81" s="57">
        <v>100000</v>
      </c>
      <c r="D81" s="56" t="s">
        <v>159</v>
      </c>
      <c r="E81" s="10" t="s">
        <v>157</v>
      </c>
      <c r="F81" s="24" t="s">
        <v>109</v>
      </c>
      <c r="O81"/>
    </row>
    <row r="82" spans="1:15" s="18" customFormat="1" x14ac:dyDescent="0.35">
      <c r="A82" s="17">
        <v>45687</v>
      </c>
      <c r="B82" s="9"/>
      <c r="C82" s="57">
        <v>10000</v>
      </c>
      <c r="D82" s="56" t="s">
        <v>159</v>
      </c>
      <c r="E82" s="10" t="s">
        <v>157</v>
      </c>
      <c r="F82" s="24" t="s">
        <v>109</v>
      </c>
      <c r="O82"/>
    </row>
    <row r="83" spans="1:15" s="18" customFormat="1" x14ac:dyDescent="0.35">
      <c r="A83" s="17">
        <v>45687</v>
      </c>
      <c r="B83" s="9">
        <v>750000</v>
      </c>
      <c r="C83" s="57"/>
      <c r="D83" s="56" t="s">
        <v>159</v>
      </c>
      <c r="E83" s="10" t="s">
        <v>160</v>
      </c>
      <c r="F83" s="24" t="s">
        <v>198</v>
      </c>
      <c r="O83"/>
    </row>
    <row r="84" spans="1:15" s="18" customFormat="1" x14ac:dyDescent="0.35">
      <c r="A84" s="17">
        <v>45687</v>
      </c>
      <c r="B84" s="9">
        <v>2500</v>
      </c>
      <c r="C84" s="57"/>
      <c r="D84" s="56" t="s">
        <v>159</v>
      </c>
      <c r="E84" s="10" t="s">
        <v>161</v>
      </c>
      <c r="F84" s="24" t="s">
        <v>198</v>
      </c>
      <c r="O84"/>
    </row>
    <row r="85" spans="1:15" s="18" customFormat="1" x14ac:dyDescent="0.35">
      <c r="A85" s="17">
        <v>45687</v>
      </c>
      <c r="B85" s="9"/>
      <c r="C85" s="57">
        <v>100000</v>
      </c>
      <c r="D85" s="56" t="s">
        <v>159</v>
      </c>
      <c r="E85" s="10" t="s">
        <v>162</v>
      </c>
      <c r="F85" s="24" t="s">
        <v>109</v>
      </c>
      <c r="O85"/>
    </row>
    <row r="86" spans="1:15" s="18" customFormat="1" x14ac:dyDescent="0.35">
      <c r="A86" s="17">
        <v>45687</v>
      </c>
      <c r="B86" s="9"/>
      <c r="C86" s="57">
        <v>200000</v>
      </c>
      <c r="D86" s="56" t="s">
        <v>159</v>
      </c>
      <c r="E86" s="10" t="s">
        <v>163</v>
      </c>
      <c r="F86" s="24" t="s">
        <v>140</v>
      </c>
      <c r="O86"/>
    </row>
    <row r="87" spans="1:15" s="18" customFormat="1" x14ac:dyDescent="0.35">
      <c r="A87" s="17">
        <v>45687</v>
      </c>
      <c r="B87" s="9"/>
      <c r="C87" s="57">
        <v>300000</v>
      </c>
      <c r="D87" s="56" t="s">
        <v>159</v>
      </c>
      <c r="E87" s="10" t="s">
        <v>164</v>
      </c>
      <c r="F87" s="24" t="s">
        <v>109</v>
      </c>
      <c r="O87"/>
    </row>
    <row r="88" spans="1:15" s="18" customFormat="1" x14ac:dyDescent="0.35">
      <c r="A88" s="17">
        <v>45687</v>
      </c>
      <c r="B88" s="9">
        <v>1000000</v>
      </c>
      <c r="C88" s="57"/>
      <c r="D88" s="56" t="s">
        <v>159</v>
      </c>
      <c r="E88" s="10" t="s">
        <v>165</v>
      </c>
      <c r="F88" s="24" t="s">
        <v>198</v>
      </c>
      <c r="O88"/>
    </row>
    <row r="89" spans="1:15" s="18" customFormat="1" x14ac:dyDescent="0.35">
      <c r="A89" s="17">
        <v>45687</v>
      </c>
      <c r="B89" s="9">
        <v>2500</v>
      </c>
      <c r="C89" s="57"/>
      <c r="D89" s="56" t="s">
        <v>159</v>
      </c>
      <c r="E89" s="10" t="s">
        <v>166</v>
      </c>
      <c r="F89" s="24" t="s">
        <v>198</v>
      </c>
      <c r="O89"/>
    </row>
    <row r="90" spans="1:15" s="18" customFormat="1" x14ac:dyDescent="0.35">
      <c r="A90" s="17">
        <v>45687</v>
      </c>
      <c r="B90" s="9"/>
      <c r="C90" s="57">
        <v>10000</v>
      </c>
      <c r="D90" s="56" t="s">
        <v>159</v>
      </c>
      <c r="E90" s="10" t="s">
        <v>157</v>
      </c>
      <c r="F90" s="24" t="s">
        <v>109</v>
      </c>
      <c r="O90"/>
    </row>
    <row r="91" spans="1:15" s="18" customFormat="1" x14ac:dyDescent="0.35">
      <c r="A91" s="17">
        <v>45687</v>
      </c>
      <c r="B91" s="9"/>
      <c r="C91" s="57">
        <v>5000</v>
      </c>
      <c r="D91" s="56" t="s">
        <v>159</v>
      </c>
      <c r="E91" s="10" t="s">
        <v>157</v>
      </c>
      <c r="F91" s="24" t="s">
        <v>109</v>
      </c>
      <c r="O91"/>
    </row>
    <row r="92" spans="1:15" s="18" customFormat="1" x14ac:dyDescent="0.35">
      <c r="A92" s="17">
        <v>45687</v>
      </c>
      <c r="B92" s="9"/>
      <c r="C92" s="57">
        <v>200000</v>
      </c>
      <c r="D92" s="56" t="s">
        <v>159</v>
      </c>
      <c r="E92" s="10" t="s">
        <v>167</v>
      </c>
      <c r="F92" s="24" t="s">
        <v>109</v>
      </c>
      <c r="O92"/>
    </row>
    <row r="93" spans="1:15" s="18" customFormat="1" x14ac:dyDescent="0.35">
      <c r="A93" s="17">
        <v>45687</v>
      </c>
      <c r="B93" s="9"/>
      <c r="C93" s="57">
        <v>10000</v>
      </c>
      <c r="D93" s="56" t="s">
        <v>159</v>
      </c>
      <c r="E93" s="10" t="s">
        <v>157</v>
      </c>
      <c r="F93" s="24" t="s">
        <v>109</v>
      </c>
      <c r="O93"/>
    </row>
    <row r="94" spans="1:15" s="18" customFormat="1" x14ac:dyDescent="0.35">
      <c r="A94" s="17">
        <v>45687</v>
      </c>
      <c r="B94" s="9">
        <v>3250000</v>
      </c>
      <c r="C94" s="57"/>
      <c r="D94" s="56" t="s">
        <v>159</v>
      </c>
      <c r="E94" s="10" t="s">
        <v>169</v>
      </c>
      <c r="F94" s="24" t="s">
        <v>198</v>
      </c>
      <c r="O94"/>
    </row>
    <row r="95" spans="1:15" s="18" customFormat="1" x14ac:dyDescent="0.35">
      <c r="A95" s="17">
        <v>45687</v>
      </c>
      <c r="B95" s="9">
        <v>6500</v>
      </c>
      <c r="C95" s="57"/>
      <c r="D95" s="56" t="s">
        <v>159</v>
      </c>
      <c r="E95" s="10" t="s">
        <v>170</v>
      </c>
      <c r="F95" s="24" t="s">
        <v>198</v>
      </c>
      <c r="O95"/>
    </row>
    <row r="96" spans="1:15" s="18" customFormat="1" x14ac:dyDescent="0.35">
      <c r="A96" s="17">
        <v>45687</v>
      </c>
      <c r="B96" s="9">
        <v>2000000</v>
      </c>
      <c r="C96" s="57"/>
      <c r="D96" s="56" t="s">
        <v>159</v>
      </c>
      <c r="E96" s="10" t="s">
        <v>171</v>
      </c>
      <c r="F96" s="24" t="s">
        <v>198</v>
      </c>
      <c r="O96"/>
    </row>
    <row r="97" spans="1:15" s="18" customFormat="1" x14ac:dyDescent="0.35">
      <c r="A97" s="17">
        <v>45687</v>
      </c>
      <c r="B97" s="9">
        <v>6500</v>
      </c>
      <c r="C97" s="57"/>
      <c r="D97" s="56" t="s">
        <v>159</v>
      </c>
      <c r="E97" s="10" t="s">
        <v>172</v>
      </c>
      <c r="F97" s="24" t="s">
        <v>198</v>
      </c>
      <c r="O97"/>
    </row>
    <row r="98" spans="1:15" s="18" customFormat="1" x14ac:dyDescent="0.35">
      <c r="A98" s="17">
        <v>45687</v>
      </c>
      <c r="B98" s="9">
        <v>2500000</v>
      </c>
      <c r="C98" s="57"/>
      <c r="D98" s="56" t="s">
        <v>159</v>
      </c>
      <c r="E98" s="10" t="s">
        <v>173</v>
      </c>
      <c r="F98" s="24" t="s">
        <v>198</v>
      </c>
      <c r="O98"/>
    </row>
    <row r="99" spans="1:15" s="18" customFormat="1" x14ac:dyDescent="0.35">
      <c r="A99" s="17">
        <v>45687</v>
      </c>
      <c r="B99" s="9">
        <v>6500</v>
      </c>
      <c r="C99" s="57"/>
      <c r="D99" s="56" t="s">
        <v>159</v>
      </c>
      <c r="E99" s="10" t="s">
        <v>174</v>
      </c>
      <c r="F99" s="24" t="s">
        <v>198</v>
      </c>
      <c r="O99"/>
    </row>
    <row r="100" spans="1:15" s="18" customFormat="1" x14ac:dyDescent="0.35">
      <c r="A100" s="17">
        <v>45687</v>
      </c>
      <c r="B100" s="9">
        <f>2700000</f>
        <v>2700000</v>
      </c>
      <c r="C100" s="57"/>
      <c r="D100" s="56" t="s">
        <v>159</v>
      </c>
      <c r="E100" s="10" t="s">
        <v>175</v>
      </c>
      <c r="F100" s="24" t="s">
        <v>198</v>
      </c>
      <c r="O100"/>
    </row>
    <row r="101" spans="1:15" s="18" customFormat="1" x14ac:dyDescent="0.35">
      <c r="A101" s="17">
        <v>45687</v>
      </c>
      <c r="B101" s="9">
        <v>6500</v>
      </c>
      <c r="C101" s="57"/>
      <c r="D101" s="56" t="s">
        <v>159</v>
      </c>
      <c r="E101" s="10" t="s">
        <v>176</v>
      </c>
      <c r="F101" s="24" t="s">
        <v>198</v>
      </c>
      <c r="O101"/>
    </row>
    <row r="102" spans="1:15" s="18" customFormat="1" x14ac:dyDescent="0.35">
      <c r="A102" s="17">
        <v>45687</v>
      </c>
      <c r="B102" s="9">
        <v>2000000</v>
      </c>
      <c r="C102" s="57"/>
      <c r="D102" s="56" t="s">
        <v>159</v>
      </c>
      <c r="E102" s="10" t="s">
        <v>180</v>
      </c>
      <c r="F102" s="24" t="s">
        <v>198</v>
      </c>
      <c r="O102"/>
    </row>
    <row r="103" spans="1:15" s="18" customFormat="1" x14ac:dyDescent="0.35">
      <c r="A103" s="17">
        <v>45687</v>
      </c>
      <c r="B103" s="9">
        <v>6500</v>
      </c>
      <c r="C103" s="57"/>
      <c r="D103" s="56" t="s">
        <v>159</v>
      </c>
      <c r="E103" s="10" t="s">
        <v>177</v>
      </c>
      <c r="F103" s="24" t="s">
        <v>198</v>
      </c>
      <c r="O103"/>
    </row>
    <row r="104" spans="1:15" s="18" customFormat="1" x14ac:dyDescent="0.35">
      <c r="A104" s="17">
        <v>45687</v>
      </c>
      <c r="B104" s="9">
        <v>1500000</v>
      </c>
      <c r="C104" s="57"/>
      <c r="D104" s="56" t="s">
        <v>159</v>
      </c>
      <c r="E104" s="10" t="s">
        <v>178</v>
      </c>
      <c r="F104" s="24" t="s">
        <v>198</v>
      </c>
      <c r="O104"/>
    </row>
    <row r="105" spans="1:15" s="18" customFormat="1" x14ac:dyDescent="0.35">
      <c r="A105" s="17">
        <v>45687</v>
      </c>
      <c r="B105" s="9">
        <v>6500</v>
      </c>
      <c r="C105" s="57"/>
      <c r="D105" s="56" t="s">
        <v>159</v>
      </c>
      <c r="E105" s="10" t="s">
        <v>179</v>
      </c>
      <c r="F105" s="24" t="s">
        <v>198</v>
      </c>
      <c r="O105"/>
    </row>
    <row r="106" spans="1:15" s="18" customFormat="1" x14ac:dyDescent="0.35">
      <c r="A106" s="17">
        <v>45687</v>
      </c>
      <c r="B106" s="9">
        <v>2500000</v>
      </c>
      <c r="C106" s="57"/>
      <c r="D106" s="56" t="s">
        <v>159</v>
      </c>
      <c r="E106" s="10" t="s">
        <v>181</v>
      </c>
      <c r="F106" s="24" t="s">
        <v>198</v>
      </c>
      <c r="O106"/>
    </row>
    <row r="107" spans="1:15" s="18" customFormat="1" x14ac:dyDescent="0.35">
      <c r="A107" s="17">
        <v>45687</v>
      </c>
      <c r="B107" s="9"/>
      <c r="C107" s="9">
        <v>6000000</v>
      </c>
      <c r="D107" s="56" t="s">
        <v>159</v>
      </c>
      <c r="E107" s="10" t="s">
        <v>182</v>
      </c>
      <c r="F107" s="24" t="s">
        <v>109</v>
      </c>
      <c r="O107"/>
    </row>
    <row r="108" spans="1:15" s="18" customFormat="1" x14ac:dyDescent="0.35">
      <c r="A108" s="17">
        <v>45687</v>
      </c>
      <c r="B108" s="9"/>
      <c r="C108" s="57">
        <v>10000</v>
      </c>
      <c r="D108" s="56" t="s">
        <v>159</v>
      </c>
      <c r="E108" s="10" t="s">
        <v>157</v>
      </c>
      <c r="F108" s="24" t="s">
        <v>109</v>
      </c>
      <c r="O108"/>
    </row>
    <row r="109" spans="1:15" s="18" customFormat="1" x14ac:dyDescent="0.35">
      <c r="A109" s="17">
        <v>45687</v>
      </c>
      <c r="B109" s="9">
        <v>3000000</v>
      </c>
      <c r="C109" s="57"/>
      <c r="D109" s="56" t="s">
        <v>159</v>
      </c>
      <c r="E109" s="10" t="s">
        <v>183</v>
      </c>
      <c r="F109" s="24" t="s">
        <v>203</v>
      </c>
      <c r="O109"/>
    </row>
    <row r="110" spans="1:15" s="18" customFormat="1" x14ac:dyDescent="0.35">
      <c r="A110" s="17">
        <v>45687</v>
      </c>
      <c r="B110" s="9">
        <v>2000000</v>
      </c>
      <c r="C110" s="57"/>
      <c r="D110" s="56" t="s">
        <v>159</v>
      </c>
      <c r="E110" s="10" t="s">
        <v>184</v>
      </c>
      <c r="F110" s="24" t="s">
        <v>199</v>
      </c>
      <c r="O110"/>
    </row>
    <row r="111" spans="1:15" s="18" customFormat="1" x14ac:dyDescent="0.35">
      <c r="A111" s="17">
        <v>45687</v>
      </c>
      <c r="B111" s="9">
        <v>2500</v>
      </c>
      <c r="C111" s="57"/>
      <c r="D111" s="56" t="s">
        <v>159</v>
      </c>
      <c r="E111" s="10" t="s">
        <v>185</v>
      </c>
      <c r="F111" s="24" t="s">
        <v>199</v>
      </c>
      <c r="O111"/>
    </row>
    <row r="112" spans="1:15" s="18" customFormat="1" x14ac:dyDescent="0.35">
      <c r="A112" s="17">
        <v>45687</v>
      </c>
      <c r="B112" s="9"/>
      <c r="C112" s="57">
        <v>1000</v>
      </c>
      <c r="D112" s="56" t="s">
        <v>159</v>
      </c>
      <c r="E112" s="10" t="s">
        <v>168</v>
      </c>
      <c r="F112" s="24" t="s">
        <v>139</v>
      </c>
      <c r="O112"/>
    </row>
    <row r="113" spans="1:15" s="18" customFormat="1" x14ac:dyDescent="0.35">
      <c r="A113" s="17">
        <v>45687</v>
      </c>
      <c r="B113" s="9"/>
      <c r="C113" s="57">
        <v>750000</v>
      </c>
      <c r="D113" s="56" t="s">
        <v>159</v>
      </c>
      <c r="E113" s="10" t="s">
        <v>193</v>
      </c>
      <c r="F113" s="24" t="s">
        <v>109</v>
      </c>
      <c r="O113"/>
    </row>
    <row r="114" spans="1:15" s="18" customFormat="1" x14ac:dyDescent="0.35">
      <c r="A114" s="17">
        <v>45687</v>
      </c>
      <c r="B114" s="9"/>
      <c r="C114" s="57">
        <v>10000</v>
      </c>
      <c r="D114" s="56" t="s">
        <v>159</v>
      </c>
      <c r="E114" s="10" t="s">
        <v>157</v>
      </c>
      <c r="F114" s="24" t="s">
        <v>109</v>
      </c>
      <c r="O114"/>
    </row>
    <row r="115" spans="1:15" s="18" customFormat="1" x14ac:dyDescent="0.35">
      <c r="A115" s="17">
        <v>45687</v>
      </c>
      <c r="B115" s="9"/>
      <c r="C115" s="57"/>
      <c r="D115" s="56" t="s">
        <v>159</v>
      </c>
      <c r="E115" s="10" t="s">
        <v>157</v>
      </c>
      <c r="F115" s="24" t="s">
        <v>109</v>
      </c>
      <c r="O115"/>
    </row>
    <row r="116" spans="1:15" s="18" customFormat="1" x14ac:dyDescent="0.35">
      <c r="A116" s="17">
        <v>45687</v>
      </c>
      <c r="B116" s="9"/>
      <c r="C116" s="57"/>
      <c r="D116" s="56" t="s">
        <v>159</v>
      </c>
      <c r="E116" s="10" t="s">
        <v>157</v>
      </c>
      <c r="F116" s="24" t="s">
        <v>109</v>
      </c>
      <c r="O116"/>
    </row>
    <row r="117" spans="1:15" s="18" customFormat="1" x14ac:dyDescent="0.35">
      <c r="A117" s="17">
        <v>45687</v>
      </c>
      <c r="B117" s="32"/>
      <c r="C117" s="20">
        <v>2643000</v>
      </c>
      <c r="D117" s="56" t="s">
        <v>159</v>
      </c>
      <c r="E117" s="24" t="s">
        <v>107</v>
      </c>
      <c r="F117" s="24" t="s">
        <v>107</v>
      </c>
      <c r="O117"/>
    </row>
    <row r="118" spans="1:15" s="18" customFormat="1" x14ac:dyDescent="0.35">
      <c r="A118" s="17">
        <v>45687</v>
      </c>
      <c r="B118" s="20"/>
      <c r="C118" s="20">
        <v>4823000</v>
      </c>
      <c r="D118" s="56" t="s">
        <v>159</v>
      </c>
      <c r="E118" s="24" t="s">
        <v>109</v>
      </c>
      <c r="F118" s="24" t="s">
        <v>109</v>
      </c>
      <c r="O118"/>
    </row>
    <row r="119" spans="1:15" s="18" customFormat="1" x14ac:dyDescent="0.35">
      <c r="A119" s="17">
        <v>45687</v>
      </c>
      <c r="B119" s="20">
        <v>2000000</v>
      </c>
      <c r="C119" s="20"/>
      <c r="D119" s="56" t="s">
        <v>159</v>
      </c>
      <c r="E119" s="28" t="s">
        <v>114</v>
      </c>
      <c r="F119" s="24" t="s">
        <v>198</v>
      </c>
      <c r="O119"/>
    </row>
    <row r="120" spans="1:15" s="18" customFormat="1" x14ac:dyDescent="0.35">
      <c r="A120" s="17">
        <v>45687</v>
      </c>
      <c r="B120" s="20">
        <v>50000</v>
      </c>
      <c r="C120" s="20"/>
      <c r="D120" s="56" t="s">
        <v>159</v>
      </c>
      <c r="E120" s="28" t="s">
        <v>115</v>
      </c>
      <c r="F120" s="24" t="s">
        <v>198</v>
      </c>
      <c r="O120"/>
    </row>
    <row r="121" spans="1:15" s="18" customFormat="1" x14ac:dyDescent="0.35">
      <c r="A121" s="17">
        <v>45687</v>
      </c>
      <c r="B121" s="9">
        <v>4613000</v>
      </c>
      <c r="C121" s="57"/>
      <c r="D121" s="56" t="s">
        <v>159</v>
      </c>
      <c r="E121" s="10" t="s">
        <v>195</v>
      </c>
      <c r="F121" s="24" t="s">
        <v>203</v>
      </c>
      <c r="O121"/>
    </row>
    <row r="122" spans="1:15" s="18" customFormat="1" x14ac:dyDescent="0.35">
      <c r="A122" s="17">
        <v>45687</v>
      </c>
      <c r="B122" s="9">
        <v>2500</v>
      </c>
      <c r="C122" s="57"/>
      <c r="D122" s="56" t="s">
        <v>159</v>
      </c>
      <c r="E122" s="10" t="s">
        <v>194</v>
      </c>
      <c r="F122" s="24" t="s">
        <v>203</v>
      </c>
      <c r="O122"/>
    </row>
    <row r="123" spans="1:15" s="18" customFormat="1" x14ac:dyDescent="0.35">
      <c r="A123" s="17">
        <v>45687</v>
      </c>
      <c r="B123" s="9">
        <v>4000000</v>
      </c>
      <c r="C123" s="57"/>
      <c r="D123" s="56" t="s">
        <v>159</v>
      </c>
      <c r="E123" s="10" t="s">
        <v>196</v>
      </c>
      <c r="F123" s="24" t="s">
        <v>201</v>
      </c>
      <c r="O123"/>
    </row>
    <row r="124" spans="1:15" s="18" customFormat="1" x14ac:dyDescent="0.35">
      <c r="A124" s="17">
        <v>45687</v>
      </c>
      <c r="B124" s="9">
        <v>2500</v>
      </c>
      <c r="C124" s="57"/>
      <c r="D124" s="56" t="s">
        <v>159</v>
      </c>
      <c r="E124" s="10" t="s">
        <v>197</v>
      </c>
      <c r="F124" s="24" t="s">
        <v>201</v>
      </c>
      <c r="O124"/>
    </row>
    <row r="125" spans="1:15" s="18" customFormat="1" x14ac:dyDescent="0.35">
      <c r="A125" s="17">
        <v>45687</v>
      </c>
      <c r="B125" s="9">
        <v>4950000</v>
      </c>
      <c r="C125" s="57"/>
      <c r="D125" s="56" t="s">
        <v>159</v>
      </c>
      <c r="E125" s="10" t="s">
        <v>216</v>
      </c>
      <c r="F125" s="24" t="s">
        <v>199</v>
      </c>
      <c r="O125"/>
    </row>
    <row r="126" spans="1:15" s="18" customFormat="1" x14ac:dyDescent="0.35">
      <c r="A126" s="17">
        <v>45688</v>
      </c>
      <c r="B126" s="9"/>
      <c r="C126" s="57">
        <v>100000</v>
      </c>
      <c r="D126" s="56" t="s">
        <v>218</v>
      </c>
      <c r="E126" s="10" t="s">
        <v>219</v>
      </c>
      <c r="F126" s="24" t="s">
        <v>105</v>
      </c>
      <c r="O126"/>
    </row>
    <row r="127" spans="1:15" s="18" customFormat="1" x14ac:dyDescent="0.35">
      <c r="A127" s="92"/>
      <c r="B127" s="94"/>
      <c r="C127" s="94"/>
      <c r="D127" s="61"/>
      <c r="E127" s="13"/>
      <c r="F127" s="30"/>
      <c r="O127"/>
    </row>
    <row r="128" spans="1:15" s="18" customFormat="1" x14ac:dyDescent="0.35">
      <c r="A128" s="92"/>
      <c r="B128" s="93"/>
      <c r="C128" s="94"/>
      <c r="D128" s="61"/>
      <c r="E128" s="13"/>
      <c r="F128" s="30"/>
      <c r="O128"/>
    </row>
    <row r="129" spans="1:15" s="18" customFormat="1" x14ac:dyDescent="0.35">
      <c r="A129" s="92"/>
      <c r="B129" s="93"/>
      <c r="C129" s="94"/>
      <c r="D129" s="61"/>
      <c r="E129" s="13"/>
      <c r="F129" s="30"/>
      <c r="O129"/>
    </row>
    <row r="130" spans="1:15" s="18" customFormat="1" x14ac:dyDescent="0.35">
      <c r="A130" s="92"/>
      <c r="B130" s="93"/>
      <c r="C130" s="94"/>
      <c r="D130" s="61"/>
      <c r="E130" s="13"/>
      <c r="F130" s="30"/>
      <c r="O130"/>
    </row>
    <row r="131" spans="1:15" s="18" customFormat="1" x14ac:dyDescent="0.35">
      <c r="A131" s="92"/>
      <c r="B131" s="93"/>
      <c r="C131" s="94"/>
      <c r="D131" s="61"/>
      <c r="E131" s="13"/>
      <c r="F131" s="30"/>
      <c r="O131"/>
    </row>
    <row r="132" spans="1:15" s="18" customFormat="1" x14ac:dyDescent="0.35">
      <c r="A132" s="92"/>
      <c r="B132" s="93"/>
      <c r="C132" s="94"/>
      <c r="D132" s="61"/>
      <c r="E132" s="13"/>
      <c r="F132" s="30"/>
      <c r="O132"/>
    </row>
    <row r="133" spans="1:15" s="18" customFormat="1" x14ac:dyDescent="0.35">
      <c r="A133" s="92"/>
      <c r="B133" s="93"/>
      <c r="C133" s="94"/>
      <c r="D133" s="61"/>
      <c r="E133" s="13"/>
      <c r="F133" s="30"/>
      <c r="O133"/>
    </row>
    <row r="134" spans="1:15" s="18" customFormat="1" x14ac:dyDescent="0.35">
      <c r="A134" s="92"/>
      <c r="B134" s="93"/>
      <c r="C134" s="94"/>
      <c r="D134" s="61"/>
      <c r="E134" s="13"/>
      <c r="F134" s="30"/>
      <c r="O134"/>
    </row>
    <row r="135" spans="1:15" s="18" customFormat="1" x14ac:dyDescent="0.35">
      <c r="A135" s="92"/>
      <c r="B135" s="93"/>
      <c r="C135" s="94"/>
      <c r="D135" s="61"/>
      <c r="E135" s="13"/>
      <c r="F135" s="30"/>
      <c r="O135"/>
    </row>
    <row r="136" spans="1:15" s="18" customFormat="1" x14ac:dyDescent="0.35">
      <c r="A136" s="92"/>
      <c r="B136" s="93"/>
      <c r="C136" s="94"/>
      <c r="D136" s="61"/>
      <c r="E136" s="13"/>
      <c r="F136" s="30"/>
      <c r="O136"/>
    </row>
    <row r="137" spans="1:15" s="18" customFormat="1" x14ac:dyDescent="0.35">
      <c r="A137" s="92"/>
      <c r="B137" s="93"/>
      <c r="C137" s="94"/>
      <c r="D137" s="61"/>
      <c r="E137" s="13"/>
      <c r="F137" s="30"/>
      <c r="O137"/>
    </row>
    <row r="138" spans="1:15" s="18" customFormat="1" x14ac:dyDescent="0.35">
      <c r="A138" s="92"/>
      <c r="B138" s="93"/>
      <c r="C138" s="94"/>
      <c r="D138" s="61"/>
      <c r="E138" s="13"/>
      <c r="F138" s="30"/>
      <c r="O138"/>
    </row>
    <row r="139" spans="1:15" s="18" customFormat="1" x14ac:dyDescent="0.35">
      <c r="A139" s="92"/>
      <c r="B139" s="93"/>
      <c r="C139" s="94"/>
      <c r="D139" s="61"/>
      <c r="E139" s="13"/>
      <c r="F139" s="30"/>
      <c r="O139"/>
    </row>
    <row r="140" spans="1:15" s="18" customFormat="1" x14ac:dyDescent="0.35">
      <c r="A140" s="92"/>
      <c r="B140" s="93"/>
      <c r="C140" s="94"/>
      <c r="D140" s="61"/>
      <c r="E140" s="13"/>
      <c r="F140" s="30"/>
      <c r="O140"/>
    </row>
    <row r="141" spans="1:15" s="18" customFormat="1" x14ac:dyDescent="0.35">
      <c r="A141" s="92"/>
      <c r="B141" s="93"/>
      <c r="C141" s="94"/>
      <c r="D141" s="61"/>
      <c r="E141" s="13"/>
      <c r="F141" s="30"/>
      <c r="O141"/>
    </row>
    <row r="142" spans="1:15" s="18" customFormat="1" x14ac:dyDescent="0.35">
      <c r="A142" s="92"/>
      <c r="B142" s="93"/>
      <c r="C142" s="94"/>
      <c r="D142" s="61"/>
      <c r="E142" s="13"/>
      <c r="F142" s="30"/>
      <c r="O142"/>
    </row>
    <row r="143" spans="1:15" s="18" customFormat="1" x14ac:dyDescent="0.35">
      <c r="A143" s="92"/>
      <c r="B143" s="93"/>
      <c r="C143" s="94"/>
      <c r="D143" s="61"/>
      <c r="E143" s="13"/>
      <c r="F143" s="30"/>
      <c r="O143"/>
    </row>
    <row r="144" spans="1:15" s="18" customFormat="1" x14ac:dyDescent="0.35">
      <c r="A144" s="92"/>
      <c r="B144" s="93"/>
      <c r="C144" s="94"/>
      <c r="D144" s="61"/>
      <c r="E144" s="13"/>
      <c r="F144" s="30"/>
      <c r="O144"/>
    </row>
    <row r="145" spans="1:15" s="18" customFormat="1" x14ac:dyDescent="0.35">
      <c r="A145" s="92"/>
      <c r="B145" s="93"/>
      <c r="C145" s="94"/>
      <c r="D145" s="61"/>
      <c r="E145" s="13"/>
      <c r="F145" s="30"/>
      <c r="O145"/>
    </row>
    <row r="146" spans="1:15" s="18" customFormat="1" x14ac:dyDescent="0.35">
      <c r="A146" s="92"/>
      <c r="B146" s="93"/>
      <c r="C146" s="94"/>
      <c r="D146" s="61"/>
      <c r="E146" s="13"/>
      <c r="F146" s="30"/>
      <c r="O146"/>
    </row>
    <row r="147" spans="1:15" s="18" customFormat="1" x14ac:dyDescent="0.35">
      <c r="A147" s="92"/>
      <c r="B147" s="93"/>
      <c r="C147" s="94"/>
      <c r="D147" s="61"/>
      <c r="E147" s="13"/>
      <c r="F147" s="30"/>
      <c r="O147"/>
    </row>
    <row r="148" spans="1:15" s="18" customFormat="1" x14ac:dyDescent="0.35">
      <c r="A148" s="92"/>
      <c r="B148" s="93"/>
      <c r="C148" s="94"/>
      <c r="D148" s="61"/>
      <c r="E148" s="13"/>
      <c r="F148" s="30"/>
      <c r="O148"/>
    </row>
    <row r="149" spans="1:15" s="18" customFormat="1" x14ac:dyDescent="0.35">
      <c r="A149" s="92"/>
      <c r="B149" s="93"/>
      <c r="C149" s="94"/>
      <c r="D149" s="61"/>
      <c r="E149" s="13"/>
      <c r="F149" s="30"/>
      <c r="O149"/>
    </row>
    <row r="150" spans="1:15" s="18" customFormat="1" x14ac:dyDescent="0.35">
      <c r="A150" s="92"/>
      <c r="B150" s="93"/>
      <c r="C150" s="94"/>
      <c r="D150" s="61"/>
      <c r="E150" s="13"/>
      <c r="F150" s="30"/>
      <c r="O150"/>
    </row>
    <row r="151" spans="1:15" s="18" customFormat="1" x14ac:dyDescent="0.35">
      <c r="A151" s="92"/>
      <c r="B151" s="93"/>
      <c r="C151" s="94"/>
      <c r="D151" s="61"/>
      <c r="E151" s="13"/>
      <c r="F151" s="30"/>
      <c r="O151"/>
    </row>
    <row r="152" spans="1:15" s="18" customFormat="1" x14ac:dyDescent="0.35">
      <c r="A152" s="92"/>
      <c r="B152" s="93"/>
      <c r="C152" s="94"/>
      <c r="D152" s="61"/>
      <c r="E152" s="13"/>
      <c r="F152" s="30"/>
      <c r="O152"/>
    </row>
    <row r="153" spans="1:15" s="18" customFormat="1" x14ac:dyDescent="0.35">
      <c r="A153" s="92"/>
      <c r="B153" s="93"/>
      <c r="C153" s="94"/>
      <c r="D153" s="61"/>
      <c r="E153" s="13"/>
      <c r="F153" s="30"/>
      <c r="O153"/>
    </row>
    <row r="154" spans="1:15" s="18" customFormat="1" x14ac:dyDescent="0.35">
      <c r="O154"/>
    </row>
    <row r="155" spans="1:15" s="18" customFormat="1" x14ac:dyDescent="0.35">
      <c r="A155" s="36" t="s">
        <v>149</v>
      </c>
      <c r="B155" t="s">
        <v>151</v>
      </c>
      <c r="C155" t="s">
        <v>148</v>
      </c>
      <c r="O155"/>
    </row>
    <row r="156" spans="1:15" s="18" customFormat="1" x14ac:dyDescent="0.35">
      <c r="A156" s="13" t="s">
        <v>107</v>
      </c>
      <c r="B156" s="14"/>
      <c r="C156" s="14">
        <v>9460000</v>
      </c>
      <c r="O156"/>
    </row>
    <row r="157" spans="1:15" s="18" customFormat="1" x14ac:dyDescent="0.35">
      <c r="A157" s="13" t="s">
        <v>198</v>
      </c>
      <c r="B157" s="14">
        <v>27978000</v>
      </c>
      <c r="C157" s="14"/>
      <c r="O157"/>
    </row>
    <row r="158" spans="1:15" s="18" customFormat="1" x14ac:dyDescent="0.35">
      <c r="A158" s="13" t="s">
        <v>199</v>
      </c>
      <c r="B158" s="14">
        <v>8705000</v>
      </c>
      <c r="C158" s="14"/>
      <c r="O158"/>
    </row>
    <row r="159" spans="1:15" s="18" customFormat="1" x14ac:dyDescent="0.35">
      <c r="A159" s="13" t="s">
        <v>203</v>
      </c>
      <c r="B159" s="14">
        <v>7615500</v>
      </c>
      <c r="C159" s="14"/>
      <c r="O159"/>
    </row>
    <row r="160" spans="1:15" s="18" customFormat="1" x14ac:dyDescent="0.35">
      <c r="A160" s="13" t="s">
        <v>201</v>
      </c>
      <c r="B160" s="14">
        <v>4002500</v>
      </c>
      <c r="C160" s="14"/>
      <c r="O160"/>
    </row>
    <row r="161" spans="1:15" s="18" customFormat="1" x14ac:dyDescent="0.35">
      <c r="A161" s="13" t="s">
        <v>143</v>
      </c>
      <c r="B161" s="14">
        <v>7505000</v>
      </c>
      <c r="C161" s="14"/>
      <c r="O161"/>
    </row>
    <row r="162" spans="1:15" s="18" customFormat="1" x14ac:dyDescent="0.35">
      <c r="A162" s="13" t="s">
        <v>140</v>
      </c>
      <c r="B162" s="14"/>
      <c r="C162" s="14">
        <v>1200000</v>
      </c>
      <c r="O162"/>
    </row>
    <row r="163" spans="1:15" s="18" customFormat="1" x14ac:dyDescent="0.35">
      <c r="A163" s="13" t="s">
        <v>139</v>
      </c>
      <c r="B163" s="14"/>
      <c r="C163" s="14">
        <v>7505000</v>
      </c>
      <c r="O163"/>
    </row>
    <row r="164" spans="1:15" s="18" customFormat="1" x14ac:dyDescent="0.35">
      <c r="A164" s="13" t="s">
        <v>109</v>
      </c>
      <c r="B164" s="14"/>
      <c r="C164" s="14">
        <v>35449000</v>
      </c>
      <c r="O164"/>
    </row>
    <row r="165" spans="1:15" s="18" customFormat="1" x14ac:dyDescent="0.35">
      <c r="A165" s="13" t="s">
        <v>206</v>
      </c>
      <c r="B165" s="14"/>
      <c r="C165" s="14">
        <v>39840773</v>
      </c>
      <c r="O165"/>
    </row>
    <row r="166" spans="1:15" s="18" customFormat="1" x14ac:dyDescent="0.35">
      <c r="A166" s="13" t="s">
        <v>204</v>
      </c>
      <c r="B166" s="14"/>
      <c r="C166" s="14">
        <v>49196050</v>
      </c>
      <c r="O166"/>
    </row>
    <row r="167" spans="1:15" s="18" customFormat="1" x14ac:dyDescent="0.35">
      <c r="A167" s="13" t="s">
        <v>205</v>
      </c>
      <c r="B167" s="14"/>
      <c r="C167" s="14">
        <v>39578050</v>
      </c>
      <c r="O167"/>
    </row>
    <row r="168" spans="1:15" s="18" customFormat="1" x14ac:dyDescent="0.35">
      <c r="A168" s="13" t="s">
        <v>217</v>
      </c>
      <c r="B168" s="14"/>
      <c r="C168" s="14"/>
      <c r="O168"/>
    </row>
    <row r="169" spans="1:15" s="18" customFormat="1" x14ac:dyDescent="0.35">
      <c r="A169" s="13" t="s">
        <v>105</v>
      </c>
      <c r="B169" s="14"/>
      <c r="C169" s="14">
        <v>100000</v>
      </c>
      <c r="O169"/>
    </row>
    <row r="170" spans="1:15" s="18" customFormat="1" x14ac:dyDescent="0.35">
      <c r="A170" s="13" t="s">
        <v>150</v>
      </c>
      <c r="B170" s="14">
        <v>55806000</v>
      </c>
      <c r="C170" s="14">
        <v>182328873</v>
      </c>
      <c r="O170"/>
    </row>
    <row r="171" spans="1:15" s="18" customFormat="1" x14ac:dyDescent="0.35">
      <c r="A171" s="13"/>
      <c r="B171" s="14"/>
      <c r="C171" s="14"/>
      <c r="O171"/>
    </row>
    <row r="172" spans="1:15" x14ac:dyDescent="0.35">
      <c r="A172" s="36" t="s">
        <v>149</v>
      </c>
      <c r="B172" t="s">
        <v>151</v>
      </c>
      <c r="C172" t="s">
        <v>148</v>
      </c>
    </row>
    <row r="173" spans="1:15" x14ac:dyDescent="0.35">
      <c r="A173" s="13" t="s">
        <v>107</v>
      </c>
      <c r="B173" s="14"/>
      <c r="C173" s="14">
        <v>33000</v>
      </c>
    </row>
    <row r="174" spans="1:15" x14ac:dyDescent="0.35">
      <c r="A174" s="13" t="s">
        <v>198</v>
      </c>
      <c r="B174" s="14">
        <v>2650000</v>
      </c>
      <c r="C174" s="14"/>
    </row>
    <row r="175" spans="1:15" x14ac:dyDescent="0.35">
      <c r="A175" s="13" t="s">
        <v>199</v>
      </c>
      <c r="B175" s="14">
        <v>5818000</v>
      </c>
      <c r="C175" s="14"/>
    </row>
    <row r="176" spans="1:15" x14ac:dyDescent="0.35">
      <c r="A176" s="13" t="s">
        <v>109</v>
      </c>
      <c r="B176" s="14"/>
      <c r="C176" s="14">
        <v>6967000</v>
      </c>
    </row>
    <row r="177" spans="1:3" x14ac:dyDescent="0.35">
      <c r="A177" s="13" t="s">
        <v>206</v>
      </c>
      <c r="B177" s="14"/>
      <c r="C177" s="14">
        <v>2836352</v>
      </c>
    </row>
    <row r="178" spans="1:3" x14ac:dyDescent="0.35">
      <c r="A178" s="13" t="s">
        <v>207</v>
      </c>
      <c r="B178" s="14"/>
      <c r="C178" s="14">
        <v>2163648</v>
      </c>
    </row>
    <row r="179" spans="1:3" x14ac:dyDescent="0.35">
      <c r="A179" s="13" t="s">
        <v>150</v>
      </c>
      <c r="B179" s="14">
        <v>8468000</v>
      </c>
      <c r="C179" s="14">
        <v>12000000</v>
      </c>
    </row>
    <row r="180" spans="1:3" x14ac:dyDescent="0.35">
      <c r="A180"/>
      <c r="B180"/>
      <c r="C180"/>
    </row>
    <row r="181" spans="1:3" x14ac:dyDescent="0.35">
      <c r="A181"/>
      <c r="B181"/>
      <c r="C181" s="5"/>
    </row>
    <row r="182" spans="1:3" x14ac:dyDescent="0.35">
      <c r="A182"/>
      <c r="B182"/>
      <c r="C182" s="5">
        <f>+GETPIVOTDATA("Sum of Kredit",$A$155)-GETPIVOTDATA("Sum of Debit",$A$155)</f>
        <v>126522873</v>
      </c>
    </row>
    <row r="183" spans="1:3" x14ac:dyDescent="0.35">
      <c r="A183"/>
      <c r="B183"/>
      <c r="C183" s="69">
        <v>126522873</v>
      </c>
    </row>
    <row r="184" spans="1:3" x14ac:dyDescent="0.35">
      <c r="A184"/>
      <c r="B184"/>
      <c r="C184" s="14">
        <f>+C182-C183</f>
        <v>0</v>
      </c>
    </row>
    <row r="185" spans="1:3" x14ac:dyDescent="0.35">
      <c r="A185"/>
      <c r="B185"/>
      <c r="C185" s="5">
        <f>+GETPIVOTDATA("Sum of Kredit",$A$172)-GETPIVOTDATA("Sum of Debit",$A$172)</f>
        <v>3532000</v>
      </c>
    </row>
    <row r="186" spans="1:3" x14ac:dyDescent="0.35">
      <c r="A186"/>
      <c r="B186"/>
      <c r="C186"/>
    </row>
    <row r="187" spans="1:3" x14ac:dyDescent="0.35">
      <c r="A187"/>
      <c r="B187"/>
      <c r="C187" s="14">
        <f>+C183+C185</f>
        <v>130054873</v>
      </c>
    </row>
    <row r="188" spans="1:3" x14ac:dyDescent="0.35">
      <c r="A188"/>
      <c r="B188"/>
      <c r="C188"/>
    </row>
    <row r="189" spans="1:3" x14ac:dyDescent="0.35">
      <c r="A189"/>
      <c r="B189"/>
      <c r="C189" s="69">
        <v>130054873</v>
      </c>
    </row>
    <row r="190" spans="1:3" x14ac:dyDescent="0.35">
      <c r="C190" s="26"/>
    </row>
  </sheetData>
  <autoFilter ref="G7:L126" xr:uid="{00000000-0009-0000-0000-000003000000}"/>
  <mergeCells count="1">
    <mergeCell ref="A1:E1"/>
  </mergeCells>
  <dataValidations count="1">
    <dataValidation type="list" allowBlank="1" showInputMessage="1" showErrorMessage="1" sqref="F8:F153" xr:uid="{00000000-0002-0000-0300-000000000000}">
      <formula1>$A$1:$A$24</formula1>
    </dataValidation>
  </dataValidations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Akun!$A$1:$A$27</xm:f>
          </x14:formula1>
          <xm:sqref>L8:L35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193"/>
  <sheetViews>
    <sheetView zoomScale="85" zoomScaleNormal="85" workbookViewId="0">
      <pane xSplit="1" ySplit="4" topLeftCell="B164" activePane="bottomRight" state="frozen"/>
      <selection pane="topRight" activeCell="C1" sqref="C1"/>
      <selection pane="bottomLeft" activeCell="A8" sqref="A8"/>
      <selection pane="bottomRight" activeCell="A4" sqref="A4:F5"/>
    </sheetView>
  </sheetViews>
  <sheetFormatPr defaultRowHeight="14.5" x14ac:dyDescent="0.35"/>
  <cols>
    <col min="1" max="1" width="12.1796875" style="18" bestFit="1" customWidth="1"/>
    <col min="2" max="2" width="12.54296875" style="18" bestFit="1" customWidth="1"/>
    <col min="3" max="3" width="11.54296875" style="18" customWidth="1"/>
    <col min="4" max="4" width="45.26953125" style="18" customWidth="1"/>
    <col min="5" max="5" width="29.1796875" style="18" customWidth="1"/>
    <col min="6" max="6" width="30.81640625" style="18" bestFit="1" customWidth="1"/>
    <col min="7" max="7" width="10.54296875" bestFit="1" customWidth="1"/>
  </cols>
  <sheetData>
    <row r="1" spans="1:6" x14ac:dyDescent="0.35">
      <c r="A1" s="244" t="s">
        <v>909</v>
      </c>
      <c r="B1" s="244"/>
      <c r="C1" s="244"/>
      <c r="D1" s="244"/>
      <c r="E1" s="37"/>
      <c r="F1" s="25"/>
    </row>
    <row r="2" spans="1:6" x14ac:dyDescent="0.35">
      <c r="A2" s="2"/>
      <c r="B2" s="2"/>
      <c r="C2" s="2"/>
      <c r="D2" s="206"/>
      <c r="E2" s="37"/>
      <c r="F2" s="25"/>
    </row>
    <row r="3" spans="1:6" x14ac:dyDescent="0.35">
      <c r="A3" s="22"/>
      <c r="D3" s="224"/>
      <c r="E3" s="37"/>
    </row>
    <row r="4" spans="1:6" x14ac:dyDescent="0.35">
      <c r="A4" s="6" t="s">
        <v>2</v>
      </c>
      <c r="B4" s="6" t="s">
        <v>4</v>
      </c>
      <c r="C4" s="6" t="s">
        <v>192</v>
      </c>
      <c r="D4" s="6" t="s">
        <v>6</v>
      </c>
      <c r="E4" s="34" t="s">
        <v>141</v>
      </c>
      <c r="F4" s="34" t="s">
        <v>359</v>
      </c>
    </row>
    <row r="5" spans="1:6" hidden="1" x14ac:dyDescent="0.35">
      <c r="A5" s="19">
        <v>45660</v>
      </c>
      <c r="B5" s="43">
        <v>500000</v>
      </c>
      <c r="C5" s="43" t="s">
        <v>357</v>
      </c>
      <c r="D5" s="10" t="s">
        <v>534</v>
      </c>
      <c r="E5" s="59" t="s">
        <v>109</v>
      </c>
      <c r="F5" s="32" t="s">
        <v>152</v>
      </c>
    </row>
    <row r="6" spans="1:6" hidden="1" x14ac:dyDescent="0.35">
      <c r="A6" s="19">
        <v>45660</v>
      </c>
      <c r="B6" s="43">
        <v>1800000</v>
      </c>
      <c r="C6" s="43" t="s">
        <v>357</v>
      </c>
      <c r="D6" s="10" t="s">
        <v>910</v>
      </c>
      <c r="E6" s="59" t="s">
        <v>109</v>
      </c>
      <c r="F6" s="32" t="s">
        <v>152</v>
      </c>
    </row>
    <row r="7" spans="1:6" hidden="1" x14ac:dyDescent="0.35">
      <c r="A7" s="19">
        <v>45660</v>
      </c>
      <c r="B7" s="43">
        <v>2000000</v>
      </c>
      <c r="C7" s="43" t="s">
        <v>357</v>
      </c>
      <c r="D7" s="10" t="s">
        <v>911</v>
      </c>
      <c r="E7" s="59" t="s">
        <v>109</v>
      </c>
      <c r="F7" s="32" t="s">
        <v>152</v>
      </c>
    </row>
    <row r="8" spans="1:6" hidden="1" x14ac:dyDescent="0.35">
      <c r="A8" s="19">
        <v>45663</v>
      </c>
      <c r="B8" s="43">
        <v>400000</v>
      </c>
      <c r="C8" s="43" t="s">
        <v>357</v>
      </c>
      <c r="D8" s="10" t="s">
        <v>912</v>
      </c>
      <c r="E8" s="59" t="s">
        <v>109</v>
      </c>
      <c r="F8" s="32" t="s">
        <v>152</v>
      </c>
    </row>
    <row r="9" spans="1:6" hidden="1" x14ac:dyDescent="0.35">
      <c r="A9" s="17">
        <v>45670</v>
      </c>
      <c r="B9" s="39">
        <v>300000</v>
      </c>
      <c r="C9" s="43" t="s">
        <v>357</v>
      </c>
      <c r="D9" s="10" t="s">
        <v>95</v>
      </c>
      <c r="E9" s="59" t="s">
        <v>109</v>
      </c>
      <c r="F9" s="32" t="s">
        <v>152</v>
      </c>
    </row>
    <row r="10" spans="1:6" hidden="1" x14ac:dyDescent="0.35">
      <c r="A10" s="17">
        <v>45670</v>
      </c>
      <c r="B10" s="39">
        <v>50000</v>
      </c>
      <c r="C10" s="43" t="s">
        <v>357</v>
      </c>
      <c r="D10" s="10" t="s">
        <v>912</v>
      </c>
      <c r="E10" s="59" t="s">
        <v>109</v>
      </c>
      <c r="F10" s="32" t="s">
        <v>152</v>
      </c>
    </row>
    <row r="11" spans="1:6" hidden="1" x14ac:dyDescent="0.35">
      <c r="A11" s="17">
        <v>45670</v>
      </c>
      <c r="B11" s="39">
        <v>100000</v>
      </c>
      <c r="C11" s="43" t="s">
        <v>357</v>
      </c>
      <c r="D11" s="10" t="s">
        <v>913</v>
      </c>
      <c r="E11" s="59" t="s">
        <v>109</v>
      </c>
      <c r="F11" s="32" t="s">
        <v>152</v>
      </c>
    </row>
    <row r="12" spans="1:6" hidden="1" x14ac:dyDescent="0.35">
      <c r="A12" s="17">
        <v>45670</v>
      </c>
      <c r="B12" s="39">
        <v>3000000</v>
      </c>
      <c r="C12" s="43" t="s">
        <v>357</v>
      </c>
      <c r="D12" s="10" t="s">
        <v>914</v>
      </c>
      <c r="E12" s="59" t="s">
        <v>109</v>
      </c>
      <c r="F12" s="32" t="s">
        <v>152</v>
      </c>
    </row>
    <row r="13" spans="1:6" hidden="1" x14ac:dyDescent="0.35">
      <c r="A13" s="17">
        <v>45671</v>
      </c>
      <c r="B13" s="39">
        <v>100000</v>
      </c>
      <c r="C13" s="43" t="s">
        <v>357</v>
      </c>
      <c r="D13" s="10" t="s">
        <v>915</v>
      </c>
      <c r="E13" s="59" t="s">
        <v>109</v>
      </c>
      <c r="F13" s="32" t="s">
        <v>152</v>
      </c>
    </row>
    <row r="14" spans="1:6" hidden="1" x14ac:dyDescent="0.35">
      <c r="A14" s="17">
        <v>45671</v>
      </c>
      <c r="B14" s="39">
        <v>7000</v>
      </c>
      <c r="C14" s="43" t="s">
        <v>357</v>
      </c>
      <c r="D14" s="10" t="s">
        <v>916</v>
      </c>
      <c r="E14" s="59" t="s">
        <v>109</v>
      </c>
      <c r="F14" s="32" t="s">
        <v>152</v>
      </c>
    </row>
    <row r="15" spans="1:6" hidden="1" x14ac:dyDescent="0.35">
      <c r="A15" s="17">
        <v>45671</v>
      </c>
      <c r="B15" s="39">
        <v>1000000</v>
      </c>
      <c r="C15" s="43" t="s">
        <v>357</v>
      </c>
      <c r="D15" s="10" t="s">
        <v>917</v>
      </c>
      <c r="E15" s="59" t="s">
        <v>109</v>
      </c>
      <c r="F15" s="32" t="s">
        <v>152</v>
      </c>
    </row>
    <row r="16" spans="1:6" hidden="1" x14ac:dyDescent="0.35">
      <c r="A16" s="17">
        <v>45677</v>
      </c>
      <c r="B16" s="47">
        <v>50000</v>
      </c>
      <c r="C16" s="43" t="s">
        <v>357</v>
      </c>
      <c r="D16" s="10" t="s">
        <v>918</v>
      </c>
      <c r="E16" s="59" t="s">
        <v>109</v>
      </c>
      <c r="F16" s="32" t="s">
        <v>152</v>
      </c>
    </row>
    <row r="17" spans="1:6" hidden="1" x14ac:dyDescent="0.35">
      <c r="A17" s="17">
        <v>45678</v>
      </c>
      <c r="B17" s="47">
        <v>10000</v>
      </c>
      <c r="C17" s="43" t="s">
        <v>357</v>
      </c>
      <c r="D17" s="10" t="s">
        <v>919</v>
      </c>
      <c r="E17" s="59" t="s">
        <v>109</v>
      </c>
      <c r="F17" s="32" t="s">
        <v>152</v>
      </c>
    </row>
    <row r="18" spans="1:6" hidden="1" x14ac:dyDescent="0.35">
      <c r="A18" s="17">
        <v>45679</v>
      </c>
      <c r="B18" s="47">
        <v>10000</v>
      </c>
      <c r="C18" s="43" t="s">
        <v>357</v>
      </c>
      <c r="D18" s="10" t="s">
        <v>919</v>
      </c>
      <c r="E18" s="59" t="s">
        <v>109</v>
      </c>
      <c r="F18" s="32" t="s">
        <v>152</v>
      </c>
    </row>
    <row r="19" spans="1:6" hidden="1" x14ac:dyDescent="0.35">
      <c r="A19" s="17">
        <v>45679</v>
      </c>
      <c r="B19" s="47">
        <v>1200000</v>
      </c>
      <c r="C19" s="43" t="s">
        <v>357</v>
      </c>
      <c r="D19" s="10" t="s">
        <v>920</v>
      </c>
      <c r="E19" s="59" t="s">
        <v>109</v>
      </c>
      <c r="F19" s="32" t="s">
        <v>152</v>
      </c>
    </row>
    <row r="20" spans="1:6" hidden="1" x14ac:dyDescent="0.35">
      <c r="A20" s="17">
        <v>45680</v>
      </c>
      <c r="B20" s="47">
        <v>10000</v>
      </c>
      <c r="C20" s="43" t="s">
        <v>357</v>
      </c>
      <c r="D20" s="10" t="s">
        <v>921</v>
      </c>
      <c r="E20" s="59" t="s">
        <v>109</v>
      </c>
      <c r="F20" s="32" t="s">
        <v>152</v>
      </c>
    </row>
    <row r="21" spans="1:6" hidden="1" x14ac:dyDescent="0.35">
      <c r="A21" s="17">
        <v>45681</v>
      </c>
      <c r="B21" s="47">
        <v>150000</v>
      </c>
      <c r="C21" s="43" t="s">
        <v>357</v>
      </c>
      <c r="D21" s="10" t="s">
        <v>922</v>
      </c>
      <c r="E21" s="59" t="s">
        <v>109</v>
      </c>
      <c r="F21" s="32" t="s">
        <v>152</v>
      </c>
    </row>
    <row r="22" spans="1:6" hidden="1" x14ac:dyDescent="0.35">
      <c r="A22" s="17">
        <v>45687</v>
      </c>
      <c r="B22" s="57">
        <v>100000</v>
      </c>
      <c r="C22" s="43" t="s">
        <v>357</v>
      </c>
      <c r="D22" s="10" t="s">
        <v>923</v>
      </c>
      <c r="E22" s="59" t="s">
        <v>109</v>
      </c>
      <c r="F22" s="32" t="s">
        <v>152</v>
      </c>
    </row>
    <row r="23" spans="1:6" hidden="1" x14ac:dyDescent="0.35">
      <c r="A23" s="17">
        <v>45687</v>
      </c>
      <c r="B23" s="57">
        <v>300000</v>
      </c>
      <c r="C23" s="43" t="s">
        <v>357</v>
      </c>
      <c r="D23" s="10" t="s">
        <v>924</v>
      </c>
      <c r="E23" s="59" t="s">
        <v>109</v>
      </c>
      <c r="F23" s="32" t="s">
        <v>152</v>
      </c>
    </row>
    <row r="24" spans="1:6" hidden="1" x14ac:dyDescent="0.35">
      <c r="A24" s="17">
        <v>45687</v>
      </c>
      <c r="B24" s="57">
        <v>200000</v>
      </c>
      <c r="C24" s="43" t="s">
        <v>357</v>
      </c>
      <c r="D24" t="s">
        <v>925</v>
      </c>
      <c r="E24" s="59" t="s">
        <v>109</v>
      </c>
      <c r="F24" s="32" t="s">
        <v>152</v>
      </c>
    </row>
    <row r="25" spans="1:6" hidden="1" x14ac:dyDescent="0.35">
      <c r="A25" s="17">
        <v>45687</v>
      </c>
      <c r="B25" s="9">
        <v>6000000</v>
      </c>
      <c r="C25" s="43" t="s">
        <v>357</v>
      </c>
      <c r="D25" s="10" t="s">
        <v>926</v>
      </c>
      <c r="E25" s="59" t="s">
        <v>109</v>
      </c>
      <c r="F25" s="32" t="s">
        <v>152</v>
      </c>
    </row>
    <row r="26" spans="1:6" hidden="1" x14ac:dyDescent="0.35">
      <c r="A26" s="17">
        <v>45687</v>
      </c>
      <c r="B26" s="57">
        <v>750000</v>
      </c>
      <c r="C26" s="43" t="s">
        <v>357</v>
      </c>
      <c r="D26" s="10" t="s">
        <v>927</v>
      </c>
      <c r="E26" s="59" t="s">
        <v>109</v>
      </c>
      <c r="F26" s="32" t="s">
        <v>152</v>
      </c>
    </row>
    <row r="27" spans="1:6" hidden="1" x14ac:dyDescent="0.35">
      <c r="A27" s="19">
        <v>45691</v>
      </c>
      <c r="B27" s="20">
        <v>1000</v>
      </c>
      <c r="C27" s="56" t="s">
        <v>358</v>
      </c>
      <c r="D27" s="7" t="s">
        <v>919</v>
      </c>
      <c r="E27" s="59" t="s">
        <v>109</v>
      </c>
      <c r="F27" s="32" t="s">
        <v>152</v>
      </c>
    </row>
    <row r="28" spans="1:6" hidden="1" x14ac:dyDescent="0.35">
      <c r="A28" s="19">
        <v>45691</v>
      </c>
      <c r="B28" s="20">
        <v>75000</v>
      </c>
      <c r="C28" s="56" t="s">
        <v>358</v>
      </c>
      <c r="D28" s="7" t="s">
        <v>928</v>
      </c>
      <c r="E28" s="59" t="s">
        <v>109</v>
      </c>
      <c r="F28" s="32" t="s">
        <v>152</v>
      </c>
    </row>
    <row r="29" spans="1:6" hidden="1" x14ac:dyDescent="0.35">
      <c r="A29" s="19">
        <v>45691</v>
      </c>
      <c r="B29" s="20">
        <v>500000</v>
      </c>
      <c r="C29" s="56" t="s">
        <v>358</v>
      </c>
      <c r="D29" s="7" t="s">
        <v>929</v>
      </c>
      <c r="E29" s="59" t="s">
        <v>109</v>
      </c>
      <c r="F29" s="32" t="s">
        <v>152</v>
      </c>
    </row>
    <row r="30" spans="1:6" hidden="1" x14ac:dyDescent="0.35">
      <c r="A30" s="19">
        <v>45691</v>
      </c>
      <c r="B30" s="20">
        <v>200000</v>
      </c>
      <c r="C30" s="56" t="s">
        <v>358</v>
      </c>
      <c r="D30" s="7" t="s">
        <v>930</v>
      </c>
      <c r="E30" s="59" t="s">
        <v>109</v>
      </c>
      <c r="F30" s="32" t="s">
        <v>152</v>
      </c>
    </row>
    <row r="31" spans="1:6" hidden="1" x14ac:dyDescent="0.35">
      <c r="A31" s="19">
        <v>45691</v>
      </c>
      <c r="B31" s="20">
        <v>15000</v>
      </c>
      <c r="C31" s="56" t="s">
        <v>358</v>
      </c>
      <c r="D31" s="7" t="s">
        <v>931</v>
      </c>
      <c r="E31" s="59" t="s">
        <v>109</v>
      </c>
      <c r="F31" s="32" t="s">
        <v>152</v>
      </c>
    </row>
    <row r="32" spans="1:6" hidden="1" x14ac:dyDescent="0.35">
      <c r="A32" s="19">
        <v>45691</v>
      </c>
      <c r="B32" s="20">
        <v>300000</v>
      </c>
      <c r="C32" s="56" t="s">
        <v>358</v>
      </c>
      <c r="D32" s="7" t="s">
        <v>932</v>
      </c>
      <c r="E32" s="59" t="s">
        <v>109</v>
      </c>
      <c r="F32" s="32" t="s">
        <v>152</v>
      </c>
    </row>
    <row r="33" spans="1:6" hidden="1" x14ac:dyDescent="0.35">
      <c r="A33" s="19">
        <v>45691</v>
      </c>
      <c r="B33" s="20">
        <v>200000</v>
      </c>
      <c r="C33" s="56" t="s">
        <v>358</v>
      </c>
      <c r="D33" s="7" t="s">
        <v>933</v>
      </c>
      <c r="E33" s="59" t="s">
        <v>109</v>
      </c>
      <c r="F33" s="32" t="s">
        <v>152</v>
      </c>
    </row>
    <row r="34" spans="1:6" hidden="1" x14ac:dyDescent="0.35">
      <c r="A34" s="19">
        <v>45691</v>
      </c>
      <c r="B34" s="20">
        <v>300000</v>
      </c>
      <c r="C34" s="56" t="s">
        <v>358</v>
      </c>
      <c r="D34" s="7" t="s">
        <v>934</v>
      </c>
      <c r="E34" s="59" t="s">
        <v>109</v>
      </c>
      <c r="F34" s="32" t="s">
        <v>152</v>
      </c>
    </row>
    <row r="35" spans="1:6" hidden="1" x14ac:dyDescent="0.35">
      <c r="A35" s="19">
        <v>45691</v>
      </c>
      <c r="B35" s="20">
        <v>500000</v>
      </c>
      <c r="C35" s="56" t="s">
        <v>358</v>
      </c>
      <c r="D35" s="7" t="s">
        <v>935</v>
      </c>
      <c r="E35" s="59" t="s">
        <v>109</v>
      </c>
      <c r="F35" s="32" t="s">
        <v>152</v>
      </c>
    </row>
    <row r="36" spans="1:6" hidden="1" x14ac:dyDescent="0.35">
      <c r="A36" s="19">
        <v>45691</v>
      </c>
      <c r="B36" s="20">
        <v>200000</v>
      </c>
      <c r="C36" s="56" t="s">
        <v>358</v>
      </c>
      <c r="D36" s="7" t="s">
        <v>936</v>
      </c>
      <c r="E36" s="59" t="s">
        <v>109</v>
      </c>
      <c r="F36" s="32" t="s">
        <v>152</v>
      </c>
    </row>
    <row r="37" spans="1:6" hidden="1" x14ac:dyDescent="0.35">
      <c r="A37" s="19">
        <v>45691</v>
      </c>
      <c r="B37" s="20">
        <v>400000</v>
      </c>
      <c r="C37" s="56" t="s">
        <v>358</v>
      </c>
      <c r="D37" s="7" t="s">
        <v>937</v>
      </c>
      <c r="E37" s="59" t="s">
        <v>109</v>
      </c>
      <c r="F37" s="32" t="s">
        <v>152</v>
      </c>
    </row>
    <row r="38" spans="1:6" hidden="1" x14ac:dyDescent="0.35">
      <c r="A38" s="19">
        <v>45691</v>
      </c>
      <c r="B38" s="20">
        <v>200000</v>
      </c>
      <c r="C38" s="56" t="s">
        <v>358</v>
      </c>
      <c r="D38" s="7" t="s">
        <v>930</v>
      </c>
      <c r="E38" s="59" t="s">
        <v>109</v>
      </c>
      <c r="F38" s="32" t="s">
        <v>152</v>
      </c>
    </row>
    <row r="39" spans="1:6" hidden="1" x14ac:dyDescent="0.35">
      <c r="A39" s="19">
        <v>45691</v>
      </c>
      <c r="B39" s="20">
        <v>500000</v>
      </c>
      <c r="C39" s="56" t="s">
        <v>358</v>
      </c>
      <c r="D39" s="7" t="s">
        <v>938</v>
      </c>
      <c r="E39" s="59" t="s">
        <v>109</v>
      </c>
      <c r="F39" s="32" t="s">
        <v>152</v>
      </c>
    </row>
    <row r="40" spans="1:6" hidden="1" x14ac:dyDescent="0.35">
      <c r="A40" s="19">
        <v>45693</v>
      </c>
      <c r="B40" s="20">
        <v>1000000</v>
      </c>
      <c r="C40" s="56" t="s">
        <v>358</v>
      </c>
      <c r="D40" s="7" t="s">
        <v>939</v>
      </c>
      <c r="E40" s="59" t="s">
        <v>109</v>
      </c>
      <c r="F40" s="32" t="s">
        <v>152</v>
      </c>
    </row>
    <row r="41" spans="1:6" hidden="1" x14ac:dyDescent="0.35">
      <c r="A41" s="19">
        <v>45694</v>
      </c>
      <c r="B41" s="20">
        <v>200000</v>
      </c>
      <c r="C41" s="56" t="s">
        <v>358</v>
      </c>
      <c r="D41" s="7" t="s">
        <v>925</v>
      </c>
      <c r="E41" s="59" t="s">
        <v>109</v>
      </c>
      <c r="F41" s="32" t="s">
        <v>152</v>
      </c>
    </row>
    <row r="42" spans="1:6" hidden="1" x14ac:dyDescent="0.35">
      <c r="A42" s="19">
        <v>45694</v>
      </c>
      <c r="B42" s="20">
        <v>100000</v>
      </c>
      <c r="C42" s="56" t="s">
        <v>358</v>
      </c>
      <c r="D42" s="7" t="s">
        <v>940</v>
      </c>
      <c r="E42" s="59" t="s">
        <v>109</v>
      </c>
      <c r="F42" s="32" t="s">
        <v>152</v>
      </c>
    </row>
    <row r="43" spans="1:6" hidden="1" x14ac:dyDescent="0.35">
      <c r="A43" s="19">
        <v>45695</v>
      </c>
      <c r="B43" s="20">
        <v>2000000</v>
      </c>
      <c r="C43" s="56" t="s">
        <v>358</v>
      </c>
      <c r="D43" s="7" t="s">
        <v>911</v>
      </c>
      <c r="E43" s="59" t="s">
        <v>109</v>
      </c>
      <c r="F43" s="32" t="s">
        <v>152</v>
      </c>
    </row>
    <row r="44" spans="1:6" hidden="1" x14ac:dyDescent="0.35">
      <c r="A44" s="19">
        <v>45695</v>
      </c>
      <c r="B44" s="20">
        <v>250000</v>
      </c>
      <c r="C44" s="56" t="s">
        <v>358</v>
      </c>
      <c r="D44" s="7" t="s">
        <v>941</v>
      </c>
      <c r="E44" s="59" t="s">
        <v>109</v>
      </c>
      <c r="F44" s="32" t="s">
        <v>152</v>
      </c>
    </row>
    <row r="45" spans="1:6" hidden="1" x14ac:dyDescent="0.35">
      <c r="A45" s="19">
        <v>45696</v>
      </c>
      <c r="B45" s="20">
        <v>20000</v>
      </c>
      <c r="C45" s="56" t="s">
        <v>358</v>
      </c>
      <c r="D45" s="7" t="s">
        <v>919</v>
      </c>
      <c r="E45" s="59" t="s">
        <v>109</v>
      </c>
      <c r="F45" s="32" t="s">
        <v>152</v>
      </c>
    </row>
    <row r="46" spans="1:6" hidden="1" x14ac:dyDescent="0.35">
      <c r="A46" s="19">
        <v>45696</v>
      </c>
      <c r="B46" s="20">
        <v>75000</v>
      </c>
      <c r="C46" s="56" t="s">
        <v>358</v>
      </c>
      <c r="D46" s="7" t="s">
        <v>928</v>
      </c>
      <c r="E46" s="59" t="s">
        <v>109</v>
      </c>
      <c r="F46" s="32" t="s">
        <v>152</v>
      </c>
    </row>
    <row r="47" spans="1:6" hidden="1" x14ac:dyDescent="0.35">
      <c r="A47" s="19">
        <v>45696</v>
      </c>
      <c r="B47" s="20">
        <v>1250000</v>
      </c>
      <c r="C47" s="56" t="s">
        <v>358</v>
      </c>
      <c r="D47" s="7" t="s">
        <v>942</v>
      </c>
      <c r="E47" s="59" t="s">
        <v>109</v>
      </c>
      <c r="F47" s="32" t="s">
        <v>152</v>
      </c>
    </row>
    <row r="48" spans="1:6" hidden="1" x14ac:dyDescent="0.35">
      <c r="A48" s="19">
        <v>45697</v>
      </c>
      <c r="B48" s="20">
        <v>2000000</v>
      </c>
      <c r="C48" s="56" t="s">
        <v>358</v>
      </c>
      <c r="D48" s="7" t="s">
        <v>943</v>
      </c>
      <c r="E48" s="59" t="s">
        <v>109</v>
      </c>
      <c r="F48" s="32" t="s">
        <v>152</v>
      </c>
    </row>
    <row r="49" spans="1:6" hidden="1" x14ac:dyDescent="0.35">
      <c r="A49" s="19">
        <v>45698</v>
      </c>
      <c r="B49" s="20">
        <v>20000</v>
      </c>
      <c r="C49" s="56" t="s">
        <v>358</v>
      </c>
      <c r="D49" s="7" t="s">
        <v>944</v>
      </c>
      <c r="E49" s="59" t="s">
        <v>109</v>
      </c>
      <c r="F49" s="32" t="s">
        <v>152</v>
      </c>
    </row>
    <row r="50" spans="1:6" hidden="1" x14ac:dyDescent="0.35">
      <c r="A50" s="19">
        <v>45699</v>
      </c>
      <c r="B50" s="20">
        <v>1800000</v>
      </c>
      <c r="C50" s="56" t="s">
        <v>358</v>
      </c>
      <c r="D50" s="7" t="s">
        <v>945</v>
      </c>
      <c r="E50" s="59" t="s">
        <v>109</v>
      </c>
      <c r="F50" s="32" t="s">
        <v>152</v>
      </c>
    </row>
    <row r="51" spans="1:6" hidden="1" x14ac:dyDescent="0.35">
      <c r="A51" s="19">
        <v>45701</v>
      </c>
      <c r="B51" s="20">
        <v>10000</v>
      </c>
      <c r="C51" s="56" t="s">
        <v>358</v>
      </c>
      <c r="D51" s="7" t="s">
        <v>919</v>
      </c>
      <c r="E51" s="59" t="s">
        <v>109</v>
      </c>
      <c r="F51" s="32" t="s">
        <v>152</v>
      </c>
    </row>
    <row r="52" spans="1:6" hidden="1" x14ac:dyDescent="0.35">
      <c r="A52" s="19">
        <v>45705</v>
      </c>
      <c r="B52" s="9">
        <v>1550000</v>
      </c>
      <c r="C52" s="56" t="s">
        <v>358</v>
      </c>
      <c r="D52" s="7" t="s">
        <v>293</v>
      </c>
      <c r="E52" s="59" t="s">
        <v>109</v>
      </c>
      <c r="F52" s="32" t="s">
        <v>152</v>
      </c>
    </row>
    <row r="53" spans="1:6" hidden="1" x14ac:dyDescent="0.35">
      <c r="A53" s="19">
        <v>45706</v>
      </c>
      <c r="B53" s="9">
        <v>150000</v>
      </c>
      <c r="C53" s="56" t="s">
        <v>358</v>
      </c>
      <c r="D53" s="7" t="s">
        <v>946</v>
      </c>
      <c r="E53" s="59" t="s">
        <v>109</v>
      </c>
      <c r="F53" s="32" t="s">
        <v>152</v>
      </c>
    </row>
    <row r="54" spans="1:6" hidden="1" x14ac:dyDescent="0.35">
      <c r="A54" s="19">
        <v>45707</v>
      </c>
      <c r="B54" s="9">
        <v>1000000</v>
      </c>
      <c r="C54" s="56" t="s">
        <v>358</v>
      </c>
      <c r="D54" s="7" t="s">
        <v>947</v>
      </c>
      <c r="E54" s="59" t="s">
        <v>109</v>
      </c>
      <c r="F54" s="32" t="s">
        <v>152</v>
      </c>
    </row>
    <row r="55" spans="1:6" hidden="1" x14ac:dyDescent="0.35">
      <c r="A55" s="19">
        <v>45709</v>
      </c>
      <c r="B55" s="9">
        <v>100000</v>
      </c>
      <c r="C55" s="56" t="s">
        <v>358</v>
      </c>
      <c r="D55" s="7" t="s">
        <v>922</v>
      </c>
      <c r="E55" s="59" t="s">
        <v>109</v>
      </c>
      <c r="F55" s="32" t="s">
        <v>152</v>
      </c>
    </row>
    <row r="56" spans="1:6" hidden="1" x14ac:dyDescent="0.35">
      <c r="A56" s="19">
        <v>45713</v>
      </c>
      <c r="B56" s="9">
        <v>200000</v>
      </c>
      <c r="C56" s="56" t="s">
        <v>358</v>
      </c>
      <c r="D56" s="7" t="s">
        <v>306</v>
      </c>
      <c r="E56" s="59" t="s">
        <v>109</v>
      </c>
      <c r="F56" s="32" t="s">
        <v>152</v>
      </c>
    </row>
    <row r="57" spans="1:6" hidden="1" x14ac:dyDescent="0.35">
      <c r="A57" s="19">
        <v>45715</v>
      </c>
      <c r="B57" s="20">
        <v>1000000</v>
      </c>
      <c r="C57" s="56" t="s">
        <v>358</v>
      </c>
      <c r="D57" s="7" t="s">
        <v>948</v>
      </c>
      <c r="E57" s="59" t="s">
        <v>109</v>
      </c>
      <c r="F57" s="32" t="s">
        <v>152</v>
      </c>
    </row>
    <row r="58" spans="1:6" hidden="1" x14ac:dyDescent="0.35">
      <c r="A58" s="19">
        <v>45715</v>
      </c>
      <c r="B58" s="20">
        <v>1250000</v>
      </c>
      <c r="C58" s="56" t="s">
        <v>358</v>
      </c>
      <c r="D58" s="7" t="s">
        <v>316</v>
      </c>
      <c r="E58" s="59" t="s">
        <v>109</v>
      </c>
      <c r="F58" s="32" t="s">
        <v>152</v>
      </c>
    </row>
    <row r="59" spans="1:6" hidden="1" x14ac:dyDescent="0.35">
      <c r="A59" s="19">
        <v>45719</v>
      </c>
      <c r="B59" s="20">
        <v>200000</v>
      </c>
      <c r="C59" s="99" t="s">
        <v>521</v>
      </c>
      <c r="D59" s="7" t="s">
        <v>949</v>
      </c>
      <c r="E59" s="24" t="s">
        <v>109</v>
      </c>
      <c r="F59" s="32" t="s">
        <v>152</v>
      </c>
    </row>
    <row r="60" spans="1:6" hidden="1" x14ac:dyDescent="0.35">
      <c r="A60" s="19">
        <v>45719</v>
      </c>
      <c r="B60" s="20">
        <v>200000</v>
      </c>
      <c r="C60" s="99" t="s">
        <v>521</v>
      </c>
      <c r="D60" s="7" t="s">
        <v>333</v>
      </c>
      <c r="E60" s="24" t="s">
        <v>109</v>
      </c>
      <c r="F60" s="32" t="s">
        <v>152</v>
      </c>
    </row>
    <row r="61" spans="1:6" hidden="1" x14ac:dyDescent="0.35">
      <c r="A61" s="19">
        <v>45719</v>
      </c>
      <c r="B61" s="20">
        <v>500000</v>
      </c>
      <c r="C61" s="99" t="s">
        <v>521</v>
      </c>
      <c r="D61" s="7" t="s">
        <v>929</v>
      </c>
      <c r="E61" s="24" t="s">
        <v>109</v>
      </c>
      <c r="F61" s="32" t="s">
        <v>152</v>
      </c>
    </row>
    <row r="62" spans="1:6" hidden="1" x14ac:dyDescent="0.35">
      <c r="A62" s="19">
        <v>45719</v>
      </c>
      <c r="B62" s="20">
        <v>200000</v>
      </c>
      <c r="C62" s="99" t="s">
        <v>521</v>
      </c>
      <c r="D62" s="7" t="s">
        <v>936</v>
      </c>
      <c r="E62" s="24" t="s">
        <v>109</v>
      </c>
      <c r="F62" s="32" t="s">
        <v>152</v>
      </c>
    </row>
    <row r="63" spans="1:6" hidden="1" x14ac:dyDescent="0.35">
      <c r="A63" s="19">
        <v>45720</v>
      </c>
      <c r="B63" s="20">
        <v>900000</v>
      </c>
      <c r="C63" s="99" t="s">
        <v>521</v>
      </c>
      <c r="D63" s="7" t="s">
        <v>950</v>
      </c>
      <c r="E63" s="24" t="s">
        <v>109</v>
      </c>
      <c r="F63" s="32" t="s">
        <v>152</v>
      </c>
    </row>
    <row r="64" spans="1:6" hidden="1" x14ac:dyDescent="0.35">
      <c r="A64" s="19">
        <v>45720</v>
      </c>
      <c r="B64" s="20">
        <v>300000</v>
      </c>
      <c r="C64" s="99" t="s">
        <v>521</v>
      </c>
      <c r="D64" s="7" t="s">
        <v>951</v>
      </c>
      <c r="E64" s="24" t="s">
        <v>109</v>
      </c>
      <c r="F64" s="32" t="s">
        <v>152</v>
      </c>
    </row>
    <row r="65" spans="1:6" hidden="1" x14ac:dyDescent="0.35">
      <c r="A65" s="19">
        <v>45720</v>
      </c>
      <c r="B65" s="20">
        <v>150000</v>
      </c>
      <c r="C65" s="99" t="s">
        <v>521</v>
      </c>
      <c r="D65" s="7" t="s">
        <v>952</v>
      </c>
      <c r="E65" s="24" t="s">
        <v>109</v>
      </c>
      <c r="F65" s="32" t="s">
        <v>152</v>
      </c>
    </row>
    <row r="66" spans="1:6" hidden="1" x14ac:dyDescent="0.35">
      <c r="A66" s="19">
        <v>45721</v>
      </c>
      <c r="B66" s="20">
        <v>1000000</v>
      </c>
      <c r="C66" s="99" t="s">
        <v>521</v>
      </c>
      <c r="D66" s="7" t="s">
        <v>953</v>
      </c>
      <c r="E66" s="24" t="s">
        <v>109</v>
      </c>
      <c r="F66" s="32" t="s">
        <v>152</v>
      </c>
    </row>
    <row r="67" spans="1:6" hidden="1" x14ac:dyDescent="0.35">
      <c r="A67" s="19">
        <v>45721</v>
      </c>
      <c r="B67" s="20">
        <v>1000000</v>
      </c>
      <c r="C67" s="99" t="s">
        <v>521</v>
      </c>
      <c r="D67" s="7" t="s">
        <v>954</v>
      </c>
      <c r="E67" s="24" t="s">
        <v>109</v>
      </c>
      <c r="F67" s="32" t="s">
        <v>152</v>
      </c>
    </row>
    <row r="68" spans="1:6" hidden="1" x14ac:dyDescent="0.35">
      <c r="A68" s="19">
        <v>45721</v>
      </c>
      <c r="B68" s="20">
        <v>600000</v>
      </c>
      <c r="C68" s="99" t="s">
        <v>521</v>
      </c>
      <c r="D68" s="7" t="s">
        <v>955</v>
      </c>
      <c r="E68" s="24" t="s">
        <v>109</v>
      </c>
      <c r="F68" s="32" t="s">
        <v>152</v>
      </c>
    </row>
    <row r="69" spans="1:6" hidden="1" x14ac:dyDescent="0.35">
      <c r="A69" s="19">
        <v>45722</v>
      </c>
      <c r="B69" s="20">
        <v>100000</v>
      </c>
      <c r="C69" s="99" t="s">
        <v>521</v>
      </c>
      <c r="D69" s="7" t="s">
        <v>348</v>
      </c>
      <c r="E69" s="24" t="s">
        <v>109</v>
      </c>
      <c r="F69" s="32" t="s">
        <v>152</v>
      </c>
    </row>
    <row r="70" spans="1:6" hidden="1" x14ac:dyDescent="0.35">
      <c r="A70" s="19">
        <v>45722</v>
      </c>
      <c r="B70" s="20">
        <v>400000</v>
      </c>
      <c r="C70" s="99" t="s">
        <v>521</v>
      </c>
      <c r="D70" s="7" t="s">
        <v>937</v>
      </c>
      <c r="E70" s="24" t="s">
        <v>109</v>
      </c>
      <c r="F70" s="32" t="s">
        <v>152</v>
      </c>
    </row>
    <row r="71" spans="1:6" hidden="1" x14ac:dyDescent="0.35">
      <c r="A71" s="19">
        <v>45722</v>
      </c>
      <c r="B71" s="20">
        <v>50000</v>
      </c>
      <c r="C71" s="99" t="s">
        <v>521</v>
      </c>
      <c r="D71" s="7" t="s">
        <v>956</v>
      </c>
      <c r="E71" s="24" t="s">
        <v>109</v>
      </c>
      <c r="F71" s="32" t="s">
        <v>152</v>
      </c>
    </row>
    <row r="72" spans="1:6" hidden="1" x14ac:dyDescent="0.35">
      <c r="A72" s="19">
        <v>45723</v>
      </c>
      <c r="B72" s="20">
        <v>2000000</v>
      </c>
      <c r="C72" s="99" t="s">
        <v>521</v>
      </c>
      <c r="D72" s="7" t="s">
        <v>957</v>
      </c>
      <c r="E72" s="24" t="s">
        <v>109</v>
      </c>
      <c r="F72" s="32" t="s">
        <v>152</v>
      </c>
    </row>
    <row r="73" spans="1:6" hidden="1" x14ac:dyDescent="0.35">
      <c r="A73" s="19">
        <v>45726</v>
      </c>
      <c r="B73" s="20">
        <v>400000</v>
      </c>
      <c r="C73" s="99" t="s">
        <v>521</v>
      </c>
      <c r="D73" s="7" t="s">
        <v>372</v>
      </c>
      <c r="E73" s="24" t="s">
        <v>109</v>
      </c>
      <c r="F73" s="32" t="s">
        <v>152</v>
      </c>
    </row>
    <row r="74" spans="1:6" hidden="1" x14ac:dyDescent="0.35">
      <c r="A74" s="19">
        <v>45726</v>
      </c>
      <c r="B74" s="20">
        <v>200000</v>
      </c>
      <c r="C74" s="99" t="s">
        <v>521</v>
      </c>
      <c r="D74" s="7" t="s">
        <v>380</v>
      </c>
      <c r="E74" s="24" t="s">
        <v>109</v>
      </c>
      <c r="F74" s="32" t="s">
        <v>152</v>
      </c>
    </row>
    <row r="75" spans="1:6" hidden="1" x14ac:dyDescent="0.35">
      <c r="A75" s="19">
        <v>45727</v>
      </c>
      <c r="B75" s="20">
        <v>100000</v>
      </c>
      <c r="C75" s="99" t="s">
        <v>521</v>
      </c>
      <c r="D75" s="7" t="s">
        <v>373</v>
      </c>
      <c r="E75" s="24" t="s">
        <v>109</v>
      </c>
      <c r="F75" s="32" t="s">
        <v>152</v>
      </c>
    </row>
    <row r="76" spans="1:6" hidden="1" x14ac:dyDescent="0.35">
      <c r="A76" s="19">
        <v>45727</v>
      </c>
      <c r="B76" s="20">
        <v>250000</v>
      </c>
      <c r="C76" s="99" t="s">
        <v>521</v>
      </c>
      <c r="D76" s="7" t="s">
        <v>958</v>
      </c>
      <c r="E76" s="24" t="s">
        <v>109</v>
      </c>
      <c r="F76" s="32" t="s">
        <v>152</v>
      </c>
    </row>
    <row r="77" spans="1:6" hidden="1" x14ac:dyDescent="0.35">
      <c r="A77" s="19">
        <v>45728</v>
      </c>
      <c r="B77" s="20">
        <v>170000</v>
      </c>
      <c r="C77" s="99" t="s">
        <v>521</v>
      </c>
      <c r="D77" s="7" t="s">
        <v>939</v>
      </c>
      <c r="E77" s="24" t="s">
        <v>109</v>
      </c>
      <c r="F77" s="32" t="s">
        <v>152</v>
      </c>
    </row>
    <row r="78" spans="1:6" hidden="1" x14ac:dyDescent="0.35">
      <c r="A78" s="19">
        <v>45730</v>
      </c>
      <c r="B78" s="20">
        <v>300000</v>
      </c>
      <c r="C78" s="99" t="s">
        <v>521</v>
      </c>
      <c r="D78" s="7" t="s">
        <v>959</v>
      </c>
      <c r="E78" s="24" t="s">
        <v>109</v>
      </c>
      <c r="F78" s="32" t="s">
        <v>152</v>
      </c>
    </row>
    <row r="79" spans="1:6" hidden="1" x14ac:dyDescent="0.35">
      <c r="A79" s="19">
        <v>45735</v>
      </c>
      <c r="B79" s="20">
        <v>900000</v>
      </c>
      <c r="C79" s="99" t="s">
        <v>521</v>
      </c>
      <c r="D79" s="7" t="s">
        <v>407</v>
      </c>
      <c r="E79" s="24" t="s">
        <v>109</v>
      </c>
      <c r="F79" s="32" t="s">
        <v>152</v>
      </c>
    </row>
    <row r="80" spans="1:6" hidden="1" x14ac:dyDescent="0.35">
      <c r="A80" s="19">
        <v>45736</v>
      </c>
      <c r="B80" s="23">
        <v>4250000</v>
      </c>
      <c r="C80" s="99" t="s">
        <v>521</v>
      </c>
      <c r="D80" s="24" t="s">
        <v>409</v>
      </c>
      <c r="E80" s="24" t="s">
        <v>109</v>
      </c>
      <c r="F80" s="32" t="s">
        <v>152</v>
      </c>
    </row>
    <row r="81" spans="1:6" hidden="1" x14ac:dyDescent="0.35">
      <c r="A81" s="19">
        <v>45736</v>
      </c>
      <c r="B81" s="20">
        <v>25000</v>
      </c>
      <c r="C81" s="99" t="s">
        <v>521</v>
      </c>
      <c r="D81" s="7" t="s">
        <v>408</v>
      </c>
      <c r="E81" s="24" t="s">
        <v>109</v>
      </c>
      <c r="F81" s="32" t="s">
        <v>152</v>
      </c>
    </row>
    <row r="82" spans="1:6" hidden="1" x14ac:dyDescent="0.35">
      <c r="A82" s="19">
        <v>45737</v>
      </c>
      <c r="B82" s="20">
        <v>1000000</v>
      </c>
      <c r="C82" s="99" t="s">
        <v>521</v>
      </c>
      <c r="D82" s="7" t="s">
        <v>948</v>
      </c>
      <c r="E82" s="24" t="s">
        <v>109</v>
      </c>
      <c r="F82" s="32" t="s">
        <v>152</v>
      </c>
    </row>
    <row r="83" spans="1:6" hidden="1" x14ac:dyDescent="0.35">
      <c r="A83" s="19">
        <v>45737</v>
      </c>
      <c r="B83" s="20">
        <v>100000</v>
      </c>
      <c r="C83" s="99" t="s">
        <v>521</v>
      </c>
      <c r="D83" s="7" t="s">
        <v>424</v>
      </c>
      <c r="E83" s="24" t="s">
        <v>109</v>
      </c>
      <c r="F83" s="32" t="s">
        <v>152</v>
      </c>
    </row>
    <row r="84" spans="1:6" hidden="1" x14ac:dyDescent="0.35">
      <c r="A84" s="19">
        <v>45740</v>
      </c>
      <c r="B84" s="20">
        <v>2000000</v>
      </c>
      <c r="C84" s="99" t="s">
        <v>521</v>
      </c>
      <c r="D84" s="7" t="s">
        <v>425</v>
      </c>
      <c r="E84" s="24" t="s">
        <v>109</v>
      </c>
      <c r="F84" s="32" t="s">
        <v>152</v>
      </c>
    </row>
    <row r="85" spans="1:6" hidden="1" x14ac:dyDescent="0.35">
      <c r="A85" s="19">
        <v>45740</v>
      </c>
      <c r="B85" s="20">
        <v>25000</v>
      </c>
      <c r="C85" s="99" t="s">
        <v>521</v>
      </c>
      <c r="D85" s="7" t="s">
        <v>408</v>
      </c>
      <c r="E85" s="24" t="s">
        <v>109</v>
      </c>
      <c r="F85" s="32" t="s">
        <v>152</v>
      </c>
    </row>
    <row r="86" spans="1:6" hidden="1" x14ac:dyDescent="0.35">
      <c r="A86" s="19">
        <v>45740</v>
      </c>
      <c r="B86" s="20">
        <v>1000000</v>
      </c>
      <c r="C86" s="99" t="s">
        <v>521</v>
      </c>
      <c r="D86" s="7" t="s">
        <v>960</v>
      </c>
      <c r="E86" s="24" t="s">
        <v>109</v>
      </c>
      <c r="F86" s="32" t="s">
        <v>152</v>
      </c>
    </row>
    <row r="87" spans="1:6" hidden="1" x14ac:dyDescent="0.35">
      <c r="A87" s="19">
        <v>45740</v>
      </c>
      <c r="B87" s="20">
        <v>300000</v>
      </c>
      <c r="C87" s="99" t="s">
        <v>521</v>
      </c>
      <c r="D87" s="7" t="s">
        <v>428</v>
      </c>
      <c r="E87" s="24" t="s">
        <v>109</v>
      </c>
      <c r="F87" s="32" t="s">
        <v>152</v>
      </c>
    </row>
    <row r="88" spans="1:6" hidden="1" x14ac:dyDescent="0.35">
      <c r="A88" s="19">
        <v>45740</v>
      </c>
      <c r="B88" s="20">
        <v>1000000</v>
      </c>
      <c r="C88" s="99" t="s">
        <v>521</v>
      </c>
      <c r="D88" s="7" t="s">
        <v>961</v>
      </c>
      <c r="E88" s="24" t="s">
        <v>109</v>
      </c>
      <c r="F88" s="32" t="s">
        <v>152</v>
      </c>
    </row>
    <row r="89" spans="1:6" hidden="1" x14ac:dyDescent="0.35">
      <c r="A89" s="19">
        <v>45741</v>
      </c>
      <c r="B89" s="20">
        <v>20000</v>
      </c>
      <c r="C89" s="99" t="s">
        <v>521</v>
      </c>
      <c r="D89" s="7" t="s">
        <v>962</v>
      </c>
      <c r="E89" s="24" t="s">
        <v>109</v>
      </c>
      <c r="F89" s="32" t="s">
        <v>152</v>
      </c>
    </row>
    <row r="90" spans="1:6" hidden="1" x14ac:dyDescent="0.35">
      <c r="A90" s="19">
        <v>45743</v>
      </c>
      <c r="B90" s="20">
        <v>50000</v>
      </c>
      <c r="C90" s="99" t="s">
        <v>521</v>
      </c>
      <c r="D90" s="7" t="s">
        <v>962</v>
      </c>
      <c r="E90" s="24" t="s">
        <v>109</v>
      </c>
      <c r="F90" s="32" t="s">
        <v>152</v>
      </c>
    </row>
    <row r="91" spans="1:6" hidden="1" x14ac:dyDescent="0.35">
      <c r="A91" s="19">
        <v>45744</v>
      </c>
      <c r="B91" s="20">
        <v>1000000</v>
      </c>
      <c r="C91" s="99" t="s">
        <v>521</v>
      </c>
      <c r="D91" s="7" t="s">
        <v>489</v>
      </c>
      <c r="E91" s="24" t="s">
        <v>109</v>
      </c>
      <c r="F91" s="32" t="s">
        <v>152</v>
      </c>
    </row>
    <row r="92" spans="1:6" hidden="1" x14ac:dyDescent="0.35">
      <c r="A92" s="19">
        <v>45744</v>
      </c>
      <c r="B92" s="20">
        <v>2000000</v>
      </c>
      <c r="C92" s="99" t="s">
        <v>521</v>
      </c>
      <c r="D92" s="7" t="s">
        <v>963</v>
      </c>
      <c r="E92" s="24" t="s">
        <v>109</v>
      </c>
      <c r="F92" s="32" t="s">
        <v>152</v>
      </c>
    </row>
    <row r="93" spans="1:6" hidden="1" x14ac:dyDescent="0.35">
      <c r="A93" s="19">
        <v>45755</v>
      </c>
      <c r="B93" s="20">
        <v>400000</v>
      </c>
      <c r="C93" s="99" t="s">
        <v>559</v>
      </c>
      <c r="D93" s="7" t="s">
        <v>515</v>
      </c>
      <c r="E93" s="24" t="s">
        <v>109</v>
      </c>
      <c r="F93" s="32" t="s">
        <v>152</v>
      </c>
    </row>
    <row r="94" spans="1:6" hidden="1" x14ac:dyDescent="0.35">
      <c r="A94" s="19">
        <v>45755</v>
      </c>
      <c r="B94" s="20">
        <v>100000</v>
      </c>
      <c r="C94" s="99" t="s">
        <v>559</v>
      </c>
      <c r="D94" s="7" t="s">
        <v>516</v>
      </c>
      <c r="E94" s="24" t="s">
        <v>109</v>
      </c>
      <c r="F94" s="32" t="s">
        <v>152</v>
      </c>
    </row>
    <row r="95" spans="1:6" hidden="1" x14ac:dyDescent="0.35">
      <c r="A95" s="19">
        <v>45755</v>
      </c>
      <c r="B95" s="20">
        <v>150000</v>
      </c>
      <c r="C95" s="99" t="s">
        <v>559</v>
      </c>
      <c r="D95" s="7" t="s">
        <v>517</v>
      </c>
      <c r="E95" s="24" t="s">
        <v>109</v>
      </c>
      <c r="F95" s="32" t="s">
        <v>152</v>
      </c>
    </row>
    <row r="96" spans="1:6" hidden="1" x14ac:dyDescent="0.35">
      <c r="A96" s="19">
        <v>45757</v>
      </c>
      <c r="B96" s="20">
        <v>17785500</v>
      </c>
      <c r="C96" s="99" t="s">
        <v>559</v>
      </c>
      <c r="D96" s="7" t="s">
        <v>520</v>
      </c>
      <c r="E96" s="24" t="s">
        <v>109</v>
      </c>
      <c r="F96" s="32" t="s">
        <v>152</v>
      </c>
    </row>
    <row r="97" spans="1:6" hidden="1" x14ac:dyDescent="0.35">
      <c r="A97" s="19">
        <v>45758</v>
      </c>
      <c r="B97" s="20">
        <v>2000000</v>
      </c>
      <c r="C97" s="99" t="s">
        <v>559</v>
      </c>
      <c r="D97" s="7" t="s">
        <v>522</v>
      </c>
      <c r="E97" s="24" t="s">
        <v>109</v>
      </c>
      <c r="F97" s="32" t="s">
        <v>152</v>
      </c>
    </row>
    <row r="98" spans="1:6" hidden="1" x14ac:dyDescent="0.35">
      <c r="A98" s="19">
        <v>45758</v>
      </c>
      <c r="B98" s="20">
        <v>1000000</v>
      </c>
      <c r="C98" s="99" t="s">
        <v>559</v>
      </c>
      <c r="D98" s="7" t="s">
        <v>526</v>
      </c>
      <c r="E98" s="24" t="s">
        <v>109</v>
      </c>
      <c r="F98" s="32" t="s">
        <v>152</v>
      </c>
    </row>
    <row r="99" spans="1:6" hidden="1" x14ac:dyDescent="0.35">
      <c r="A99" s="19">
        <v>45761</v>
      </c>
      <c r="B99" s="20">
        <v>200000</v>
      </c>
      <c r="C99" s="99" t="s">
        <v>559</v>
      </c>
      <c r="D99" s="7" t="s">
        <v>531</v>
      </c>
      <c r="E99" s="24" t="s">
        <v>109</v>
      </c>
      <c r="F99" s="32" t="s">
        <v>152</v>
      </c>
    </row>
    <row r="100" spans="1:6" hidden="1" x14ac:dyDescent="0.35">
      <c r="A100" s="19">
        <v>45761</v>
      </c>
      <c r="B100" s="20">
        <v>3042000</v>
      </c>
      <c r="C100" s="99" t="s">
        <v>559</v>
      </c>
      <c r="D100" s="7" t="s">
        <v>587</v>
      </c>
      <c r="E100" s="24" t="s">
        <v>109</v>
      </c>
      <c r="F100" s="32" t="s">
        <v>152</v>
      </c>
    </row>
    <row r="101" spans="1:6" hidden="1" x14ac:dyDescent="0.35">
      <c r="A101" s="19">
        <v>45762</v>
      </c>
      <c r="B101" s="20">
        <v>500000</v>
      </c>
      <c r="C101" s="99" t="s">
        <v>559</v>
      </c>
      <c r="D101" s="7" t="s">
        <v>534</v>
      </c>
      <c r="E101" s="24" t="s">
        <v>109</v>
      </c>
      <c r="F101" s="32" t="s">
        <v>152</v>
      </c>
    </row>
    <row r="102" spans="1:6" hidden="1" x14ac:dyDescent="0.35">
      <c r="A102" s="19">
        <v>45772</v>
      </c>
      <c r="B102" s="20">
        <v>1000000</v>
      </c>
      <c r="C102" s="99" t="s">
        <v>559</v>
      </c>
      <c r="D102" s="7" t="s">
        <v>561</v>
      </c>
      <c r="E102" s="24" t="s">
        <v>109</v>
      </c>
      <c r="F102" s="32" t="s">
        <v>152</v>
      </c>
    </row>
    <row r="103" spans="1:6" hidden="1" x14ac:dyDescent="0.35">
      <c r="A103" s="19">
        <v>45773</v>
      </c>
      <c r="B103" s="20">
        <v>100000</v>
      </c>
      <c r="C103" s="99" t="s">
        <v>559</v>
      </c>
      <c r="D103" s="7" t="s">
        <v>424</v>
      </c>
      <c r="E103" s="24" t="s">
        <v>109</v>
      </c>
      <c r="F103" s="32" t="s">
        <v>152</v>
      </c>
    </row>
    <row r="104" spans="1:6" hidden="1" x14ac:dyDescent="0.35">
      <c r="A104" s="19">
        <v>45775</v>
      </c>
      <c r="B104" s="20">
        <v>300000</v>
      </c>
      <c r="C104" s="99" t="s">
        <v>559</v>
      </c>
      <c r="D104" s="7" t="s">
        <v>577</v>
      </c>
      <c r="E104" s="24" t="s">
        <v>109</v>
      </c>
      <c r="F104" s="32" t="s">
        <v>152</v>
      </c>
    </row>
    <row r="105" spans="1:6" hidden="1" x14ac:dyDescent="0.35">
      <c r="A105" s="19">
        <v>45778</v>
      </c>
      <c r="B105" s="20">
        <v>200000</v>
      </c>
      <c r="C105" s="99" t="s">
        <v>588</v>
      </c>
      <c r="D105" s="7" t="s">
        <v>578</v>
      </c>
      <c r="E105" s="24" t="s">
        <v>109</v>
      </c>
      <c r="F105" s="32" t="s">
        <v>152</v>
      </c>
    </row>
    <row r="106" spans="1:6" hidden="1" x14ac:dyDescent="0.35">
      <c r="A106" s="19">
        <v>45778</v>
      </c>
      <c r="B106" s="20">
        <v>500000</v>
      </c>
      <c r="C106" s="99" t="s">
        <v>588</v>
      </c>
      <c r="D106" s="7" t="s">
        <v>579</v>
      </c>
      <c r="E106" s="24" t="s">
        <v>109</v>
      </c>
      <c r="F106" s="32" t="s">
        <v>152</v>
      </c>
    </row>
    <row r="107" spans="1:6" hidden="1" x14ac:dyDescent="0.35">
      <c r="A107" s="19">
        <v>45779</v>
      </c>
      <c r="B107" s="20">
        <v>2000000</v>
      </c>
      <c r="C107" s="99" t="s">
        <v>588</v>
      </c>
      <c r="D107" s="7" t="s">
        <v>522</v>
      </c>
      <c r="E107" s="24" t="s">
        <v>109</v>
      </c>
      <c r="F107" s="32" t="s">
        <v>152</v>
      </c>
    </row>
    <row r="108" spans="1:6" hidden="1" x14ac:dyDescent="0.35">
      <c r="A108" s="19">
        <v>45780</v>
      </c>
      <c r="B108" s="20">
        <v>200000</v>
      </c>
      <c r="C108" s="99" t="s">
        <v>588</v>
      </c>
      <c r="D108" s="7" t="s">
        <v>592</v>
      </c>
      <c r="E108" s="24" t="s">
        <v>109</v>
      </c>
      <c r="F108" s="32" t="s">
        <v>152</v>
      </c>
    </row>
    <row r="109" spans="1:6" hidden="1" x14ac:dyDescent="0.35">
      <c r="A109" s="19">
        <v>45781</v>
      </c>
      <c r="B109" s="20">
        <v>400000</v>
      </c>
      <c r="C109" s="99" t="s">
        <v>588</v>
      </c>
      <c r="D109" s="7" t="s">
        <v>600</v>
      </c>
      <c r="E109" s="24" t="s">
        <v>109</v>
      </c>
      <c r="F109" s="32" t="s">
        <v>152</v>
      </c>
    </row>
    <row r="110" spans="1:6" hidden="1" x14ac:dyDescent="0.35">
      <c r="A110" s="19">
        <v>45781</v>
      </c>
      <c r="B110" s="20">
        <v>150000</v>
      </c>
      <c r="C110" s="99" t="s">
        <v>588</v>
      </c>
      <c r="D110" s="7" t="s">
        <v>603</v>
      </c>
      <c r="E110" s="24" t="s">
        <v>109</v>
      </c>
      <c r="F110" s="32" t="s">
        <v>152</v>
      </c>
    </row>
    <row r="111" spans="1:6" hidden="1" x14ac:dyDescent="0.35">
      <c r="A111" s="19">
        <v>45783</v>
      </c>
      <c r="B111" s="20">
        <v>600000</v>
      </c>
      <c r="C111" s="99" t="s">
        <v>588</v>
      </c>
      <c r="D111" s="7" t="s">
        <v>606</v>
      </c>
      <c r="E111" s="24" t="s">
        <v>109</v>
      </c>
      <c r="F111" s="32" t="s">
        <v>152</v>
      </c>
    </row>
    <row r="112" spans="1:6" hidden="1" x14ac:dyDescent="0.35">
      <c r="A112" s="19">
        <v>45784</v>
      </c>
      <c r="B112" s="20">
        <v>200000</v>
      </c>
      <c r="C112" s="99" t="s">
        <v>588</v>
      </c>
      <c r="D112" s="7" t="s">
        <v>531</v>
      </c>
      <c r="E112" s="24" t="s">
        <v>109</v>
      </c>
      <c r="F112" s="32" t="s">
        <v>152</v>
      </c>
    </row>
    <row r="113" spans="1:6" hidden="1" x14ac:dyDescent="0.35">
      <c r="A113" s="19">
        <v>45784</v>
      </c>
      <c r="B113" s="20">
        <v>1000000</v>
      </c>
      <c r="C113" s="99" t="s">
        <v>588</v>
      </c>
      <c r="D113" s="7" t="s">
        <v>609</v>
      </c>
      <c r="E113" s="24" t="s">
        <v>109</v>
      </c>
      <c r="F113" s="32" t="s">
        <v>152</v>
      </c>
    </row>
    <row r="114" spans="1:6" hidden="1" x14ac:dyDescent="0.35">
      <c r="A114" s="19">
        <v>45784</v>
      </c>
      <c r="B114" s="20">
        <v>800000</v>
      </c>
      <c r="C114" s="99" t="s">
        <v>588</v>
      </c>
      <c r="D114" s="7" t="s">
        <v>610</v>
      </c>
      <c r="E114" s="24" t="s">
        <v>109</v>
      </c>
      <c r="F114" s="32" t="s">
        <v>152</v>
      </c>
    </row>
    <row r="115" spans="1:6" hidden="1" x14ac:dyDescent="0.35">
      <c r="A115" s="19">
        <v>45800</v>
      </c>
      <c r="B115" s="20">
        <v>2000000</v>
      </c>
      <c r="C115" s="99" t="s">
        <v>588</v>
      </c>
      <c r="D115" s="7" t="s">
        <v>609</v>
      </c>
      <c r="E115" s="24" t="s">
        <v>109</v>
      </c>
      <c r="F115" s="32" t="s">
        <v>152</v>
      </c>
    </row>
    <row r="116" spans="1:6" hidden="1" x14ac:dyDescent="0.35">
      <c r="A116" s="19">
        <v>45805</v>
      </c>
      <c r="B116" s="20">
        <v>300000</v>
      </c>
      <c r="C116" s="99" t="s">
        <v>588</v>
      </c>
      <c r="D116" s="7" t="s">
        <v>577</v>
      </c>
      <c r="E116" s="24" t="s">
        <v>109</v>
      </c>
      <c r="F116" s="32" t="s">
        <v>152</v>
      </c>
    </row>
    <row r="117" spans="1:6" hidden="1" x14ac:dyDescent="0.35">
      <c r="A117" s="19">
        <v>45805</v>
      </c>
      <c r="B117" s="20">
        <v>100000</v>
      </c>
      <c r="C117" s="99" t="s">
        <v>588</v>
      </c>
      <c r="D117" s="7" t="s">
        <v>424</v>
      </c>
      <c r="E117" s="24" t="s">
        <v>109</v>
      </c>
      <c r="F117" s="32" t="s">
        <v>152</v>
      </c>
    </row>
    <row r="118" spans="1:6" hidden="1" x14ac:dyDescent="0.35">
      <c r="A118" s="19">
        <v>45809</v>
      </c>
      <c r="B118" s="20">
        <v>200000</v>
      </c>
      <c r="C118" s="99" t="s">
        <v>732</v>
      </c>
      <c r="D118" s="7" t="s">
        <v>674</v>
      </c>
      <c r="E118" s="24" t="s">
        <v>109</v>
      </c>
      <c r="F118" s="32" t="s">
        <v>152</v>
      </c>
    </row>
    <row r="119" spans="1:6" hidden="1" x14ac:dyDescent="0.35">
      <c r="A119" s="19">
        <v>45809</v>
      </c>
      <c r="B119" s="20">
        <v>500000</v>
      </c>
      <c r="C119" s="99" t="s">
        <v>732</v>
      </c>
      <c r="D119" s="7" t="s">
        <v>675</v>
      </c>
      <c r="E119" s="24" t="s">
        <v>109</v>
      </c>
      <c r="F119" s="32" t="s">
        <v>152</v>
      </c>
    </row>
    <row r="120" spans="1:6" hidden="1" x14ac:dyDescent="0.35">
      <c r="A120" s="19">
        <v>45810</v>
      </c>
      <c r="B120" s="20">
        <v>500000</v>
      </c>
      <c r="C120" s="99" t="s">
        <v>732</v>
      </c>
      <c r="D120" s="7" t="s">
        <v>579</v>
      </c>
      <c r="E120" s="24" t="s">
        <v>109</v>
      </c>
      <c r="F120" s="32" t="s">
        <v>152</v>
      </c>
    </row>
    <row r="121" spans="1:6" hidden="1" x14ac:dyDescent="0.35">
      <c r="A121" s="19">
        <v>45811</v>
      </c>
      <c r="B121" s="20">
        <v>200000</v>
      </c>
      <c r="C121" s="99" t="s">
        <v>732</v>
      </c>
      <c r="D121" s="7" t="s">
        <v>333</v>
      </c>
      <c r="E121" s="24" t="s">
        <v>109</v>
      </c>
      <c r="F121" s="32" t="s">
        <v>152</v>
      </c>
    </row>
    <row r="122" spans="1:6" hidden="1" x14ac:dyDescent="0.35">
      <c r="A122" s="19">
        <v>45811</v>
      </c>
      <c r="B122" s="20">
        <v>500000</v>
      </c>
      <c r="C122" s="99" t="s">
        <v>732</v>
      </c>
      <c r="D122" s="7" t="s">
        <v>679</v>
      </c>
      <c r="E122" s="24" t="s">
        <v>109</v>
      </c>
      <c r="F122" s="32" t="s">
        <v>152</v>
      </c>
    </row>
    <row r="123" spans="1:6" hidden="1" x14ac:dyDescent="0.35">
      <c r="A123" s="19">
        <v>45811</v>
      </c>
      <c r="B123" s="20">
        <v>400000</v>
      </c>
      <c r="C123" s="99" t="s">
        <v>732</v>
      </c>
      <c r="D123" s="7" t="s">
        <v>600</v>
      </c>
      <c r="E123" s="24" t="s">
        <v>109</v>
      </c>
      <c r="F123" s="32" t="s">
        <v>152</v>
      </c>
    </row>
    <row r="124" spans="1:6" hidden="1" x14ac:dyDescent="0.35">
      <c r="A124" s="19">
        <v>45812</v>
      </c>
      <c r="B124" s="203">
        <v>250000</v>
      </c>
      <c r="C124" s="99" t="s">
        <v>732</v>
      </c>
      <c r="D124" s="202" t="s">
        <v>704</v>
      </c>
      <c r="E124" s="24" t="s">
        <v>109</v>
      </c>
      <c r="F124" s="32" t="s">
        <v>152</v>
      </c>
    </row>
    <row r="125" spans="1:6" hidden="1" x14ac:dyDescent="0.35">
      <c r="A125" s="19">
        <v>45814</v>
      </c>
      <c r="B125" s="20">
        <v>1000000</v>
      </c>
      <c r="C125" s="99" t="s">
        <v>732</v>
      </c>
      <c r="D125" s="7" t="s">
        <v>561</v>
      </c>
      <c r="E125" s="24" t="s">
        <v>109</v>
      </c>
      <c r="F125" s="32" t="s">
        <v>152</v>
      </c>
    </row>
    <row r="126" spans="1:6" hidden="1" x14ac:dyDescent="0.35">
      <c r="A126" s="19">
        <v>45816</v>
      </c>
      <c r="B126" s="20">
        <v>200000</v>
      </c>
      <c r="C126" s="99" t="s">
        <v>732</v>
      </c>
      <c r="D126" s="7" t="s">
        <v>531</v>
      </c>
      <c r="E126" s="24" t="s">
        <v>109</v>
      </c>
      <c r="F126" s="32" t="s">
        <v>152</v>
      </c>
    </row>
    <row r="127" spans="1:6" hidden="1" x14ac:dyDescent="0.35">
      <c r="A127" s="19">
        <v>45819</v>
      </c>
      <c r="B127" s="20">
        <v>150000</v>
      </c>
      <c r="C127" s="99" t="s">
        <v>732</v>
      </c>
      <c r="D127" s="7" t="s">
        <v>603</v>
      </c>
      <c r="E127" s="24" t="s">
        <v>109</v>
      </c>
      <c r="F127" s="32" t="s">
        <v>152</v>
      </c>
    </row>
    <row r="128" spans="1:6" hidden="1" x14ac:dyDescent="0.35">
      <c r="A128" s="19">
        <v>45821</v>
      </c>
      <c r="B128" s="20">
        <v>2000000</v>
      </c>
      <c r="C128" s="99" t="s">
        <v>732</v>
      </c>
      <c r="D128" s="7" t="s">
        <v>957</v>
      </c>
      <c r="E128" s="24" t="s">
        <v>109</v>
      </c>
      <c r="F128" s="32" t="s">
        <v>152</v>
      </c>
    </row>
    <row r="129" spans="1:6" hidden="1" x14ac:dyDescent="0.35">
      <c r="A129" s="19">
        <v>45824</v>
      </c>
      <c r="B129" s="20">
        <v>100000</v>
      </c>
      <c r="C129" s="99" t="s">
        <v>732</v>
      </c>
      <c r="D129" s="7" t="s">
        <v>373</v>
      </c>
      <c r="E129" s="24" t="s">
        <v>109</v>
      </c>
      <c r="F129" s="32" t="s">
        <v>152</v>
      </c>
    </row>
    <row r="130" spans="1:6" hidden="1" x14ac:dyDescent="0.35">
      <c r="A130" s="19">
        <v>45831</v>
      </c>
      <c r="B130" s="20">
        <v>2970000</v>
      </c>
      <c r="C130" s="99" t="s">
        <v>732</v>
      </c>
      <c r="D130" s="7" t="s">
        <v>294</v>
      </c>
      <c r="E130" s="24" t="s">
        <v>109</v>
      </c>
      <c r="F130" s="32" t="s">
        <v>152</v>
      </c>
    </row>
    <row r="131" spans="1:6" hidden="1" x14ac:dyDescent="0.35">
      <c r="A131" s="19">
        <v>45833</v>
      </c>
      <c r="B131" s="20">
        <v>300000</v>
      </c>
      <c r="C131" s="99" t="s">
        <v>732</v>
      </c>
      <c r="D131" s="7" t="s">
        <v>727</v>
      </c>
      <c r="E131" s="24" t="s">
        <v>109</v>
      </c>
      <c r="F131" s="32" t="s">
        <v>152</v>
      </c>
    </row>
    <row r="132" spans="1:6" hidden="1" x14ac:dyDescent="0.35">
      <c r="A132" s="19">
        <v>45835</v>
      </c>
      <c r="B132" s="20">
        <v>1000000</v>
      </c>
      <c r="C132" s="99" t="s">
        <v>732</v>
      </c>
      <c r="D132" s="7" t="s">
        <v>561</v>
      </c>
      <c r="E132" s="24" t="s">
        <v>109</v>
      </c>
      <c r="F132" s="32" t="s">
        <v>152</v>
      </c>
    </row>
    <row r="133" spans="1:6" hidden="1" x14ac:dyDescent="0.35">
      <c r="A133" s="19">
        <v>45835</v>
      </c>
      <c r="B133" s="20">
        <v>100000</v>
      </c>
      <c r="C133" s="99" t="s">
        <v>732</v>
      </c>
      <c r="D133" s="7" t="s">
        <v>424</v>
      </c>
      <c r="E133" s="24" t="s">
        <v>109</v>
      </c>
      <c r="F133" s="32" t="s">
        <v>152</v>
      </c>
    </row>
    <row r="134" spans="1:6" hidden="1" x14ac:dyDescent="0.35">
      <c r="A134" s="19">
        <v>45835</v>
      </c>
      <c r="B134" s="20">
        <v>1000000</v>
      </c>
      <c r="C134" s="99" t="s">
        <v>732</v>
      </c>
      <c r="D134" s="7" t="s">
        <v>609</v>
      </c>
      <c r="E134" s="24" t="s">
        <v>109</v>
      </c>
      <c r="F134" s="32" t="s">
        <v>152</v>
      </c>
    </row>
    <row r="135" spans="1:6" hidden="1" x14ac:dyDescent="0.35">
      <c r="A135" s="19">
        <v>45837</v>
      </c>
      <c r="B135" s="20">
        <v>350000</v>
      </c>
      <c r="C135" s="99" t="s">
        <v>732</v>
      </c>
      <c r="D135" s="7" t="s">
        <v>740</v>
      </c>
      <c r="E135" s="24" t="s">
        <v>109</v>
      </c>
      <c r="F135" s="32" t="s">
        <v>152</v>
      </c>
    </row>
    <row r="136" spans="1:6" hidden="1" x14ac:dyDescent="0.35">
      <c r="A136" s="19">
        <v>45839</v>
      </c>
      <c r="B136" s="20">
        <v>200000</v>
      </c>
      <c r="C136" s="99" t="s">
        <v>733</v>
      </c>
      <c r="D136" s="7" t="s">
        <v>674</v>
      </c>
      <c r="E136" s="24" t="s">
        <v>109</v>
      </c>
      <c r="F136" s="32" t="s">
        <v>152</v>
      </c>
    </row>
    <row r="137" spans="1:6" hidden="1" x14ac:dyDescent="0.35">
      <c r="A137" s="19">
        <v>45840</v>
      </c>
      <c r="B137" s="20">
        <v>500000</v>
      </c>
      <c r="C137" s="99" t="s">
        <v>733</v>
      </c>
      <c r="D137" s="7" t="s">
        <v>579</v>
      </c>
      <c r="E137" s="24" t="s">
        <v>109</v>
      </c>
      <c r="F137" s="32" t="s">
        <v>152</v>
      </c>
    </row>
    <row r="138" spans="1:6" hidden="1" x14ac:dyDescent="0.35">
      <c r="A138" s="19">
        <v>45841</v>
      </c>
      <c r="B138" s="20">
        <v>200000</v>
      </c>
      <c r="C138" s="99" t="s">
        <v>733</v>
      </c>
      <c r="D138" s="7" t="s">
        <v>333</v>
      </c>
      <c r="E138" s="24" t="s">
        <v>109</v>
      </c>
      <c r="F138" s="32" t="s">
        <v>152</v>
      </c>
    </row>
    <row r="139" spans="1:6" hidden="1" x14ac:dyDescent="0.35">
      <c r="A139" s="19">
        <v>45841</v>
      </c>
      <c r="B139" s="20">
        <v>400000</v>
      </c>
      <c r="C139" s="99" t="s">
        <v>733</v>
      </c>
      <c r="D139" s="7" t="s">
        <v>515</v>
      </c>
      <c r="E139" s="24" t="s">
        <v>109</v>
      </c>
      <c r="F139" s="32" t="s">
        <v>152</v>
      </c>
    </row>
    <row r="140" spans="1:6" hidden="1" x14ac:dyDescent="0.35">
      <c r="A140" s="19">
        <v>45842</v>
      </c>
      <c r="B140" s="20">
        <v>2000000</v>
      </c>
      <c r="C140" s="99" t="s">
        <v>733</v>
      </c>
      <c r="D140" s="7" t="s">
        <v>745</v>
      </c>
      <c r="E140" s="24" t="s">
        <v>109</v>
      </c>
      <c r="F140" s="32" t="s">
        <v>152</v>
      </c>
    </row>
    <row r="141" spans="1:6" hidden="1" x14ac:dyDescent="0.35">
      <c r="A141" s="19">
        <v>45843</v>
      </c>
      <c r="B141" s="20">
        <v>150000</v>
      </c>
      <c r="C141" s="99" t="s">
        <v>733</v>
      </c>
      <c r="D141" s="7" t="s">
        <v>603</v>
      </c>
      <c r="E141" s="24" t="s">
        <v>109</v>
      </c>
      <c r="F141" s="32" t="s">
        <v>152</v>
      </c>
    </row>
    <row r="142" spans="1:6" hidden="1" x14ac:dyDescent="0.35">
      <c r="A142" s="19">
        <v>45844</v>
      </c>
      <c r="B142" s="20">
        <v>200000</v>
      </c>
      <c r="C142" s="99" t="s">
        <v>733</v>
      </c>
      <c r="D142" s="7" t="s">
        <v>531</v>
      </c>
      <c r="E142" s="24" t="s">
        <v>109</v>
      </c>
      <c r="F142" s="32" t="s">
        <v>152</v>
      </c>
    </row>
    <row r="143" spans="1:6" hidden="1" x14ac:dyDescent="0.35">
      <c r="A143" s="19">
        <v>45860</v>
      </c>
      <c r="B143" s="20">
        <v>2655000</v>
      </c>
      <c r="C143" s="99" t="s">
        <v>733</v>
      </c>
      <c r="D143" s="7" t="s">
        <v>763</v>
      </c>
      <c r="E143" s="24" t="s">
        <v>109</v>
      </c>
      <c r="F143" s="32" t="s">
        <v>152</v>
      </c>
    </row>
    <row r="144" spans="1:6" hidden="1" x14ac:dyDescent="0.35">
      <c r="A144" s="19">
        <v>45863</v>
      </c>
      <c r="B144" s="20">
        <v>1000000</v>
      </c>
      <c r="C144" s="99" t="s">
        <v>733</v>
      </c>
      <c r="D144" s="7" t="s">
        <v>609</v>
      </c>
      <c r="E144" s="24" t="s">
        <v>109</v>
      </c>
      <c r="F144" s="32" t="s">
        <v>152</v>
      </c>
    </row>
    <row r="145" spans="1:6" hidden="1" x14ac:dyDescent="0.35">
      <c r="A145" s="19">
        <v>45863</v>
      </c>
      <c r="B145" s="20">
        <v>1000000</v>
      </c>
      <c r="C145" s="99" t="s">
        <v>733</v>
      </c>
      <c r="D145" s="7" t="s">
        <v>561</v>
      </c>
      <c r="E145" s="24" t="s">
        <v>109</v>
      </c>
      <c r="F145" s="32" t="s">
        <v>152</v>
      </c>
    </row>
    <row r="146" spans="1:6" hidden="1" x14ac:dyDescent="0.35">
      <c r="A146" s="19">
        <v>45868</v>
      </c>
      <c r="B146" s="20">
        <v>350000</v>
      </c>
      <c r="C146" s="99" t="s">
        <v>733</v>
      </c>
      <c r="D146" s="7" t="s">
        <v>785</v>
      </c>
      <c r="E146" s="24" t="s">
        <v>109</v>
      </c>
      <c r="F146" s="32" t="s">
        <v>152</v>
      </c>
    </row>
    <row r="147" spans="1:6" hidden="1" x14ac:dyDescent="0.35">
      <c r="A147" s="19">
        <v>45868</v>
      </c>
      <c r="B147" s="20">
        <v>200000</v>
      </c>
      <c r="C147" s="99" t="s">
        <v>733</v>
      </c>
      <c r="D147" s="7" t="s">
        <v>786</v>
      </c>
      <c r="E147" s="24" t="s">
        <v>109</v>
      </c>
      <c r="F147" s="32" t="s">
        <v>152</v>
      </c>
    </row>
    <row r="148" spans="1:6" hidden="1" x14ac:dyDescent="0.35">
      <c r="A148" s="19">
        <v>45870</v>
      </c>
      <c r="B148" s="20">
        <v>200000</v>
      </c>
      <c r="C148" s="99" t="s">
        <v>860</v>
      </c>
      <c r="D148" s="7" t="s">
        <v>674</v>
      </c>
      <c r="E148" s="24" t="s">
        <v>109</v>
      </c>
      <c r="F148" s="32" t="s">
        <v>152</v>
      </c>
    </row>
    <row r="149" spans="1:6" hidden="1" x14ac:dyDescent="0.35">
      <c r="A149" s="19">
        <v>45870</v>
      </c>
      <c r="B149" s="20">
        <v>200000</v>
      </c>
      <c r="C149" s="99" t="s">
        <v>860</v>
      </c>
      <c r="D149" s="7" t="s">
        <v>531</v>
      </c>
      <c r="E149" s="24" t="s">
        <v>109</v>
      </c>
      <c r="F149" s="32" t="s">
        <v>152</v>
      </c>
    </row>
    <row r="150" spans="1:6" hidden="1" x14ac:dyDescent="0.35">
      <c r="A150" s="19">
        <v>45870</v>
      </c>
      <c r="B150" s="20">
        <v>500000</v>
      </c>
      <c r="C150" s="99" t="s">
        <v>860</v>
      </c>
      <c r="D150" s="7" t="s">
        <v>579</v>
      </c>
      <c r="E150" s="24" t="s">
        <v>109</v>
      </c>
      <c r="F150" s="32" t="s">
        <v>152</v>
      </c>
    </row>
    <row r="151" spans="1:6" hidden="1" x14ac:dyDescent="0.35">
      <c r="A151" s="19">
        <v>45870</v>
      </c>
      <c r="B151" s="20">
        <v>300000</v>
      </c>
      <c r="C151" s="99" t="s">
        <v>860</v>
      </c>
      <c r="D151" s="7" t="s">
        <v>577</v>
      </c>
      <c r="E151" s="24" t="s">
        <v>109</v>
      </c>
      <c r="F151" s="32" t="s">
        <v>152</v>
      </c>
    </row>
    <row r="152" spans="1:6" hidden="1" x14ac:dyDescent="0.35">
      <c r="A152" s="19">
        <v>45871</v>
      </c>
      <c r="B152" s="20">
        <v>200000</v>
      </c>
      <c r="C152" s="99" t="s">
        <v>860</v>
      </c>
      <c r="D152" s="7" t="s">
        <v>424</v>
      </c>
      <c r="E152" s="24" t="s">
        <v>109</v>
      </c>
      <c r="F152" s="32" t="s">
        <v>152</v>
      </c>
    </row>
    <row r="153" spans="1:6" hidden="1" x14ac:dyDescent="0.35">
      <c r="A153" s="19">
        <v>45872</v>
      </c>
      <c r="B153" s="20">
        <v>200000</v>
      </c>
      <c r="C153" s="99" t="s">
        <v>860</v>
      </c>
      <c r="D153" s="7" t="s">
        <v>333</v>
      </c>
      <c r="E153" s="24" t="s">
        <v>109</v>
      </c>
      <c r="F153" s="32" t="s">
        <v>152</v>
      </c>
    </row>
    <row r="154" spans="1:6" hidden="1" x14ac:dyDescent="0.35">
      <c r="A154" s="19">
        <v>45872</v>
      </c>
      <c r="B154" s="20">
        <v>100000</v>
      </c>
      <c r="C154" s="99" t="s">
        <v>860</v>
      </c>
      <c r="D154" s="7" t="s">
        <v>790</v>
      </c>
      <c r="E154" s="24" t="s">
        <v>109</v>
      </c>
      <c r="F154" s="32" t="s">
        <v>152</v>
      </c>
    </row>
    <row r="155" spans="1:6" hidden="1" x14ac:dyDescent="0.35">
      <c r="A155" s="19">
        <v>45874</v>
      </c>
      <c r="B155" s="20">
        <v>500000</v>
      </c>
      <c r="C155" s="99" t="s">
        <v>860</v>
      </c>
      <c r="D155" s="7" t="s">
        <v>675</v>
      </c>
      <c r="E155" s="24" t="s">
        <v>109</v>
      </c>
      <c r="F155" s="32" t="s">
        <v>152</v>
      </c>
    </row>
    <row r="156" spans="1:6" hidden="1" x14ac:dyDescent="0.35">
      <c r="A156" s="19">
        <v>45875</v>
      </c>
      <c r="B156" s="20">
        <v>400000</v>
      </c>
      <c r="C156" s="99" t="s">
        <v>860</v>
      </c>
      <c r="D156" s="7" t="s">
        <v>600</v>
      </c>
      <c r="E156" s="24" t="s">
        <v>109</v>
      </c>
      <c r="F156" s="32" t="s">
        <v>152</v>
      </c>
    </row>
    <row r="157" spans="1:6" hidden="1" x14ac:dyDescent="0.35">
      <c r="A157" s="19">
        <v>45875</v>
      </c>
      <c r="B157" s="20">
        <v>150000</v>
      </c>
      <c r="C157" s="99" t="s">
        <v>860</v>
      </c>
      <c r="D157" s="7" t="s">
        <v>603</v>
      </c>
      <c r="E157" s="24" t="s">
        <v>109</v>
      </c>
      <c r="F157" s="32" t="s">
        <v>152</v>
      </c>
    </row>
    <row r="158" spans="1:6" hidden="1" x14ac:dyDescent="0.35">
      <c r="A158" s="19">
        <v>45877</v>
      </c>
      <c r="B158" s="20">
        <v>2000000</v>
      </c>
      <c r="C158" s="99" t="s">
        <v>860</v>
      </c>
      <c r="D158" s="7" t="s">
        <v>425</v>
      </c>
      <c r="E158" s="24" t="s">
        <v>109</v>
      </c>
      <c r="F158" s="32" t="s">
        <v>152</v>
      </c>
    </row>
    <row r="159" spans="1:6" hidden="1" x14ac:dyDescent="0.35">
      <c r="A159" s="19">
        <v>45883</v>
      </c>
      <c r="B159" s="20">
        <v>100000</v>
      </c>
      <c r="C159" s="99" t="s">
        <v>860</v>
      </c>
      <c r="D159" s="7" t="s">
        <v>373</v>
      </c>
      <c r="E159" s="24" t="s">
        <v>109</v>
      </c>
      <c r="F159" s="32" t="s">
        <v>152</v>
      </c>
    </row>
    <row r="160" spans="1:6" hidden="1" x14ac:dyDescent="0.35">
      <c r="A160" s="19">
        <v>45891</v>
      </c>
      <c r="B160" s="20">
        <v>3150000</v>
      </c>
      <c r="C160" s="99" t="s">
        <v>860</v>
      </c>
      <c r="D160" s="7" t="s">
        <v>763</v>
      </c>
      <c r="E160" s="24" t="s">
        <v>109</v>
      </c>
      <c r="F160" s="32" t="s">
        <v>152</v>
      </c>
    </row>
    <row r="161" spans="1:7" hidden="1" x14ac:dyDescent="0.35">
      <c r="A161" s="19">
        <v>45894</v>
      </c>
      <c r="B161" s="20">
        <v>200000</v>
      </c>
      <c r="C161" s="99" t="s">
        <v>860</v>
      </c>
      <c r="D161" s="7" t="s">
        <v>808</v>
      </c>
      <c r="E161" s="24" t="s">
        <v>109</v>
      </c>
      <c r="F161" s="32" t="s">
        <v>152</v>
      </c>
    </row>
    <row r="162" spans="1:7" hidden="1" x14ac:dyDescent="0.35">
      <c r="A162" s="19">
        <v>45894</v>
      </c>
      <c r="B162" s="20">
        <v>1000000</v>
      </c>
      <c r="C162" s="99" t="s">
        <v>860</v>
      </c>
      <c r="D162" s="7" t="s">
        <v>609</v>
      </c>
      <c r="E162" s="24" t="s">
        <v>109</v>
      </c>
      <c r="F162" s="32" t="s">
        <v>152</v>
      </c>
    </row>
    <row r="163" spans="1:7" hidden="1" x14ac:dyDescent="0.35">
      <c r="A163" s="19">
        <v>45898</v>
      </c>
      <c r="B163" s="20">
        <v>1000000</v>
      </c>
      <c r="C163" s="99" t="s">
        <v>860</v>
      </c>
      <c r="D163" s="7" t="s">
        <v>561</v>
      </c>
      <c r="E163" s="24" t="s">
        <v>109</v>
      </c>
      <c r="F163" s="32" t="s">
        <v>152</v>
      </c>
    </row>
    <row r="164" spans="1:7" x14ac:dyDescent="0.35">
      <c r="A164" s="19">
        <v>45901</v>
      </c>
      <c r="B164" s="20">
        <v>500000</v>
      </c>
      <c r="C164" s="99" t="s">
        <v>861</v>
      </c>
      <c r="D164" s="7" t="s">
        <v>579</v>
      </c>
      <c r="E164" s="24" t="s">
        <v>109</v>
      </c>
      <c r="F164" s="32" t="s">
        <v>152</v>
      </c>
    </row>
    <row r="165" spans="1:7" x14ac:dyDescent="0.35">
      <c r="A165" s="19">
        <v>45901</v>
      </c>
      <c r="B165" s="20">
        <v>200000</v>
      </c>
      <c r="C165" s="99" t="s">
        <v>861</v>
      </c>
      <c r="D165" s="7" t="s">
        <v>674</v>
      </c>
      <c r="E165" s="24" t="s">
        <v>109</v>
      </c>
      <c r="F165" s="32" t="s">
        <v>152</v>
      </c>
      <c r="G165" s="160"/>
    </row>
    <row r="166" spans="1:7" x14ac:dyDescent="0.35">
      <c r="A166" s="19">
        <v>45901</v>
      </c>
      <c r="B166" s="20">
        <v>350000</v>
      </c>
      <c r="C166" s="99" t="s">
        <v>861</v>
      </c>
      <c r="D166" s="7" t="s">
        <v>740</v>
      </c>
      <c r="E166" s="24" t="s">
        <v>109</v>
      </c>
      <c r="F166" s="32" t="s">
        <v>152</v>
      </c>
      <c r="G166" s="160"/>
    </row>
    <row r="167" spans="1:7" x14ac:dyDescent="0.35">
      <c r="A167" s="19">
        <v>45901</v>
      </c>
      <c r="B167" s="20">
        <v>750000</v>
      </c>
      <c r="C167" s="99" t="s">
        <v>861</v>
      </c>
      <c r="D167" s="7" t="s">
        <v>820</v>
      </c>
      <c r="E167" s="24" t="s">
        <v>109</v>
      </c>
      <c r="F167" s="32" t="s">
        <v>152</v>
      </c>
      <c r="G167" s="160"/>
    </row>
    <row r="168" spans="1:7" x14ac:dyDescent="0.35">
      <c r="A168" s="19">
        <v>45903</v>
      </c>
      <c r="B168" s="20">
        <v>200000</v>
      </c>
      <c r="C168" s="99" t="s">
        <v>861</v>
      </c>
      <c r="D168" s="7" t="s">
        <v>333</v>
      </c>
      <c r="E168" s="24" t="s">
        <v>109</v>
      </c>
      <c r="F168" s="32" t="s">
        <v>152</v>
      </c>
      <c r="G168" s="160"/>
    </row>
    <row r="169" spans="1:7" x14ac:dyDescent="0.35">
      <c r="A169" s="19">
        <v>45903</v>
      </c>
      <c r="B169" s="20">
        <v>300000</v>
      </c>
      <c r="C169" s="99" t="s">
        <v>861</v>
      </c>
      <c r="D169" s="7" t="s">
        <v>577</v>
      </c>
      <c r="E169" s="24" t="s">
        <v>109</v>
      </c>
      <c r="F169" s="32" t="s">
        <v>152</v>
      </c>
      <c r="G169" s="160"/>
    </row>
    <row r="170" spans="1:7" x14ac:dyDescent="0.35">
      <c r="A170" s="19">
        <v>45903</v>
      </c>
      <c r="B170" s="20">
        <v>150000</v>
      </c>
      <c r="C170" s="99" t="s">
        <v>861</v>
      </c>
      <c r="D170" s="7" t="s">
        <v>603</v>
      </c>
      <c r="E170" s="24" t="s">
        <v>109</v>
      </c>
      <c r="F170" s="32" t="s">
        <v>152</v>
      </c>
      <c r="G170" s="160"/>
    </row>
    <row r="171" spans="1:7" x14ac:dyDescent="0.35">
      <c r="A171" s="19">
        <v>45904</v>
      </c>
      <c r="B171" s="20">
        <v>200000</v>
      </c>
      <c r="C171" s="99" t="s">
        <v>861</v>
      </c>
      <c r="D171" s="7" t="s">
        <v>531</v>
      </c>
      <c r="E171" s="24" t="s">
        <v>109</v>
      </c>
      <c r="F171" s="32" t="s">
        <v>152</v>
      </c>
      <c r="G171" s="160"/>
    </row>
    <row r="172" spans="1:7" x14ac:dyDescent="0.35">
      <c r="A172" s="19">
        <v>45905</v>
      </c>
      <c r="B172" s="20">
        <v>2000000</v>
      </c>
      <c r="C172" s="99" t="s">
        <v>861</v>
      </c>
      <c r="D172" s="7" t="s">
        <v>745</v>
      </c>
      <c r="E172" s="24" t="s">
        <v>109</v>
      </c>
      <c r="F172" s="32" t="s">
        <v>152</v>
      </c>
    </row>
    <row r="173" spans="1:7" x14ac:dyDescent="0.35">
      <c r="A173" s="19">
        <v>45906</v>
      </c>
      <c r="B173" s="20">
        <v>700000</v>
      </c>
      <c r="C173" s="99" t="s">
        <v>861</v>
      </c>
      <c r="D173" s="7" t="s">
        <v>825</v>
      </c>
      <c r="E173" s="24" t="s">
        <v>109</v>
      </c>
      <c r="F173" s="32" t="s">
        <v>152</v>
      </c>
    </row>
    <row r="174" spans="1:7" x14ac:dyDescent="0.35">
      <c r="A174" s="19">
        <v>45910</v>
      </c>
      <c r="B174" s="20">
        <v>400000</v>
      </c>
      <c r="C174" s="99" t="s">
        <v>861</v>
      </c>
      <c r="D174" s="7" t="s">
        <v>600</v>
      </c>
      <c r="E174" s="24" t="s">
        <v>109</v>
      </c>
      <c r="F174" s="32" t="s">
        <v>152</v>
      </c>
    </row>
    <row r="175" spans="1:7" x14ac:dyDescent="0.35">
      <c r="A175" s="19">
        <v>45911</v>
      </c>
      <c r="B175" s="20">
        <v>500000</v>
      </c>
      <c r="C175" s="99" t="s">
        <v>861</v>
      </c>
      <c r="D175" s="7" t="s">
        <v>828</v>
      </c>
      <c r="E175" s="24" t="s">
        <v>109</v>
      </c>
      <c r="F175" s="32" t="s">
        <v>152</v>
      </c>
    </row>
    <row r="176" spans="1:7" x14ac:dyDescent="0.35">
      <c r="A176" s="19">
        <v>45911</v>
      </c>
      <c r="B176" s="20">
        <v>500000</v>
      </c>
      <c r="C176" s="99" t="s">
        <v>861</v>
      </c>
      <c r="D176" s="7" t="s">
        <v>675</v>
      </c>
      <c r="E176" s="24" t="s">
        <v>109</v>
      </c>
      <c r="F176" s="32" t="s">
        <v>152</v>
      </c>
    </row>
    <row r="177" spans="1:6" x14ac:dyDescent="0.35">
      <c r="A177" s="19">
        <v>45917</v>
      </c>
      <c r="B177" s="20">
        <v>100000</v>
      </c>
      <c r="C177" s="99" t="s">
        <v>861</v>
      </c>
      <c r="D177" s="7" t="s">
        <v>373</v>
      </c>
      <c r="E177" s="24" t="s">
        <v>109</v>
      </c>
      <c r="F177" s="32" t="s">
        <v>152</v>
      </c>
    </row>
    <row r="178" spans="1:6" x14ac:dyDescent="0.35">
      <c r="A178" s="19">
        <v>45925</v>
      </c>
      <c r="B178" s="20">
        <v>1000000</v>
      </c>
      <c r="C178" s="99" t="s">
        <v>861</v>
      </c>
      <c r="D178" s="7" t="s">
        <v>609</v>
      </c>
      <c r="E178" s="24" t="s">
        <v>109</v>
      </c>
      <c r="F178" s="32" t="s">
        <v>152</v>
      </c>
    </row>
    <row r="179" spans="1:6" x14ac:dyDescent="0.35">
      <c r="A179" s="19">
        <v>45926</v>
      </c>
      <c r="B179" s="20">
        <v>100000</v>
      </c>
      <c r="C179" s="99" t="s">
        <v>861</v>
      </c>
      <c r="D179" s="7" t="s">
        <v>424</v>
      </c>
      <c r="E179" s="24" t="s">
        <v>109</v>
      </c>
      <c r="F179" s="32" t="s">
        <v>152</v>
      </c>
    </row>
    <row r="180" spans="1:6" x14ac:dyDescent="0.35">
      <c r="A180" s="19">
        <v>45926</v>
      </c>
      <c r="B180" s="20">
        <v>1000000</v>
      </c>
      <c r="C180" s="99" t="s">
        <v>861</v>
      </c>
      <c r="D180" s="7" t="s">
        <v>561</v>
      </c>
      <c r="E180" s="24" t="s">
        <v>109</v>
      </c>
      <c r="F180" s="32" t="s">
        <v>152</v>
      </c>
    </row>
    <row r="181" spans="1:6" x14ac:dyDescent="0.35">
      <c r="A181" s="19">
        <v>45930</v>
      </c>
      <c r="B181" s="20">
        <v>300000</v>
      </c>
      <c r="C181" s="99" t="s">
        <v>861</v>
      </c>
      <c r="D181" s="7" t="s">
        <v>854</v>
      </c>
      <c r="E181" s="24" t="s">
        <v>109</v>
      </c>
      <c r="F181" s="32" t="s">
        <v>152</v>
      </c>
    </row>
    <row r="182" spans="1:6" x14ac:dyDescent="0.35">
      <c r="A182" s="19">
        <v>45931</v>
      </c>
      <c r="B182" s="20">
        <v>500000</v>
      </c>
      <c r="C182" s="99" t="s">
        <v>893</v>
      </c>
      <c r="D182" s="7" t="s">
        <v>579</v>
      </c>
      <c r="E182" s="24" t="s">
        <v>109</v>
      </c>
      <c r="F182" s="32" t="s">
        <v>152</v>
      </c>
    </row>
    <row r="183" spans="1:6" x14ac:dyDescent="0.35">
      <c r="A183" s="19">
        <v>45931</v>
      </c>
      <c r="B183" s="20">
        <v>200000</v>
      </c>
      <c r="C183" s="99" t="s">
        <v>893</v>
      </c>
      <c r="D183" s="7" t="s">
        <v>866</v>
      </c>
      <c r="E183" s="24" t="s">
        <v>109</v>
      </c>
      <c r="F183" s="32" t="s">
        <v>152</v>
      </c>
    </row>
    <row r="184" spans="1:6" x14ac:dyDescent="0.35">
      <c r="A184" s="19">
        <v>45931</v>
      </c>
      <c r="B184" s="20">
        <v>350000</v>
      </c>
      <c r="C184" s="99" t="s">
        <v>893</v>
      </c>
      <c r="D184" s="7" t="s">
        <v>740</v>
      </c>
      <c r="E184" s="24" t="s">
        <v>109</v>
      </c>
      <c r="F184" s="32" t="s">
        <v>152</v>
      </c>
    </row>
    <row r="185" spans="1:6" x14ac:dyDescent="0.35">
      <c r="A185" s="19">
        <v>45933</v>
      </c>
      <c r="B185" s="20">
        <v>200000</v>
      </c>
      <c r="C185" s="99" t="s">
        <v>893</v>
      </c>
      <c r="D185" s="7" t="s">
        <v>333</v>
      </c>
      <c r="E185" s="24" t="s">
        <v>109</v>
      </c>
      <c r="F185" s="32" t="s">
        <v>152</v>
      </c>
    </row>
    <row r="186" spans="1:6" x14ac:dyDescent="0.35">
      <c r="A186" s="19">
        <v>45934</v>
      </c>
      <c r="B186" s="20">
        <v>500000</v>
      </c>
      <c r="C186" s="99" t="s">
        <v>893</v>
      </c>
      <c r="D186" s="7" t="s">
        <v>675</v>
      </c>
      <c r="E186" s="24" t="s">
        <v>109</v>
      </c>
      <c r="F186" s="32" t="s">
        <v>152</v>
      </c>
    </row>
    <row r="187" spans="1:6" x14ac:dyDescent="0.35">
      <c r="A187" s="19">
        <v>45935</v>
      </c>
      <c r="B187" s="20">
        <v>200000</v>
      </c>
      <c r="C187" s="99" t="s">
        <v>893</v>
      </c>
      <c r="D187" s="7" t="s">
        <v>531</v>
      </c>
      <c r="E187" s="24" t="s">
        <v>109</v>
      </c>
      <c r="F187" s="32" t="s">
        <v>152</v>
      </c>
    </row>
    <row r="188" spans="1:6" x14ac:dyDescent="0.35">
      <c r="A188" s="19">
        <v>45938</v>
      </c>
      <c r="B188" s="20">
        <v>400000</v>
      </c>
      <c r="C188" s="99" t="s">
        <v>893</v>
      </c>
      <c r="D188" s="7" t="s">
        <v>600</v>
      </c>
      <c r="E188" s="24" t="s">
        <v>109</v>
      </c>
      <c r="F188" s="32" t="s">
        <v>152</v>
      </c>
    </row>
    <row r="189" spans="1:6" x14ac:dyDescent="0.35">
      <c r="A189" s="19">
        <v>45940</v>
      </c>
      <c r="B189" s="20">
        <v>2000000</v>
      </c>
      <c r="C189" s="99" t="s">
        <v>893</v>
      </c>
      <c r="D189" s="7" t="s">
        <v>425</v>
      </c>
      <c r="E189" s="24" t="s">
        <v>109</v>
      </c>
      <c r="F189" s="32" t="s">
        <v>152</v>
      </c>
    </row>
    <row r="190" spans="1:6" x14ac:dyDescent="0.35">
      <c r="A190" s="19">
        <v>45944</v>
      </c>
      <c r="B190" s="20">
        <v>100000</v>
      </c>
      <c r="C190" s="99" t="s">
        <v>893</v>
      </c>
      <c r="D190" s="7" t="s">
        <v>373</v>
      </c>
      <c r="E190" s="24" t="s">
        <v>109</v>
      </c>
      <c r="F190" s="32" t="s">
        <v>152</v>
      </c>
    </row>
    <row r="191" spans="1:6" x14ac:dyDescent="0.35">
      <c r="A191" s="19">
        <v>45954</v>
      </c>
      <c r="B191" s="20">
        <v>1000000</v>
      </c>
      <c r="C191" s="99" t="s">
        <v>893</v>
      </c>
      <c r="D191" s="7" t="s">
        <v>609</v>
      </c>
      <c r="E191" s="24" t="s">
        <v>109</v>
      </c>
      <c r="F191" s="32" t="s">
        <v>152</v>
      </c>
    </row>
    <row r="192" spans="1:6" x14ac:dyDescent="0.35">
      <c r="A192" s="19">
        <v>45954</v>
      </c>
      <c r="B192" s="20">
        <v>1000000</v>
      </c>
      <c r="C192" s="99" t="s">
        <v>893</v>
      </c>
      <c r="D192" s="7" t="s">
        <v>561</v>
      </c>
      <c r="E192" s="24" t="s">
        <v>109</v>
      </c>
      <c r="F192" s="32" t="s">
        <v>152</v>
      </c>
    </row>
    <row r="193" spans="1:6" x14ac:dyDescent="0.35">
      <c r="A193" s="19">
        <v>45961</v>
      </c>
      <c r="B193" s="20">
        <v>100000</v>
      </c>
      <c r="C193" s="99" t="s">
        <v>893</v>
      </c>
      <c r="D193" s="7" t="s">
        <v>891</v>
      </c>
      <c r="E193" s="24" t="s">
        <v>109</v>
      </c>
      <c r="F193" s="32" t="s">
        <v>152</v>
      </c>
    </row>
  </sheetData>
  <autoFilter ref="A4:F193" xr:uid="{00000000-0009-0000-0000-000004000000}">
    <filterColumn colId="2">
      <filters>
        <filter val="Okt"/>
        <filter val="Sept"/>
      </filters>
    </filterColumn>
  </autoFilter>
  <mergeCells count="1">
    <mergeCell ref="A1:D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M2542"/>
  <sheetViews>
    <sheetView zoomScale="70" zoomScaleNormal="70" workbookViewId="0">
      <pane xSplit="1" ySplit="7" topLeftCell="B2196" activePane="bottomRight" state="frozen"/>
      <selection pane="topRight" activeCell="C1" sqref="C1"/>
      <selection pane="bottomLeft" activeCell="A8" sqref="A8"/>
      <selection pane="bottomRight" activeCell="G2213" sqref="G2213"/>
    </sheetView>
  </sheetViews>
  <sheetFormatPr defaultRowHeight="14.5" x14ac:dyDescent="0.35"/>
  <cols>
    <col min="1" max="1" width="12.1796875" style="18" bestFit="1" customWidth="1"/>
    <col min="2" max="2" width="12.81640625" style="18" bestFit="1" customWidth="1"/>
    <col min="3" max="3" width="11.81640625" style="18" bestFit="1" customWidth="1"/>
    <col min="4" max="4" width="12.54296875" style="18" bestFit="1" customWidth="1"/>
    <col min="5" max="5" width="11.54296875" style="18" customWidth="1"/>
    <col min="6" max="6" width="12.81640625" style="18" bestFit="1" customWidth="1"/>
    <col min="7" max="7" width="45.26953125" style="18" customWidth="1"/>
    <col min="8" max="8" width="29.1796875" style="18" customWidth="1"/>
    <col min="9" max="9" width="30.81640625" style="18" bestFit="1" customWidth="1"/>
    <col min="10" max="10" width="27" bestFit="1" customWidth="1"/>
    <col min="11" max="12" width="12.81640625" bestFit="1" customWidth="1"/>
    <col min="13" max="13" width="10.54296875" bestFit="1" customWidth="1"/>
  </cols>
  <sheetData>
    <row r="1" spans="1:12" x14ac:dyDescent="0.35">
      <c r="A1" s="244" t="s">
        <v>104</v>
      </c>
      <c r="B1" s="244"/>
      <c r="C1" s="244"/>
      <c r="D1" s="244"/>
      <c r="E1" s="244"/>
      <c r="F1" s="244"/>
      <c r="G1" s="244"/>
      <c r="H1" s="37"/>
      <c r="I1" s="25"/>
      <c r="J1" s="14"/>
    </row>
    <row r="2" spans="1:12" x14ac:dyDescent="0.35">
      <c r="A2" s="2"/>
      <c r="B2" s="2"/>
      <c r="C2" s="2"/>
      <c r="D2" s="2"/>
      <c r="E2" s="2"/>
      <c r="F2" s="2"/>
      <c r="G2" s="206"/>
      <c r="H2" s="37"/>
      <c r="I2" s="25"/>
      <c r="J2" s="14"/>
    </row>
    <row r="3" spans="1:12" x14ac:dyDescent="0.35">
      <c r="A3" s="22" t="s">
        <v>49</v>
      </c>
      <c r="F3" s="182"/>
      <c r="G3" s="13"/>
      <c r="H3" s="37"/>
      <c r="I3" s="25"/>
      <c r="J3" s="14"/>
    </row>
    <row r="4" spans="1:12" x14ac:dyDescent="0.35">
      <c r="A4" s="22" t="s">
        <v>50</v>
      </c>
      <c r="E4" s="18" t="s">
        <v>865</v>
      </c>
      <c r="F4" s="206">
        <v>187127301</v>
      </c>
      <c r="G4" s="206"/>
      <c r="H4" s="37"/>
      <c r="I4" s="25"/>
      <c r="J4" s="14"/>
    </row>
    <row r="5" spans="1:12" ht="14.5" customHeight="1" x14ac:dyDescent="0.35">
      <c r="A5" s="22" t="s">
        <v>990</v>
      </c>
      <c r="E5" s="18" t="s">
        <v>108</v>
      </c>
      <c r="F5" s="206">
        <v>1343000</v>
      </c>
      <c r="H5" s="37"/>
      <c r="J5" s="36" t="s">
        <v>192</v>
      </c>
      <c r="K5" t="s">
        <v>588</v>
      </c>
    </row>
    <row r="6" spans="1:12" x14ac:dyDescent="0.35">
      <c r="A6" s="22"/>
      <c r="F6" s="191">
        <f>F4+F5</f>
        <v>188470301</v>
      </c>
      <c r="G6" s="224"/>
      <c r="H6" s="37"/>
    </row>
    <row r="7" spans="1:12" x14ac:dyDescent="0.35">
      <c r="A7" s="6" t="s">
        <v>2</v>
      </c>
      <c r="B7" s="6" t="s">
        <v>3</v>
      </c>
      <c r="C7" s="6" t="s">
        <v>138</v>
      </c>
      <c r="D7" s="6" t="s">
        <v>4</v>
      </c>
      <c r="E7" s="6" t="s">
        <v>192</v>
      </c>
      <c r="F7" s="6" t="s">
        <v>5</v>
      </c>
      <c r="G7" s="6" t="s">
        <v>6</v>
      </c>
      <c r="H7" s="34" t="s">
        <v>141</v>
      </c>
      <c r="I7" s="34" t="s">
        <v>359</v>
      </c>
      <c r="J7" s="36" t="s">
        <v>149</v>
      </c>
      <c r="K7" t="s">
        <v>151</v>
      </c>
      <c r="L7" t="s">
        <v>148</v>
      </c>
    </row>
    <row r="8" spans="1:12" x14ac:dyDescent="0.35">
      <c r="A8" s="19">
        <v>45650</v>
      </c>
      <c r="B8" s="20"/>
      <c r="C8" s="20"/>
      <c r="D8" s="20">
        <v>5000000</v>
      </c>
      <c r="E8" s="43" t="s">
        <v>357</v>
      </c>
      <c r="F8" s="20">
        <v>5000000</v>
      </c>
      <c r="G8" s="10" t="s">
        <v>57</v>
      </c>
      <c r="H8" s="59" t="s">
        <v>204</v>
      </c>
      <c r="I8" s="32" t="s">
        <v>152</v>
      </c>
      <c r="J8" s="13" t="s">
        <v>107</v>
      </c>
      <c r="K8" s="160"/>
      <c r="L8" s="160">
        <v>13707000</v>
      </c>
    </row>
    <row r="9" spans="1:12" x14ac:dyDescent="0.35">
      <c r="A9" s="19">
        <v>45659</v>
      </c>
      <c r="B9" s="43">
        <v>200000</v>
      </c>
      <c r="C9" s="20"/>
      <c r="D9" s="20"/>
      <c r="E9" s="43" t="s">
        <v>357</v>
      </c>
      <c r="F9" s="20">
        <f>+F8+D9-B9</f>
        <v>4800000</v>
      </c>
      <c r="G9" s="10" t="s">
        <v>102</v>
      </c>
      <c r="H9" s="59" t="s">
        <v>320</v>
      </c>
      <c r="I9" s="32" t="s">
        <v>152</v>
      </c>
      <c r="J9" s="13" t="s">
        <v>320</v>
      </c>
      <c r="K9" s="160">
        <v>87500</v>
      </c>
      <c r="L9" s="160"/>
    </row>
    <row r="10" spans="1:12" x14ac:dyDescent="0.35">
      <c r="A10" s="19">
        <v>45660</v>
      </c>
      <c r="B10" s="43"/>
      <c r="C10" s="20"/>
      <c r="D10" s="43">
        <v>500000</v>
      </c>
      <c r="E10" s="43" t="s">
        <v>357</v>
      </c>
      <c r="F10" s="20">
        <f t="shared" ref="F10:F71" si="0">+F9+D10-B10</f>
        <v>5300000</v>
      </c>
      <c r="G10" s="10" t="s">
        <v>53</v>
      </c>
      <c r="H10" s="59" t="s">
        <v>109</v>
      </c>
      <c r="I10" s="32" t="s">
        <v>152</v>
      </c>
      <c r="J10" s="13" t="s">
        <v>201</v>
      </c>
      <c r="K10" s="160">
        <v>6713000</v>
      </c>
      <c r="L10" s="160"/>
    </row>
    <row r="11" spans="1:12" x14ac:dyDescent="0.35">
      <c r="A11" s="19">
        <v>45660</v>
      </c>
      <c r="B11" s="43"/>
      <c r="C11" s="20"/>
      <c r="D11" s="43">
        <v>1800000</v>
      </c>
      <c r="E11" s="43" t="s">
        <v>357</v>
      </c>
      <c r="F11" s="20">
        <f t="shared" si="0"/>
        <v>7100000</v>
      </c>
      <c r="G11" s="10" t="s">
        <v>84</v>
      </c>
      <c r="H11" s="59" t="s">
        <v>109</v>
      </c>
      <c r="I11" s="32" t="s">
        <v>152</v>
      </c>
      <c r="J11" s="13" t="s">
        <v>323</v>
      </c>
      <c r="K11" s="160">
        <v>16581000</v>
      </c>
      <c r="L11" s="160"/>
    </row>
    <row r="12" spans="1:12" x14ac:dyDescent="0.35">
      <c r="A12" s="19">
        <v>45660</v>
      </c>
      <c r="B12" s="43"/>
      <c r="C12" s="20"/>
      <c r="D12" s="43">
        <v>2000000</v>
      </c>
      <c r="E12" s="43" t="s">
        <v>357</v>
      </c>
      <c r="F12" s="20">
        <f t="shared" si="0"/>
        <v>9100000</v>
      </c>
      <c r="G12" s="10" t="s">
        <v>55</v>
      </c>
      <c r="H12" s="59" t="s">
        <v>109</v>
      </c>
      <c r="I12" s="32" t="s">
        <v>152</v>
      </c>
      <c r="J12" s="13" t="s">
        <v>327</v>
      </c>
      <c r="K12" s="160">
        <v>216000</v>
      </c>
      <c r="L12" s="160"/>
    </row>
    <row r="13" spans="1:12" x14ac:dyDescent="0.35">
      <c r="A13" s="19">
        <v>45663</v>
      </c>
      <c r="B13" s="43"/>
      <c r="C13" s="20"/>
      <c r="D13" s="43">
        <v>400000</v>
      </c>
      <c r="E13" s="43" t="s">
        <v>357</v>
      </c>
      <c r="F13" s="20">
        <f t="shared" si="0"/>
        <v>9500000</v>
      </c>
      <c r="G13" s="10" t="s">
        <v>56</v>
      </c>
      <c r="H13" s="59" t="s">
        <v>109</v>
      </c>
      <c r="I13" s="32" t="s">
        <v>152</v>
      </c>
      <c r="J13" s="13" t="s">
        <v>321</v>
      </c>
      <c r="K13" s="160">
        <v>2006500</v>
      </c>
      <c r="L13" s="160"/>
    </row>
    <row r="14" spans="1:12" x14ac:dyDescent="0.35">
      <c r="A14" s="19">
        <v>45663</v>
      </c>
      <c r="B14" s="43"/>
      <c r="C14" s="23"/>
      <c r="D14" s="23">
        <v>44196050</v>
      </c>
      <c r="E14" s="43" t="s">
        <v>357</v>
      </c>
      <c r="F14" s="20">
        <f t="shared" si="0"/>
        <v>53696050</v>
      </c>
      <c r="G14" s="24" t="s">
        <v>105</v>
      </c>
      <c r="H14" s="59" t="s">
        <v>204</v>
      </c>
      <c r="I14" s="32" t="s">
        <v>152</v>
      </c>
      <c r="J14" s="13" t="s">
        <v>325</v>
      </c>
      <c r="K14" s="160">
        <v>19595500</v>
      </c>
      <c r="L14" s="160"/>
    </row>
    <row r="15" spans="1:12" x14ac:dyDescent="0.35">
      <c r="A15" s="19">
        <v>45663</v>
      </c>
      <c r="B15" s="43"/>
      <c r="C15" s="23"/>
      <c r="D15" s="23">
        <v>33983823</v>
      </c>
      <c r="E15" s="43" t="s">
        <v>357</v>
      </c>
      <c r="F15" s="20">
        <f t="shared" si="0"/>
        <v>87679873</v>
      </c>
      <c r="G15" s="24" t="s">
        <v>106</v>
      </c>
      <c r="H15" s="59" t="s">
        <v>205</v>
      </c>
      <c r="I15" s="32" t="s">
        <v>152</v>
      </c>
      <c r="J15" s="13" t="s">
        <v>140</v>
      </c>
      <c r="K15" s="160"/>
      <c r="L15" s="160">
        <v>200000</v>
      </c>
    </row>
    <row r="16" spans="1:12" x14ac:dyDescent="0.35">
      <c r="A16" s="19"/>
      <c r="B16" s="43"/>
      <c r="C16" s="20">
        <v>78179873</v>
      </c>
      <c r="D16" s="20"/>
      <c r="E16" s="20"/>
      <c r="F16" s="20">
        <f t="shared" si="0"/>
        <v>87679873</v>
      </c>
      <c r="G16" s="10" t="s">
        <v>57</v>
      </c>
      <c r="H16" s="59"/>
      <c r="I16" s="32"/>
      <c r="J16" s="13" t="s">
        <v>109</v>
      </c>
      <c r="K16" s="160"/>
      <c r="L16" s="160">
        <v>20539013</v>
      </c>
    </row>
    <row r="17" spans="1:12" x14ac:dyDescent="0.35">
      <c r="A17" s="19">
        <v>45663</v>
      </c>
      <c r="B17" s="43"/>
      <c r="C17" s="23"/>
      <c r="D17" s="23">
        <v>5594227</v>
      </c>
      <c r="E17" s="43" t="s">
        <v>357</v>
      </c>
      <c r="F17" s="20">
        <f t="shared" si="0"/>
        <v>93274100</v>
      </c>
      <c r="G17" s="24" t="s">
        <v>106</v>
      </c>
      <c r="H17" s="59" t="s">
        <v>205</v>
      </c>
      <c r="I17" s="32" t="s">
        <v>152</v>
      </c>
      <c r="J17" s="13" t="s">
        <v>217</v>
      </c>
      <c r="K17" s="160"/>
      <c r="L17" s="160"/>
    </row>
    <row r="18" spans="1:12" x14ac:dyDescent="0.35">
      <c r="A18" s="19">
        <v>45663</v>
      </c>
      <c r="B18" s="43"/>
      <c r="C18" s="23"/>
      <c r="D18" s="23">
        <v>39840773</v>
      </c>
      <c r="E18" s="43" t="s">
        <v>357</v>
      </c>
      <c r="F18" s="20">
        <f t="shared" si="0"/>
        <v>133114873</v>
      </c>
      <c r="G18" s="24" t="s">
        <v>107</v>
      </c>
      <c r="H18" s="59" t="s">
        <v>206</v>
      </c>
      <c r="I18" s="32" t="s">
        <v>152</v>
      </c>
      <c r="J18" s="13" t="s">
        <v>613</v>
      </c>
      <c r="K18" s="160"/>
      <c r="L18" s="160">
        <v>16500000</v>
      </c>
    </row>
    <row r="19" spans="1:12" x14ac:dyDescent="0.35">
      <c r="A19" s="19">
        <v>45663</v>
      </c>
      <c r="B19" s="43"/>
      <c r="C19" s="20">
        <v>45435000</v>
      </c>
      <c r="D19" s="20"/>
      <c r="E19" s="20"/>
      <c r="F19" s="20">
        <f t="shared" si="0"/>
        <v>133114873</v>
      </c>
      <c r="G19" s="10" t="s">
        <v>58</v>
      </c>
      <c r="H19" s="59"/>
      <c r="I19" s="32"/>
      <c r="J19" s="13" t="s">
        <v>619</v>
      </c>
      <c r="K19" s="160"/>
      <c r="L19" s="160">
        <v>524985000</v>
      </c>
    </row>
    <row r="20" spans="1:12" x14ac:dyDescent="0.35">
      <c r="A20" s="19">
        <v>45664</v>
      </c>
      <c r="B20" s="43"/>
      <c r="C20" s="20"/>
      <c r="D20" s="43">
        <v>1000000</v>
      </c>
      <c r="E20" s="43" t="s">
        <v>357</v>
      </c>
      <c r="F20" s="20">
        <f t="shared" si="0"/>
        <v>134114873</v>
      </c>
      <c r="G20" s="10" t="s">
        <v>83</v>
      </c>
      <c r="H20" s="59" t="s">
        <v>139</v>
      </c>
      <c r="I20" s="32" t="s">
        <v>152</v>
      </c>
      <c r="J20" s="13" t="s">
        <v>614</v>
      </c>
      <c r="K20" s="160">
        <v>156771900</v>
      </c>
      <c r="L20" s="160"/>
    </row>
    <row r="21" spans="1:12" x14ac:dyDescent="0.35">
      <c r="A21" s="19">
        <v>45664</v>
      </c>
      <c r="B21" s="43"/>
      <c r="C21" s="20"/>
      <c r="D21" s="43">
        <v>300000</v>
      </c>
      <c r="E21" s="43" t="s">
        <v>357</v>
      </c>
      <c r="F21" s="20">
        <f t="shared" si="0"/>
        <v>134414873</v>
      </c>
      <c r="G21" s="10" t="s">
        <v>60</v>
      </c>
      <c r="H21" s="59" t="s">
        <v>139</v>
      </c>
      <c r="I21" s="32" t="s">
        <v>152</v>
      </c>
      <c r="J21" s="13" t="s">
        <v>150</v>
      </c>
      <c r="K21" s="160">
        <v>201971400</v>
      </c>
      <c r="L21" s="160">
        <v>575931013</v>
      </c>
    </row>
    <row r="22" spans="1:12" x14ac:dyDescent="0.35">
      <c r="A22" s="19">
        <v>45664</v>
      </c>
      <c r="B22" s="43"/>
      <c r="C22" s="20"/>
      <c r="D22" s="43">
        <v>600000</v>
      </c>
      <c r="E22" s="43" t="s">
        <v>357</v>
      </c>
      <c r="F22" s="20">
        <f t="shared" si="0"/>
        <v>135014873</v>
      </c>
      <c r="G22" s="10" t="s">
        <v>61</v>
      </c>
      <c r="H22" s="59" t="s">
        <v>139</v>
      </c>
      <c r="I22" s="32" t="s">
        <v>152</v>
      </c>
    </row>
    <row r="23" spans="1:12" x14ac:dyDescent="0.35">
      <c r="A23" s="19">
        <v>45664</v>
      </c>
      <c r="B23" s="43">
        <v>1250000</v>
      </c>
      <c r="C23" s="20"/>
      <c r="D23" s="43"/>
      <c r="E23" s="43" t="s">
        <v>357</v>
      </c>
      <c r="F23" s="20">
        <f t="shared" si="0"/>
        <v>133764873</v>
      </c>
      <c r="G23" s="10" t="s">
        <v>62</v>
      </c>
      <c r="H23" s="59" t="s">
        <v>321</v>
      </c>
      <c r="I23" s="32" t="s">
        <v>152</v>
      </c>
    </row>
    <row r="24" spans="1:12" x14ac:dyDescent="0.35">
      <c r="A24" s="19">
        <v>45664</v>
      </c>
      <c r="B24" s="43">
        <v>2500</v>
      </c>
      <c r="C24" s="20"/>
      <c r="D24" s="43"/>
      <c r="E24" s="43" t="s">
        <v>357</v>
      </c>
      <c r="F24" s="20">
        <f t="shared" si="0"/>
        <v>133762373</v>
      </c>
      <c r="G24" s="10" t="s">
        <v>63</v>
      </c>
      <c r="H24" s="59" t="s">
        <v>321</v>
      </c>
      <c r="I24" s="32" t="s">
        <v>152</v>
      </c>
    </row>
    <row r="25" spans="1:12" x14ac:dyDescent="0.35">
      <c r="A25" s="19">
        <v>45664</v>
      </c>
      <c r="B25" s="43"/>
      <c r="C25" s="20"/>
      <c r="D25" s="43">
        <v>600000</v>
      </c>
      <c r="E25" s="43" t="s">
        <v>357</v>
      </c>
      <c r="F25" s="20">
        <f t="shared" si="0"/>
        <v>134362373</v>
      </c>
      <c r="G25" s="10" t="s">
        <v>64</v>
      </c>
      <c r="H25" s="59" t="s">
        <v>139</v>
      </c>
      <c r="I25" s="32" t="s">
        <v>152</v>
      </c>
    </row>
    <row r="26" spans="1:12" x14ac:dyDescent="0.35">
      <c r="A26" s="19">
        <v>45665</v>
      </c>
      <c r="B26" s="43"/>
      <c r="C26" s="20"/>
      <c r="D26" s="43">
        <v>300000</v>
      </c>
      <c r="E26" s="43" t="s">
        <v>357</v>
      </c>
      <c r="F26" s="20">
        <f t="shared" si="0"/>
        <v>134662373</v>
      </c>
      <c r="G26" s="10" t="s">
        <v>65</v>
      </c>
      <c r="H26" s="59" t="s">
        <v>139</v>
      </c>
      <c r="I26" s="32" t="s">
        <v>152</v>
      </c>
    </row>
    <row r="27" spans="1:12" x14ac:dyDescent="0.35">
      <c r="A27" s="19">
        <v>45665</v>
      </c>
      <c r="B27" s="43"/>
      <c r="C27" s="20"/>
      <c r="D27" s="43">
        <v>300000</v>
      </c>
      <c r="E27" s="43" t="s">
        <v>357</v>
      </c>
      <c r="F27" s="20">
        <f t="shared" si="0"/>
        <v>134962373</v>
      </c>
      <c r="G27" s="10" t="s">
        <v>66</v>
      </c>
      <c r="H27" s="59" t="s">
        <v>139</v>
      </c>
      <c r="I27" s="32" t="s">
        <v>152</v>
      </c>
    </row>
    <row r="28" spans="1:12" x14ac:dyDescent="0.35">
      <c r="A28" s="19">
        <v>45665</v>
      </c>
      <c r="B28" s="43"/>
      <c r="C28" s="20"/>
      <c r="D28" s="43">
        <v>300000</v>
      </c>
      <c r="E28" s="43" t="s">
        <v>357</v>
      </c>
      <c r="F28" s="20">
        <f t="shared" si="0"/>
        <v>135262373</v>
      </c>
      <c r="G28" s="10" t="s">
        <v>67</v>
      </c>
      <c r="H28" s="59" t="s">
        <v>139</v>
      </c>
      <c r="I28" s="32" t="s">
        <v>152</v>
      </c>
    </row>
    <row r="29" spans="1:12" x14ac:dyDescent="0.35">
      <c r="A29" s="19">
        <v>45665</v>
      </c>
      <c r="B29" s="43"/>
      <c r="C29" s="20"/>
      <c r="D29" s="43">
        <v>300000</v>
      </c>
      <c r="E29" s="43" t="s">
        <v>357</v>
      </c>
      <c r="F29" s="20">
        <f t="shared" si="0"/>
        <v>135562373</v>
      </c>
      <c r="G29" s="10" t="s">
        <v>68</v>
      </c>
      <c r="H29" s="59" t="s">
        <v>139</v>
      </c>
      <c r="I29" s="32" t="s">
        <v>152</v>
      </c>
    </row>
    <row r="30" spans="1:12" x14ac:dyDescent="0.35">
      <c r="A30" s="19">
        <v>45665</v>
      </c>
      <c r="B30" s="43">
        <v>500000</v>
      </c>
      <c r="C30" s="20"/>
      <c r="D30" s="43"/>
      <c r="E30" s="43" t="s">
        <v>357</v>
      </c>
      <c r="F30" s="20">
        <f t="shared" si="0"/>
        <v>135062373</v>
      </c>
      <c r="G30" s="10" t="s">
        <v>85</v>
      </c>
      <c r="H30" s="59" t="s">
        <v>322</v>
      </c>
      <c r="I30" s="32" t="s">
        <v>152</v>
      </c>
    </row>
    <row r="31" spans="1:12" x14ac:dyDescent="0.35">
      <c r="A31" s="19">
        <v>45665</v>
      </c>
      <c r="B31" s="43">
        <v>2000000</v>
      </c>
      <c r="C31" s="20"/>
      <c r="D31" s="43"/>
      <c r="E31" s="43" t="s">
        <v>357</v>
      </c>
      <c r="F31" s="20">
        <f t="shared" si="0"/>
        <v>133062373</v>
      </c>
      <c r="G31" s="10" t="s">
        <v>69</v>
      </c>
      <c r="H31" s="59" t="s">
        <v>143</v>
      </c>
      <c r="I31" s="32" t="s">
        <v>152</v>
      </c>
    </row>
    <row r="32" spans="1:12" x14ac:dyDescent="0.35">
      <c r="A32" s="19">
        <v>45665</v>
      </c>
      <c r="B32" s="43">
        <v>2500</v>
      </c>
      <c r="C32" s="20"/>
      <c r="D32" s="43"/>
      <c r="E32" s="43" t="s">
        <v>357</v>
      </c>
      <c r="F32" s="20">
        <f t="shared" si="0"/>
        <v>133059873</v>
      </c>
      <c r="G32" s="10" t="s">
        <v>70</v>
      </c>
      <c r="H32" s="59" t="s">
        <v>143</v>
      </c>
      <c r="I32" s="32" t="s">
        <v>152</v>
      </c>
    </row>
    <row r="33" spans="1:9" x14ac:dyDescent="0.35">
      <c r="A33" s="19">
        <v>45665</v>
      </c>
      <c r="B33" s="43"/>
      <c r="C33" s="20"/>
      <c r="D33" s="43">
        <v>504000</v>
      </c>
      <c r="E33" s="43" t="s">
        <v>357</v>
      </c>
      <c r="F33" s="20">
        <f t="shared" si="0"/>
        <v>133563873</v>
      </c>
      <c r="G33" s="10" t="s">
        <v>71</v>
      </c>
      <c r="H33" s="59" t="s">
        <v>139</v>
      </c>
      <c r="I33" s="32" t="s">
        <v>152</v>
      </c>
    </row>
    <row r="34" spans="1:9" x14ac:dyDescent="0.35">
      <c r="A34" s="19">
        <v>45665</v>
      </c>
      <c r="B34" s="43"/>
      <c r="C34" s="20"/>
      <c r="D34" s="43">
        <v>100000</v>
      </c>
      <c r="E34" s="43" t="s">
        <v>357</v>
      </c>
      <c r="F34" s="20">
        <f t="shared" si="0"/>
        <v>133663873</v>
      </c>
      <c r="G34" s="10" t="s">
        <v>72</v>
      </c>
      <c r="H34" s="59" t="s">
        <v>139</v>
      </c>
      <c r="I34" s="32" t="s">
        <v>152</v>
      </c>
    </row>
    <row r="35" spans="1:9" x14ac:dyDescent="0.35">
      <c r="A35" s="17">
        <v>45666</v>
      </c>
      <c r="B35" s="44"/>
      <c r="C35" s="21"/>
      <c r="D35" s="44">
        <v>400000</v>
      </c>
      <c r="E35" s="43" t="s">
        <v>357</v>
      </c>
      <c r="F35" s="20">
        <f t="shared" si="0"/>
        <v>134063873</v>
      </c>
      <c r="G35" s="10" t="s">
        <v>86</v>
      </c>
      <c r="H35" s="59" t="s">
        <v>140</v>
      </c>
      <c r="I35" s="32" t="s">
        <v>152</v>
      </c>
    </row>
    <row r="36" spans="1:9" x14ac:dyDescent="0.35">
      <c r="A36" s="17">
        <v>45666</v>
      </c>
      <c r="B36" s="44"/>
      <c r="C36" s="21"/>
      <c r="D36" s="44">
        <v>300000</v>
      </c>
      <c r="E36" s="43" t="s">
        <v>357</v>
      </c>
      <c r="F36" s="20">
        <f t="shared" si="0"/>
        <v>134363873</v>
      </c>
      <c r="G36" s="10" t="s">
        <v>87</v>
      </c>
      <c r="H36" s="59" t="s">
        <v>139</v>
      </c>
      <c r="I36" s="32" t="s">
        <v>152</v>
      </c>
    </row>
    <row r="37" spans="1:9" x14ac:dyDescent="0.35">
      <c r="A37" s="17">
        <v>45666</v>
      </c>
      <c r="B37" s="44"/>
      <c r="C37" s="21"/>
      <c r="D37" s="44">
        <v>300000</v>
      </c>
      <c r="E37" s="43" t="s">
        <v>357</v>
      </c>
      <c r="F37" s="20">
        <f t="shared" si="0"/>
        <v>134663873</v>
      </c>
      <c r="G37" s="10" t="s">
        <v>88</v>
      </c>
      <c r="H37" s="59" t="s">
        <v>139</v>
      </c>
      <c r="I37" s="32" t="s">
        <v>152</v>
      </c>
    </row>
    <row r="38" spans="1:9" x14ac:dyDescent="0.35">
      <c r="A38" s="17">
        <v>45667</v>
      </c>
      <c r="B38" s="44"/>
      <c r="C38" s="21"/>
      <c r="D38" s="44">
        <v>600000</v>
      </c>
      <c r="E38" s="43" t="s">
        <v>357</v>
      </c>
      <c r="F38" s="20">
        <f t="shared" si="0"/>
        <v>135263873</v>
      </c>
      <c r="G38" s="10" t="s">
        <v>89</v>
      </c>
      <c r="H38" s="59" t="s">
        <v>139</v>
      </c>
      <c r="I38" s="32" t="s">
        <v>152</v>
      </c>
    </row>
    <row r="39" spans="1:9" x14ac:dyDescent="0.35">
      <c r="A39" s="17">
        <v>45667</v>
      </c>
      <c r="B39" s="44"/>
      <c r="C39" s="21"/>
      <c r="D39" s="44">
        <v>350000</v>
      </c>
      <c r="E39" s="43" t="s">
        <v>357</v>
      </c>
      <c r="F39" s="20">
        <f t="shared" si="0"/>
        <v>135613873</v>
      </c>
      <c r="G39" s="10" t="s">
        <v>90</v>
      </c>
      <c r="H39" s="59" t="s">
        <v>139</v>
      </c>
      <c r="I39" s="32" t="s">
        <v>152</v>
      </c>
    </row>
    <row r="40" spans="1:9" x14ac:dyDescent="0.35">
      <c r="A40" s="17">
        <v>45667</v>
      </c>
      <c r="B40" s="44">
        <v>1600000</v>
      </c>
      <c r="C40" s="21"/>
      <c r="D40" s="21"/>
      <c r="E40" s="43" t="s">
        <v>357</v>
      </c>
      <c r="F40" s="20">
        <f t="shared" si="0"/>
        <v>134013873</v>
      </c>
      <c r="G40" s="10" t="s">
        <v>91</v>
      </c>
      <c r="H40" s="59" t="s">
        <v>143</v>
      </c>
      <c r="I40" s="32" t="s">
        <v>152</v>
      </c>
    </row>
    <row r="41" spans="1:9" x14ac:dyDescent="0.35">
      <c r="A41" s="17">
        <v>45667</v>
      </c>
      <c r="B41" s="44">
        <v>2500</v>
      </c>
      <c r="C41" s="21"/>
      <c r="D41" s="21"/>
      <c r="E41" s="43" t="s">
        <v>357</v>
      </c>
      <c r="F41" s="20">
        <f t="shared" si="0"/>
        <v>134011373</v>
      </c>
      <c r="G41" s="10" t="s">
        <v>92</v>
      </c>
      <c r="H41" s="59" t="s">
        <v>143</v>
      </c>
      <c r="I41" s="32" t="s">
        <v>152</v>
      </c>
    </row>
    <row r="42" spans="1:9" x14ac:dyDescent="0.35">
      <c r="A42" s="17">
        <v>45670</v>
      </c>
      <c r="B42" s="39">
        <v>750000</v>
      </c>
      <c r="C42" s="21"/>
      <c r="D42" s="21"/>
      <c r="E42" s="43" t="s">
        <v>357</v>
      </c>
      <c r="F42" s="20">
        <f t="shared" si="0"/>
        <v>133261373</v>
      </c>
      <c r="G42" s="10" t="s">
        <v>93</v>
      </c>
      <c r="H42" s="59" t="s">
        <v>323</v>
      </c>
      <c r="I42" s="32" t="s">
        <v>152</v>
      </c>
    </row>
    <row r="43" spans="1:9" x14ac:dyDescent="0.35">
      <c r="A43" s="17">
        <v>45670</v>
      </c>
      <c r="B43" s="39">
        <v>2500</v>
      </c>
      <c r="C43" s="21"/>
      <c r="D43" s="21"/>
      <c r="E43" s="43" t="s">
        <v>357</v>
      </c>
      <c r="F43" s="20">
        <f t="shared" si="0"/>
        <v>133258873</v>
      </c>
      <c r="G43" s="10" t="s">
        <v>94</v>
      </c>
      <c r="H43" s="59" t="s">
        <v>323</v>
      </c>
      <c r="I43" s="32" t="s">
        <v>152</v>
      </c>
    </row>
    <row r="44" spans="1:9" x14ac:dyDescent="0.35">
      <c r="A44" s="17">
        <v>45670</v>
      </c>
      <c r="B44" s="21"/>
      <c r="C44" s="21"/>
      <c r="D44" s="39">
        <v>300000</v>
      </c>
      <c r="E44" s="43" t="s">
        <v>357</v>
      </c>
      <c r="F44" s="20">
        <f t="shared" si="0"/>
        <v>133558873</v>
      </c>
      <c r="G44" s="10" t="s">
        <v>95</v>
      </c>
      <c r="H44" s="59" t="s">
        <v>109</v>
      </c>
      <c r="I44" s="32" t="s">
        <v>152</v>
      </c>
    </row>
    <row r="45" spans="1:9" x14ac:dyDescent="0.35">
      <c r="A45" s="17">
        <v>45670</v>
      </c>
      <c r="B45" s="21"/>
      <c r="C45" s="21"/>
      <c r="D45" s="39">
        <v>50000</v>
      </c>
      <c r="E45" s="43" t="s">
        <v>357</v>
      </c>
      <c r="F45" s="20">
        <f t="shared" si="0"/>
        <v>133608873</v>
      </c>
      <c r="G45" s="10" t="s">
        <v>56</v>
      </c>
      <c r="H45" s="59" t="s">
        <v>109</v>
      </c>
      <c r="I45" s="32" t="s">
        <v>152</v>
      </c>
    </row>
    <row r="46" spans="1:9" x14ac:dyDescent="0.35">
      <c r="A46" s="17">
        <v>45670</v>
      </c>
      <c r="B46" s="21"/>
      <c r="C46" s="21"/>
      <c r="D46" s="39">
        <v>100000</v>
      </c>
      <c r="E46" s="43" t="s">
        <v>357</v>
      </c>
      <c r="F46" s="20">
        <f t="shared" si="0"/>
        <v>133708873</v>
      </c>
      <c r="G46" s="10" t="s">
        <v>244</v>
      </c>
      <c r="H46" s="59" t="s">
        <v>109</v>
      </c>
      <c r="I46" s="32" t="s">
        <v>152</v>
      </c>
    </row>
    <row r="47" spans="1:9" x14ac:dyDescent="0.35">
      <c r="A47" s="17">
        <v>45670</v>
      </c>
      <c r="B47" s="21"/>
      <c r="C47" s="21"/>
      <c r="D47" s="39">
        <v>3000000</v>
      </c>
      <c r="E47" s="43" t="s">
        <v>357</v>
      </c>
      <c r="F47" s="20">
        <f t="shared" si="0"/>
        <v>136708873</v>
      </c>
      <c r="G47" s="10" t="s">
        <v>245</v>
      </c>
      <c r="H47" s="59" t="s">
        <v>109</v>
      </c>
      <c r="I47" s="32" t="s">
        <v>152</v>
      </c>
    </row>
    <row r="48" spans="1:9" x14ac:dyDescent="0.35">
      <c r="A48" s="17">
        <v>45670</v>
      </c>
      <c r="B48" s="21"/>
      <c r="C48" s="23"/>
      <c r="D48" s="23">
        <v>2773000</v>
      </c>
      <c r="E48" s="43" t="s">
        <v>357</v>
      </c>
      <c r="F48" s="20">
        <f t="shared" si="0"/>
        <v>139481873</v>
      </c>
      <c r="G48" s="24" t="s">
        <v>107</v>
      </c>
      <c r="H48" s="59" t="s">
        <v>107</v>
      </c>
      <c r="I48" s="32" t="s">
        <v>152</v>
      </c>
    </row>
    <row r="49" spans="1:9" x14ac:dyDescent="0.35">
      <c r="A49" s="17">
        <v>45670</v>
      </c>
      <c r="B49" s="21"/>
      <c r="C49" s="23"/>
      <c r="D49" s="23">
        <v>1977000</v>
      </c>
      <c r="E49" s="43" t="s">
        <v>357</v>
      </c>
      <c r="F49" s="20">
        <f t="shared" si="0"/>
        <v>141458873</v>
      </c>
      <c r="G49" s="24" t="s">
        <v>109</v>
      </c>
      <c r="H49" s="59" t="s">
        <v>109</v>
      </c>
      <c r="I49" s="32" t="s">
        <v>152</v>
      </c>
    </row>
    <row r="50" spans="1:9" x14ac:dyDescent="0.35">
      <c r="A50" s="17">
        <v>45670</v>
      </c>
      <c r="B50" s="27">
        <v>200000</v>
      </c>
      <c r="C50" s="27"/>
      <c r="D50" s="39"/>
      <c r="E50" s="43" t="s">
        <v>357</v>
      </c>
      <c r="F50" s="20">
        <f t="shared" si="0"/>
        <v>141258873</v>
      </c>
      <c r="G50" s="28" t="s">
        <v>115</v>
      </c>
      <c r="H50" s="59" t="s">
        <v>320</v>
      </c>
      <c r="I50" s="32" t="s">
        <v>152</v>
      </c>
    </row>
    <row r="51" spans="1:9" x14ac:dyDescent="0.35">
      <c r="A51" s="17"/>
      <c r="B51" s="21"/>
      <c r="C51" s="39">
        <v>4550000</v>
      </c>
      <c r="D51" s="39"/>
      <c r="E51" s="39"/>
      <c r="F51" s="20">
        <f t="shared" si="0"/>
        <v>141258873</v>
      </c>
      <c r="G51" s="10" t="s">
        <v>98</v>
      </c>
      <c r="H51" s="59"/>
      <c r="I51" s="32"/>
    </row>
    <row r="52" spans="1:9" x14ac:dyDescent="0.35">
      <c r="A52" s="17">
        <v>45671</v>
      </c>
      <c r="B52" s="21"/>
      <c r="C52" s="21"/>
      <c r="D52" s="39">
        <v>100000</v>
      </c>
      <c r="E52" s="43" t="s">
        <v>357</v>
      </c>
      <c r="F52" s="20">
        <f t="shared" si="0"/>
        <v>141358873</v>
      </c>
      <c r="G52" s="10" t="s">
        <v>246</v>
      </c>
      <c r="H52" s="59" t="s">
        <v>109</v>
      </c>
      <c r="I52" s="32" t="s">
        <v>152</v>
      </c>
    </row>
    <row r="53" spans="1:9" x14ac:dyDescent="0.35">
      <c r="A53" s="17">
        <v>45671</v>
      </c>
      <c r="B53" s="21"/>
      <c r="C53" s="21"/>
      <c r="D53" s="39">
        <v>7000</v>
      </c>
      <c r="E53" s="43" t="s">
        <v>357</v>
      </c>
      <c r="F53" s="20">
        <f t="shared" si="0"/>
        <v>141365873</v>
      </c>
      <c r="G53" s="10" t="s">
        <v>247</v>
      </c>
      <c r="H53" s="59" t="s">
        <v>109</v>
      </c>
      <c r="I53" s="32" t="s">
        <v>152</v>
      </c>
    </row>
    <row r="54" spans="1:9" x14ac:dyDescent="0.35">
      <c r="A54" s="17">
        <v>45671</v>
      </c>
      <c r="B54" s="21"/>
      <c r="C54" s="21"/>
      <c r="D54" s="39">
        <v>1000000</v>
      </c>
      <c r="E54" s="43" t="s">
        <v>357</v>
      </c>
      <c r="F54" s="20">
        <f t="shared" si="0"/>
        <v>142365873</v>
      </c>
      <c r="G54" s="10" t="s">
        <v>248</v>
      </c>
      <c r="H54" s="59" t="s">
        <v>109</v>
      </c>
      <c r="I54" s="32" t="s">
        <v>152</v>
      </c>
    </row>
    <row r="55" spans="1:9" x14ac:dyDescent="0.35">
      <c r="A55" s="17">
        <v>45672</v>
      </c>
      <c r="B55" s="21"/>
      <c r="C55" s="21"/>
      <c r="D55" s="39">
        <v>600000</v>
      </c>
      <c r="E55" s="43" t="s">
        <v>357</v>
      </c>
      <c r="F55" s="20">
        <f t="shared" si="0"/>
        <v>142965873</v>
      </c>
      <c r="G55" s="10" t="s">
        <v>249</v>
      </c>
      <c r="H55" s="59" t="s">
        <v>140</v>
      </c>
      <c r="I55" s="32" t="s">
        <v>152</v>
      </c>
    </row>
    <row r="56" spans="1:9" x14ac:dyDescent="0.35">
      <c r="A56" s="19">
        <v>45673</v>
      </c>
      <c r="B56" s="9"/>
      <c r="C56" s="9"/>
      <c r="D56" s="40">
        <v>250000</v>
      </c>
      <c r="E56" s="43" t="s">
        <v>357</v>
      </c>
      <c r="F56" s="20">
        <f t="shared" si="0"/>
        <v>143215873</v>
      </c>
      <c r="G56" s="10" t="s">
        <v>61</v>
      </c>
      <c r="H56" s="59" t="s">
        <v>139</v>
      </c>
      <c r="I56" s="32" t="s">
        <v>152</v>
      </c>
    </row>
    <row r="57" spans="1:9" x14ac:dyDescent="0.35">
      <c r="A57" s="19">
        <v>45674</v>
      </c>
      <c r="B57" s="40">
        <v>2500000</v>
      </c>
      <c r="C57" s="9"/>
      <c r="D57" s="9"/>
      <c r="E57" s="43" t="s">
        <v>357</v>
      </c>
      <c r="F57" s="20">
        <f t="shared" si="0"/>
        <v>140715873</v>
      </c>
      <c r="G57" s="10" t="s">
        <v>103</v>
      </c>
      <c r="H57" s="59" t="s">
        <v>143</v>
      </c>
      <c r="I57" s="32" t="s">
        <v>152</v>
      </c>
    </row>
    <row r="58" spans="1:9" x14ac:dyDescent="0.35">
      <c r="A58" s="17">
        <v>45677</v>
      </c>
      <c r="B58" s="9"/>
      <c r="C58" s="32"/>
      <c r="D58" s="47">
        <v>50000</v>
      </c>
      <c r="E58" s="43" t="s">
        <v>357</v>
      </c>
      <c r="F58" s="20">
        <f t="shared" si="0"/>
        <v>140765873</v>
      </c>
      <c r="G58" s="10" t="s">
        <v>250</v>
      </c>
      <c r="H58" s="59" t="s">
        <v>109</v>
      </c>
      <c r="I58" s="32" t="s">
        <v>152</v>
      </c>
    </row>
    <row r="59" spans="1:9" x14ac:dyDescent="0.35">
      <c r="A59" s="17">
        <v>45677</v>
      </c>
      <c r="B59" s="9"/>
      <c r="C59" s="32"/>
      <c r="D59" s="47">
        <v>5000</v>
      </c>
      <c r="E59" s="43" t="s">
        <v>357</v>
      </c>
      <c r="F59" s="20">
        <f t="shared" si="0"/>
        <v>140770873</v>
      </c>
      <c r="G59" s="10" t="s">
        <v>251</v>
      </c>
      <c r="H59" s="59" t="s">
        <v>109</v>
      </c>
      <c r="I59" s="32" t="s">
        <v>152</v>
      </c>
    </row>
    <row r="60" spans="1:9" x14ac:dyDescent="0.35">
      <c r="A60" s="17">
        <v>45677</v>
      </c>
      <c r="B60" s="9"/>
      <c r="C60" s="23"/>
      <c r="D60" s="23">
        <v>4044000</v>
      </c>
      <c r="E60" s="43" t="s">
        <v>357</v>
      </c>
      <c r="F60" s="20">
        <f t="shared" si="0"/>
        <v>144814873</v>
      </c>
      <c r="G60" s="24" t="s">
        <v>107</v>
      </c>
      <c r="H60" s="59" t="s">
        <v>107</v>
      </c>
      <c r="I60" s="32" t="s">
        <v>152</v>
      </c>
    </row>
    <row r="61" spans="1:9" x14ac:dyDescent="0.35">
      <c r="A61" s="17">
        <v>45677</v>
      </c>
      <c r="B61" s="96"/>
      <c r="C61" s="23"/>
      <c r="D61" s="23">
        <f>2967000-3000000</f>
        <v>-33000</v>
      </c>
      <c r="E61" s="43" t="s">
        <v>357</v>
      </c>
      <c r="F61" s="20">
        <f t="shared" si="0"/>
        <v>144781873</v>
      </c>
      <c r="G61" s="24" t="s">
        <v>109</v>
      </c>
      <c r="H61" s="59" t="s">
        <v>109</v>
      </c>
      <c r="I61" s="32" t="s">
        <v>152</v>
      </c>
    </row>
    <row r="62" spans="1:9" x14ac:dyDescent="0.35">
      <c r="A62" s="17">
        <v>45677</v>
      </c>
      <c r="B62" s="23">
        <v>20000</v>
      </c>
      <c r="C62" s="23"/>
      <c r="D62" s="96"/>
      <c r="E62" s="43" t="s">
        <v>357</v>
      </c>
      <c r="F62" s="20">
        <f t="shared" si="0"/>
        <v>144761873</v>
      </c>
      <c r="G62" s="28" t="s">
        <v>115</v>
      </c>
      <c r="H62" s="59" t="s">
        <v>320</v>
      </c>
      <c r="I62" s="32" t="s">
        <v>152</v>
      </c>
    </row>
    <row r="63" spans="1:9" x14ac:dyDescent="0.35">
      <c r="A63" s="17">
        <v>45677</v>
      </c>
      <c r="B63" s="96"/>
      <c r="C63" s="96">
        <v>3991000</v>
      </c>
      <c r="D63" s="96"/>
      <c r="E63" s="9"/>
      <c r="F63" s="20">
        <f t="shared" si="0"/>
        <v>144761873</v>
      </c>
      <c r="G63" s="10" t="s">
        <v>98</v>
      </c>
      <c r="H63" s="59"/>
      <c r="I63" s="32"/>
    </row>
    <row r="64" spans="1:9" x14ac:dyDescent="0.35">
      <c r="A64" s="17"/>
      <c r="B64" s="9"/>
      <c r="C64" s="23">
        <v>6850000</v>
      </c>
      <c r="D64" s="23"/>
      <c r="E64" s="9"/>
      <c r="F64" s="20">
        <f t="shared" si="0"/>
        <v>144761873</v>
      </c>
      <c r="G64" s="24" t="s">
        <v>134</v>
      </c>
      <c r="H64" s="59"/>
      <c r="I64" s="32"/>
    </row>
    <row r="65" spans="1:9" x14ac:dyDescent="0.35">
      <c r="A65" s="17"/>
      <c r="B65" s="27"/>
      <c r="C65" s="27">
        <v>-1000000</v>
      </c>
      <c r="D65" s="9"/>
      <c r="E65" s="9"/>
      <c r="F65" s="20">
        <f t="shared" si="0"/>
        <v>144761873</v>
      </c>
      <c r="G65" s="28" t="s">
        <v>136</v>
      </c>
      <c r="H65" s="59"/>
      <c r="I65" s="32"/>
    </row>
    <row r="66" spans="1:9" x14ac:dyDescent="0.35">
      <c r="A66" s="17"/>
      <c r="B66" s="27"/>
      <c r="C66" s="27">
        <v>-685000</v>
      </c>
      <c r="D66" s="9"/>
      <c r="E66" s="9"/>
      <c r="F66" s="20">
        <f t="shared" si="0"/>
        <v>144761873</v>
      </c>
      <c r="G66" s="28" t="s">
        <v>135</v>
      </c>
      <c r="H66" s="59"/>
      <c r="I66" s="32"/>
    </row>
    <row r="67" spans="1:9" x14ac:dyDescent="0.35">
      <c r="A67" s="17">
        <v>45677</v>
      </c>
      <c r="B67" s="9"/>
      <c r="C67" s="32"/>
      <c r="D67" s="47">
        <v>5165000</v>
      </c>
      <c r="E67" s="43" t="s">
        <v>357</v>
      </c>
      <c r="F67" s="20">
        <f t="shared" si="0"/>
        <v>149926873</v>
      </c>
      <c r="G67" s="10" t="s">
        <v>98</v>
      </c>
      <c r="H67" s="59" t="s">
        <v>109</v>
      </c>
      <c r="I67" s="32" t="s">
        <v>152</v>
      </c>
    </row>
    <row r="68" spans="1:9" x14ac:dyDescent="0.35">
      <c r="A68" s="17">
        <v>45678</v>
      </c>
      <c r="B68" s="9"/>
      <c r="C68" s="32"/>
      <c r="D68" s="47">
        <v>10000</v>
      </c>
      <c r="E68" s="43" t="s">
        <v>357</v>
      </c>
      <c r="F68" s="20">
        <f t="shared" si="0"/>
        <v>149936873</v>
      </c>
      <c r="G68" s="10" t="s">
        <v>251</v>
      </c>
      <c r="H68" s="59" t="s">
        <v>109</v>
      </c>
      <c r="I68" s="32" t="s">
        <v>152</v>
      </c>
    </row>
    <row r="69" spans="1:9" x14ac:dyDescent="0.35">
      <c r="A69" s="17">
        <v>45678</v>
      </c>
      <c r="B69" s="9"/>
      <c r="C69" s="32"/>
      <c r="D69" s="47">
        <v>10000</v>
      </c>
      <c r="E69" s="43" t="s">
        <v>357</v>
      </c>
      <c r="F69" s="20">
        <f t="shared" si="0"/>
        <v>149946873</v>
      </c>
      <c r="G69" s="10" t="s">
        <v>252</v>
      </c>
      <c r="H69" s="59" t="s">
        <v>109</v>
      </c>
      <c r="I69" s="32" t="s">
        <v>152</v>
      </c>
    </row>
    <row r="70" spans="1:9" x14ac:dyDescent="0.35">
      <c r="A70" s="17">
        <v>45678</v>
      </c>
      <c r="B70" s="9">
        <v>750000</v>
      </c>
      <c r="C70" s="32"/>
      <c r="D70" s="47"/>
      <c r="E70" s="43" t="s">
        <v>357</v>
      </c>
      <c r="F70" s="20">
        <f t="shared" si="0"/>
        <v>149196873</v>
      </c>
      <c r="G70" s="7" t="s">
        <v>131</v>
      </c>
      <c r="H70" s="59" t="s">
        <v>323</v>
      </c>
      <c r="I70" s="32" t="s">
        <v>152</v>
      </c>
    </row>
    <row r="71" spans="1:9" x14ac:dyDescent="0.35">
      <c r="A71" s="17">
        <v>45678</v>
      </c>
      <c r="B71" s="9">
        <v>2500</v>
      </c>
      <c r="C71" s="32"/>
      <c r="D71" s="47"/>
      <c r="E71" s="43" t="s">
        <v>357</v>
      </c>
      <c r="F71" s="20">
        <f t="shared" si="0"/>
        <v>149194373</v>
      </c>
      <c r="G71" s="7" t="s">
        <v>130</v>
      </c>
      <c r="H71" s="59" t="s">
        <v>323</v>
      </c>
      <c r="I71" s="32" t="s">
        <v>152</v>
      </c>
    </row>
    <row r="72" spans="1:9" x14ac:dyDescent="0.35">
      <c r="A72" s="17">
        <v>45678</v>
      </c>
      <c r="B72" s="9">
        <v>756500</v>
      </c>
      <c r="C72" s="32"/>
      <c r="D72" s="47"/>
      <c r="E72" s="43" t="s">
        <v>357</v>
      </c>
      <c r="F72" s="20">
        <f t="shared" ref="F72:F134" si="1">+F71+D72-B72</f>
        <v>148437873</v>
      </c>
      <c r="G72" s="7" t="s">
        <v>132</v>
      </c>
      <c r="H72" s="59" t="s">
        <v>323</v>
      </c>
      <c r="I72" s="32" t="s">
        <v>152</v>
      </c>
    </row>
    <row r="73" spans="1:9" x14ac:dyDescent="0.35">
      <c r="A73" s="17">
        <v>45678</v>
      </c>
      <c r="B73" s="9">
        <v>2500</v>
      </c>
      <c r="C73" s="32"/>
      <c r="D73" s="47"/>
      <c r="E73" s="43" t="s">
        <v>357</v>
      </c>
      <c r="F73" s="20">
        <f t="shared" si="1"/>
        <v>148435373</v>
      </c>
      <c r="G73" s="7" t="s">
        <v>133</v>
      </c>
      <c r="H73" s="59" t="s">
        <v>323</v>
      </c>
      <c r="I73" s="32" t="s">
        <v>152</v>
      </c>
    </row>
    <row r="74" spans="1:9" x14ac:dyDescent="0.35">
      <c r="A74" s="17">
        <v>45679</v>
      </c>
      <c r="B74" s="9"/>
      <c r="C74" s="32"/>
      <c r="D74" s="47">
        <v>10000</v>
      </c>
      <c r="E74" s="43" t="s">
        <v>357</v>
      </c>
      <c r="F74" s="20">
        <f t="shared" si="1"/>
        <v>148445373</v>
      </c>
      <c r="G74" s="10" t="s">
        <v>252</v>
      </c>
      <c r="H74" s="59" t="s">
        <v>109</v>
      </c>
      <c r="I74" s="32" t="s">
        <v>152</v>
      </c>
    </row>
    <row r="75" spans="1:9" x14ac:dyDescent="0.35">
      <c r="A75" s="17">
        <v>45679</v>
      </c>
      <c r="B75" s="9"/>
      <c r="C75" s="32"/>
      <c r="D75" s="47">
        <v>1200000</v>
      </c>
      <c r="E75" s="43" t="s">
        <v>357</v>
      </c>
      <c r="F75" s="20">
        <f t="shared" si="1"/>
        <v>149645373</v>
      </c>
      <c r="G75" s="10" t="s">
        <v>253</v>
      </c>
      <c r="H75" s="59" t="s">
        <v>109</v>
      </c>
      <c r="I75" s="32" t="s">
        <v>152</v>
      </c>
    </row>
    <row r="76" spans="1:9" x14ac:dyDescent="0.35">
      <c r="A76" s="17">
        <v>45679</v>
      </c>
      <c r="B76" s="9"/>
      <c r="C76" s="32"/>
      <c r="D76" s="47">
        <v>500000</v>
      </c>
      <c r="E76" s="43" t="s">
        <v>357</v>
      </c>
      <c r="F76" s="20">
        <f t="shared" si="1"/>
        <v>150145373</v>
      </c>
      <c r="G76" s="10" t="s">
        <v>145</v>
      </c>
      <c r="H76" s="59" t="s">
        <v>139</v>
      </c>
      <c r="I76" s="32" t="s">
        <v>152</v>
      </c>
    </row>
    <row r="77" spans="1:9" x14ac:dyDescent="0.35">
      <c r="A77" s="17">
        <v>45680</v>
      </c>
      <c r="B77" s="9"/>
      <c r="C77" s="32"/>
      <c r="D77" s="47">
        <v>10000</v>
      </c>
      <c r="E77" s="43" t="s">
        <v>357</v>
      </c>
      <c r="F77" s="20">
        <f t="shared" si="1"/>
        <v>150155373</v>
      </c>
      <c r="G77" s="10" t="s">
        <v>254</v>
      </c>
      <c r="H77" s="59" t="s">
        <v>109</v>
      </c>
      <c r="I77" s="32" t="s">
        <v>152</v>
      </c>
    </row>
    <row r="78" spans="1:9" x14ac:dyDescent="0.35">
      <c r="A78" s="17">
        <v>45680</v>
      </c>
      <c r="B78" s="9"/>
      <c r="C78" s="32"/>
      <c r="D78" s="47">
        <v>300000</v>
      </c>
      <c r="E78" s="43" t="s">
        <v>357</v>
      </c>
      <c r="F78" s="20">
        <f t="shared" si="1"/>
        <v>150455373</v>
      </c>
      <c r="G78" s="10" t="s">
        <v>147</v>
      </c>
      <c r="H78" s="59" t="s">
        <v>139</v>
      </c>
      <c r="I78" s="32" t="s">
        <v>152</v>
      </c>
    </row>
    <row r="79" spans="1:9" x14ac:dyDescent="0.35">
      <c r="A79" s="17">
        <v>45681</v>
      </c>
      <c r="B79" s="9"/>
      <c r="C79" s="32"/>
      <c r="D79" s="47">
        <v>300000</v>
      </c>
      <c r="E79" s="43" t="s">
        <v>357</v>
      </c>
      <c r="F79" s="20">
        <f t="shared" si="1"/>
        <v>150755373</v>
      </c>
      <c r="G79" s="10" t="s">
        <v>61</v>
      </c>
      <c r="H79" s="59" t="s">
        <v>139</v>
      </c>
      <c r="I79" s="32" t="s">
        <v>152</v>
      </c>
    </row>
    <row r="80" spans="1:9" x14ac:dyDescent="0.35">
      <c r="A80" s="17">
        <v>45681</v>
      </c>
      <c r="B80" s="9"/>
      <c r="C80" s="32"/>
      <c r="D80" s="47">
        <v>150000</v>
      </c>
      <c r="E80" s="43" t="s">
        <v>357</v>
      </c>
      <c r="F80" s="20">
        <f t="shared" si="1"/>
        <v>150905373</v>
      </c>
      <c r="G80" s="10" t="s">
        <v>255</v>
      </c>
      <c r="H80" s="59" t="s">
        <v>109</v>
      </c>
      <c r="I80" s="32" t="s">
        <v>152</v>
      </c>
    </row>
    <row r="81" spans="1:9" x14ac:dyDescent="0.35">
      <c r="A81" s="17">
        <v>45681</v>
      </c>
      <c r="B81" s="9"/>
      <c r="C81" s="32"/>
      <c r="D81" s="47">
        <v>10000</v>
      </c>
      <c r="E81" s="43" t="s">
        <v>357</v>
      </c>
      <c r="F81" s="20">
        <f t="shared" si="1"/>
        <v>150915373</v>
      </c>
      <c r="G81" s="10" t="s">
        <v>256</v>
      </c>
      <c r="H81" s="59" t="s">
        <v>109</v>
      </c>
      <c r="I81" s="32" t="s">
        <v>152</v>
      </c>
    </row>
    <row r="82" spans="1:9" x14ac:dyDescent="0.35">
      <c r="A82" s="17">
        <v>45681</v>
      </c>
      <c r="B82" s="9"/>
      <c r="C82" s="32"/>
      <c r="D82" s="47">
        <v>300000</v>
      </c>
      <c r="E82" s="43" t="s">
        <v>357</v>
      </c>
      <c r="F82" s="20">
        <f t="shared" si="1"/>
        <v>151215373</v>
      </c>
      <c r="G82" s="10" t="s">
        <v>87</v>
      </c>
      <c r="H82" s="59" t="s">
        <v>139</v>
      </c>
      <c r="I82" s="32" t="s">
        <v>152</v>
      </c>
    </row>
    <row r="83" spans="1:9" x14ac:dyDescent="0.35">
      <c r="A83" s="17">
        <v>45681</v>
      </c>
      <c r="B83" s="9"/>
      <c r="C83" s="32"/>
      <c r="D83" s="47">
        <v>300000</v>
      </c>
      <c r="E83" s="43" t="s">
        <v>357</v>
      </c>
      <c r="F83" s="20">
        <f t="shared" si="1"/>
        <v>151515373</v>
      </c>
      <c r="G83" s="10" t="s">
        <v>256</v>
      </c>
      <c r="H83" s="59" t="s">
        <v>109</v>
      </c>
      <c r="I83" s="32" t="s">
        <v>152</v>
      </c>
    </row>
    <row r="84" spans="1:9" x14ac:dyDescent="0.35">
      <c r="A84" s="48">
        <v>45681</v>
      </c>
      <c r="B84" s="49">
        <v>1400000</v>
      </c>
      <c r="C84" s="50"/>
      <c r="D84" s="51"/>
      <c r="E84" s="52" t="s">
        <v>357</v>
      </c>
      <c r="F84" s="53">
        <f t="shared" si="1"/>
        <v>150115373</v>
      </c>
      <c r="G84" s="54" t="s">
        <v>158</v>
      </c>
      <c r="H84" s="105" t="s">
        <v>143</v>
      </c>
      <c r="I84" s="32" t="s">
        <v>152</v>
      </c>
    </row>
    <row r="85" spans="1:9" x14ac:dyDescent="0.35">
      <c r="A85" s="17">
        <v>45687</v>
      </c>
      <c r="B85" s="9"/>
      <c r="C85" s="32"/>
      <c r="D85" s="57">
        <v>100000</v>
      </c>
      <c r="E85" s="43" t="s">
        <v>357</v>
      </c>
      <c r="F85" s="20">
        <f t="shared" si="1"/>
        <v>150215373</v>
      </c>
      <c r="G85" s="10" t="s">
        <v>256</v>
      </c>
      <c r="H85" s="59" t="s">
        <v>109</v>
      </c>
      <c r="I85" s="32" t="s">
        <v>152</v>
      </c>
    </row>
    <row r="86" spans="1:9" x14ac:dyDescent="0.35">
      <c r="A86" s="17">
        <v>45687</v>
      </c>
      <c r="B86" s="9"/>
      <c r="C86" s="32"/>
      <c r="D86" s="57">
        <v>10000</v>
      </c>
      <c r="E86" s="43" t="s">
        <v>357</v>
      </c>
      <c r="F86" s="20">
        <f t="shared" si="1"/>
        <v>150225373</v>
      </c>
      <c r="G86" s="10" t="s">
        <v>256</v>
      </c>
      <c r="H86" s="59" t="s">
        <v>109</v>
      </c>
      <c r="I86" s="32" t="s">
        <v>152</v>
      </c>
    </row>
    <row r="87" spans="1:9" x14ac:dyDescent="0.35">
      <c r="A87" s="17">
        <v>45687</v>
      </c>
      <c r="B87" s="9">
        <v>750000</v>
      </c>
      <c r="C87" s="32"/>
      <c r="D87" s="57"/>
      <c r="E87" s="43" t="s">
        <v>357</v>
      </c>
      <c r="F87" s="20">
        <f t="shared" si="1"/>
        <v>149475373</v>
      </c>
      <c r="G87" s="10" t="s">
        <v>160</v>
      </c>
      <c r="H87" s="59" t="s">
        <v>323</v>
      </c>
      <c r="I87" s="32" t="s">
        <v>152</v>
      </c>
    </row>
    <row r="88" spans="1:9" x14ac:dyDescent="0.35">
      <c r="A88" s="17">
        <v>45687</v>
      </c>
      <c r="B88" s="9">
        <v>2500</v>
      </c>
      <c r="C88" s="32"/>
      <c r="D88" s="57"/>
      <c r="E88" s="43" t="s">
        <v>357</v>
      </c>
      <c r="F88" s="20">
        <f t="shared" si="1"/>
        <v>149472873</v>
      </c>
      <c r="G88" s="10" t="s">
        <v>161</v>
      </c>
      <c r="H88" s="59" t="s">
        <v>323</v>
      </c>
      <c r="I88" s="32" t="s">
        <v>152</v>
      </c>
    </row>
    <row r="89" spans="1:9" x14ac:dyDescent="0.35">
      <c r="A89" s="17">
        <v>45687</v>
      </c>
      <c r="B89" s="9"/>
      <c r="C89" s="32"/>
      <c r="D89" s="57">
        <v>100000</v>
      </c>
      <c r="E89" s="43" t="s">
        <v>357</v>
      </c>
      <c r="F89" s="20">
        <f t="shared" si="1"/>
        <v>149572873</v>
      </c>
      <c r="G89" s="10" t="s">
        <v>257</v>
      </c>
      <c r="H89" s="59" t="s">
        <v>109</v>
      </c>
      <c r="I89" s="32" t="s">
        <v>152</v>
      </c>
    </row>
    <row r="90" spans="1:9" x14ac:dyDescent="0.35">
      <c r="A90" s="17">
        <v>45687</v>
      </c>
      <c r="B90" s="9"/>
      <c r="C90" s="32"/>
      <c r="D90" s="57">
        <v>200000</v>
      </c>
      <c r="E90" s="43" t="s">
        <v>357</v>
      </c>
      <c r="F90" s="20">
        <f t="shared" si="1"/>
        <v>149772873</v>
      </c>
      <c r="G90" s="10" t="s">
        <v>258</v>
      </c>
      <c r="H90" s="59" t="s">
        <v>140</v>
      </c>
      <c r="I90" s="32" t="s">
        <v>152</v>
      </c>
    </row>
    <row r="91" spans="1:9" x14ac:dyDescent="0.35">
      <c r="A91" s="17">
        <v>45687</v>
      </c>
      <c r="B91" s="9"/>
      <c r="C91" s="32"/>
      <c r="D91" s="57">
        <v>300000</v>
      </c>
      <c r="E91" s="43" t="s">
        <v>357</v>
      </c>
      <c r="F91" s="20">
        <f t="shared" si="1"/>
        <v>150072873</v>
      </c>
      <c r="G91" s="10" t="s">
        <v>259</v>
      </c>
      <c r="H91" s="59" t="s">
        <v>109</v>
      </c>
      <c r="I91" s="32" t="s">
        <v>152</v>
      </c>
    </row>
    <row r="92" spans="1:9" x14ac:dyDescent="0.35">
      <c r="A92" s="17">
        <v>45687</v>
      </c>
      <c r="B92" s="9">
        <v>1000000</v>
      </c>
      <c r="C92" s="32"/>
      <c r="D92" s="57"/>
      <c r="E92" s="43" t="s">
        <v>357</v>
      </c>
      <c r="F92" s="20">
        <f t="shared" si="1"/>
        <v>149072873</v>
      </c>
      <c r="G92" s="10" t="s">
        <v>165</v>
      </c>
      <c r="H92" s="59" t="s">
        <v>323</v>
      </c>
      <c r="I92" s="32" t="s">
        <v>152</v>
      </c>
    </row>
    <row r="93" spans="1:9" x14ac:dyDescent="0.35">
      <c r="A93" s="17">
        <v>45687</v>
      </c>
      <c r="B93" s="9">
        <v>2500</v>
      </c>
      <c r="C93" s="32"/>
      <c r="D93" s="57"/>
      <c r="E93" s="43" t="s">
        <v>357</v>
      </c>
      <c r="F93" s="20">
        <f t="shared" si="1"/>
        <v>149070373</v>
      </c>
      <c r="G93" s="10" t="s">
        <v>166</v>
      </c>
      <c r="H93" s="59" t="s">
        <v>323</v>
      </c>
      <c r="I93" s="32" t="s">
        <v>152</v>
      </c>
    </row>
    <row r="94" spans="1:9" x14ac:dyDescent="0.35">
      <c r="A94" s="17">
        <v>45687</v>
      </c>
      <c r="B94" s="9"/>
      <c r="C94" s="32"/>
      <c r="D94" s="57">
        <v>10000</v>
      </c>
      <c r="E94" s="43" t="s">
        <v>357</v>
      </c>
      <c r="F94" s="20">
        <f t="shared" si="1"/>
        <v>149080373</v>
      </c>
      <c r="G94" s="10" t="s">
        <v>256</v>
      </c>
      <c r="H94" s="59" t="s">
        <v>109</v>
      </c>
      <c r="I94" s="32" t="s">
        <v>152</v>
      </c>
    </row>
    <row r="95" spans="1:9" x14ac:dyDescent="0.35">
      <c r="A95" s="17">
        <v>45687</v>
      </c>
      <c r="B95" s="9"/>
      <c r="C95" s="32"/>
      <c r="D95" s="57">
        <v>5000</v>
      </c>
      <c r="E95" s="43" t="s">
        <v>357</v>
      </c>
      <c r="F95" s="20">
        <f t="shared" si="1"/>
        <v>149085373</v>
      </c>
      <c r="G95" s="10" t="s">
        <v>256</v>
      </c>
      <c r="H95" s="59" t="s">
        <v>109</v>
      </c>
      <c r="I95" s="32" t="s">
        <v>152</v>
      </c>
    </row>
    <row r="96" spans="1:9" x14ac:dyDescent="0.35">
      <c r="A96" s="17">
        <v>45687</v>
      </c>
      <c r="B96" s="9"/>
      <c r="C96" s="32"/>
      <c r="D96" s="57">
        <v>200000</v>
      </c>
      <c r="E96" s="43" t="s">
        <v>357</v>
      </c>
      <c r="F96" s="20">
        <f t="shared" si="1"/>
        <v>149285373</v>
      </c>
      <c r="G96" t="s">
        <v>240</v>
      </c>
      <c r="H96" s="59" t="s">
        <v>109</v>
      </c>
      <c r="I96" s="32" t="s">
        <v>152</v>
      </c>
    </row>
    <row r="97" spans="1:9" x14ac:dyDescent="0.35">
      <c r="A97" s="17">
        <v>45687</v>
      </c>
      <c r="B97" s="9"/>
      <c r="C97" s="32"/>
      <c r="D97" s="57">
        <v>10000</v>
      </c>
      <c r="E97" s="43" t="s">
        <v>357</v>
      </c>
      <c r="F97" s="20">
        <f t="shared" si="1"/>
        <v>149295373</v>
      </c>
      <c r="G97" s="10" t="s">
        <v>256</v>
      </c>
      <c r="H97" s="59" t="s">
        <v>109</v>
      </c>
      <c r="I97" s="32" t="s">
        <v>152</v>
      </c>
    </row>
    <row r="98" spans="1:9" x14ac:dyDescent="0.35">
      <c r="A98" s="17">
        <v>45687</v>
      </c>
      <c r="B98" s="9">
        <v>3250000</v>
      </c>
      <c r="C98" s="32"/>
      <c r="D98" s="57"/>
      <c r="E98" s="43" t="s">
        <v>357</v>
      </c>
      <c r="F98" s="20">
        <f t="shared" si="1"/>
        <v>146045373</v>
      </c>
      <c r="G98" s="10" t="s">
        <v>169</v>
      </c>
      <c r="H98" s="59" t="s">
        <v>325</v>
      </c>
      <c r="I98" s="32" t="s">
        <v>152</v>
      </c>
    </row>
    <row r="99" spans="1:9" x14ac:dyDescent="0.35">
      <c r="A99" s="17">
        <v>45687</v>
      </c>
      <c r="B99" s="9">
        <v>6500</v>
      </c>
      <c r="C99" s="32"/>
      <c r="D99" s="57"/>
      <c r="E99" s="43" t="s">
        <v>357</v>
      </c>
      <c r="F99" s="20">
        <f t="shared" si="1"/>
        <v>146038873</v>
      </c>
      <c r="G99" s="10" t="s">
        <v>170</v>
      </c>
      <c r="H99" s="59" t="s">
        <v>325</v>
      </c>
      <c r="I99" s="32" t="s">
        <v>152</v>
      </c>
    </row>
    <row r="100" spans="1:9" x14ac:dyDescent="0.35">
      <c r="A100" s="17">
        <v>45687</v>
      </c>
      <c r="B100" s="9">
        <v>2000000</v>
      </c>
      <c r="C100" s="32"/>
      <c r="D100" s="57"/>
      <c r="E100" s="43" t="s">
        <v>357</v>
      </c>
      <c r="F100" s="20">
        <f t="shared" si="1"/>
        <v>144038873</v>
      </c>
      <c r="G100" s="10" t="s">
        <v>171</v>
      </c>
      <c r="H100" s="59" t="s">
        <v>325</v>
      </c>
      <c r="I100" s="32" t="s">
        <v>152</v>
      </c>
    </row>
    <row r="101" spans="1:9" x14ac:dyDescent="0.35">
      <c r="A101" s="17">
        <v>45687</v>
      </c>
      <c r="B101" s="9">
        <v>6500</v>
      </c>
      <c r="C101" s="32"/>
      <c r="D101" s="57"/>
      <c r="E101" s="43" t="s">
        <v>357</v>
      </c>
      <c r="F101" s="20">
        <f t="shared" si="1"/>
        <v>144032373</v>
      </c>
      <c r="G101" s="10" t="s">
        <v>172</v>
      </c>
      <c r="H101" s="59" t="s">
        <v>325</v>
      </c>
      <c r="I101" s="32" t="s">
        <v>152</v>
      </c>
    </row>
    <row r="102" spans="1:9" x14ac:dyDescent="0.35">
      <c r="A102" s="17">
        <v>45687</v>
      </c>
      <c r="B102" s="9">
        <v>2500000</v>
      </c>
      <c r="C102" s="32"/>
      <c r="D102" s="57"/>
      <c r="E102" s="43" t="s">
        <v>357</v>
      </c>
      <c r="F102" s="20">
        <f t="shared" si="1"/>
        <v>141532373</v>
      </c>
      <c r="G102" s="10" t="s">
        <v>173</v>
      </c>
      <c r="H102" s="59" t="s">
        <v>325</v>
      </c>
      <c r="I102" s="32" t="s">
        <v>152</v>
      </c>
    </row>
    <row r="103" spans="1:9" x14ac:dyDescent="0.35">
      <c r="A103" s="17">
        <v>45687</v>
      </c>
      <c r="B103" s="9">
        <v>6500</v>
      </c>
      <c r="C103" s="32"/>
      <c r="D103" s="57"/>
      <c r="E103" s="43" t="s">
        <v>357</v>
      </c>
      <c r="F103" s="20">
        <f t="shared" si="1"/>
        <v>141525873</v>
      </c>
      <c r="G103" s="10" t="s">
        <v>174</v>
      </c>
      <c r="H103" s="59" t="s">
        <v>325</v>
      </c>
      <c r="I103" s="32" t="s">
        <v>152</v>
      </c>
    </row>
    <row r="104" spans="1:9" x14ac:dyDescent="0.35">
      <c r="A104" s="17">
        <v>45687</v>
      </c>
      <c r="B104" s="9">
        <f>2700000</f>
        <v>2700000</v>
      </c>
      <c r="C104" s="32"/>
      <c r="D104" s="57"/>
      <c r="E104" s="43" t="s">
        <v>357</v>
      </c>
      <c r="F104" s="20">
        <f t="shared" si="1"/>
        <v>138825873</v>
      </c>
      <c r="G104" s="10" t="s">
        <v>175</v>
      </c>
      <c r="H104" s="59" t="s">
        <v>201</v>
      </c>
      <c r="I104" s="32" t="s">
        <v>152</v>
      </c>
    </row>
    <row r="105" spans="1:9" x14ac:dyDescent="0.35">
      <c r="A105" s="17">
        <v>45687</v>
      </c>
      <c r="B105" s="9">
        <v>6500</v>
      </c>
      <c r="C105" s="32"/>
      <c r="D105" s="57"/>
      <c r="E105" s="43" t="s">
        <v>357</v>
      </c>
      <c r="F105" s="20">
        <f t="shared" si="1"/>
        <v>138819373</v>
      </c>
      <c r="G105" s="10" t="s">
        <v>176</v>
      </c>
      <c r="H105" s="59" t="s">
        <v>201</v>
      </c>
      <c r="I105" s="32" t="s">
        <v>152</v>
      </c>
    </row>
    <row r="106" spans="1:9" x14ac:dyDescent="0.35">
      <c r="A106" s="17">
        <v>45687</v>
      </c>
      <c r="B106" s="9">
        <v>2000000</v>
      </c>
      <c r="C106" s="32"/>
      <c r="D106" s="57"/>
      <c r="E106" s="43" t="s">
        <v>357</v>
      </c>
      <c r="F106" s="20">
        <f t="shared" si="1"/>
        <v>136819373</v>
      </c>
      <c r="G106" s="10" t="s">
        <v>180</v>
      </c>
      <c r="H106" s="59" t="s">
        <v>325</v>
      </c>
      <c r="I106" s="32" t="s">
        <v>152</v>
      </c>
    </row>
    <row r="107" spans="1:9" x14ac:dyDescent="0.35">
      <c r="A107" s="17">
        <v>45687</v>
      </c>
      <c r="B107" s="9">
        <v>6500</v>
      </c>
      <c r="C107" s="32"/>
      <c r="D107" s="57"/>
      <c r="E107" s="43" t="s">
        <v>357</v>
      </c>
      <c r="F107" s="20">
        <f t="shared" si="1"/>
        <v>136812873</v>
      </c>
      <c r="G107" s="10" t="s">
        <v>177</v>
      </c>
      <c r="H107" s="59" t="s">
        <v>325</v>
      </c>
      <c r="I107" s="32" t="s">
        <v>152</v>
      </c>
    </row>
    <row r="108" spans="1:9" x14ac:dyDescent="0.35">
      <c r="A108" s="17">
        <v>45687</v>
      </c>
      <c r="B108" s="9">
        <v>1500000</v>
      </c>
      <c r="C108" s="32"/>
      <c r="D108" s="57"/>
      <c r="E108" s="43" t="s">
        <v>357</v>
      </c>
      <c r="F108" s="20">
        <f t="shared" si="1"/>
        <v>135312873</v>
      </c>
      <c r="G108" s="10" t="s">
        <v>178</v>
      </c>
      <c r="H108" s="59" t="s">
        <v>325</v>
      </c>
      <c r="I108" s="32" t="s">
        <v>152</v>
      </c>
    </row>
    <row r="109" spans="1:9" x14ac:dyDescent="0.35">
      <c r="A109" s="17">
        <v>45687</v>
      </c>
      <c r="B109" s="9">
        <v>6500</v>
      </c>
      <c r="C109" s="32"/>
      <c r="D109" s="57"/>
      <c r="E109" s="43" t="s">
        <v>357</v>
      </c>
      <c r="F109" s="20">
        <f t="shared" si="1"/>
        <v>135306373</v>
      </c>
      <c r="G109" s="10" t="s">
        <v>179</v>
      </c>
      <c r="H109" s="59" t="s">
        <v>325</v>
      </c>
      <c r="I109" s="32" t="s">
        <v>152</v>
      </c>
    </row>
    <row r="110" spans="1:9" x14ac:dyDescent="0.35">
      <c r="A110" s="17">
        <v>45687</v>
      </c>
      <c r="B110" s="9">
        <v>2500000</v>
      </c>
      <c r="C110" s="32"/>
      <c r="D110" s="57"/>
      <c r="E110" s="43" t="s">
        <v>357</v>
      </c>
      <c r="F110" s="20">
        <f t="shared" si="1"/>
        <v>132806373</v>
      </c>
      <c r="G110" s="10" t="s">
        <v>181</v>
      </c>
      <c r="H110" s="59" t="s">
        <v>325</v>
      </c>
      <c r="I110" s="32" t="s">
        <v>152</v>
      </c>
    </row>
    <row r="111" spans="1:9" x14ac:dyDescent="0.35">
      <c r="A111" s="17">
        <v>45687</v>
      </c>
      <c r="B111" s="9"/>
      <c r="C111" s="32"/>
      <c r="D111" s="9">
        <v>6000000</v>
      </c>
      <c r="E111" s="43" t="s">
        <v>357</v>
      </c>
      <c r="F111" s="20">
        <f t="shared" si="1"/>
        <v>138806373</v>
      </c>
      <c r="G111" s="10" t="s">
        <v>260</v>
      </c>
      <c r="H111" s="59" t="s">
        <v>109</v>
      </c>
      <c r="I111" s="32" t="s">
        <v>152</v>
      </c>
    </row>
    <row r="112" spans="1:9" x14ac:dyDescent="0.35">
      <c r="A112" s="17">
        <v>45687</v>
      </c>
      <c r="B112" s="9"/>
      <c r="C112" s="32"/>
      <c r="D112" s="57">
        <v>10000</v>
      </c>
      <c r="E112" s="43" t="s">
        <v>357</v>
      </c>
      <c r="F112" s="20">
        <f t="shared" si="1"/>
        <v>138816373</v>
      </c>
      <c r="G112" s="10" t="s">
        <v>256</v>
      </c>
      <c r="H112" s="59" t="s">
        <v>109</v>
      </c>
      <c r="I112" s="32" t="s">
        <v>152</v>
      </c>
    </row>
    <row r="113" spans="1:9" x14ac:dyDescent="0.35">
      <c r="A113" s="17">
        <v>45687</v>
      </c>
      <c r="B113" s="9">
        <v>3000000</v>
      </c>
      <c r="C113" s="32"/>
      <c r="D113" s="57"/>
      <c r="E113" s="43" t="s">
        <v>357</v>
      </c>
      <c r="F113" s="20">
        <f t="shared" si="1"/>
        <v>135816373</v>
      </c>
      <c r="G113" s="10" t="s">
        <v>183</v>
      </c>
      <c r="H113" s="59" t="s">
        <v>203</v>
      </c>
      <c r="I113" s="32" t="s">
        <v>152</v>
      </c>
    </row>
    <row r="114" spans="1:9" x14ac:dyDescent="0.35">
      <c r="A114" s="17">
        <v>45687</v>
      </c>
      <c r="B114" s="9">
        <v>2000000</v>
      </c>
      <c r="C114" s="32"/>
      <c r="D114" s="57"/>
      <c r="E114" s="43" t="s">
        <v>357</v>
      </c>
      <c r="F114" s="20">
        <f t="shared" si="1"/>
        <v>133816373</v>
      </c>
      <c r="G114" s="10" t="s">
        <v>184</v>
      </c>
      <c r="H114" s="59" t="s">
        <v>323</v>
      </c>
      <c r="I114" s="32" t="s">
        <v>152</v>
      </c>
    </row>
    <row r="115" spans="1:9" x14ac:dyDescent="0.35">
      <c r="A115" s="17">
        <v>45687</v>
      </c>
      <c r="B115" s="9">
        <v>2500</v>
      </c>
      <c r="C115" s="32"/>
      <c r="D115" s="57"/>
      <c r="E115" s="43" t="s">
        <v>357</v>
      </c>
      <c r="F115" s="20">
        <f t="shared" si="1"/>
        <v>133813873</v>
      </c>
      <c r="G115" s="10" t="s">
        <v>185</v>
      </c>
      <c r="H115" s="59" t="s">
        <v>323</v>
      </c>
      <c r="I115" s="32" t="s">
        <v>152</v>
      </c>
    </row>
    <row r="116" spans="1:9" x14ac:dyDescent="0.35">
      <c r="A116" s="17">
        <v>45687</v>
      </c>
      <c r="B116" s="9"/>
      <c r="C116" s="32"/>
      <c r="D116" s="57">
        <v>1000</v>
      </c>
      <c r="E116" s="43" t="s">
        <v>357</v>
      </c>
      <c r="F116" s="20">
        <f t="shared" si="1"/>
        <v>133814873</v>
      </c>
      <c r="G116" s="10" t="s">
        <v>168</v>
      </c>
      <c r="H116" s="59" t="s">
        <v>139</v>
      </c>
      <c r="I116" s="32" t="s">
        <v>152</v>
      </c>
    </row>
    <row r="117" spans="1:9" x14ac:dyDescent="0.35">
      <c r="A117" s="17">
        <v>45687</v>
      </c>
      <c r="B117" s="9"/>
      <c r="C117" s="32"/>
      <c r="D117" s="57">
        <v>750000</v>
      </c>
      <c r="E117" s="43" t="s">
        <v>357</v>
      </c>
      <c r="F117" s="20">
        <f t="shared" si="1"/>
        <v>134564873</v>
      </c>
      <c r="G117" s="10" t="s">
        <v>261</v>
      </c>
      <c r="H117" s="59" t="s">
        <v>109</v>
      </c>
      <c r="I117" s="32" t="s">
        <v>152</v>
      </c>
    </row>
    <row r="118" spans="1:9" x14ac:dyDescent="0.35">
      <c r="A118" s="17">
        <v>45687</v>
      </c>
      <c r="B118" s="9"/>
      <c r="C118" s="32"/>
      <c r="D118" s="57">
        <v>10000</v>
      </c>
      <c r="E118" s="43" t="s">
        <v>357</v>
      </c>
      <c r="F118" s="20">
        <f t="shared" si="1"/>
        <v>134574873</v>
      </c>
      <c r="G118" s="10" t="s">
        <v>256</v>
      </c>
      <c r="H118" s="59" t="s">
        <v>109</v>
      </c>
      <c r="I118" s="32" t="s">
        <v>152</v>
      </c>
    </row>
    <row r="119" spans="1:9" x14ac:dyDescent="0.35">
      <c r="A119" s="17">
        <v>45687</v>
      </c>
      <c r="B119" s="9"/>
      <c r="C119" s="32"/>
      <c r="D119" s="57"/>
      <c r="E119" s="43" t="s">
        <v>357</v>
      </c>
      <c r="F119" s="20">
        <f t="shared" si="1"/>
        <v>134574873</v>
      </c>
      <c r="G119" s="10" t="s">
        <v>256</v>
      </c>
      <c r="H119" s="59" t="s">
        <v>109</v>
      </c>
      <c r="I119" s="32" t="s">
        <v>152</v>
      </c>
    </row>
    <row r="120" spans="1:9" x14ac:dyDescent="0.35">
      <c r="A120" s="17">
        <v>45687</v>
      </c>
      <c r="B120" s="9"/>
      <c r="C120" s="32"/>
      <c r="D120" s="57"/>
      <c r="E120" s="43" t="s">
        <v>357</v>
      </c>
      <c r="F120" s="20">
        <f t="shared" si="1"/>
        <v>134574873</v>
      </c>
      <c r="G120" s="10" t="s">
        <v>256</v>
      </c>
      <c r="H120" s="59" t="s">
        <v>109</v>
      </c>
      <c r="I120" s="32" t="s">
        <v>152</v>
      </c>
    </row>
    <row r="121" spans="1:9" x14ac:dyDescent="0.35">
      <c r="A121" s="17">
        <v>45687</v>
      </c>
      <c r="B121" s="32"/>
      <c r="C121" s="23"/>
      <c r="D121" s="23">
        <v>2643000</v>
      </c>
      <c r="E121" s="43" t="s">
        <v>357</v>
      </c>
      <c r="F121" s="20">
        <f t="shared" si="1"/>
        <v>137217873</v>
      </c>
      <c r="G121" s="24" t="s">
        <v>107</v>
      </c>
      <c r="H121" s="59" t="s">
        <v>107</v>
      </c>
      <c r="I121" s="32" t="s">
        <v>152</v>
      </c>
    </row>
    <row r="122" spans="1:9" x14ac:dyDescent="0.35">
      <c r="A122" s="17">
        <v>45687</v>
      </c>
      <c r="B122" s="32"/>
      <c r="C122" s="23"/>
      <c r="D122" s="23">
        <v>2823000</v>
      </c>
      <c r="E122" s="43" t="s">
        <v>357</v>
      </c>
      <c r="F122" s="20">
        <f t="shared" si="1"/>
        <v>140040873</v>
      </c>
      <c r="G122" s="24" t="s">
        <v>109</v>
      </c>
      <c r="H122" s="59" t="s">
        <v>109</v>
      </c>
      <c r="I122" s="32" t="s">
        <v>152</v>
      </c>
    </row>
    <row r="123" spans="1:9" x14ac:dyDescent="0.35">
      <c r="A123" s="17">
        <v>45687</v>
      </c>
      <c r="B123" s="27">
        <v>50000</v>
      </c>
      <c r="C123" s="27"/>
      <c r="D123" s="20"/>
      <c r="E123" s="43" t="s">
        <v>357</v>
      </c>
      <c r="F123" s="20">
        <f t="shared" si="1"/>
        <v>139990873</v>
      </c>
      <c r="G123" s="28" t="s">
        <v>115</v>
      </c>
      <c r="H123" s="59" t="s">
        <v>320</v>
      </c>
      <c r="I123" s="32" t="s">
        <v>152</v>
      </c>
    </row>
    <row r="124" spans="1:9" x14ac:dyDescent="0.35">
      <c r="A124" s="17"/>
      <c r="B124" s="32"/>
      <c r="C124" s="20">
        <v>5416000</v>
      </c>
      <c r="D124" s="20"/>
      <c r="E124" s="56"/>
      <c r="F124" s="20">
        <f t="shared" si="1"/>
        <v>139990873</v>
      </c>
      <c r="G124" s="10" t="s">
        <v>98</v>
      </c>
      <c r="H124" s="59"/>
      <c r="I124" s="32"/>
    </row>
    <row r="125" spans="1:9" x14ac:dyDescent="0.35">
      <c r="A125" s="17">
        <v>45687</v>
      </c>
      <c r="B125" s="9">
        <v>4613000</v>
      </c>
      <c r="C125" s="32"/>
      <c r="D125" s="57"/>
      <c r="E125" s="43" t="s">
        <v>357</v>
      </c>
      <c r="F125" s="20">
        <f t="shared" si="1"/>
        <v>135377873</v>
      </c>
      <c r="G125" s="10" t="s">
        <v>195</v>
      </c>
      <c r="H125" s="59" t="s">
        <v>203</v>
      </c>
      <c r="I125" s="32" t="s">
        <v>152</v>
      </c>
    </row>
    <row r="126" spans="1:9" x14ac:dyDescent="0.35">
      <c r="A126" s="17">
        <v>45687</v>
      </c>
      <c r="B126" s="9">
        <v>2500</v>
      </c>
      <c r="C126" s="32"/>
      <c r="D126" s="57"/>
      <c r="E126" s="43" t="s">
        <v>357</v>
      </c>
      <c r="F126" s="20">
        <f t="shared" si="1"/>
        <v>135375373</v>
      </c>
      <c r="G126" s="10" t="s">
        <v>194</v>
      </c>
      <c r="H126" s="59" t="s">
        <v>203</v>
      </c>
      <c r="I126" s="32" t="s">
        <v>152</v>
      </c>
    </row>
    <row r="127" spans="1:9" x14ac:dyDescent="0.35">
      <c r="A127" s="17">
        <v>45687</v>
      </c>
      <c r="B127" s="9">
        <v>4000000</v>
      </c>
      <c r="C127" s="32"/>
      <c r="D127" s="57"/>
      <c r="E127" s="43" t="s">
        <v>357</v>
      </c>
      <c r="F127" s="20">
        <f t="shared" si="1"/>
        <v>131375373</v>
      </c>
      <c r="G127" s="10" t="s">
        <v>196</v>
      </c>
      <c r="H127" s="59" t="s">
        <v>201</v>
      </c>
      <c r="I127" s="32" t="s">
        <v>152</v>
      </c>
    </row>
    <row r="128" spans="1:9" x14ac:dyDescent="0.35">
      <c r="A128" s="17">
        <v>45687</v>
      </c>
      <c r="B128" s="9">
        <v>2500</v>
      </c>
      <c r="C128" s="32"/>
      <c r="D128" s="57"/>
      <c r="E128" s="43" t="s">
        <v>357</v>
      </c>
      <c r="F128" s="20">
        <f t="shared" si="1"/>
        <v>131372873</v>
      </c>
      <c r="G128" s="10" t="s">
        <v>197</v>
      </c>
      <c r="H128" s="59" t="s">
        <v>201</v>
      </c>
      <c r="I128" s="32" t="s">
        <v>152</v>
      </c>
    </row>
    <row r="129" spans="1:9" x14ac:dyDescent="0.35">
      <c r="A129" s="17">
        <v>45687</v>
      </c>
      <c r="B129" s="155">
        <v>4950000</v>
      </c>
      <c r="C129" s="32"/>
      <c r="D129" s="156"/>
      <c r="E129" s="157" t="s">
        <v>357</v>
      </c>
      <c r="F129" s="38">
        <f t="shared" si="1"/>
        <v>126422873</v>
      </c>
      <c r="G129" s="10" t="s">
        <v>216</v>
      </c>
      <c r="H129" s="59" t="s">
        <v>322</v>
      </c>
      <c r="I129" s="32" t="s">
        <v>152</v>
      </c>
    </row>
    <row r="130" spans="1:9" x14ac:dyDescent="0.35">
      <c r="A130" s="17">
        <v>45688</v>
      </c>
      <c r="B130" s="9"/>
      <c r="C130" s="32"/>
      <c r="D130" s="57">
        <v>100000</v>
      </c>
      <c r="E130" s="43" t="s">
        <v>357</v>
      </c>
      <c r="F130" s="20">
        <f t="shared" si="1"/>
        <v>126522873</v>
      </c>
      <c r="G130" s="10" t="s">
        <v>219</v>
      </c>
      <c r="H130" s="59" t="s">
        <v>105</v>
      </c>
      <c r="I130" s="32" t="s">
        <v>152</v>
      </c>
    </row>
    <row r="131" spans="1:9" x14ac:dyDescent="0.35">
      <c r="A131" s="19">
        <v>45691</v>
      </c>
      <c r="B131" s="20">
        <v>1000000</v>
      </c>
      <c r="C131" s="32"/>
      <c r="D131" s="20"/>
      <c r="E131" s="56" t="s">
        <v>358</v>
      </c>
      <c r="F131" s="20">
        <f t="shared" si="1"/>
        <v>125522873</v>
      </c>
      <c r="G131" s="10" t="s">
        <v>230</v>
      </c>
      <c r="H131" s="59" t="s">
        <v>323</v>
      </c>
      <c r="I131" s="32" t="s">
        <v>152</v>
      </c>
    </row>
    <row r="132" spans="1:9" x14ac:dyDescent="0.35">
      <c r="A132" s="19">
        <v>45691</v>
      </c>
      <c r="B132" s="20">
        <v>2500</v>
      </c>
      <c r="C132" s="32"/>
      <c r="D132" s="20"/>
      <c r="E132" s="56" t="s">
        <v>358</v>
      </c>
      <c r="F132" s="20">
        <f t="shared" si="1"/>
        <v>125520373</v>
      </c>
      <c r="G132" s="10" t="s">
        <v>231</v>
      </c>
      <c r="H132" s="59" t="s">
        <v>323</v>
      </c>
      <c r="I132" s="32" t="s">
        <v>152</v>
      </c>
    </row>
    <row r="133" spans="1:9" x14ac:dyDescent="0.35">
      <c r="A133" s="19">
        <v>45691</v>
      </c>
      <c r="B133" s="20"/>
      <c r="C133" s="32"/>
      <c r="D133" s="20">
        <v>1000</v>
      </c>
      <c r="E133" s="56" t="s">
        <v>358</v>
      </c>
      <c r="F133" s="20">
        <f t="shared" si="1"/>
        <v>125521373</v>
      </c>
      <c r="G133" s="7" t="s">
        <v>252</v>
      </c>
      <c r="H133" s="59" t="s">
        <v>109</v>
      </c>
      <c r="I133" s="32" t="s">
        <v>152</v>
      </c>
    </row>
    <row r="134" spans="1:9" x14ac:dyDescent="0.35">
      <c r="A134" s="19">
        <v>45691</v>
      </c>
      <c r="B134" s="20"/>
      <c r="C134" s="32"/>
      <c r="D134" s="20">
        <v>75000</v>
      </c>
      <c r="E134" s="56" t="s">
        <v>358</v>
      </c>
      <c r="F134" s="20">
        <f t="shared" si="1"/>
        <v>125596373</v>
      </c>
      <c r="G134" s="7" t="s">
        <v>264</v>
      </c>
      <c r="H134" s="59" t="s">
        <v>109</v>
      </c>
      <c r="I134" s="32" t="s">
        <v>152</v>
      </c>
    </row>
    <row r="135" spans="1:9" x14ac:dyDescent="0.35">
      <c r="A135" s="19">
        <v>45691</v>
      </c>
      <c r="B135" s="20"/>
      <c r="C135" s="32"/>
      <c r="D135" s="20">
        <v>500000</v>
      </c>
      <c r="E135" s="56" t="s">
        <v>358</v>
      </c>
      <c r="F135" s="20">
        <f t="shared" ref="F135:F197" si="2">+F134+D135-B135</f>
        <v>126096373</v>
      </c>
      <c r="G135" s="7" t="s">
        <v>233</v>
      </c>
      <c r="H135" s="59" t="s">
        <v>109</v>
      </c>
      <c r="I135" s="32" t="s">
        <v>152</v>
      </c>
    </row>
    <row r="136" spans="1:9" x14ac:dyDescent="0.35">
      <c r="A136" s="19">
        <v>45691</v>
      </c>
      <c r="B136" s="20"/>
      <c r="C136" s="32"/>
      <c r="D136" s="20">
        <v>200000</v>
      </c>
      <c r="E136" s="56" t="s">
        <v>358</v>
      </c>
      <c r="F136" s="20">
        <f t="shared" si="2"/>
        <v>126296373</v>
      </c>
      <c r="G136" s="7" t="s">
        <v>232</v>
      </c>
      <c r="H136" s="59" t="s">
        <v>109</v>
      </c>
      <c r="I136" s="32" t="s">
        <v>152</v>
      </c>
    </row>
    <row r="137" spans="1:9" x14ac:dyDescent="0.35">
      <c r="A137" s="19">
        <v>45691</v>
      </c>
      <c r="B137" s="20"/>
      <c r="C137" s="32"/>
      <c r="D137" s="20">
        <v>15000</v>
      </c>
      <c r="E137" s="56" t="s">
        <v>358</v>
      </c>
      <c r="F137" s="20">
        <f t="shared" si="2"/>
        <v>126311373</v>
      </c>
      <c r="G137" s="7" t="s">
        <v>263</v>
      </c>
      <c r="H137" s="59" t="s">
        <v>109</v>
      </c>
      <c r="I137" s="32" t="s">
        <v>152</v>
      </c>
    </row>
    <row r="138" spans="1:9" x14ac:dyDescent="0.35">
      <c r="A138" s="19">
        <v>45691</v>
      </c>
      <c r="B138" s="20"/>
      <c r="C138" s="32"/>
      <c r="D138" s="20">
        <v>300000</v>
      </c>
      <c r="E138" s="56" t="s">
        <v>358</v>
      </c>
      <c r="F138" s="20">
        <f t="shared" si="2"/>
        <v>126611373</v>
      </c>
      <c r="G138" s="7" t="s">
        <v>243</v>
      </c>
      <c r="H138" s="59" t="s">
        <v>109</v>
      </c>
      <c r="I138" s="32" t="s">
        <v>152</v>
      </c>
    </row>
    <row r="139" spans="1:9" x14ac:dyDescent="0.35">
      <c r="A139" s="19">
        <v>45691</v>
      </c>
      <c r="B139" s="20"/>
      <c r="C139" s="32"/>
      <c r="D139" s="20">
        <v>200000</v>
      </c>
      <c r="E139" s="56" t="s">
        <v>358</v>
      </c>
      <c r="F139" s="20">
        <f t="shared" si="2"/>
        <v>126811373</v>
      </c>
      <c r="G139" s="7" t="s">
        <v>262</v>
      </c>
      <c r="H139" s="59" t="s">
        <v>109</v>
      </c>
      <c r="I139" s="32" t="s">
        <v>152</v>
      </c>
    </row>
    <row r="140" spans="1:9" x14ac:dyDescent="0.35">
      <c r="A140" s="19">
        <v>45691</v>
      </c>
      <c r="B140" s="20"/>
      <c r="C140" s="32"/>
      <c r="D140" s="20">
        <v>300000</v>
      </c>
      <c r="E140" s="56" t="s">
        <v>358</v>
      </c>
      <c r="F140" s="20">
        <f t="shared" si="2"/>
        <v>127111373</v>
      </c>
      <c r="G140" s="7" t="s">
        <v>234</v>
      </c>
      <c r="H140" s="59" t="s">
        <v>109</v>
      </c>
      <c r="I140" s="32" t="s">
        <v>152</v>
      </c>
    </row>
    <row r="141" spans="1:9" x14ac:dyDescent="0.35">
      <c r="A141" s="19">
        <v>45691</v>
      </c>
      <c r="B141" s="20">
        <v>750000</v>
      </c>
      <c r="C141" s="32"/>
      <c r="D141" s="20"/>
      <c r="E141" s="56" t="s">
        <v>358</v>
      </c>
      <c r="F141" s="20">
        <f t="shared" si="2"/>
        <v>126361373</v>
      </c>
      <c r="G141" s="10" t="s">
        <v>235</v>
      </c>
      <c r="H141" s="59" t="s">
        <v>323</v>
      </c>
      <c r="I141" s="32" t="s">
        <v>152</v>
      </c>
    </row>
    <row r="142" spans="1:9" x14ac:dyDescent="0.35">
      <c r="A142" s="19">
        <v>45691</v>
      </c>
      <c r="B142" s="20">
        <v>2500</v>
      </c>
      <c r="C142" s="32"/>
      <c r="D142" s="20"/>
      <c r="E142" s="56" t="s">
        <v>358</v>
      </c>
      <c r="F142" s="20">
        <f t="shared" si="2"/>
        <v>126358873</v>
      </c>
      <c r="G142" s="10" t="s">
        <v>236</v>
      </c>
      <c r="H142" s="59" t="s">
        <v>323</v>
      </c>
      <c r="I142" s="32" t="s">
        <v>152</v>
      </c>
    </row>
    <row r="143" spans="1:9" x14ac:dyDescent="0.35">
      <c r="A143" s="19">
        <v>45691</v>
      </c>
      <c r="B143" s="20"/>
      <c r="C143" s="32"/>
      <c r="D143" s="20">
        <v>500000</v>
      </c>
      <c r="E143" s="56" t="s">
        <v>358</v>
      </c>
      <c r="F143" s="20">
        <f t="shared" si="2"/>
        <v>126858873</v>
      </c>
      <c r="G143" s="7" t="s">
        <v>242</v>
      </c>
      <c r="H143" s="59" t="s">
        <v>109</v>
      </c>
      <c r="I143" s="32" t="s">
        <v>152</v>
      </c>
    </row>
    <row r="144" spans="1:9" x14ac:dyDescent="0.35">
      <c r="A144" s="19">
        <v>45691</v>
      </c>
      <c r="B144" s="20"/>
      <c r="C144" s="32"/>
      <c r="D144" s="20">
        <v>200000</v>
      </c>
      <c r="E144" s="56" t="s">
        <v>358</v>
      </c>
      <c r="F144" s="20">
        <f t="shared" si="2"/>
        <v>127058873</v>
      </c>
      <c r="G144" s="7" t="s">
        <v>237</v>
      </c>
      <c r="H144" s="59" t="s">
        <v>109</v>
      </c>
      <c r="I144" s="32" t="s">
        <v>152</v>
      </c>
    </row>
    <row r="145" spans="1:9" x14ac:dyDescent="0.35">
      <c r="A145" s="19">
        <v>45691</v>
      </c>
      <c r="B145" s="20"/>
      <c r="C145" s="32"/>
      <c r="D145" s="20">
        <v>400000</v>
      </c>
      <c r="E145" s="56" t="s">
        <v>358</v>
      </c>
      <c r="F145" s="20">
        <f t="shared" si="2"/>
        <v>127458873</v>
      </c>
      <c r="G145" s="7" t="s">
        <v>238</v>
      </c>
      <c r="H145" s="59" t="s">
        <v>109</v>
      </c>
      <c r="I145" s="32" t="s">
        <v>152</v>
      </c>
    </row>
    <row r="146" spans="1:9" x14ac:dyDescent="0.35">
      <c r="A146" s="19">
        <v>45691</v>
      </c>
      <c r="B146" s="20"/>
      <c r="C146" s="32"/>
      <c r="D146" s="20">
        <v>200000</v>
      </c>
      <c r="E146" s="56" t="s">
        <v>358</v>
      </c>
      <c r="F146" s="20">
        <f t="shared" si="2"/>
        <v>127658873</v>
      </c>
      <c r="G146" s="7" t="s">
        <v>232</v>
      </c>
      <c r="H146" s="59" t="s">
        <v>109</v>
      </c>
      <c r="I146" s="32" t="s">
        <v>152</v>
      </c>
    </row>
    <row r="147" spans="1:9" x14ac:dyDescent="0.35">
      <c r="A147" s="19">
        <v>45691</v>
      </c>
      <c r="B147" s="20"/>
      <c r="C147" s="32"/>
      <c r="D147" s="20">
        <v>500000</v>
      </c>
      <c r="E147" s="56" t="s">
        <v>358</v>
      </c>
      <c r="F147" s="20">
        <f t="shared" si="2"/>
        <v>128158873</v>
      </c>
      <c r="G147" s="7" t="s">
        <v>53</v>
      </c>
      <c r="H147" s="59" t="s">
        <v>109</v>
      </c>
      <c r="I147" s="32" t="s">
        <v>152</v>
      </c>
    </row>
    <row r="148" spans="1:9" x14ac:dyDescent="0.35">
      <c r="A148" s="19">
        <v>45691</v>
      </c>
      <c r="B148" s="20"/>
      <c r="C148" s="23"/>
      <c r="D148" s="23">
        <v>2412000</v>
      </c>
      <c r="E148" s="56" t="s">
        <v>358</v>
      </c>
      <c r="F148" s="20">
        <f t="shared" si="2"/>
        <v>130570873</v>
      </c>
      <c r="G148" s="24" t="s">
        <v>107</v>
      </c>
      <c r="H148" s="59" t="s">
        <v>107</v>
      </c>
      <c r="I148" s="32" t="s">
        <v>152</v>
      </c>
    </row>
    <row r="149" spans="1:9" x14ac:dyDescent="0.35">
      <c r="A149" s="19">
        <v>45691</v>
      </c>
      <c r="B149" s="20"/>
      <c r="C149" s="23"/>
      <c r="D149" s="23">
        <v>3924000</v>
      </c>
      <c r="E149" s="56" t="s">
        <v>358</v>
      </c>
      <c r="F149" s="20">
        <f t="shared" si="2"/>
        <v>134494873</v>
      </c>
      <c r="G149" s="24" t="s">
        <v>109</v>
      </c>
      <c r="H149" s="59" t="s">
        <v>109</v>
      </c>
      <c r="I149" s="32" t="s">
        <v>152</v>
      </c>
    </row>
    <row r="150" spans="1:9" x14ac:dyDescent="0.35">
      <c r="A150" s="19"/>
      <c r="B150" s="20"/>
      <c r="C150" s="23">
        <v>6336000</v>
      </c>
      <c r="D150" s="20"/>
      <c r="E150" s="56"/>
      <c r="F150" s="20">
        <f t="shared" si="2"/>
        <v>134494873</v>
      </c>
      <c r="G150" s="10" t="s">
        <v>98</v>
      </c>
      <c r="H150" s="59"/>
      <c r="I150" s="32"/>
    </row>
    <row r="151" spans="1:9" x14ac:dyDescent="0.35">
      <c r="A151" s="19">
        <v>45693</v>
      </c>
      <c r="B151" s="20"/>
      <c r="C151" s="32"/>
      <c r="D151" s="20">
        <v>1000000</v>
      </c>
      <c r="E151" s="56" t="s">
        <v>358</v>
      </c>
      <c r="F151" s="20">
        <f t="shared" si="2"/>
        <v>135494873</v>
      </c>
      <c r="G151" s="7" t="s">
        <v>241</v>
      </c>
      <c r="H151" s="59" t="s">
        <v>109</v>
      </c>
      <c r="I151" s="32" t="s">
        <v>152</v>
      </c>
    </row>
    <row r="152" spans="1:9" x14ac:dyDescent="0.35">
      <c r="A152" s="19">
        <v>45694</v>
      </c>
      <c r="B152" s="20"/>
      <c r="C152" s="32"/>
      <c r="D152" s="20">
        <v>200000</v>
      </c>
      <c r="E152" s="56" t="s">
        <v>358</v>
      </c>
      <c r="F152" s="20">
        <f t="shared" si="2"/>
        <v>135694873</v>
      </c>
      <c r="G152" s="7" t="s">
        <v>240</v>
      </c>
      <c r="H152" s="59" t="s">
        <v>109</v>
      </c>
      <c r="I152" s="32" t="s">
        <v>152</v>
      </c>
    </row>
    <row r="153" spans="1:9" x14ac:dyDescent="0.35">
      <c r="A153" s="19">
        <v>45694</v>
      </c>
      <c r="B153" s="20"/>
      <c r="C153" s="32"/>
      <c r="D153" s="20">
        <v>100000</v>
      </c>
      <c r="E153" s="56" t="s">
        <v>358</v>
      </c>
      <c r="F153" s="20">
        <f t="shared" si="2"/>
        <v>135794873</v>
      </c>
      <c r="G153" s="7" t="s">
        <v>239</v>
      </c>
      <c r="H153" s="59" t="s">
        <v>109</v>
      </c>
      <c r="I153" s="32" t="s">
        <v>152</v>
      </c>
    </row>
    <row r="154" spans="1:9" x14ac:dyDescent="0.35">
      <c r="A154" s="19">
        <v>45694</v>
      </c>
      <c r="B154" s="20">
        <v>2000000</v>
      </c>
      <c r="C154" s="20"/>
      <c r="D154" s="20"/>
      <c r="E154" s="56" t="s">
        <v>358</v>
      </c>
      <c r="F154" s="20">
        <f t="shared" si="2"/>
        <v>133794873</v>
      </c>
      <c r="G154" s="7" t="s">
        <v>269</v>
      </c>
      <c r="H154" s="59" t="s">
        <v>323</v>
      </c>
      <c r="I154" s="32" t="s">
        <v>152</v>
      </c>
    </row>
    <row r="155" spans="1:9" x14ac:dyDescent="0.35">
      <c r="A155" s="19">
        <v>45694</v>
      </c>
      <c r="B155" s="20">
        <v>2500</v>
      </c>
      <c r="C155" s="20"/>
      <c r="D155" s="20"/>
      <c r="E155" s="56" t="s">
        <v>358</v>
      </c>
      <c r="F155" s="20">
        <f t="shared" si="2"/>
        <v>133792373</v>
      </c>
      <c r="G155" s="7" t="s">
        <v>270</v>
      </c>
      <c r="H155" s="59" t="s">
        <v>323</v>
      </c>
      <c r="I155" s="32" t="s">
        <v>152</v>
      </c>
    </row>
    <row r="156" spans="1:9" x14ac:dyDescent="0.35">
      <c r="A156" s="19">
        <v>45695</v>
      </c>
      <c r="B156" s="20"/>
      <c r="C156" s="20"/>
      <c r="D156" s="20">
        <v>2000000</v>
      </c>
      <c r="E156" s="56" t="s">
        <v>358</v>
      </c>
      <c r="F156" s="20">
        <f t="shared" si="2"/>
        <v>135792373</v>
      </c>
      <c r="G156" s="7" t="s">
        <v>55</v>
      </c>
      <c r="H156" s="59" t="s">
        <v>109</v>
      </c>
      <c r="I156" s="32" t="s">
        <v>152</v>
      </c>
    </row>
    <row r="157" spans="1:9" x14ac:dyDescent="0.35">
      <c r="A157" s="19">
        <v>45695</v>
      </c>
      <c r="B157" s="20"/>
      <c r="C157" s="20"/>
      <c r="D157" s="20">
        <v>250000</v>
      </c>
      <c r="E157" s="56" t="s">
        <v>358</v>
      </c>
      <c r="F157" s="20">
        <f t="shared" si="2"/>
        <v>136042373</v>
      </c>
      <c r="G157" s="7" t="s">
        <v>271</v>
      </c>
      <c r="H157" s="59" t="s">
        <v>109</v>
      </c>
      <c r="I157" s="32" t="s">
        <v>152</v>
      </c>
    </row>
    <row r="158" spans="1:9" x14ac:dyDescent="0.35">
      <c r="A158" s="19">
        <v>45695</v>
      </c>
      <c r="B158" s="20"/>
      <c r="C158" s="20"/>
      <c r="D158" s="20">
        <v>66500</v>
      </c>
      <c r="E158" s="56" t="s">
        <v>358</v>
      </c>
      <c r="F158" s="20">
        <f t="shared" si="2"/>
        <v>136108873</v>
      </c>
      <c r="G158" s="7" t="s">
        <v>274</v>
      </c>
      <c r="H158" s="59" t="s">
        <v>109</v>
      </c>
      <c r="I158" s="32" t="s">
        <v>152</v>
      </c>
    </row>
    <row r="159" spans="1:9" x14ac:dyDescent="0.35">
      <c r="A159" s="19">
        <v>45696</v>
      </c>
      <c r="B159" s="20">
        <v>750000</v>
      </c>
      <c r="C159" s="20"/>
      <c r="D159" s="20"/>
      <c r="E159" s="56" t="s">
        <v>358</v>
      </c>
      <c r="F159" s="20">
        <f t="shared" si="2"/>
        <v>135358873</v>
      </c>
      <c r="G159" s="10" t="s">
        <v>93</v>
      </c>
      <c r="H159" s="59" t="s">
        <v>323</v>
      </c>
      <c r="I159" s="32" t="s">
        <v>152</v>
      </c>
    </row>
    <row r="160" spans="1:9" x14ac:dyDescent="0.35">
      <c r="A160" s="19">
        <v>45696</v>
      </c>
      <c r="B160" s="20">
        <v>2500</v>
      </c>
      <c r="C160" s="20"/>
      <c r="D160" s="20"/>
      <c r="E160" s="56" t="s">
        <v>358</v>
      </c>
      <c r="F160" s="20">
        <f t="shared" si="2"/>
        <v>135356373</v>
      </c>
      <c r="G160" s="10" t="s">
        <v>94</v>
      </c>
      <c r="H160" s="59" t="s">
        <v>323</v>
      </c>
      <c r="I160" s="32" t="s">
        <v>152</v>
      </c>
    </row>
    <row r="161" spans="1:9" x14ac:dyDescent="0.35">
      <c r="A161" s="19">
        <v>45696</v>
      </c>
      <c r="B161" s="20"/>
      <c r="C161" s="20"/>
      <c r="D161" s="20">
        <v>20000</v>
      </c>
      <c r="E161" s="56" t="s">
        <v>358</v>
      </c>
      <c r="F161" s="20">
        <f t="shared" si="2"/>
        <v>135376373</v>
      </c>
      <c r="G161" s="7" t="s">
        <v>252</v>
      </c>
      <c r="H161" s="59" t="s">
        <v>109</v>
      </c>
      <c r="I161" s="32" t="s">
        <v>152</v>
      </c>
    </row>
    <row r="162" spans="1:9" x14ac:dyDescent="0.35">
      <c r="A162" s="19">
        <v>45696</v>
      </c>
      <c r="B162" s="20"/>
      <c r="C162" s="20"/>
      <c r="D162" s="20">
        <v>75000</v>
      </c>
      <c r="E162" s="56" t="s">
        <v>358</v>
      </c>
      <c r="F162" s="20">
        <f t="shared" si="2"/>
        <v>135451373</v>
      </c>
      <c r="G162" s="7" t="s">
        <v>264</v>
      </c>
      <c r="H162" s="59" t="s">
        <v>109</v>
      </c>
      <c r="I162" s="32" t="s">
        <v>152</v>
      </c>
    </row>
    <row r="163" spans="1:9" x14ac:dyDescent="0.35">
      <c r="A163" s="19">
        <v>45696</v>
      </c>
      <c r="B163" s="20"/>
      <c r="C163" s="20"/>
      <c r="D163" s="20">
        <v>1500</v>
      </c>
      <c r="E163" s="56" t="s">
        <v>358</v>
      </c>
      <c r="F163" s="20">
        <f t="shared" si="2"/>
        <v>135452873</v>
      </c>
      <c r="G163" s="7" t="s">
        <v>251</v>
      </c>
      <c r="H163" s="59" t="s">
        <v>109</v>
      </c>
      <c r="I163" s="32" t="s">
        <v>152</v>
      </c>
    </row>
    <row r="164" spans="1:9" x14ac:dyDescent="0.35">
      <c r="A164" s="19">
        <v>45696</v>
      </c>
      <c r="B164" s="20"/>
      <c r="C164" s="20"/>
      <c r="D164" s="20">
        <v>1250000</v>
      </c>
      <c r="E164" s="56" t="s">
        <v>358</v>
      </c>
      <c r="F164" s="20">
        <f t="shared" si="2"/>
        <v>136702873</v>
      </c>
      <c r="G164" s="7" t="s">
        <v>275</v>
      </c>
      <c r="H164" s="59" t="s">
        <v>109</v>
      </c>
      <c r="I164" s="32" t="s">
        <v>152</v>
      </c>
    </row>
    <row r="165" spans="1:9" x14ac:dyDescent="0.35">
      <c r="A165" s="19">
        <v>45697</v>
      </c>
      <c r="B165" s="20">
        <v>750000</v>
      </c>
      <c r="C165" s="20"/>
      <c r="D165" s="20"/>
      <c r="E165" s="56" t="s">
        <v>358</v>
      </c>
      <c r="F165" s="20">
        <f t="shared" si="2"/>
        <v>135952873</v>
      </c>
      <c r="G165" s="10" t="s">
        <v>276</v>
      </c>
      <c r="H165" s="59" t="s">
        <v>323</v>
      </c>
      <c r="I165" s="32" t="s">
        <v>152</v>
      </c>
    </row>
    <row r="166" spans="1:9" x14ac:dyDescent="0.35">
      <c r="A166" s="19">
        <v>45697</v>
      </c>
      <c r="B166" s="20"/>
      <c r="C166" s="20"/>
      <c r="D166" s="20">
        <v>2000000</v>
      </c>
      <c r="E166" s="56" t="s">
        <v>358</v>
      </c>
      <c r="F166" s="20">
        <f t="shared" si="2"/>
        <v>137952873</v>
      </c>
      <c r="G166" s="7" t="s">
        <v>277</v>
      </c>
      <c r="H166" s="59" t="s">
        <v>109</v>
      </c>
      <c r="I166" s="32" t="s">
        <v>152</v>
      </c>
    </row>
    <row r="167" spans="1:9" x14ac:dyDescent="0.35">
      <c r="A167" s="19">
        <v>45698</v>
      </c>
      <c r="B167" s="20"/>
      <c r="C167" s="20"/>
      <c r="D167" s="20">
        <v>20000</v>
      </c>
      <c r="E167" s="56" t="s">
        <v>358</v>
      </c>
      <c r="F167" s="20">
        <f t="shared" si="2"/>
        <v>137972873</v>
      </c>
      <c r="G167" s="7" t="s">
        <v>279</v>
      </c>
      <c r="H167" s="59" t="s">
        <v>109</v>
      </c>
      <c r="I167" s="32" t="s">
        <v>152</v>
      </c>
    </row>
    <row r="168" spans="1:9" x14ac:dyDescent="0.35">
      <c r="A168" s="19">
        <v>45698</v>
      </c>
      <c r="B168" s="20"/>
      <c r="C168" s="23"/>
      <c r="D168" s="23">
        <v>3222000</v>
      </c>
      <c r="E168" s="56" t="s">
        <v>358</v>
      </c>
      <c r="F168" s="20">
        <f t="shared" si="2"/>
        <v>141194873</v>
      </c>
      <c r="G168" s="24" t="s">
        <v>107</v>
      </c>
      <c r="H168" s="59" t="s">
        <v>107</v>
      </c>
      <c r="I168" s="32" t="s">
        <v>152</v>
      </c>
    </row>
    <row r="169" spans="1:9" x14ac:dyDescent="0.35">
      <c r="A169" s="19">
        <v>45698</v>
      </c>
      <c r="B169" s="20"/>
      <c r="C169" s="23"/>
      <c r="D169" s="23">
        <v>4084000</v>
      </c>
      <c r="E169" s="56" t="s">
        <v>358</v>
      </c>
      <c r="F169" s="20">
        <f t="shared" si="2"/>
        <v>145278873</v>
      </c>
      <c r="G169" s="24" t="s">
        <v>109</v>
      </c>
      <c r="H169" s="59" t="s">
        <v>109</v>
      </c>
      <c r="I169" s="32" t="s">
        <v>152</v>
      </c>
    </row>
    <row r="170" spans="1:9" x14ac:dyDescent="0.35">
      <c r="A170" s="19"/>
      <c r="B170" s="20"/>
      <c r="C170" s="23">
        <v>7306000</v>
      </c>
      <c r="D170" s="20"/>
      <c r="E170" s="56"/>
      <c r="F170" s="20">
        <f t="shared" si="2"/>
        <v>145278873</v>
      </c>
      <c r="G170" s="7" t="s">
        <v>98</v>
      </c>
      <c r="H170" s="59"/>
      <c r="I170" s="32"/>
    </row>
    <row r="171" spans="1:9" x14ac:dyDescent="0.35">
      <c r="A171" s="19">
        <v>45698</v>
      </c>
      <c r="B171" s="20">
        <v>840000</v>
      </c>
      <c r="C171" s="20"/>
      <c r="D171" s="20"/>
      <c r="E171" s="56" t="s">
        <v>358</v>
      </c>
      <c r="F171" s="20">
        <f t="shared" si="2"/>
        <v>144438873</v>
      </c>
      <c r="G171" s="7" t="s">
        <v>272</v>
      </c>
      <c r="H171" s="59" t="s">
        <v>322</v>
      </c>
      <c r="I171" s="32" t="s">
        <v>152</v>
      </c>
    </row>
    <row r="172" spans="1:9" x14ac:dyDescent="0.35">
      <c r="A172" s="19">
        <v>45698</v>
      </c>
      <c r="B172" s="20">
        <v>2500</v>
      </c>
      <c r="C172" s="20"/>
      <c r="D172" s="20"/>
      <c r="E172" s="56" t="s">
        <v>358</v>
      </c>
      <c r="F172" s="20">
        <f t="shared" si="2"/>
        <v>144436373</v>
      </c>
      <c r="G172" s="7" t="s">
        <v>272</v>
      </c>
      <c r="H172" s="59" t="s">
        <v>322</v>
      </c>
      <c r="I172" s="32" t="s">
        <v>152</v>
      </c>
    </row>
    <row r="173" spans="1:9" x14ac:dyDescent="0.35">
      <c r="A173" s="19">
        <v>45699</v>
      </c>
      <c r="B173" s="20">
        <v>1000000</v>
      </c>
      <c r="C173" s="20"/>
      <c r="D173" s="20"/>
      <c r="E173" s="56" t="s">
        <v>358</v>
      </c>
      <c r="F173" s="20">
        <f t="shared" si="2"/>
        <v>143436373</v>
      </c>
      <c r="G173" s="7" t="s">
        <v>273</v>
      </c>
      <c r="H173" s="59" t="s">
        <v>322</v>
      </c>
      <c r="I173" s="32" t="s">
        <v>152</v>
      </c>
    </row>
    <row r="174" spans="1:9" x14ac:dyDescent="0.35">
      <c r="A174" s="19">
        <v>45699</v>
      </c>
      <c r="B174" s="20">
        <v>2500</v>
      </c>
      <c r="C174" s="20"/>
      <c r="D174" s="20"/>
      <c r="E174" s="56" t="s">
        <v>358</v>
      </c>
      <c r="F174" s="20">
        <f t="shared" si="2"/>
        <v>143433873</v>
      </c>
      <c r="G174" s="7" t="s">
        <v>273</v>
      </c>
      <c r="H174" s="59" t="s">
        <v>322</v>
      </c>
      <c r="I174" s="32" t="s">
        <v>152</v>
      </c>
    </row>
    <row r="175" spans="1:9" x14ac:dyDescent="0.35">
      <c r="A175" s="19">
        <v>45699</v>
      </c>
      <c r="B175" s="20"/>
      <c r="C175" s="20"/>
      <c r="D175" s="20">
        <v>1800000</v>
      </c>
      <c r="E175" s="56" t="s">
        <v>358</v>
      </c>
      <c r="F175" s="20">
        <f t="shared" si="2"/>
        <v>145233873</v>
      </c>
      <c r="G175" s="7" t="s">
        <v>278</v>
      </c>
      <c r="H175" s="59" t="s">
        <v>109</v>
      </c>
      <c r="I175" s="32" t="s">
        <v>152</v>
      </c>
    </row>
    <row r="176" spans="1:9" x14ac:dyDescent="0.35">
      <c r="A176" s="19">
        <v>45701</v>
      </c>
      <c r="B176" s="20"/>
      <c r="C176" s="20"/>
      <c r="D176" s="20">
        <v>10000</v>
      </c>
      <c r="E176" s="56" t="s">
        <v>358</v>
      </c>
      <c r="F176" s="20">
        <f t="shared" si="2"/>
        <v>145243873</v>
      </c>
      <c r="G176" s="7" t="s">
        <v>252</v>
      </c>
      <c r="H176" s="59" t="s">
        <v>109</v>
      </c>
      <c r="I176" s="32" t="s">
        <v>152</v>
      </c>
    </row>
    <row r="177" spans="1:9" x14ac:dyDescent="0.35">
      <c r="A177" s="19">
        <v>45702</v>
      </c>
      <c r="B177" s="20"/>
      <c r="C177" s="20"/>
      <c r="D177" s="9">
        <v>20000</v>
      </c>
      <c r="E177" s="56" t="s">
        <v>358</v>
      </c>
      <c r="F177" s="20">
        <f t="shared" si="2"/>
        <v>145263873</v>
      </c>
      <c r="G177" s="7" t="s">
        <v>282</v>
      </c>
      <c r="H177" s="59" t="s">
        <v>109</v>
      </c>
      <c r="I177" s="32" t="s">
        <v>152</v>
      </c>
    </row>
    <row r="178" spans="1:9" x14ac:dyDescent="0.35">
      <c r="A178" s="19">
        <v>45702</v>
      </c>
      <c r="B178" s="20"/>
      <c r="C178" s="20"/>
      <c r="D178" s="9">
        <v>10000</v>
      </c>
      <c r="E178" s="56" t="s">
        <v>358</v>
      </c>
      <c r="F178" s="20">
        <f t="shared" si="2"/>
        <v>145273873</v>
      </c>
      <c r="G178" s="7" t="s">
        <v>282</v>
      </c>
      <c r="H178" s="59" t="s">
        <v>109</v>
      </c>
      <c r="I178" s="32" t="s">
        <v>152</v>
      </c>
    </row>
    <row r="179" spans="1:9" x14ac:dyDescent="0.35">
      <c r="A179" s="19">
        <v>45702</v>
      </c>
      <c r="B179" s="20"/>
      <c r="C179" s="20"/>
      <c r="D179" s="9">
        <v>25000</v>
      </c>
      <c r="E179" s="56" t="s">
        <v>358</v>
      </c>
      <c r="F179" s="20">
        <f t="shared" si="2"/>
        <v>145298873</v>
      </c>
      <c r="G179" s="7" t="s">
        <v>282</v>
      </c>
      <c r="H179" s="59" t="s">
        <v>109</v>
      </c>
      <c r="I179" s="32" t="s">
        <v>152</v>
      </c>
    </row>
    <row r="180" spans="1:9" x14ac:dyDescent="0.35">
      <c r="A180" s="19">
        <v>45702</v>
      </c>
      <c r="B180" s="20"/>
      <c r="C180" s="20"/>
      <c r="D180" s="9">
        <v>400000</v>
      </c>
      <c r="E180" s="56" t="s">
        <v>358</v>
      </c>
      <c r="F180" s="20">
        <f t="shared" si="2"/>
        <v>145698873</v>
      </c>
      <c r="G180" s="7" t="s">
        <v>290</v>
      </c>
      <c r="H180" s="59" t="s">
        <v>140</v>
      </c>
      <c r="I180" s="32" t="s">
        <v>152</v>
      </c>
    </row>
    <row r="181" spans="1:9" x14ac:dyDescent="0.35">
      <c r="A181" s="19">
        <v>45705</v>
      </c>
      <c r="B181" s="20"/>
      <c r="C181" s="20"/>
      <c r="D181" s="9">
        <v>100000</v>
      </c>
      <c r="E181" s="56" t="s">
        <v>358</v>
      </c>
      <c r="F181" s="20">
        <f t="shared" si="2"/>
        <v>145798873</v>
      </c>
      <c r="G181" s="7" t="s">
        <v>282</v>
      </c>
      <c r="H181" s="59" t="s">
        <v>109</v>
      </c>
      <c r="I181" s="32" t="s">
        <v>152</v>
      </c>
    </row>
    <row r="182" spans="1:9" x14ac:dyDescent="0.35">
      <c r="A182" s="19">
        <v>45705</v>
      </c>
      <c r="B182" s="20"/>
      <c r="C182" s="20"/>
      <c r="D182" s="9">
        <v>10000</v>
      </c>
      <c r="E182" s="56" t="s">
        <v>358</v>
      </c>
      <c r="F182" s="20">
        <f t="shared" si="2"/>
        <v>145808873</v>
      </c>
      <c r="G182" s="7" t="s">
        <v>282</v>
      </c>
      <c r="H182" s="59" t="s">
        <v>109</v>
      </c>
      <c r="I182" s="32" t="s">
        <v>152</v>
      </c>
    </row>
    <row r="183" spans="1:9" x14ac:dyDescent="0.35">
      <c r="A183" s="19">
        <v>45705</v>
      </c>
      <c r="B183" s="20"/>
      <c r="C183" s="20"/>
      <c r="D183" s="9">
        <v>1700</v>
      </c>
      <c r="E183" s="56" t="s">
        <v>358</v>
      </c>
      <c r="F183" s="20">
        <f t="shared" si="2"/>
        <v>145810573</v>
      </c>
      <c r="G183" s="7" t="s">
        <v>282</v>
      </c>
      <c r="H183" s="59" t="s">
        <v>109</v>
      </c>
      <c r="I183" s="32" t="s">
        <v>152</v>
      </c>
    </row>
    <row r="184" spans="1:9" x14ac:dyDescent="0.35">
      <c r="A184" s="19">
        <v>45705</v>
      </c>
      <c r="B184" s="20">
        <v>750000</v>
      </c>
      <c r="C184" s="20"/>
      <c r="D184" s="9"/>
      <c r="E184" s="56" t="s">
        <v>358</v>
      </c>
      <c r="F184" s="20">
        <f t="shared" si="2"/>
        <v>145060573</v>
      </c>
      <c r="G184" s="7" t="s">
        <v>283</v>
      </c>
      <c r="H184" s="59" t="s">
        <v>323</v>
      </c>
      <c r="I184" s="32" t="s">
        <v>152</v>
      </c>
    </row>
    <row r="185" spans="1:9" x14ac:dyDescent="0.35">
      <c r="A185" s="19">
        <v>45705</v>
      </c>
      <c r="B185" s="20">
        <v>2500</v>
      </c>
      <c r="C185" s="20"/>
      <c r="D185" s="9"/>
      <c r="E185" s="56" t="s">
        <v>358</v>
      </c>
      <c r="F185" s="20">
        <f t="shared" si="2"/>
        <v>145058073</v>
      </c>
      <c r="G185" s="7" t="s">
        <v>284</v>
      </c>
      <c r="H185" s="59" t="s">
        <v>323</v>
      </c>
      <c r="I185" s="32" t="s">
        <v>152</v>
      </c>
    </row>
    <row r="186" spans="1:9" x14ac:dyDescent="0.35">
      <c r="A186" s="19">
        <v>45705</v>
      </c>
      <c r="B186" s="20">
        <v>750000</v>
      </c>
      <c r="C186" s="20"/>
      <c r="D186" s="9"/>
      <c r="E186" s="56" t="s">
        <v>358</v>
      </c>
      <c r="F186" s="20">
        <f t="shared" si="2"/>
        <v>144308073</v>
      </c>
      <c r="G186" s="7" t="s">
        <v>285</v>
      </c>
      <c r="H186" s="59" t="s">
        <v>323</v>
      </c>
      <c r="I186" s="32" t="s">
        <v>152</v>
      </c>
    </row>
    <row r="187" spans="1:9" x14ac:dyDescent="0.35">
      <c r="A187" s="19">
        <v>45705</v>
      </c>
      <c r="B187" s="20">
        <v>2500</v>
      </c>
      <c r="C187" s="20"/>
      <c r="D187" s="9"/>
      <c r="E187" s="56" t="s">
        <v>358</v>
      </c>
      <c r="F187" s="20">
        <f t="shared" si="2"/>
        <v>144305573</v>
      </c>
      <c r="G187" s="7" t="s">
        <v>284</v>
      </c>
      <c r="H187" s="59" t="s">
        <v>323</v>
      </c>
      <c r="I187" s="32" t="s">
        <v>152</v>
      </c>
    </row>
    <row r="188" spans="1:9" x14ac:dyDescent="0.35">
      <c r="A188" s="19">
        <v>45705</v>
      </c>
      <c r="B188" s="20"/>
      <c r="C188" s="20"/>
      <c r="D188" s="9">
        <v>10000</v>
      </c>
      <c r="E188" s="56" t="s">
        <v>358</v>
      </c>
      <c r="F188" s="20">
        <f t="shared" si="2"/>
        <v>144315573</v>
      </c>
      <c r="G188" s="7" t="s">
        <v>282</v>
      </c>
      <c r="H188" s="59" t="s">
        <v>109</v>
      </c>
      <c r="I188" s="32" t="s">
        <v>152</v>
      </c>
    </row>
    <row r="189" spans="1:9" x14ac:dyDescent="0.35">
      <c r="A189" s="19">
        <v>45705</v>
      </c>
      <c r="B189" s="20"/>
      <c r="C189" s="20"/>
      <c r="D189" s="9">
        <v>1550000</v>
      </c>
      <c r="E189" s="56" t="s">
        <v>358</v>
      </c>
      <c r="F189" s="20">
        <f t="shared" si="2"/>
        <v>145865573</v>
      </c>
      <c r="G189" s="7" t="s">
        <v>293</v>
      </c>
      <c r="H189" s="59" t="s">
        <v>109</v>
      </c>
      <c r="I189" s="32" t="s">
        <v>152</v>
      </c>
    </row>
    <row r="190" spans="1:9" x14ac:dyDescent="0.35">
      <c r="A190" s="19">
        <v>45705</v>
      </c>
      <c r="B190" s="20"/>
      <c r="C190" s="20"/>
      <c r="D190" s="9">
        <v>10000</v>
      </c>
      <c r="E190" s="56" t="s">
        <v>358</v>
      </c>
      <c r="F190" s="20">
        <f t="shared" si="2"/>
        <v>145875573</v>
      </c>
      <c r="G190" s="7" t="s">
        <v>282</v>
      </c>
      <c r="H190" s="59" t="s">
        <v>109</v>
      </c>
      <c r="I190" s="32" t="s">
        <v>152</v>
      </c>
    </row>
    <row r="191" spans="1:9" x14ac:dyDescent="0.35">
      <c r="A191" s="19">
        <v>45706</v>
      </c>
      <c r="B191" s="20"/>
      <c r="C191" s="20"/>
      <c r="D191" s="23">
        <v>3264000</v>
      </c>
      <c r="E191" s="56" t="s">
        <v>358</v>
      </c>
      <c r="F191" s="20">
        <f t="shared" si="2"/>
        <v>149139573</v>
      </c>
      <c r="G191" s="24" t="s">
        <v>107</v>
      </c>
      <c r="H191" s="59" t="s">
        <v>107</v>
      </c>
      <c r="I191" s="32" t="s">
        <v>152</v>
      </c>
    </row>
    <row r="192" spans="1:9" x14ac:dyDescent="0.35">
      <c r="A192" s="19">
        <v>45706</v>
      </c>
      <c r="B192" s="20"/>
      <c r="C192" s="20"/>
      <c r="D192" s="23">
        <v>1961000</v>
      </c>
      <c r="E192" s="56" t="s">
        <v>358</v>
      </c>
      <c r="F192" s="20">
        <f t="shared" si="2"/>
        <v>151100573</v>
      </c>
      <c r="G192" s="24" t="s">
        <v>109</v>
      </c>
      <c r="H192" s="59" t="s">
        <v>109</v>
      </c>
      <c r="I192" s="32" t="s">
        <v>152</v>
      </c>
    </row>
    <row r="193" spans="1:9" x14ac:dyDescent="0.35">
      <c r="A193" s="19"/>
      <c r="B193" s="20"/>
      <c r="C193" s="9">
        <v>5225000</v>
      </c>
      <c r="D193" s="9"/>
      <c r="E193" s="56"/>
      <c r="F193" s="20">
        <f t="shared" si="2"/>
        <v>151100573</v>
      </c>
      <c r="G193" s="7" t="s">
        <v>98</v>
      </c>
      <c r="H193" s="59"/>
      <c r="I193" s="32"/>
    </row>
    <row r="194" spans="1:9" x14ac:dyDescent="0.35">
      <c r="A194" s="19">
        <v>45706</v>
      </c>
      <c r="B194" s="20">
        <v>625000</v>
      </c>
      <c r="C194" s="20"/>
      <c r="D194" s="9"/>
      <c r="E194" s="56" t="s">
        <v>358</v>
      </c>
      <c r="F194" s="20">
        <f t="shared" si="2"/>
        <v>150475573</v>
      </c>
      <c r="G194" s="7" t="s">
        <v>286</v>
      </c>
      <c r="H194" s="59" t="s">
        <v>320</v>
      </c>
      <c r="I194" s="32" t="s">
        <v>152</v>
      </c>
    </row>
    <row r="195" spans="1:9" x14ac:dyDescent="0.35">
      <c r="A195" s="19">
        <v>45706</v>
      </c>
      <c r="B195" s="20">
        <v>2500</v>
      </c>
      <c r="C195" s="20"/>
      <c r="D195" s="9"/>
      <c r="E195" s="56" t="s">
        <v>358</v>
      </c>
      <c r="F195" s="20">
        <f t="shared" si="2"/>
        <v>150473073</v>
      </c>
      <c r="G195" s="7" t="s">
        <v>287</v>
      </c>
      <c r="H195" s="59" t="s">
        <v>320</v>
      </c>
      <c r="I195" s="32" t="s">
        <v>152</v>
      </c>
    </row>
    <row r="196" spans="1:9" x14ac:dyDescent="0.35">
      <c r="A196" s="19">
        <v>45706</v>
      </c>
      <c r="B196" s="20"/>
      <c r="C196" s="20"/>
      <c r="D196" s="9">
        <v>150000</v>
      </c>
      <c r="E196" s="56" t="s">
        <v>358</v>
      </c>
      <c r="F196" s="20">
        <f t="shared" si="2"/>
        <v>150623073</v>
      </c>
      <c r="G196" s="7" t="s">
        <v>291</v>
      </c>
      <c r="H196" s="59" t="s">
        <v>109</v>
      </c>
      <c r="I196" s="32" t="s">
        <v>152</v>
      </c>
    </row>
    <row r="197" spans="1:9" x14ac:dyDescent="0.35">
      <c r="A197" s="19">
        <v>45707</v>
      </c>
      <c r="B197" s="20"/>
      <c r="C197" s="20"/>
      <c r="D197" s="9">
        <v>20000</v>
      </c>
      <c r="E197" s="56" t="s">
        <v>358</v>
      </c>
      <c r="F197" s="20">
        <f t="shared" si="2"/>
        <v>150643073</v>
      </c>
      <c r="G197" s="7" t="s">
        <v>282</v>
      </c>
      <c r="H197" s="59" t="s">
        <v>109</v>
      </c>
      <c r="I197" s="32" t="s">
        <v>152</v>
      </c>
    </row>
    <row r="198" spans="1:9" x14ac:dyDescent="0.35">
      <c r="A198" s="19">
        <v>45707</v>
      </c>
      <c r="B198" s="20"/>
      <c r="C198" s="20"/>
      <c r="D198" s="9">
        <v>1000000</v>
      </c>
      <c r="E198" s="56" t="s">
        <v>358</v>
      </c>
      <c r="F198" s="20">
        <f t="shared" ref="F198:F260" si="3">+F197+D198-B198</f>
        <v>151643073</v>
      </c>
      <c r="G198" s="7" t="s">
        <v>292</v>
      </c>
      <c r="H198" s="59" t="s">
        <v>109</v>
      </c>
      <c r="I198" s="32" t="s">
        <v>152</v>
      </c>
    </row>
    <row r="199" spans="1:9" x14ac:dyDescent="0.35">
      <c r="A199" s="19">
        <v>45707</v>
      </c>
      <c r="B199" s="20"/>
      <c r="C199" s="20"/>
      <c r="D199" s="9">
        <v>400000</v>
      </c>
      <c r="E199" s="56" t="s">
        <v>358</v>
      </c>
      <c r="F199" s="20">
        <f t="shared" si="3"/>
        <v>152043073</v>
      </c>
      <c r="G199" s="7" t="s">
        <v>288</v>
      </c>
      <c r="H199" s="59" t="s">
        <v>140</v>
      </c>
      <c r="I199" s="32" t="s">
        <v>152</v>
      </c>
    </row>
    <row r="200" spans="1:9" x14ac:dyDescent="0.35">
      <c r="A200" s="19">
        <v>45708</v>
      </c>
      <c r="B200" s="20"/>
      <c r="C200" s="20"/>
      <c r="D200" s="9">
        <v>20000</v>
      </c>
      <c r="E200" s="56" t="s">
        <v>358</v>
      </c>
      <c r="F200" s="20">
        <f t="shared" si="3"/>
        <v>152063073</v>
      </c>
      <c r="G200" s="7" t="s">
        <v>282</v>
      </c>
      <c r="H200" s="59" t="s">
        <v>109</v>
      </c>
      <c r="I200" s="32" t="s">
        <v>152</v>
      </c>
    </row>
    <row r="201" spans="1:9" x14ac:dyDescent="0.35">
      <c r="A201" s="19"/>
      <c r="B201" s="20"/>
      <c r="C201" s="23">
        <v>2650000</v>
      </c>
      <c r="D201" s="9"/>
      <c r="E201" s="56"/>
      <c r="F201" s="20">
        <f t="shared" si="3"/>
        <v>152063073</v>
      </c>
      <c r="G201" s="7" t="s">
        <v>294</v>
      </c>
      <c r="H201" s="59"/>
      <c r="I201" s="32"/>
    </row>
    <row r="202" spans="1:9" x14ac:dyDescent="0.35">
      <c r="A202" s="19"/>
      <c r="B202" s="20"/>
      <c r="C202" s="27">
        <v>-265000</v>
      </c>
      <c r="D202" s="9"/>
      <c r="E202" s="56"/>
      <c r="F202" s="20">
        <f t="shared" si="3"/>
        <v>152063073</v>
      </c>
      <c r="G202" s="7" t="s">
        <v>295</v>
      </c>
      <c r="H202" s="59"/>
      <c r="I202" s="32"/>
    </row>
    <row r="203" spans="1:9" x14ac:dyDescent="0.35">
      <c r="A203" s="19">
        <v>45708</v>
      </c>
      <c r="B203" s="20"/>
      <c r="C203" s="20"/>
      <c r="D203" s="9">
        <v>2385000</v>
      </c>
      <c r="E203" s="56" t="s">
        <v>358</v>
      </c>
      <c r="F203" s="20">
        <f t="shared" si="3"/>
        <v>154448073</v>
      </c>
      <c r="G203" s="7" t="s">
        <v>289</v>
      </c>
      <c r="H203" s="59" t="s">
        <v>109</v>
      </c>
      <c r="I203" s="32" t="s">
        <v>152</v>
      </c>
    </row>
    <row r="204" spans="1:9" x14ac:dyDescent="0.35">
      <c r="A204" s="19">
        <v>45709</v>
      </c>
      <c r="B204" s="20"/>
      <c r="C204" s="20"/>
      <c r="D204" s="9">
        <v>100000</v>
      </c>
      <c r="E204" s="56" t="s">
        <v>358</v>
      </c>
      <c r="F204" s="20">
        <f t="shared" si="3"/>
        <v>154548073</v>
      </c>
      <c r="G204" s="7" t="s">
        <v>255</v>
      </c>
      <c r="H204" s="59" t="s">
        <v>109</v>
      </c>
      <c r="I204" s="32" t="s">
        <v>152</v>
      </c>
    </row>
    <row r="205" spans="1:9" x14ac:dyDescent="0.35">
      <c r="A205" s="19">
        <v>45712</v>
      </c>
      <c r="B205" s="20">
        <v>750000</v>
      </c>
      <c r="C205" s="20"/>
      <c r="D205" s="9"/>
      <c r="E205" s="56" t="s">
        <v>358</v>
      </c>
      <c r="F205" s="20">
        <f t="shared" si="3"/>
        <v>153798073</v>
      </c>
      <c r="G205" s="7" t="s">
        <v>160</v>
      </c>
      <c r="H205" s="59" t="s">
        <v>323</v>
      </c>
      <c r="I205" s="32" t="s">
        <v>152</v>
      </c>
    </row>
    <row r="206" spans="1:9" x14ac:dyDescent="0.35">
      <c r="A206" s="19">
        <v>45712</v>
      </c>
      <c r="B206" s="20">
        <v>2500</v>
      </c>
      <c r="C206" s="20"/>
      <c r="D206" s="9"/>
      <c r="E206" s="56" t="s">
        <v>358</v>
      </c>
      <c r="F206" s="20">
        <f t="shared" si="3"/>
        <v>153795573</v>
      </c>
      <c r="G206" s="7" t="s">
        <v>161</v>
      </c>
      <c r="H206" s="59" t="s">
        <v>323</v>
      </c>
      <c r="I206" s="32" t="s">
        <v>152</v>
      </c>
    </row>
    <row r="207" spans="1:9" x14ac:dyDescent="0.35">
      <c r="A207" s="19">
        <v>45712</v>
      </c>
      <c r="B207" s="20"/>
      <c r="C207" s="20"/>
      <c r="D207" s="9">
        <v>50000</v>
      </c>
      <c r="E207" s="56" t="s">
        <v>358</v>
      </c>
      <c r="F207" s="20">
        <f t="shared" si="3"/>
        <v>153845573</v>
      </c>
      <c r="G207" s="7" t="s">
        <v>282</v>
      </c>
      <c r="H207" s="59" t="s">
        <v>109</v>
      </c>
      <c r="I207" s="32" t="s">
        <v>152</v>
      </c>
    </row>
    <row r="208" spans="1:9" x14ac:dyDescent="0.35">
      <c r="A208" s="19">
        <v>45712</v>
      </c>
      <c r="B208" s="20"/>
      <c r="C208" s="20"/>
      <c r="D208" s="9">
        <v>20000</v>
      </c>
      <c r="E208" s="56" t="s">
        <v>358</v>
      </c>
      <c r="F208" s="20">
        <f t="shared" si="3"/>
        <v>153865573</v>
      </c>
      <c r="G208" s="7" t="s">
        <v>282</v>
      </c>
      <c r="H208" s="59" t="s">
        <v>109</v>
      </c>
      <c r="I208" s="32" t="s">
        <v>152</v>
      </c>
    </row>
    <row r="209" spans="1:9" x14ac:dyDescent="0.35">
      <c r="A209" s="19">
        <v>45712</v>
      </c>
      <c r="B209" s="20"/>
      <c r="C209" s="20"/>
      <c r="D209" s="9">
        <v>150000</v>
      </c>
      <c r="E209" s="56" t="s">
        <v>358</v>
      </c>
      <c r="F209" s="20">
        <f t="shared" si="3"/>
        <v>154015573</v>
      </c>
      <c r="G209" s="7" t="s">
        <v>282</v>
      </c>
      <c r="H209" s="59" t="s">
        <v>109</v>
      </c>
      <c r="I209" s="32" t="s">
        <v>152</v>
      </c>
    </row>
    <row r="210" spans="1:9" x14ac:dyDescent="0.35">
      <c r="A210" s="19">
        <v>45712</v>
      </c>
      <c r="B210" s="20"/>
      <c r="C210" s="20"/>
      <c r="D210" s="9">
        <v>1904</v>
      </c>
      <c r="E210" s="56" t="s">
        <v>358</v>
      </c>
      <c r="F210" s="20">
        <f t="shared" si="3"/>
        <v>154017477</v>
      </c>
      <c r="G210" s="7" t="s">
        <v>282</v>
      </c>
      <c r="H210" s="59" t="s">
        <v>109</v>
      </c>
      <c r="I210" s="32" t="s">
        <v>152</v>
      </c>
    </row>
    <row r="211" spans="1:9" x14ac:dyDescent="0.35">
      <c r="A211" s="19">
        <v>45712</v>
      </c>
      <c r="B211" s="20">
        <v>1000000</v>
      </c>
      <c r="C211" s="20"/>
      <c r="D211" s="9"/>
      <c r="E211" s="56" t="s">
        <v>358</v>
      </c>
      <c r="F211" s="20">
        <f t="shared" si="3"/>
        <v>153017477</v>
      </c>
      <c r="G211" s="7" t="s">
        <v>165</v>
      </c>
      <c r="H211" s="59" t="s">
        <v>323</v>
      </c>
      <c r="I211" s="32" t="s">
        <v>152</v>
      </c>
    </row>
    <row r="212" spans="1:9" x14ac:dyDescent="0.35">
      <c r="A212" s="19">
        <v>45712</v>
      </c>
      <c r="B212" s="20">
        <v>2500</v>
      </c>
      <c r="C212" s="20"/>
      <c r="D212" s="9"/>
      <c r="E212" s="56" t="s">
        <v>358</v>
      </c>
      <c r="F212" s="20">
        <f t="shared" si="3"/>
        <v>153014977</v>
      </c>
      <c r="G212" s="7" t="s">
        <v>166</v>
      </c>
      <c r="H212" s="59" t="s">
        <v>323</v>
      </c>
      <c r="I212" s="32" t="s">
        <v>152</v>
      </c>
    </row>
    <row r="213" spans="1:9" x14ac:dyDescent="0.35">
      <c r="A213" s="19">
        <v>45712</v>
      </c>
      <c r="B213" s="20">
        <v>1500000</v>
      </c>
      <c r="C213" s="20"/>
      <c r="D213" s="9"/>
      <c r="E213" s="56" t="s">
        <v>358</v>
      </c>
      <c r="F213" s="20">
        <f t="shared" si="3"/>
        <v>151514977</v>
      </c>
      <c r="G213" s="7" t="s">
        <v>303</v>
      </c>
      <c r="H213" s="59" t="s">
        <v>323</v>
      </c>
      <c r="I213" s="32" t="s">
        <v>152</v>
      </c>
    </row>
    <row r="214" spans="1:9" x14ac:dyDescent="0.35">
      <c r="A214" s="19">
        <v>45712</v>
      </c>
      <c r="B214" s="20">
        <v>6500</v>
      </c>
      <c r="C214" s="20"/>
      <c r="D214" s="9"/>
      <c r="E214" s="56" t="s">
        <v>358</v>
      </c>
      <c r="F214" s="20">
        <f t="shared" si="3"/>
        <v>151508477</v>
      </c>
      <c r="G214" s="7" t="s">
        <v>304</v>
      </c>
      <c r="H214" s="59" t="s">
        <v>323</v>
      </c>
      <c r="I214" s="32" t="s">
        <v>152</v>
      </c>
    </row>
    <row r="215" spans="1:9" x14ac:dyDescent="0.35">
      <c r="A215" s="19">
        <v>45712</v>
      </c>
      <c r="B215" s="20"/>
      <c r="C215" s="20"/>
      <c r="D215" s="9">
        <v>5000</v>
      </c>
      <c r="E215" s="56" t="s">
        <v>358</v>
      </c>
      <c r="F215" s="20">
        <f t="shared" si="3"/>
        <v>151513477</v>
      </c>
      <c r="G215" s="7" t="s">
        <v>282</v>
      </c>
      <c r="H215" s="59" t="s">
        <v>109</v>
      </c>
      <c r="I215" s="32" t="s">
        <v>152</v>
      </c>
    </row>
    <row r="216" spans="1:9" x14ac:dyDescent="0.35">
      <c r="A216" s="19">
        <v>45712</v>
      </c>
      <c r="B216" s="20"/>
      <c r="C216" s="20"/>
      <c r="D216" s="9">
        <v>1000</v>
      </c>
      <c r="E216" s="56" t="s">
        <v>358</v>
      </c>
      <c r="F216" s="20">
        <f t="shared" si="3"/>
        <v>151514477</v>
      </c>
      <c r="G216" s="7" t="s">
        <v>282</v>
      </c>
      <c r="H216" s="59" t="s">
        <v>109</v>
      </c>
      <c r="I216" s="32" t="s">
        <v>152</v>
      </c>
    </row>
    <row r="217" spans="1:9" x14ac:dyDescent="0.35">
      <c r="A217" s="19">
        <v>45712</v>
      </c>
      <c r="B217" s="20"/>
      <c r="C217" s="20"/>
      <c r="D217" s="23">
        <v>2641000</v>
      </c>
      <c r="E217" s="56" t="s">
        <v>358</v>
      </c>
      <c r="F217" s="20">
        <f t="shared" si="3"/>
        <v>154155477</v>
      </c>
      <c r="G217" s="24" t="s">
        <v>107</v>
      </c>
      <c r="H217" s="59" t="s">
        <v>107</v>
      </c>
      <c r="I217" s="32" t="s">
        <v>152</v>
      </c>
    </row>
    <row r="218" spans="1:9" x14ac:dyDescent="0.35">
      <c r="A218" s="19">
        <v>45712</v>
      </c>
      <c r="B218" s="20"/>
      <c r="C218" s="20"/>
      <c r="D218" s="23">
        <v>2441000</v>
      </c>
      <c r="E218" s="56" t="s">
        <v>358</v>
      </c>
      <c r="F218" s="20">
        <f t="shared" si="3"/>
        <v>156596477</v>
      </c>
      <c r="G218" s="24" t="s">
        <v>109</v>
      </c>
      <c r="H218" s="59" t="s">
        <v>109</v>
      </c>
      <c r="I218" s="32" t="s">
        <v>152</v>
      </c>
    </row>
    <row r="219" spans="1:9" x14ac:dyDescent="0.35">
      <c r="A219" s="19">
        <v>45712</v>
      </c>
      <c r="B219" s="23">
        <v>62000</v>
      </c>
      <c r="C219" s="20"/>
      <c r="D219" s="9"/>
      <c r="E219" s="56" t="s">
        <v>358</v>
      </c>
      <c r="F219" s="20">
        <f t="shared" si="3"/>
        <v>156534477</v>
      </c>
      <c r="G219" s="24" t="s">
        <v>115</v>
      </c>
      <c r="H219" s="59" t="s">
        <v>320</v>
      </c>
      <c r="I219" s="32" t="s">
        <v>152</v>
      </c>
    </row>
    <row r="220" spans="1:9" x14ac:dyDescent="0.35">
      <c r="A220" s="19"/>
      <c r="B220" s="20"/>
      <c r="C220" s="95">
        <v>5020000</v>
      </c>
      <c r="D220" s="9"/>
      <c r="E220" s="56"/>
      <c r="F220" s="20">
        <f t="shared" si="3"/>
        <v>156534477</v>
      </c>
      <c r="G220" s="7" t="s">
        <v>305</v>
      </c>
      <c r="H220" s="59"/>
      <c r="I220" s="32"/>
    </row>
    <row r="221" spans="1:9" x14ac:dyDescent="0.35">
      <c r="A221" s="19">
        <v>45713</v>
      </c>
      <c r="B221" s="20"/>
      <c r="C221" s="20"/>
      <c r="D221" s="9">
        <v>50000</v>
      </c>
      <c r="E221" s="56" t="s">
        <v>358</v>
      </c>
      <c r="F221" s="20">
        <f t="shared" si="3"/>
        <v>156584477</v>
      </c>
      <c r="G221" s="7" t="s">
        <v>282</v>
      </c>
      <c r="H221" s="59" t="s">
        <v>109</v>
      </c>
      <c r="I221" s="32" t="s">
        <v>152</v>
      </c>
    </row>
    <row r="222" spans="1:9" x14ac:dyDescent="0.35">
      <c r="A222" s="19">
        <v>45713</v>
      </c>
      <c r="B222" s="20"/>
      <c r="C222" s="20"/>
      <c r="D222" s="9">
        <v>10000</v>
      </c>
      <c r="E222" s="56" t="s">
        <v>358</v>
      </c>
      <c r="F222" s="20">
        <f t="shared" si="3"/>
        <v>156594477</v>
      </c>
      <c r="G222" s="7" t="s">
        <v>282</v>
      </c>
      <c r="H222" s="59" t="s">
        <v>109</v>
      </c>
      <c r="I222" s="32" t="s">
        <v>152</v>
      </c>
    </row>
    <row r="223" spans="1:9" x14ac:dyDescent="0.35">
      <c r="A223" s="19">
        <v>45713</v>
      </c>
      <c r="B223" s="20"/>
      <c r="C223" s="20"/>
      <c r="D223" s="9">
        <v>200000</v>
      </c>
      <c r="E223" s="56" t="s">
        <v>358</v>
      </c>
      <c r="F223" s="20">
        <f t="shared" si="3"/>
        <v>156794477</v>
      </c>
      <c r="G223" s="7" t="s">
        <v>306</v>
      </c>
      <c r="H223" s="59" t="s">
        <v>109</v>
      </c>
      <c r="I223" s="32" t="s">
        <v>152</v>
      </c>
    </row>
    <row r="224" spans="1:9" x14ac:dyDescent="0.35">
      <c r="A224" s="19">
        <v>45713</v>
      </c>
      <c r="B224" s="20">
        <v>15000</v>
      </c>
      <c r="C224" s="20"/>
      <c r="D224" s="9"/>
      <c r="E224" s="56" t="s">
        <v>358</v>
      </c>
      <c r="F224" s="20">
        <f t="shared" si="3"/>
        <v>156779477</v>
      </c>
      <c r="G224" s="7" t="s">
        <v>307</v>
      </c>
      <c r="H224" s="59" t="s">
        <v>320</v>
      </c>
      <c r="I224" s="32" t="s">
        <v>152</v>
      </c>
    </row>
    <row r="225" spans="1:9" x14ac:dyDescent="0.35">
      <c r="A225" s="19">
        <v>45713</v>
      </c>
      <c r="B225" s="20">
        <v>2500</v>
      </c>
      <c r="C225" s="20"/>
      <c r="D225" s="9"/>
      <c r="E225" s="56" t="s">
        <v>358</v>
      </c>
      <c r="F225" s="20">
        <f t="shared" si="3"/>
        <v>156776977</v>
      </c>
      <c r="G225" s="7" t="s">
        <v>308</v>
      </c>
      <c r="H225" s="59" t="s">
        <v>320</v>
      </c>
      <c r="I225" s="32" t="s">
        <v>152</v>
      </c>
    </row>
    <row r="226" spans="1:9" x14ac:dyDescent="0.35">
      <c r="A226" s="19">
        <v>45714</v>
      </c>
      <c r="B226" s="20"/>
      <c r="C226" s="20"/>
      <c r="D226" s="9">
        <v>10000</v>
      </c>
      <c r="E226" s="56" t="s">
        <v>358</v>
      </c>
      <c r="F226" s="20">
        <f t="shared" si="3"/>
        <v>156786977</v>
      </c>
      <c r="G226" s="7" t="s">
        <v>282</v>
      </c>
      <c r="H226" s="59" t="s">
        <v>109</v>
      </c>
      <c r="I226" s="32" t="s">
        <v>152</v>
      </c>
    </row>
    <row r="227" spans="1:9" x14ac:dyDescent="0.35">
      <c r="A227" s="19">
        <v>45715</v>
      </c>
      <c r="B227" s="20"/>
      <c r="C227" s="20"/>
      <c r="D227" s="9">
        <v>10000</v>
      </c>
      <c r="E227" s="56" t="s">
        <v>358</v>
      </c>
      <c r="F227" s="20">
        <f t="shared" si="3"/>
        <v>156796977</v>
      </c>
      <c r="G227" s="7" t="s">
        <v>282</v>
      </c>
      <c r="H227" s="59" t="s">
        <v>109</v>
      </c>
      <c r="I227" s="32" t="s">
        <v>152</v>
      </c>
    </row>
    <row r="228" spans="1:9" x14ac:dyDescent="0.35">
      <c r="A228" s="19">
        <v>45715</v>
      </c>
      <c r="B228" s="20"/>
      <c r="C228" s="20"/>
      <c r="D228" s="9">
        <v>20000</v>
      </c>
      <c r="E228" s="56" t="s">
        <v>358</v>
      </c>
      <c r="F228" s="20">
        <f t="shared" si="3"/>
        <v>156816977</v>
      </c>
      <c r="G228" s="7" t="s">
        <v>282</v>
      </c>
      <c r="H228" s="59" t="s">
        <v>109</v>
      </c>
      <c r="I228" s="32" t="s">
        <v>152</v>
      </c>
    </row>
    <row r="229" spans="1:9" x14ac:dyDescent="0.35">
      <c r="A229" s="19">
        <v>45715</v>
      </c>
      <c r="B229" s="20"/>
      <c r="C229" s="20"/>
      <c r="D229" s="9">
        <v>10000</v>
      </c>
      <c r="E229" s="56" t="s">
        <v>358</v>
      </c>
      <c r="F229" s="20">
        <f t="shared" si="3"/>
        <v>156826977</v>
      </c>
      <c r="G229" s="7" t="s">
        <v>282</v>
      </c>
      <c r="H229" s="59" t="s">
        <v>109</v>
      </c>
      <c r="I229" s="32" t="s">
        <v>152</v>
      </c>
    </row>
    <row r="230" spans="1:9" x14ac:dyDescent="0.35">
      <c r="A230" s="19">
        <v>45715</v>
      </c>
      <c r="B230" s="20"/>
      <c r="C230" s="20"/>
      <c r="D230" s="20">
        <v>1000000</v>
      </c>
      <c r="E230" s="56" t="s">
        <v>358</v>
      </c>
      <c r="F230" s="20">
        <f t="shared" si="3"/>
        <v>157826977</v>
      </c>
      <c r="G230" s="7" t="s">
        <v>314</v>
      </c>
      <c r="H230" s="59" t="s">
        <v>109</v>
      </c>
      <c r="I230" s="32" t="s">
        <v>152</v>
      </c>
    </row>
    <row r="231" spans="1:9" x14ac:dyDescent="0.35">
      <c r="A231" s="19">
        <v>45715</v>
      </c>
      <c r="B231" s="20">
        <v>2000000</v>
      </c>
      <c r="C231" s="20"/>
      <c r="D231" s="20"/>
      <c r="E231" s="56" t="s">
        <v>358</v>
      </c>
      <c r="F231" s="20">
        <f t="shared" si="3"/>
        <v>155826977</v>
      </c>
      <c r="G231" s="7" t="s">
        <v>171</v>
      </c>
      <c r="H231" s="59" t="s">
        <v>325</v>
      </c>
      <c r="I231" s="32" t="s">
        <v>152</v>
      </c>
    </row>
    <row r="232" spans="1:9" x14ac:dyDescent="0.35">
      <c r="A232" s="19">
        <v>45715</v>
      </c>
      <c r="B232" s="20">
        <v>6500</v>
      </c>
      <c r="C232" s="20"/>
      <c r="D232" s="20"/>
      <c r="E232" s="56" t="s">
        <v>358</v>
      </c>
      <c r="F232" s="20">
        <f t="shared" si="3"/>
        <v>155820477</v>
      </c>
      <c r="G232" s="7" t="s">
        <v>171</v>
      </c>
      <c r="H232" s="59" t="s">
        <v>325</v>
      </c>
      <c r="I232" s="32" t="s">
        <v>152</v>
      </c>
    </row>
    <row r="233" spans="1:9" x14ac:dyDescent="0.35">
      <c r="A233" s="19">
        <v>45715</v>
      </c>
      <c r="B233" s="20">
        <v>2000000</v>
      </c>
      <c r="C233" s="20"/>
      <c r="D233" s="20"/>
      <c r="E233" s="56" t="s">
        <v>358</v>
      </c>
      <c r="F233" s="20">
        <f t="shared" si="3"/>
        <v>153820477</v>
      </c>
      <c r="G233" s="7" t="s">
        <v>180</v>
      </c>
      <c r="H233" s="59" t="s">
        <v>325</v>
      </c>
      <c r="I233" s="32" t="s">
        <v>152</v>
      </c>
    </row>
    <row r="234" spans="1:9" x14ac:dyDescent="0.35">
      <c r="A234" s="19">
        <v>45715</v>
      </c>
      <c r="B234" s="20">
        <v>6500</v>
      </c>
      <c r="C234" s="20"/>
      <c r="D234" s="20"/>
      <c r="E234" s="56" t="s">
        <v>358</v>
      </c>
      <c r="F234" s="20">
        <f t="shared" si="3"/>
        <v>153813977</v>
      </c>
      <c r="G234" s="7" t="s">
        <v>180</v>
      </c>
      <c r="H234" s="59" t="s">
        <v>325</v>
      </c>
      <c r="I234" s="32" t="s">
        <v>152</v>
      </c>
    </row>
    <row r="235" spans="1:9" x14ac:dyDescent="0.35">
      <c r="A235" s="19">
        <v>45715</v>
      </c>
      <c r="B235" s="20">
        <v>2500000</v>
      </c>
      <c r="C235" s="20"/>
      <c r="D235" s="20"/>
      <c r="E235" s="56" t="s">
        <v>358</v>
      </c>
      <c r="F235" s="20">
        <f t="shared" si="3"/>
        <v>151313977</v>
      </c>
      <c r="G235" s="7" t="s">
        <v>315</v>
      </c>
      <c r="H235" s="59" t="s">
        <v>325</v>
      </c>
      <c r="I235" s="32" t="s">
        <v>152</v>
      </c>
    </row>
    <row r="236" spans="1:9" x14ac:dyDescent="0.35">
      <c r="A236" s="19">
        <v>45715</v>
      </c>
      <c r="B236" s="20">
        <v>6500</v>
      </c>
      <c r="C236" s="20"/>
      <c r="D236" s="20"/>
      <c r="E236" s="56" t="s">
        <v>358</v>
      </c>
      <c r="F236" s="20">
        <f t="shared" si="3"/>
        <v>151307477</v>
      </c>
      <c r="G236" s="7" t="s">
        <v>315</v>
      </c>
      <c r="H236" s="59" t="s">
        <v>325</v>
      </c>
      <c r="I236" s="32" t="s">
        <v>152</v>
      </c>
    </row>
    <row r="237" spans="1:9" x14ac:dyDescent="0.35">
      <c r="A237" s="19">
        <v>45715</v>
      </c>
      <c r="B237" s="20">
        <v>3250000</v>
      </c>
      <c r="C237" s="20"/>
      <c r="D237" s="20"/>
      <c r="E237" s="56" t="s">
        <v>358</v>
      </c>
      <c r="F237" s="20">
        <f t="shared" si="3"/>
        <v>148057477</v>
      </c>
      <c r="G237" s="7" t="s">
        <v>169</v>
      </c>
      <c r="H237" s="59" t="s">
        <v>325</v>
      </c>
      <c r="I237" s="32" t="s">
        <v>152</v>
      </c>
    </row>
    <row r="238" spans="1:9" x14ac:dyDescent="0.35">
      <c r="A238" s="19">
        <v>45715</v>
      </c>
      <c r="B238" s="20">
        <v>6500</v>
      </c>
      <c r="C238" s="20"/>
      <c r="D238" s="20"/>
      <c r="E238" s="56" t="s">
        <v>358</v>
      </c>
      <c r="F238" s="20">
        <f t="shared" si="3"/>
        <v>148050977</v>
      </c>
      <c r="G238" s="7" t="s">
        <v>169</v>
      </c>
      <c r="H238" s="59" t="s">
        <v>325</v>
      </c>
      <c r="I238" s="32" t="s">
        <v>152</v>
      </c>
    </row>
    <row r="239" spans="1:9" x14ac:dyDescent="0.35">
      <c r="A239" s="19">
        <v>45715</v>
      </c>
      <c r="B239" s="20">
        <v>2700000</v>
      </c>
      <c r="C239" s="20"/>
      <c r="D239" s="20"/>
      <c r="E239" s="56" t="s">
        <v>358</v>
      </c>
      <c r="F239" s="20">
        <f t="shared" si="3"/>
        <v>145350977</v>
      </c>
      <c r="G239" s="7" t="s">
        <v>175</v>
      </c>
      <c r="H239" s="59" t="s">
        <v>201</v>
      </c>
      <c r="I239" s="32" t="s">
        <v>152</v>
      </c>
    </row>
    <row r="240" spans="1:9" x14ac:dyDescent="0.35">
      <c r="A240" s="19">
        <v>45715</v>
      </c>
      <c r="B240" s="20">
        <v>6500</v>
      </c>
      <c r="C240" s="20"/>
      <c r="D240" s="20"/>
      <c r="E240" s="56" t="s">
        <v>358</v>
      </c>
      <c r="F240" s="20">
        <f t="shared" si="3"/>
        <v>145344477</v>
      </c>
      <c r="G240" s="7" t="s">
        <v>175</v>
      </c>
      <c r="H240" s="59" t="s">
        <v>201</v>
      </c>
      <c r="I240" s="32" t="s">
        <v>152</v>
      </c>
    </row>
    <row r="241" spans="1:9" x14ac:dyDescent="0.35">
      <c r="A241" s="19">
        <v>45715</v>
      </c>
      <c r="B241" s="20">
        <v>1500000</v>
      </c>
      <c r="C241" s="20"/>
      <c r="D241" s="20"/>
      <c r="E241" s="56" t="s">
        <v>358</v>
      </c>
      <c r="F241" s="20">
        <f t="shared" si="3"/>
        <v>143844477</v>
      </c>
      <c r="G241" s="7" t="s">
        <v>178</v>
      </c>
      <c r="H241" s="59" t="s">
        <v>325</v>
      </c>
      <c r="I241" s="32" t="s">
        <v>152</v>
      </c>
    </row>
    <row r="242" spans="1:9" x14ac:dyDescent="0.35">
      <c r="A242" s="19">
        <v>45715</v>
      </c>
      <c r="B242" s="20">
        <v>6500</v>
      </c>
      <c r="C242" s="20"/>
      <c r="D242" s="20"/>
      <c r="E242" s="56" t="s">
        <v>358</v>
      </c>
      <c r="F242" s="20">
        <f t="shared" si="3"/>
        <v>143837977</v>
      </c>
      <c r="G242" s="7" t="s">
        <v>178</v>
      </c>
      <c r="H242" s="59" t="s">
        <v>325</v>
      </c>
      <c r="I242" s="32" t="s">
        <v>152</v>
      </c>
    </row>
    <row r="243" spans="1:9" x14ac:dyDescent="0.35">
      <c r="A243" s="19">
        <v>45715</v>
      </c>
      <c r="B243" s="20">
        <v>2500000</v>
      </c>
      <c r="C243" s="20"/>
      <c r="D243" s="20"/>
      <c r="E243" s="56" t="s">
        <v>358</v>
      </c>
      <c r="F243" s="20">
        <f t="shared" si="3"/>
        <v>141337977</v>
      </c>
      <c r="G243" s="7" t="s">
        <v>181</v>
      </c>
      <c r="H243" s="59" t="s">
        <v>325</v>
      </c>
      <c r="I243" s="32" t="s">
        <v>152</v>
      </c>
    </row>
    <row r="244" spans="1:9" x14ac:dyDescent="0.35">
      <c r="A244" s="19">
        <v>45715</v>
      </c>
      <c r="B244" s="20"/>
      <c r="C244" s="20"/>
      <c r="D244" s="20">
        <v>1250000</v>
      </c>
      <c r="E244" s="56" t="s">
        <v>358</v>
      </c>
      <c r="F244" s="20">
        <f t="shared" si="3"/>
        <v>142587977</v>
      </c>
      <c r="G244" s="7" t="s">
        <v>316</v>
      </c>
      <c r="H244" s="59" t="s">
        <v>109</v>
      </c>
      <c r="I244" s="32" t="s">
        <v>152</v>
      </c>
    </row>
    <row r="245" spans="1:9" x14ac:dyDescent="0.35">
      <c r="A245" s="19">
        <v>45716</v>
      </c>
      <c r="B245" s="20"/>
      <c r="C245" s="20"/>
      <c r="D245" s="20">
        <v>10000</v>
      </c>
      <c r="E245" s="56" t="s">
        <v>358</v>
      </c>
      <c r="F245" s="20">
        <f t="shared" si="3"/>
        <v>142597977</v>
      </c>
      <c r="G245" s="7" t="s">
        <v>282</v>
      </c>
      <c r="H245" s="59" t="s">
        <v>109</v>
      </c>
      <c r="I245" s="32" t="s">
        <v>152</v>
      </c>
    </row>
    <row r="246" spans="1:9" x14ac:dyDescent="0.35">
      <c r="A246" s="19">
        <v>45716</v>
      </c>
      <c r="B246" s="20"/>
      <c r="C246" s="20"/>
      <c r="D246" s="20">
        <v>50000</v>
      </c>
      <c r="E246" s="56" t="s">
        <v>358</v>
      </c>
      <c r="F246" s="20">
        <f t="shared" si="3"/>
        <v>142647977</v>
      </c>
      <c r="G246" s="7" t="s">
        <v>282</v>
      </c>
      <c r="H246" s="59" t="s">
        <v>109</v>
      </c>
      <c r="I246" s="32" t="s">
        <v>152</v>
      </c>
    </row>
    <row r="247" spans="1:9" x14ac:dyDescent="0.35">
      <c r="A247" s="19">
        <v>45716</v>
      </c>
      <c r="B247" s="20">
        <v>4000000</v>
      </c>
      <c r="C247" s="20"/>
      <c r="D247" s="20"/>
      <c r="E247" s="56" t="s">
        <v>358</v>
      </c>
      <c r="F247" s="20">
        <f t="shared" si="3"/>
        <v>138647977</v>
      </c>
      <c r="G247" s="7" t="s">
        <v>317</v>
      </c>
      <c r="H247" s="59" t="s">
        <v>201</v>
      </c>
      <c r="I247" s="32" t="s">
        <v>152</v>
      </c>
    </row>
    <row r="248" spans="1:9" x14ac:dyDescent="0.35">
      <c r="A248" s="19">
        <v>45716</v>
      </c>
      <c r="B248" s="20">
        <v>2500</v>
      </c>
      <c r="C248" s="20"/>
      <c r="D248" s="20"/>
      <c r="E248" s="56" t="s">
        <v>358</v>
      </c>
      <c r="F248" s="20">
        <f t="shared" si="3"/>
        <v>138645477</v>
      </c>
      <c r="G248" s="7" t="s">
        <v>318</v>
      </c>
      <c r="H248" s="59" t="s">
        <v>201</v>
      </c>
      <c r="I248" s="32" t="s">
        <v>152</v>
      </c>
    </row>
    <row r="249" spans="1:9" x14ac:dyDescent="0.35">
      <c r="A249" s="19">
        <v>45716</v>
      </c>
      <c r="B249" s="20">
        <v>7000</v>
      </c>
      <c r="C249" s="20"/>
      <c r="D249" s="20"/>
      <c r="E249" s="56" t="s">
        <v>358</v>
      </c>
      <c r="F249" s="20">
        <f t="shared" si="3"/>
        <v>138638477</v>
      </c>
      <c r="G249" s="7" t="s">
        <v>319</v>
      </c>
      <c r="H249" s="59" t="s">
        <v>320</v>
      </c>
      <c r="I249" s="32" t="s">
        <v>152</v>
      </c>
    </row>
    <row r="250" spans="1:9" x14ac:dyDescent="0.35">
      <c r="A250" s="19">
        <v>45719</v>
      </c>
      <c r="B250" s="20"/>
      <c r="C250" s="20"/>
      <c r="D250" s="20">
        <v>50000</v>
      </c>
      <c r="E250" s="99" t="s">
        <v>521</v>
      </c>
      <c r="F250" s="20">
        <f t="shared" si="3"/>
        <v>138688477</v>
      </c>
      <c r="G250" s="7" t="s">
        <v>330</v>
      </c>
      <c r="H250" s="24" t="s">
        <v>109</v>
      </c>
      <c r="I250" s="32" t="s">
        <v>152</v>
      </c>
    </row>
    <row r="251" spans="1:9" x14ac:dyDescent="0.35">
      <c r="A251" s="19">
        <v>45719</v>
      </c>
      <c r="B251" s="20"/>
      <c r="C251" s="20"/>
      <c r="D251" s="20">
        <v>20000</v>
      </c>
      <c r="E251" s="99" t="s">
        <v>521</v>
      </c>
      <c r="F251" s="20">
        <f t="shared" si="3"/>
        <v>138708477</v>
      </c>
      <c r="G251" s="7" t="s">
        <v>330</v>
      </c>
      <c r="H251" s="24" t="s">
        <v>109</v>
      </c>
      <c r="I251" s="32" t="s">
        <v>152</v>
      </c>
    </row>
    <row r="252" spans="1:9" x14ac:dyDescent="0.35">
      <c r="A252" s="19">
        <v>45719</v>
      </c>
      <c r="B252" s="20"/>
      <c r="C252" s="20"/>
      <c r="D252" s="20">
        <v>10000</v>
      </c>
      <c r="E252" s="99" t="s">
        <v>521</v>
      </c>
      <c r="F252" s="20">
        <f t="shared" si="3"/>
        <v>138718477</v>
      </c>
      <c r="G252" s="7" t="s">
        <v>330</v>
      </c>
      <c r="H252" s="24" t="s">
        <v>109</v>
      </c>
      <c r="I252" s="32" t="s">
        <v>152</v>
      </c>
    </row>
    <row r="253" spans="1:9" x14ac:dyDescent="0.35">
      <c r="A253" s="19">
        <v>45719</v>
      </c>
      <c r="B253" s="20"/>
      <c r="C253" s="20"/>
      <c r="D253" s="20">
        <v>75000</v>
      </c>
      <c r="E253" s="99" t="s">
        <v>521</v>
      </c>
      <c r="F253" s="20">
        <f t="shared" si="3"/>
        <v>138793477</v>
      </c>
      <c r="G253" s="7" t="s">
        <v>330</v>
      </c>
      <c r="H253" s="24" t="s">
        <v>109</v>
      </c>
      <c r="I253" s="32" t="s">
        <v>152</v>
      </c>
    </row>
    <row r="254" spans="1:9" x14ac:dyDescent="0.35">
      <c r="A254" s="19">
        <v>45719</v>
      </c>
      <c r="B254" s="20"/>
      <c r="C254" s="20"/>
      <c r="D254" s="20">
        <v>10000</v>
      </c>
      <c r="E254" s="99" t="s">
        <v>521</v>
      </c>
      <c r="F254" s="20">
        <f t="shared" si="3"/>
        <v>138803477</v>
      </c>
      <c r="G254" s="7" t="s">
        <v>330</v>
      </c>
      <c r="H254" s="24" t="s">
        <v>109</v>
      </c>
      <c r="I254" s="32" t="s">
        <v>152</v>
      </c>
    </row>
    <row r="255" spans="1:9" x14ac:dyDescent="0.35">
      <c r="A255" s="19">
        <v>45719</v>
      </c>
      <c r="B255" s="20"/>
      <c r="C255" s="20"/>
      <c r="D255" s="20">
        <v>800</v>
      </c>
      <c r="E255" s="99" t="s">
        <v>521</v>
      </c>
      <c r="F255" s="20">
        <f t="shared" si="3"/>
        <v>138804277</v>
      </c>
      <c r="G255" s="7" t="s">
        <v>330</v>
      </c>
      <c r="H255" s="24" t="s">
        <v>109</v>
      </c>
      <c r="I255" s="32" t="s">
        <v>152</v>
      </c>
    </row>
    <row r="256" spans="1:9" x14ac:dyDescent="0.35">
      <c r="A256" s="19">
        <v>45719</v>
      </c>
      <c r="B256" s="20"/>
      <c r="C256" s="20"/>
      <c r="D256" s="20">
        <v>200000</v>
      </c>
      <c r="E256" s="99" t="s">
        <v>521</v>
      </c>
      <c r="F256" s="20">
        <f t="shared" si="3"/>
        <v>139004277</v>
      </c>
      <c r="G256" s="7" t="s">
        <v>331</v>
      </c>
      <c r="H256" s="24" t="s">
        <v>109</v>
      </c>
      <c r="I256" s="32" t="s">
        <v>152</v>
      </c>
    </row>
    <row r="257" spans="1:9" x14ac:dyDescent="0.35">
      <c r="A257" s="19">
        <v>45719</v>
      </c>
      <c r="B257" s="20">
        <v>4002500</v>
      </c>
      <c r="C257" s="20"/>
      <c r="D257" s="20"/>
      <c r="E257" s="99" t="s">
        <v>521</v>
      </c>
      <c r="F257" s="20">
        <f t="shared" si="3"/>
        <v>135001777</v>
      </c>
      <c r="G257" s="7" t="s">
        <v>332</v>
      </c>
      <c r="H257" s="24" t="s">
        <v>327</v>
      </c>
      <c r="I257" s="32" t="s">
        <v>152</v>
      </c>
    </row>
    <row r="258" spans="1:9" x14ac:dyDescent="0.35">
      <c r="A258" s="19">
        <v>45719</v>
      </c>
      <c r="B258" s="20"/>
      <c r="C258" s="20"/>
      <c r="D258" s="20">
        <v>10000</v>
      </c>
      <c r="E258" s="99" t="s">
        <v>521</v>
      </c>
      <c r="F258" s="20">
        <f t="shared" si="3"/>
        <v>135011777</v>
      </c>
      <c r="G258" s="7" t="s">
        <v>330</v>
      </c>
      <c r="H258" s="24" t="s">
        <v>109</v>
      </c>
      <c r="I258" s="32" t="s">
        <v>152</v>
      </c>
    </row>
    <row r="259" spans="1:9" x14ac:dyDescent="0.35">
      <c r="A259" s="19">
        <v>45719</v>
      </c>
      <c r="B259" s="20"/>
      <c r="C259" s="20"/>
      <c r="D259" s="20">
        <v>50000</v>
      </c>
      <c r="E259" s="99" t="s">
        <v>521</v>
      </c>
      <c r="F259" s="20">
        <f t="shared" si="3"/>
        <v>135061777</v>
      </c>
      <c r="G259" s="7" t="s">
        <v>330</v>
      </c>
      <c r="H259" s="24" t="s">
        <v>109</v>
      </c>
      <c r="I259" s="32" t="s">
        <v>152</v>
      </c>
    </row>
    <row r="260" spans="1:9" x14ac:dyDescent="0.35">
      <c r="A260" s="19">
        <v>45719</v>
      </c>
      <c r="B260" s="20"/>
      <c r="C260" s="20"/>
      <c r="D260" s="20">
        <v>5000</v>
      </c>
      <c r="E260" s="99" t="s">
        <v>521</v>
      </c>
      <c r="F260" s="20">
        <f t="shared" si="3"/>
        <v>135066777</v>
      </c>
      <c r="G260" s="7" t="s">
        <v>330</v>
      </c>
      <c r="H260" s="24" t="s">
        <v>109</v>
      </c>
      <c r="I260" s="32" t="s">
        <v>152</v>
      </c>
    </row>
    <row r="261" spans="1:9" x14ac:dyDescent="0.35">
      <c r="A261" s="19">
        <v>45719</v>
      </c>
      <c r="B261" s="20"/>
      <c r="C261" s="20"/>
      <c r="D261" s="20">
        <v>50000</v>
      </c>
      <c r="E261" s="99" t="s">
        <v>521</v>
      </c>
      <c r="F261" s="20">
        <f t="shared" ref="F261:F324" si="4">+F260+D261-B261</f>
        <v>135116777</v>
      </c>
      <c r="G261" s="7" t="s">
        <v>330</v>
      </c>
      <c r="H261" s="24" t="s">
        <v>109</v>
      </c>
      <c r="I261" s="32" t="s">
        <v>152</v>
      </c>
    </row>
    <row r="262" spans="1:9" x14ac:dyDescent="0.35">
      <c r="A262" s="19">
        <v>45719</v>
      </c>
      <c r="B262" s="20"/>
      <c r="C262" s="20"/>
      <c r="D262" s="20">
        <v>10000</v>
      </c>
      <c r="E262" s="99" t="s">
        <v>521</v>
      </c>
      <c r="F262" s="20">
        <f t="shared" si="4"/>
        <v>135126777</v>
      </c>
      <c r="G262" s="7" t="s">
        <v>330</v>
      </c>
      <c r="H262" s="24" t="s">
        <v>109</v>
      </c>
      <c r="I262" s="32" t="s">
        <v>152</v>
      </c>
    </row>
    <row r="263" spans="1:9" x14ac:dyDescent="0.35">
      <c r="A263" s="19">
        <v>45719</v>
      </c>
      <c r="B263" s="20"/>
      <c r="C263" s="20"/>
      <c r="D263" s="20">
        <v>20000</v>
      </c>
      <c r="E263" s="99" t="s">
        <v>521</v>
      </c>
      <c r="F263" s="20">
        <f t="shared" si="4"/>
        <v>135146777</v>
      </c>
      <c r="G263" s="7" t="s">
        <v>330</v>
      </c>
      <c r="H263" s="24" t="s">
        <v>109</v>
      </c>
      <c r="I263" s="32" t="s">
        <v>152</v>
      </c>
    </row>
    <row r="264" spans="1:9" x14ac:dyDescent="0.35">
      <c r="A264" s="19">
        <v>45719</v>
      </c>
      <c r="B264" s="20"/>
      <c r="C264" s="20"/>
      <c r="D264" s="20">
        <v>10000</v>
      </c>
      <c r="E264" s="99" t="s">
        <v>521</v>
      </c>
      <c r="F264" s="20">
        <f t="shared" si="4"/>
        <v>135156777</v>
      </c>
      <c r="G264" s="7" t="s">
        <v>330</v>
      </c>
      <c r="H264" s="24" t="s">
        <v>109</v>
      </c>
      <c r="I264" s="32" t="s">
        <v>152</v>
      </c>
    </row>
    <row r="265" spans="1:9" x14ac:dyDescent="0.35">
      <c r="A265" s="19">
        <v>45719</v>
      </c>
      <c r="B265" s="20"/>
      <c r="C265" s="20"/>
      <c r="D265" s="20">
        <v>5000</v>
      </c>
      <c r="E265" s="99" t="s">
        <v>521</v>
      </c>
      <c r="F265" s="20">
        <f t="shared" si="4"/>
        <v>135161777</v>
      </c>
      <c r="G265" s="7" t="s">
        <v>330</v>
      </c>
      <c r="H265" s="24" t="s">
        <v>109</v>
      </c>
      <c r="I265" s="32" t="s">
        <v>152</v>
      </c>
    </row>
    <row r="266" spans="1:9" x14ac:dyDescent="0.35">
      <c r="A266" s="19">
        <v>45719</v>
      </c>
      <c r="B266" s="20"/>
      <c r="C266" s="20"/>
      <c r="D266" s="20">
        <v>100000</v>
      </c>
      <c r="E266" s="99" t="s">
        <v>521</v>
      </c>
      <c r="F266" s="20">
        <f t="shared" si="4"/>
        <v>135261777</v>
      </c>
      <c r="G266" s="7" t="s">
        <v>330</v>
      </c>
      <c r="H266" s="24" t="s">
        <v>109</v>
      </c>
      <c r="I266" s="32" t="s">
        <v>152</v>
      </c>
    </row>
    <row r="267" spans="1:9" x14ac:dyDescent="0.35">
      <c r="A267" s="19">
        <v>45719</v>
      </c>
      <c r="B267" s="20"/>
      <c r="C267" s="20"/>
      <c r="D267" s="20">
        <v>20000</v>
      </c>
      <c r="E267" s="99" t="s">
        <v>521</v>
      </c>
      <c r="F267" s="20">
        <f t="shared" si="4"/>
        <v>135281777</v>
      </c>
      <c r="G267" s="7" t="s">
        <v>330</v>
      </c>
      <c r="H267" s="24" t="s">
        <v>109</v>
      </c>
      <c r="I267" s="32" t="s">
        <v>152</v>
      </c>
    </row>
    <row r="268" spans="1:9" x14ac:dyDescent="0.35">
      <c r="A268" s="19">
        <v>45719</v>
      </c>
      <c r="B268" s="20"/>
      <c r="C268" s="20"/>
      <c r="D268" s="20">
        <v>10000</v>
      </c>
      <c r="E268" s="99" t="s">
        <v>521</v>
      </c>
      <c r="F268" s="20">
        <f t="shared" si="4"/>
        <v>135291777</v>
      </c>
      <c r="G268" s="7" t="s">
        <v>330</v>
      </c>
      <c r="H268" s="24" t="s">
        <v>109</v>
      </c>
      <c r="I268" s="32" t="s">
        <v>152</v>
      </c>
    </row>
    <row r="269" spans="1:9" x14ac:dyDescent="0.35">
      <c r="A269" s="19">
        <v>45719</v>
      </c>
      <c r="B269" s="20"/>
      <c r="C269" s="20"/>
      <c r="D269" s="20">
        <v>5000</v>
      </c>
      <c r="E269" s="99" t="s">
        <v>521</v>
      </c>
      <c r="F269" s="20">
        <f t="shared" si="4"/>
        <v>135296777</v>
      </c>
      <c r="G269" s="7" t="s">
        <v>330</v>
      </c>
      <c r="H269" s="24" t="s">
        <v>109</v>
      </c>
      <c r="I269" s="32" t="s">
        <v>152</v>
      </c>
    </row>
    <row r="270" spans="1:9" x14ac:dyDescent="0.35">
      <c r="A270" s="19">
        <v>45719</v>
      </c>
      <c r="B270" s="20"/>
      <c r="C270" s="20"/>
      <c r="D270" s="20">
        <v>5000</v>
      </c>
      <c r="E270" s="99" t="s">
        <v>521</v>
      </c>
      <c r="F270" s="20">
        <f t="shared" si="4"/>
        <v>135301777</v>
      </c>
      <c r="G270" s="7" t="s">
        <v>330</v>
      </c>
      <c r="H270" s="24" t="s">
        <v>109</v>
      </c>
      <c r="I270" s="32" t="s">
        <v>152</v>
      </c>
    </row>
    <row r="271" spans="1:9" x14ac:dyDescent="0.35">
      <c r="A271" s="19">
        <v>45719</v>
      </c>
      <c r="B271" s="20"/>
      <c r="C271" s="20"/>
      <c r="D271" s="20">
        <v>200000</v>
      </c>
      <c r="E271" s="99" t="s">
        <v>521</v>
      </c>
      <c r="F271" s="20">
        <f t="shared" si="4"/>
        <v>135501777</v>
      </c>
      <c r="G271" s="7" t="s">
        <v>333</v>
      </c>
      <c r="H271" s="24" t="s">
        <v>109</v>
      </c>
      <c r="I271" s="32" t="s">
        <v>152</v>
      </c>
    </row>
    <row r="272" spans="1:9" x14ac:dyDescent="0.35">
      <c r="A272" s="19">
        <v>45719</v>
      </c>
      <c r="B272" s="20"/>
      <c r="C272" s="20"/>
      <c r="D272" s="20">
        <v>550000</v>
      </c>
      <c r="E272" s="99" t="s">
        <v>521</v>
      </c>
      <c r="F272" s="20">
        <f t="shared" si="4"/>
        <v>136051777</v>
      </c>
      <c r="G272" s="7" t="s">
        <v>330</v>
      </c>
      <c r="H272" s="24" t="s">
        <v>109</v>
      </c>
      <c r="I272" s="32" t="s">
        <v>152</v>
      </c>
    </row>
    <row r="273" spans="1:9" x14ac:dyDescent="0.35">
      <c r="A273" s="19">
        <v>45719</v>
      </c>
      <c r="B273" s="20"/>
      <c r="C273" s="20"/>
      <c r="D273" s="20">
        <v>50000</v>
      </c>
      <c r="E273" s="99" t="s">
        <v>521</v>
      </c>
      <c r="F273" s="20">
        <f t="shared" si="4"/>
        <v>136101777</v>
      </c>
      <c r="G273" s="7" t="s">
        <v>330</v>
      </c>
      <c r="H273" s="24" t="s">
        <v>109</v>
      </c>
      <c r="I273" s="32" t="s">
        <v>152</v>
      </c>
    </row>
    <row r="274" spans="1:9" x14ac:dyDescent="0.35">
      <c r="A274" s="19">
        <v>45719</v>
      </c>
      <c r="B274" s="20"/>
      <c r="C274" s="20"/>
      <c r="D274" s="20">
        <v>21439</v>
      </c>
      <c r="E274" s="99" t="s">
        <v>521</v>
      </c>
      <c r="F274" s="20">
        <f t="shared" si="4"/>
        <v>136123216</v>
      </c>
      <c r="G274" s="7" t="s">
        <v>330</v>
      </c>
      <c r="H274" s="24" t="s">
        <v>109</v>
      </c>
      <c r="I274" s="32" t="s">
        <v>152</v>
      </c>
    </row>
    <row r="275" spans="1:9" x14ac:dyDescent="0.35">
      <c r="A275" s="19">
        <v>45719</v>
      </c>
      <c r="B275" s="20"/>
      <c r="C275" s="20"/>
      <c r="D275" s="20">
        <v>50000</v>
      </c>
      <c r="E275" s="99" t="s">
        <v>521</v>
      </c>
      <c r="F275" s="20">
        <f t="shared" si="4"/>
        <v>136173216</v>
      </c>
      <c r="G275" s="7" t="s">
        <v>330</v>
      </c>
      <c r="H275" s="24" t="s">
        <v>109</v>
      </c>
      <c r="I275" s="32" t="s">
        <v>152</v>
      </c>
    </row>
    <row r="276" spans="1:9" x14ac:dyDescent="0.35">
      <c r="A276" s="19">
        <v>45719</v>
      </c>
      <c r="B276" s="20"/>
      <c r="C276" s="20"/>
      <c r="D276" s="20">
        <v>10000</v>
      </c>
      <c r="E276" s="99" t="s">
        <v>521</v>
      </c>
      <c r="F276" s="20">
        <f t="shared" si="4"/>
        <v>136183216</v>
      </c>
      <c r="G276" s="7" t="s">
        <v>330</v>
      </c>
      <c r="H276" s="24" t="s">
        <v>109</v>
      </c>
      <c r="I276" s="32" t="s">
        <v>152</v>
      </c>
    </row>
    <row r="277" spans="1:9" x14ac:dyDescent="0.35">
      <c r="A277" s="19">
        <v>45719</v>
      </c>
      <c r="B277" s="20"/>
      <c r="C277" s="20"/>
      <c r="D277" s="20">
        <v>10000</v>
      </c>
      <c r="E277" s="99" t="s">
        <v>521</v>
      </c>
      <c r="F277" s="20">
        <f t="shared" si="4"/>
        <v>136193216</v>
      </c>
      <c r="G277" s="7" t="s">
        <v>330</v>
      </c>
      <c r="H277" s="24" t="s">
        <v>109</v>
      </c>
      <c r="I277" s="32" t="s">
        <v>152</v>
      </c>
    </row>
    <row r="278" spans="1:9" x14ac:dyDescent="0.35">
      <c r="A278" s="19">
        <v>45719</v>
      </c>
      <c r="B278" s="20"/>
      <c r="C278" s="20"/>
      <c r="D278" s="20">
        <v>5000</v>
      </c>
      <c r="E278" s="99" t="s">
        <v>521</v>
      </c>
      <c r="F278" s="20">
        <f t="shared" si="4"/>
        <v>136198216</v>
      </c>
      <c r="G278" s="7" t="s">
        <v>330</v>
      </c>
      <c r="H278" s="24" t="s">
        <v>109</v>
      </c>
      <c r="I278" s="32" t="s">
        <v>152</v>
      </c>
    </row>
    <row r="279" spans="1:9" x14ac:dyDescent="0.35">
      <c r="A279" s="19">
        <v>45719</v>
      </c>
      <c r="B279" s="20"/>
      <c r="C279" s="20"/>
      <c r="D279" s="20">
        <v>20000</v>
      </c>
      <c r="E279" s="99" t="s">
        <v>521</v>
      </c>
      <c r="F279" s="20">
        <f t="shared" si="4"/>
        <v>136218216</v>
      </c>
      <c r="G279" s="7" t="s">
        <v>330</v>
      </c>
      <c r="H279" s="24" t="s">
        <v>109</v>
      </c>
      <c r="I279" s="32" t="s">
        <v>152</v>
      </c>
    </row>
    <row r="280" spans="1:9" x14ac:dyDescent="0.35">
      <c r="A280" s="19">
        <v>45719</v>
      </c>
      <c r="B280" s="20"/>
      <c r="C280" s="20"/>
      <c r="D280" s="20">
        <v>100000</v>
      </c>
      <c r="E280" s="99" t="s">
        <v>521</v>
      </c>
      <c r="F280" s="20">
        <f t="shared" si="4"/>
        <v>136318216</v>
      </c>
      <c r="G280" s="7" t="s">
        <v>330</v>
      </c>
      <c r="H280" s="24" t="s">
        <v>109</v>
      </c>
      <c r="I280" s="32" t="s">
        <v>152</v>
      </c>
    </row>
    <row r="281" spans="1:9" x14ac:dyDescent="0.35">
      <c r="A281" s="19">
        <v>45719</v>
      </c>
      <c r="B281" s="20"/>
      <c r="C281" s="20"/>
      <c r="D281" s="20">
        <v>100000</v>
      </c>
      <c r="E281" s="99" t="s">
        <v>521</v>
      </c>
      <c r="F281" s="20">
        <f t="shared" si="4"/>
        <v>136418216</v>
      </c>
      <c r="G281" s="7" t="s">
        <v>330</v>
      </c>
      <c r="H281" s="24" t="s">
        <v>109</v>
      </c>
      <c r="I281" s="32" t="s">
        <v>152</v>
      </c>
    </row>
    <row r="282" spans="1:9" x14ac:dyDescent="0.35">
      <c r="A282" s="19">
        <v>45719</v>
      </c>
      <c r="B282" s="20"/>
      <c r="C282" s="20"/>
      <c r="D282" s="20">
        <v>50000</v>
      </c>
      <c r="E282" s="99" t="s">
        <v>521</v>
      </c>
      <c r="F282" s="20">
        <f t="shared" si="4"/>
        <v>136468216</v>
      </c>
      <c r="G282" s="7" t="s">
        <v>330</v>
      </c>
      <c r="H282" s="24" t="s">
        <v>109</v>
      </c>
      <c r="I282" s="32" t="s">
        <v>152</v>
      </c>
    </row>
    <row r="283" spans="1:9" x14ac:dyDescent="0.35">
      <c r="A283" s="19">
        <v>45719</v>
      </c>
      <c r="B283" s="20"/>
      <c r="C283" s="20"/>
      <c r="D283" s="20">
        <v>25000</v>
      </c>
      <c r="E283" s="99" t="s">
        <v>521</v>
      </c>
      <c r="F283" s="20">
        <f t="shared" si="4"/>
        <v>136493216</v>
      </c>
      <c r="G283" s="7" t="s">
        <v>330</v>
      </c>
      <c r="H283" s="24" t="s">
        <v>109</v>
      </c>
      <c r="I283" s="32" t="s">
        <v>152</v>
      </c>
    </row>
    <row r="284" spans="1:9" x14ac:dyDescent="0.35">
      <c r="A284" s="19">
        <v>45719</v>
      </c>
      <c r="B284" s="20"/>
      <c r="C284" s="20"/>
      <c r="D284" s="20">
        <v>20000</v>
      </c>
      <c r="E284" s="99" t="s">
        <v>521</v>
      </c>
      <c r="F284" s="20">
        <f t="shared" si="4"/>
        <v>136513216</v>
      </c>
      <c r="G284" s="7" t="s">
        <v>330</v>
      </c>
      <c r="H284" s="24" t="s">
        <v>109</v>
      </c>
      <c r="I284" s="32" t="s">
        <v>152</v>
      </c>
    </row>
    <row r="285" spans="1:9" x14ac:dyDescent="0.35">
      <c r="A285" s="19">
        <v>45719</v>
      </c>
      <c r="B285" s="20"/>
      <c r="C285" s="20"/>
      <c r="D285" s="20">
        <v>10000</v>
      </c>
      <c r="E285" s="99" t="s">
        <v>521</v>
      </c>
      <c r="F285" s="20">
        <f t="shared" si="4"/>
        <v>136523216</v>
      </c>
      <c r="G285" s="7" t="s">
        <v>330</v>
      </c>
      <c r="H285" s="24" t="s">
        <v>109</v>
      </c>
      <c r="I285" s="32" t="s">
        <v>152</v>
      </c>
    </row>
    <row r="286" spans="1:9" x14ac:dyDescent="0.35">
      <c r="A286" s="19">
        <v>45719</v>
      </c>
      <c r="B286" s="20"/>
      <c r="C286" s="20"/>
      <c r="D286" s="20">
        <v>4000</v>
      </c>
      <c r="E286" s="99" t="s">
        <v>521</v>
      </c>
      <c r="F286" s="20">
        <f t="shared" si="4"/>
        <v>136527216</v>
      </c>
      <c r="G286" s="7" t="s">
        <v>330</v>
      </c>
      <c r="H286" s="24" t="s">
        <v>109</v>
      </c>
      <c r="I286" s="32" t="s">
        <v>152</v>
      </c>
    </row>
    <row r="287" spans="1:9" x14ac:dyDescent="0.35">
      <c r="A287" s="19">
        <v>45719</v>
      </c>
      <c r="B287" s="20"/>
      <c r="C287" s="20"/>
      <c r="D287" s="20">
        <v>500000</v>
      </c>
      <c r="E287" s="99" t="s">
        <v>521</v>
      </c>
      <c r="F287" s="20">
        <f t="shared" si="4"/>
        <v>137027216</v>
      </c>
      <c r="G287" s="7" t="s">
        <v>233</v>
      </c>
      <c r="H287" s="24" t="s">
        <v>109</v>
      </c>
      <c r="I287" s="32" t="s">
        <v>152</v>
      </c>
    </row>
    <row r="288" spans="1:9" x14ac:dyDescent="0.35">
      <c r="A288" s="19">
        <v>45719</v>
      </c>
      <c r="B288" s="20"/>
      <c r="C288" s="20"/>
      <c r="D288" s="23">
        <v>2885000</v>
      </c>
      <c r="E288" s="99" t="s">
        <v>521</v>
      </c>
      <c r="F288" s="20">
        <f t="shared" si="4"/>
        <v>139912216</v>
      </c>
      <c r="G288" s="24" t="s">
        <v>107</v>
      </c>
      <c r="H288" s="24" t="s">
        <v>107</v>
      </c>
      <c r="I288" s="32" t="s">
        <v>152</v>
      </c>
    </row>
    <row r="289" spans="1:9" x14ac:dyDescent="0.35">
      <c r="A289" s="19">
        <v>45719</v>
      </c>
      <c r="B289" s="20"/>
      <c r="C289" s="20"/>
      <c r="D289" s="23">
        <v>1322000</v>
      </c>
      <c r="E289" s="99" t="s">
        <v>521</v>
      </c>
      <c r="F289" s="20">
        <f t="shared" si="4"/>
        <v>141234216</v>
      </c>
      <c r="G289" s="24" t="s">
        <v>109</v>
      </c>
      <c r="H289" s="24" t="s">
        <v>109</v>
      </c>
      <c r="I289" s="32" t="s">
        <v>152</v>
      </c>
    </row>
    <row r="290" spans="1:9" x14ac:dyDescent="0.35">
      <c r="A290" s="19"/>
      <c r="B290" s="20"/>
      <c r="C290" s="20">
        <v>4207000</v>
      </c>
      <c r="D290" s="20"/>
      <c r="E290" s="99"/>
      <c r="F290" s="20">
        <f t="shared" si="4"/>
        <v>141234216</v>
      </c>
      <c r="G290" s="7" t="s">
        <v>305</v>
      </c>
      <c r="H290" s="24"/>
      <c r="I290" s="32"/>
    </row>
    <row r="291" spans="1:9" x14ac:dyDescent="0.35">
      <c r="A291" s="19">
        <v>45719</v>
      </c>
      <c r="B291" s="20"/>
      <c r="C291" s="20"/>
      <c r="D291" s="20">
        <v>200000</v>
      </c>
      <c r="E291" s="99" t="s">
        <v>521</v>
      </c>
      <c r="F291" s="20">
        <f t="shared" si="4"/>
        <v>141434216</v>
      </c>
      <c r="G291" s="7" t="s">
        <v>237</v>
      </c>
      <c r="H291" s="24" t="s">
        <v>109</v>
      </c>
      <c r="I291" s="32" t="s">
        <v>152</v>
      </c>
    </row>
    <row r="292" spans="1:9" x14ac:dyDescent="0.35">
      <c r="A292" s="19">
        <v>45720</v>
      </c>
      <c r="B292" s="20"/>
      <c r="C292" s="20"/>
      <c r="D292" s="20">
        <v>900000</v>
      </c>
      <c r="E292" s="99" t="s">
        <v>521</v>
      </c>
      <c r="F292" s="20">
        <f t="shared" si="4"/>
        <v>142334216</v>
      </c>
      <c r="G292" s="7" t="s">
        <v>334</v>
      </c>
      <c r="H292" s="24" t="s">
        <v>109</v>
      </c>
      <c r="I292" s="32" t="s">
        <v>152</v>
      </c>
    </row>
    <row r="293" spans="1:9" x14ac:dyDescent="0.35">
      <c r="A293" s="19">
        <v>45720</v>
      </c>
      <c r="B293" s="20"/>
      <c r="C293" s="20"/>
      <c r="D293" s="20">
        <v>300000</v>
      </c>
      <c r="E293" s="99" t="s">
        <v>521</v>
      </c>
      <c r="F293" s="20">
        <f t="shared" si="4"/>
        <v>142634216</v>
      </c>
      <c r="G293" s="7" t="s">
        <v>335</v>
      </c>
      <c r="H293" s="24" t="s">
        <v>109</v>
      </c>
      <c r="I293" s="32" t="s">
        <v>152</v>
      </c>
    </row>
    <row r="294" spans="1:9" x14ac:dyDescent="0.35">
      <c r="A294" s="19">
        <v>45720</v>
      </c>
      <c r="B294" s="20"/>
      <c r="C294" s="20"/>
      <c r="D294" s="20">
        <v>10000</v>
      </c>
      <c r="E294" s="99" t="s">
        <v>521</v>
      </c>
      <c r="F294" s="20">
        <f t="shared" si="4"/>
        <v>142644216</v>
      </c>
      <c r="G294" s="7" t="s">
        <v>330</v>
      </c>
      <c r="H294" s="24" t="s">
        <v>109</v>
      </c>
      <c r="I294" s="32" t="s">
        <v>152</v>
      </c>
    </row>
    <row r="295" spans="1:9" x14ac:dyDescent="0.35">
      <c r="A295" s="19">
        <v>45720</v>
      </c>
      <c r="B295" s="20"/>
      <c r="C295" s="20"/>
      <c r="D295" s="20">
        <v>5000</v>
      </c>
      <c r="E295" s="99" t="s">
        <v>521</v>
      </c>
      <c r="F295" s="20">
        <f t="shared" si="4"/>
        <v>142649216</v>
      </c>
      <c r="G295" s="7" t="s">
        <v>330</v>
      </c>
      <c r="H295" s="24" t="s">
        <v>109</v>
      </c>
      <c r="I295" s="32" t="s">
        <v>152</v>
      </c>
    </row>
    <row r="296" spans="1:9" x14ac:dyDescent="0.35">
      <c r="A296" s="19">
        <v>45720</v>
      </c>
      <c r="B296" s="20"/>
      <c r="C296" s="20"/>
      <c r="D296" s="20">
        <v>20000</v>
      </c>
      <c r="E296" s="99" t="s">
        <v>521</v>
      </c>
      <c r="F296" s="20">
        <f t="shared" si="4"/>
        <v>142669216</v>
      </c>
      <c r="G296" s="7" t="s">
        <v>330</v>
      </c>
      <c r="H296" s="24" t="s">
        <v>109</v>
      </c>
      <c r="I296" s="32" t="s">
        <v>152</v>
      </c>
    </row>
    <row r="297" spans="1:9" x14ac:dyDescent="0.35">
      <c r="A297" s="19">
        <v>45720</v>
      </c>
      <c r="B297" s="20"/>
      <c r="C297" s="20"/>
      <c r="D297" s="20">
        <v>50000</v>
      </c>
      <c r="E297" s="99" t="s">
        <v>521</v>
      </c>
      <c r="F297" s="20">
        <f t="shared" si="4"/>
        <v>142719216</v>
      </c>
      <c r="G297" s="7" t="s">
        <v>330</v>
      </c>
      <c r="H297" s="24" t="s">
        <v>109</v>
      </c>
      <c r="I297" s="32" t="s">
        <v>152</v>
      </c>
    </row>
    <row r="298" spans="1:9" x14ac:dyDescent="0.35">
      <c r="A298" s="19">
        <v>45720</v>
      </c>
      <c r="B298" s="20"/>
      <c r="C298" s="20"/>
      <c r="D298" s="20">
        <v>10000</v>
      </c>
      <c r="E298" s="99" t="s">
        <v>521</v>
      </c>
      <c r="F298" s="20">
        <f t="shared" si="4"/>
        <v>142729216</v>
      </c>
      <c r="G298" s="7" t="s">
        <v>330</v>
      </c>
      <c r="H298" s="24" t="s">
        <v>109</v>
      </c>
      <c r="I298" s="32" t="s">
        <v>152</v>
      </c>
    </row>
    <row r="299" spans="1:9" x14ac:dyDescent="0.35">
      <c r="A299" s="19">
        <v>45720</v>
      </c>
      <c r="B299" s="20"/>
      <c r="C299" s="20"/>
      <c r="D299" s="20">
        <v>10000</v>
      </c>
      <c r="E299" s="99" t="s">
        <v>521</v>
      </c>
      <c r="F299" s="20">
        <f t="shared" si="4"/>
        <v>142739216</v>
      </c>
      <c r="G299" s="7" t="s">
        <v>330</v>
      </c>
      <c r="H299" s="24" t="s">
        <v>109</v>
      </c>
      <c r="I299" s="32" t="s">
        <v>152</v>
      </c>
    </row>
    <row r="300" spans="1:9" x14ac:dyDescent="0.35">
      <c r="A300" s="19">
        <v>45720</v>
      </c>
      <c r="B300" s="20">
        <v>855000</v>
      </c>
      <c r="C300" s="20"/>
      <c r="D300" s="20"/>
      <c r="E300" s="99" t="s">
        <v>521</v>
      </c>
      <c r="F300" s="20">
        <f t="shared" si="4"/>
        <v>141884216</v>
      </c>
      <c r="G300" s="7" t="s">
        <v>336</v>
      </c>
      <c r="H300" s="24" t="s">
        <v>322</v>
      </c>
      <c r="I300" s="32" t="s">
        <v>152</v>
      </c>
    </row>
    <row r="301" spans="1:9" x14ac:dyDescent="0.35">
      <c r="A301" s="19">
        <v>45720</v>
      </c>
      <c r="B301" s="20">
        <v>2500</v>
      </c>
      <c r="C301" s="20"/>
      <c r="D301" s="20"/>
      <c r="E301" s="99" t="s">
        <v>521</v>
      </c>
      <c r="F301" s="20">
        <f t="shared" si="4"/>
        <v>141881716</v>
      </c>
      <c r="G301" s="7" t="s">
        <v>337</v>
      </c>
      <c r="H301" s="24" t="s">
        <v>322</v>
      </c>
      <c r="I301" s="32" t="s">
        <v>152</v>
      </c>
    </row>
    <row r="302" spans="1:9" x14ac:dyDescent="0.35">
      <c r="A302" s="19">
        <v>45720</v>
      </c>
      <c r="B302" s="20"/>
      <c r="C302" s="20"/>
      <c r="D302" s="20">
        <v>150000</v>
      </c>
      <c r="E302" s="99" t="s">
        <v>521</v>
      </c>
      <c r="F302" s="20">
        <f t="shared" si="4"/>
        <v>142031716</v>
      </c>
      <c r="G302" s="7" t="s">
        <v>338</v>
      </c>
      <c r="H302" s="24" t="s">
        <v>109</v>
      </c>
      <c r="I302" s="32" t="s">
        <v>152</v>
      </c>
    </row>
    <row r="303" spans="1:9" x14ac:dyDescent="0.35">
      <c r="A303" s="19">
        <v>45721</v>
      </c>
      <c r="B303" s="20"/>
      <c r="C303" s="20"/>
      <c r="D303" s="20">
        <v>1000000</v>
      </c>
      <c r="E303" s="99" t="s">
        <v>521</v>
      </c>
      <c r="F303" s="20">
        <f t="shared" si="4"/>
        <v>143031716</v>
      </c>
      <c r="G303" s="7" t="s">
        <v>339</v>
      </c>
      <c r="H303" s="24" t="s">
        <v>109</v>
      </c>
      <c r="I303" s="32" t="s">
        <v>152</v>
      </c>
    </row>
    <row r="304" spans="1:9" x14ac:dyDescent="0.35">
      <c r="A304" s="19">
        <v>45721</v>
      </c>
      <c r="B304" s="20">
        <v>1350000</v>
      </c>
      <c r="C304" s="20"/>
      <c r="D304" s="20"/>
      <c r="E304" s="99" t="s">
        <v>521</v>
      </c>
      <c r="F304" s="20">
        <f t="shared" si="4"/>
        <v>141681716</v>
      </c>
      <c r="G304" s="7" t="s">
        <v>340</v>
      </c>
      <c r="H304" s="24" t="s">
        <v>321</v>
      </c>
      <c r="I304" s="32" t="s">
        <v>152</v>
      </c>
    </row>
    <row r="305" spans="1:9" x14ac:dyDescent="0.35">
      <c r="A305" s="19">
        <v>45721</v>
      </c>
      <c r="B305" s="20">
        <v>2500</v>
      </c>
      <c r="C305" s="20"/>
      <c r="D305" s="20"/>
      <c r="E305" s="99" t="s">
        <v>521</v>
      </c>
      <c r="F305" s="20">
        <f t="shared" si="4"/>
        <v>141679216</v>
      </c>
      <c r="G305" s="7" t="s">
        <v>341</v>
      </c>
      <c r="H305" s="24" t="s">
        <v>321</v>
      </c>
      <c r="I305" s="32" t="s">
        <v>152</v>
      </c>
    </row>
    <row r="306" spans="1:9" x14ac:dyDescent="0.35">
      <c r="A306" s="19">
        <v>45721</v>
      </c>
      <c r="B306" s="20"/>
      <c r="C306" s="20"/>
      <c r="D306" s="20">
        <v>1000000</v>
      </c>
      <c r="E306" s="99" t="s">
        <v>521</v>
      </c>
      <c r="F306" s="20">
        <f t="shared" si="4"/>
        <v>142679216</v>
      </c>
      <c r="G306" s="7" t="s">
        <v>342</v>
      </c>
      <c r="H306" s="24" t="s">
        <v>109</v>
      </c>
      <c r="I306" s="32" t="s">
        <v>152</v>
      </c>
    </row>
    <row r="307" spans="1:9" x14ac:dyDescent="0.35">
      <c r="A307" s="19">
        <v>45721</v>
      </c>
      <c r="B307" s="20"/>
      <c r="C307" s="20"/>
      <c r="D307" s="20">
        <v>10000</v>
      </c>
      <c r="E307" s="99" t="s">
        <v>521</v>
      </c>
      <c r="F307" s="20">
        <f t="shared" si="4"/>
        <v>142689216</v>
      </c>
      <c r="G307" s="7" t="s">
        <v>330</v>
      </c>
      <c r="H307" s="24" t="s">
        <v>109</v>
      </c>
      <c r="I307" s="32" t="s">
        <v>152</v>
      </c>
    </row>
    <row r="308" spans="1:9" x14ac:dyDescent="0.35">
      <c r="A308" s="19">
        <v>45721</v>
      </c>
      <c r="B308" s="20"/>
      <c r="C308" s="20"/>
      <c r="D308" s="20">
        <v>100000</v>
      </c>
      <c r="E308" s="99" t="s">
        <v>521</v>
      </c>
      <c r="F308" s="20">
        <f t="shared" si="4"/>
        <v>142789216</v>
      </c>
      <c r="G308" s="7" t="s">
        <v>330</v>
      </c>
      <c r="H308" s="24" t="s">
        <v>109</v>
      </c>
      <c r="I308" s="32" t="s">
        <v>152</v>
      </c>
    </row>
    <row r="309" spans="1:9" x14ac:dyDescent="0.35">
      <c r="A309" s="19">
        <v>45721</v>
      </c>
      <c r="B309" s="20"/>
      <c r="C309" s="20"/>
      <c r="D309" s="20">
        <v>20000</v>
      </c>
      <c r="E309" s="99" t="s">
        <v>521</v>
      </c>
      <c r="F309" s="20">
        <f t="shared" si="4"/>
        <v>142809216</v>
      </c>
      <c r="G309" s="7" t="s">
        <v>330</v>
      </c>
      <c r="H309" s="24" t="s">
        <v>109</v>
      </c>
      <c r="I309" s="32" t="s">
        <v>152</v>
      </c>
    </row>
    <row r="310" spans="1:9" x14ac:dyDescent="0.35">
      <c r="A310" s="19">
        <v>45721</v>
      </c>
      <c r="B310" s="20"/>
      <c r="C310" s="20"/>
      <c r="D310" s="20">
        <v>25000</v>
      </c>
      <c r="E310" s="99" t="s">
        <v>521</v>
      </c>
      <c r="F310" s="20">
        <f t="shared" si="4"/>
        <v>142834216</v>
      </c>
      <c r="G310" s="7" t="s">
        <v>330</v>
      </c>
      <c r="H310" s="24" t="s">
        <v>109</v>
      </c>
      <c r="I310" s="32" t="s">
        <v>152</v>
      </c>
    </row>
    <row r="311" spans="1:9" x14ac:dyDescent="0.35">
      <c r="A311" s="19">
        <v>45721</v>
      </c>
      <c r="B311" s="20"/>
      <c r="C311" s="20"/>
      <c r="D311" s="20">
        <v>10000</v>
      </c>
      <c r="E311" s="99" t="s">
        <v>521</v>
      </c>
      <c r="F311" s="20">
        <f t="shared" si="4"/>
        <v>142844216</v>
      </c>
      <c r="G311" s="7" t="s">
        <v>330</v>
      </c>
      <c r="H311" s="24" t="s">
        <v>109</v>
      </c>
      <c r="I311" s="32" t="s">
        <v>152</v>
      </c>
    </row>
    <row r="312" spans="1:9" x14ac:dyDescent="0.35">
      <c r="A312" s="19">
        <v>45721</v>
      </c>
      <c r="B312" s="20"/>
      <c r="C312" s="20"/>
      <c r="D312" s="20">
        <v>50000</v>
      </c>
      <c r="E312" s="99" t="s">
        <v>521</v>
      </c>
      <c r="F312" s="20">
        <f t="shared" si="4"/>
        <v>142894216</v>
      </c>
      <c r="G312" s="7" t="s">
        <v>330</v>
      </c>
      <c r="H312" s="24" t="s">
        <v>109</v>
      </c>
      <c r="I312" s="32" t="s">
        <v>152</v>
      </c>
    </row>
    <row r="313" spans="1:9" x14ac:dyDescent="0.35">
      <c r="A313" s="19">
        <v>45721</v>
      </c>
      <c r="B313" s="20"/>
      <c r="C313" s="20"/>
      <c r="D313" s="20">
        <v>4341</v>
      </c>
      <c r="E313" s="99" t="s">
        <v>521</v>
      </c>
      <c r="F313" s="20">
        <f t="shared" si="4"/>
        <v>142898557</v>
      </c>
      <c r="G313" s="7" t="s">
        <v>330</v>
      </c>
      <c r="H313" s="24" t="s">
        <v>109</v>
      </c>
      <c r="I313" s="32" t="s">
        <v>152</v>
      </c>
    </row>
    <row r="314" spans="1:9" x14ac:dyDescent="0.35">
      <c r="A314" s="19">
        <v>45721</v>
      </c>
      <c r="B314" s="20"/>
      <c r="C314" s="20"/>
      <c r="D314" s="20">
        <v>16000</v>
      </c>
      <c r="E314" s="99" t="s">
        <v>521</v>
      </c>
      <c r="F314" s="20">
        <f t="shared" si="4"/>
        <v>142914557</v>
      </c>
      <c r="G314" s="7" t="s">
        <v>330</v>
      </c>
      <c r="H314" s="24" t="s">
        <v>109</v>
      </c>
      <c r="I314" s="32" t="s">
        <v>152</v>
      </c>
    </row>
    <row r="315" spans="1:9" x14ac:dyDescent="0.35">
      <c r="A315" s="19">
        <v>45721</v>
      </c>
      <c r="B315" s="20"/>
      <c r="C315" s="20"/>
      <c r="D315" s="20">
        <v>216</v>
      </c>
      <c r="E315" s="99" t="s">
        <v>521</v>
      </c>
      <c r="F315" s="20">
        <f t="shared" si="4"/>
        <v>142914773</v>
      </c>
      <c r="G315" s="7" t="s">
        <v>330</v>
      </c>
      <c r="H315" s="24" t="s">
        <v>109</v>
      </c>
      <c r="I315" s="32" t="s">
        <v>152</v>
      </c>
    </row>
    <row r="316" spans="1:9" x14ac:dyDescent="0.35">
      <c r="A316" s="19">
        <v>45721</v>
      </c>
      <c r="B316" s="20">
        <v>500000</v>
      </c>
      <c r="C316" s="20"/>
      <c r="D316" s="20"/>
      <c r="E316" s="99" t="s">
        <v>521</v>
      </c>
      <c r="F316" s="20">
        <f t="shared" si="4"/>
        <v>142414773</v>
      </c>
      <c r="G316" s="7" t="s">
        <v>343</v>
      </c>
      <c r="H316" s="24" t="s">
        <v>322</v>
      </c>
      <c r="I316" s="32" t="s">
        <v>152</v>
      </c>
    </row>
    <row r="317" spans="1:9" x14ac:dyDescent="0.35">
      <c r="A317" s="19">
        <v>45721</v>
      </c>
      <c r="B317" s="20">
        <v>2500</v>
      </c>
      <c r="C317" s="20"/>
      <c r="D317" s="20"/>
      <c r="E317" s="99" t="s">
        <v>521</v>
      </c>
      <c r="F317" s="20">
        <f t="shared" si="4"/>
        <v>142412273</v>
      </c>
      <c r="G317" s="7" t="s">
        <v>344</v>
      </c>
      <c r="H317" s="24" t="s">
        <v>322</v>
      </c>
      <c r="I317" s="32" t="s">
        <v>152</v>
      </c>
    </row>
    <row r="318" spans="1:9" x14ac:dyDescent="0.35">
      <c r="A318" s="19">
        <v>45721</v>
      </c>
      <c r="B318" s="20"/>
      <c r="C318" s="20"/>
      <c r="D318" s="20">
        <v>600000</v>
      </c>
      <c r="E318" s="99" t="s">
        <v>521</v>
      </c>
      <c r="F318" s="20">
        <f t="shared" si="4"/>
        <v>143012273</v>
      </c>
      <c r="G318" s="7" t="s">
        <v>345</v>
      </c>
      <c r="H318" s="24" t="s">
        <v>109</v>
      </c>
      <c r="I318" s="32" t="s">
        <v>152</v>
      </c>
    </row>
    <row r="319" spans="1:9" x14ac:dyDescent="0.35">
      <c r="A319" s="19">
        <v>45721</v>
      </c>
      <c r="B319" s="20"/>
      <c r="C319" s="20"/>
      <c r="D319" s="20">
        <v>78000</v>
      </c>
      <c r="E319" s="99" t="s">
        <v>521</v>
      </c>
      <c r="F319" s="20">
        <f t="shared" si="4"/>
        <v>143090273</v>
      </c>
      <c r="G319" s="7" t="s">
        <v>346</v>
      </c>
      <c r="H319" s="24" t="s">
        <v>109</v>
      </c>
      <c r="I319" s="32" t="s">
        <v>152</v>
      </c>
    </row>
    <row r="320" spans="1:9" x14ac:dyDescent="0.35">
      <c r="A320" s="19">
        <v>45722</v>
      </c>
      <c r="B320" s="20"/>
      <c r="C320" s="20"/>
      <c r="D320" s="20">
        <v>10000000</v>
      </c>
      <c r="E320" s="99" t="s">
        <v>521</v>
      </c>
      <c r="F320" s="20">
        <f t="shared" si="4"/>
        <v>153090273</v>
      </c>
      <c r="G320" s="7" t="s">
        <v>347</v>
      </c>
      <c r="H320" s="24" t="s">
        <v>105</v>
      </c>
      <c r="I320" s="32" t="s">
        <v>152</v>
      </c>
    </row>
    <row r="321" spans="1:9" x14ac:dyDescent="0.35">
      <c r="A321" s="19">
        <v>45722</v>
      </c>
      <c r="B321" s="20"/>
      <c r="C321" s="20"/>
      <c r="D321" s="20">
        <v>540000</v>
      </c>
      <c r="E321" s="99" t="s">
        <v>521</v>
      </c>
      <c r="F321" s="20">
        <f t="shared" si="4"/>
        <v>153630273</v>
      </c>
      <c r="G321" s="7" t="s">
        <v>330</v>
      </c>
      <c r="H321" s="24" t="s">
        <v>109</v>
      </c>
      <c r="I321" s="32" t="s">
        <v>152</v>
      </c>
    </row>
    <row r="322" spans="1:9" x14ac:dyDescent="0.35">
      <c r="A322" s="19">
        <v>45722</v>
      </c>
      <c r="B322" s="20"/>
      <c r="C322" s="20"/>
      <c r="D322" s="20">
        <v>100000</v>
      </c>
      <c r="E322" s="99" t="s">
        <v>521</v>
      </c>
      <c r="F322" s="20">
        <f t="shared" si="4"/>
        <v>153730273</v>
      </c>
      <c r="G322" s="7" t="s">
        <v>330</v>
      </c>
      <c r="H322" s="24" t="s">
        <v>109</v>
      </c>
      <c r="I322" s="32" t="s">
        <v>152</v>
      </c>
    </row>
    <row r="323" spans="1:9" x14ac:dyDescent="0.35">
      <c r="A323" s="19">
        <v>45722</v>
      </c>
      <c r="B323" s="20"/>
      <c r="C323" s="20"/>
      <c r="D323" s="20">
        <v>50000</v>
      </c>
      <c r="E323" s="99" t="s">
        <v>521</v>
      </c>
      <c r="F323" s="20">
        <f t="shared" si="4"/>
        <v>153780273</v>
      </c>
      <c r="G323" s="7" t="s">
        <v>330</v>
      </c>
      <c r="H323" s="24" t="s">
        <v>109</v>
      </c>
      <c r="I323" s="32" t="s">
        <v>152</v>
      </c>
    </row>
    <row r="324" spans="1:9" x14ac:dyDescent="0.35">
      <c r="A324" s="19">
        <v>45722</v>
      </c>
      <c r="B324" s="20"/>
      <c r="C324" s="20"/>
      <c r="D324" s="20">
        <v>10000</v>
      </c>
      <c r="E324" s="99" t="s">
        <v>521</v>
      </c>
      <c r="F324" s="20">
        <f t="shared" si="4"/>
        <v>153790273</v>
      </c>
      <c r="G324" s="7" t="s">
        <v>330</v>
      </c>
      <c r="H324" s="24" t="s">
        <v>109</v>
      </c>
      <c r="I324" s="32" t="s">
        <v>152</v>
      </c>
    </row>
    <row r="325" spans="1:9" x14ac:dyDescent="0.35">
      <c r="A325" s="19">
        <v>45722</v>
      </c>
      <c r="B325" s="20"/>
      <c r="C325" s="20"/>
      <c r="D325" s="20">
        <v>10000</v>
      </c>
      <c r="E325" s="99" t="s">
        <v>521</v>
      </c>
      <c r="F325" s="20">
        <f t="shared" ref="F325:F388" si="5">+F324+D325-B325</f>
        <v>153800273</v>
      </c>
      <c r="G325" s="7" t="s">
        <v>330</v>
      </c>
      <c r="H325" s="24" t="s">
        <v>109</v>
      </c>
      <c r="I325" s="32" t="s">
        <v>152</v>
      </c>
    </row>
    <row r="326" spans="1:9" x14ac:dyDescent="0.35">
      <c r="A326" s="19">
        <v>45722</v>
      </c>
      <c r="B326" s="20"/>
      <c r="C326" s="20"/>
      <c r="D326" s="20">
        <v>100000</v>
      </c>
      <c r="E326" s="99" t="s">
        <v>521</v>
      </c>
      <c r="F326" s="20">
        <f t="shared" si="5"/>
        <v>153900273</v>
      </c>
      <c r="G326" s="7" t="s">
        <v>330</v>
      </c>
      <c r="H326" s="24" t="s">
        <v>109</v>
      </c>
      <c r="I326" s="32" t="s">
        <v>152</v>
      </c>
    </row>
    <row r="327" spans="1:9" x14ac:dyDescent="0.35">
      <c r="A327" s="19">
        <v>45722</v>
      </c>
      <c r="B327" s="20"/>
      <c r="C327" s="20"/>
      <c r="D327" s="20">
        <v>5000</v>
      </c>
      <c r="E327" s="99" t="s">
        <v>521</v>
      </c>
      <c r="F327" s="20">
        <f t="shared" si="5"/>
        <v>153905273</v>
      </c>
      <c r="G327" s="7" t="s">
        <v>330</v>
      </c>
      <c r="H327" s="24" t="s">
        <v>109</v>
      </c>
      <c r="I327" s="32" t="s">
        <v>152</v>
      </c>
    </row>
    <row r="328" spans="1:9" x14ac:dyDescent="0.35">
      <c r="A328" s="19">
        <v>45722</v>
      </c>
      <c r="B328" s="20"/>
      <c r="C328" s="20"/>
      <c r="D328" s="20">
        <v>50000</v>
      </c>
      <c r="E328" s="99" t="s">
        <v>521</v>
      </c>
      <c r="F328" s="20">
        <f t="shared" si="5"/>
        <v>153955273</v>
      </c>
      <c r="G328" s="7" t="s">
        <v>330</v>
      </c>
      <c r="H328" s="24" t="s">
        <v>109</v>
      </c>
      <c r="I328" s="32" t="s">
        <v>152</v>
      </c>
    </row>
    <row r="329" spans="1:9" x14ac:dyDescent="0.35">
      <c r="A329" s="19">
        <v>45722</v>
      </c>
      <c r="B329" s="20"/>
      <c r="C329" s="20"/>
      <c r="D329" s="20">
        <v>100000</v>
      </c>
      <c r="E329" s="99" t="s">
        <v>521</v>
      </c>
      <c r="F329" s="20">
        <f t="shared" si="5"/>
        <v>154055273</v>
      </c>
      <c r="G329" s="7" t="s">
        <v>348</v>
      </c>
      <c r="H329" s="24" t="s">
        <v>109</v>
      </c>
      <c r="I329" s="32" t="s">
        <v>152</v>
      </c>
    </row>
    <row r="330" spans="1:9" x14ac:dyDescent="0.35">
      <c r="A330" s="19">
        <v>45722</v>
      </c>
      <c r="B330" s="20"/>
      <c r="C330" s="20"/>
      <c r="D330" s="20">
        <v>400000</v>
      </c>
      <c r="E330" s="99" t="s">
        <v>521</v>
      </c>
      <c r="F330" s="20">
        <f t="shared" si="5"/>
        <v>154455273</v>
      </c>
      <c r="G330" s="7" t="s">
        <v>238</v>
      </c>
      <c r="H330" s="24" t="s">
        <v>109</v>
      </c>
      <c r="I330" s="32" t="s">
        <v>152</v>
      </c>
    </row>
    <row r="331" spans="1:9" x14ac:dyDescent="0.35">
      <c r="A331" s="19">
        <v>45722</v>
      </c>
      <c r="B331" s="20"/>
      <c r="C331" s="20"/>
      <c r="D331" s="20">
        <v>50000</v>
      </c>
      <c r="E331" s="99" t="s">
        <v>521</v>
      </c>
      <c r="F331" s="20">
        <f t="shared" si="5"/>
        <v>154505273</v>
      </c>
      <c r="G331" s="7" t="s">
        <v>349</v>
      </c>
      <c r="H331" s="24" t="s">
        <v>109</v>
      </c>
      <c r="I331" s="32" t="s">
        <v>152</v>
      </c>
    </row>
    <row r="332" spans="1:9" x14ac:dyDescent="0.35">
      <c r="A332" s="19">
        <v>45723</v>
      </c>
      <c r="B332" s="20"/>
      <c r="C332" s="20"/>
      <c r="D332" s="20">
        <v>2000000</v>
      </c>
      <c r="E332" s="99" t="s">
        <v>521</v>
      </c>
      <c r="F332" s="20">
        <f t="shared" si="5"/>
        <v>156505273</v>
      </c>
      <c r="G332" s="7" t="s">
        <v>350</v>
      </c>
      <c r="H332" s="24" t="s">
        <v>109</v>
      </c>
      <c r="I332" s="32" t="s">
        <v>152</v>
      </c>
    </row>
    <row r="333" spans="1:9" x14ac:dyDescent="0.35">
      <c r="A333" s="19">
        <v>45723</v>
      </c>
      <c r="B333" s="20"/>
      <c r="C333" s="20"/>
      <c r="D333" s="20">
        <v>50000</v>
      </c>
      <c r="E333" s="99" t="s">
        <v>521</v>
      </c>
      <c r="F333" s="20">
        <f t="shared" si="5"/>
        <v>156555273</v>
      </c>
      <c r="G333" s="7" t="s">
        <v>330</v>
      </c>
      <c r="H333" s="24" t="s">
        <v>109</v>
      </c>
      <c r="I333" s="32" t="s">
        <v>152</v>
      </c>
    </row>
    <row r="334" spans="1:9" x14ac:dyDescent="0.35">
      <c r="A334" s="19">
        <v>45723</v>
      </c>
      <c r="B334" s="20"/>
      <c r="C334" s="20"/>
      <c r="D334" s="20">
        <v>50000</v>
      </c>
      <c r="E334" s="99" t="s">
        <v>521</v>
      </c>
      <c r="F334" s="20">
        <f t="shared" si="5"/>
        <v>156605273</v>
      </c>
      <c r="G334" s="7" t="s">
        <v>330</v>
      </c>
      <c r="H334" s="24" t="s">
        <v>109</v>
      </c>
      <c r="I334" s="32" t="s">
        <v>152</v>
      </c>
    </row>
    <row r="335" spans="1:9" x14ac:dyDescent="0.35">
      <c r="A335" s="19">
        <v>45723</v>
      </c>
      <c r="B335" s="20"/>
      <c r="C335" s="20"/>
      <c r="D335" s="20">
        <v>50000</v>
      </c>
      <c r="E335" s="99" t="s">
        <v>521</v>
      </c>
      <c r="F335" s="20">
        <f t="shared" si="5"/>
        <v>156655273</v>
      </c>
      <c r="G335" s="7" t="s">
        <v>330</v>
      </c>
      <c r="H335" s="24" t="s">
        <v>109</v>
      </c>
      <c r="I335" s="32" t="s">
        <v>152</v>
      </c>
    </row>
    <row r="336" spans="1:9" x14ac:dyDescent="0.35">
      <c r="A336" s="19">
        <v>45723</v>
      </c>
      <c r="B336" s="20"/>
      <c r="C336" s="20"/>
      <c r="D336" s="20">
        <v>100000</v>
      </c>
      <c r="E336" s="99" t="s">
        <v>521</v>
      </c>
      <c r="F336" s="20">
        <f t="shared" si="5"/>
        <v>156755273</v>
      </c>
      <c r="G336" s="7" t="s">
        <v>330</v>
      </c>
      <c r="H336" s="24" t="s">
        <v>109</v>
      </c>
      <c r="I336" s="32" t="s">
        <v>152</v>
      </c>
    </row>
    <row r="337" spans="1:9" x14ac:dyDescent="0.35">
      <c r="A337" s="19">
        <v>45723</v>
      </c>
      <c r="B337" s="20"/>
      <c r="C337" s="20"/>
      <c r="D337" s="20">
        <v>100000</v>
      </c>
      <c r="E337" s="99" t="s">
        <v>521</v>
      </c>
      <c r="F337" s="20">
        <f t="shared" si="5"/>
        <v>156855273</v>
      </c>
      <c r="G337" s="7" t="s">
        <v>330</v>
      </c>
      <c r="H337" s="24" t="s">
        <v>109</v>
      </c>
      <c r="I337" s="32" t="s">
        <v>152</v>
      </c>
    </row>
    <row r="338" spans="1:9" x14ac:dyDescent="0.35">
      <c r="A338" s="19">
        <v>45723</v>
      </c>
      <c r="B338" s="20"/>
      <c r="C338" s="20"/>
      <c r="D338" s="20">
        <v>100000</v>
      </c>
      <c r="E338" s="99" t="s">
        <v>521</v>
      </c>
      <c r="F338" s="20">
        <f t="shared" si="5"/>
        <v>156955273</v>
      </c>
      <c r="G338" s="7" t="s">
        <v>330</v>
      </c>
      <c r="H338" s="24" t="s">
        <v>109</v>
      </c>
      <c r="I338" s="32" t="s">
        <v>152</v>
      </c>
    </row>
    <row r="339" spans="1:9" x14ac:dyDescent="0.35">
      <c r="A339" s="19">
        <v>45723</v>
      </c>
      <c r="B339" s="20"/>
      <c r="C339" s="20"/>
      <c r="D339" s="20">
        <v>10000</v>
      </c>
      <c r="E339" s="99" t="s">
        <v>521</v>
      </c>
      <c r="F339" s="20">
        <f t="shared" si="5"/>
        <v>156965273</v>
      </c>
      <c r="G339" s="7" t="s">
        <v>330</v>
      </c>
      <c r="H339" s="24" t="s">
        <v>109</v>
      </c>
      <c r="I339" s="32" t="s">
        <v>152</v>
      </c>
    </row>
    <row r="340" spans="1:9" x14ac:dyDescent="0.35">
      <c r="A340" s="19">
        <v>45723</v>
      </c>
      <c r="B340" s="20"/>
      <c r="C340" s="20"/>
      <c r="D340" s="20">
        <v>50000</v>
      </c>
      <c r="E340" s="99" t="s">
        <v>521</v>
      </c>
      <c r="F340" s="20">
        <f t="shared" si="5"/>
        <v>157015273</v>
      </c>
      <c r="G340" s="7" t="s">
        <v>330</v>
      </c>
      <c r="H340" s="24" t="s">
        <v>109</v>
      </c>
      <c r="I340" s="32" t="s">
        <v>152</v>
      </c>
    </row>
    <row r="341" spans="1:9" x14ac:dyDescent="0.35">
      <c r="A341" s="19">
        <v>45723</v>
      </c>
      <c r="B341" s="20"/>
      <c r="C341" s="20"/>
      <c r="D341" s="20">
        <v>10000</v>
      </c>
      <c r="E341" s="99" t="s">
        <v>521</v>
      </c>
      <c r="F341" s="20">
        <f t="shared" si="5"/>
        <v>157025273</v>
      </c>
      <c r="G341" s="7" t="s">
        <v>330</v>
      </c>
      <c r="H341" s="24" t="s">
        <v>109</v>
      </c>
      <c r="I341" s="32" t="s">
        <v>152</v>
      </c>
    </row>
    <row r="342" spans="1:9" x14ac:dyDescent="0.35">
      <c r="A342" s="19">
        <v>45723</v>
      </c>
      <c r="B342" s="20"/>
      <c r="C342" s="20"/>
      <c r="D342" s="20">
        <v>100000</v>
      </c>
      <c r="E342" s="99" t="s">
        <v>521</v>
      </c>
      <c r="F342" s="20">
        <f t="shared" si="5"/>
        <v>157125273</v>
      </c>
      <c r="G342" s="7" t="s">
        <v>330</v>
      </c>
      <c r="H342" s="24" t="s">
        <v>109</v>
      </c>
      <c r="I342" s="32" t="s">
        <v>152</v>
      </c>
    </row>
    <row r="343" spans="1:9" x14ac:dyDescent="0.35">
      <c r="A343" s="19">
        <v>45723</v>
      </c>
      <c r="B343" s="20"/>
      <c r="C343" s="20"/>
      <c r="D343" s="20">
        <v>99359</v>
      </c>
      <c r="E343" s="99" t="s">
        <v>521</v>
      </c>
      <c r="F343" s="20">
        <f t="shared" si="5"/>
        <v>157224632</v>
      </c>
      <c r="G343" s="7" t="s">
        <v>330</v>
      </c>
      <c r="H343" s="24" t="s">
        <v>109</v>
      </c>
      <c r="I343" s="32" t="s">
        <v>152</v>
      </c>
    </row>
    <row r="344" spans="1:9" x14ac:dyDescent="0.35">
      <c r="A344" s="19">
        <v>45723</v>
      </c>
      <c r="B344" s="20"/>
      <c r="C344" s="20"/>
      <c r="D344" s="20">
        <v>25000</v>
      </c>
      <c r="E344" s="99" t="s">
        <v>521</v>
      </c>
      <c r="F344" s="20">
        <f t="shared" si="5"/>
        <v>157249632</v>
      </c>
      <c r="G344" s="7" t="s">
        <v>330</v>
      </c>
      <c r="H344" s="24" t="s">
        <v>109</v>
      </c>
      <c r="I344" s="32" t="s">
        <v>152</v>
      </c>
    </row>
    <row r="345" spans="1:9" x14ac:dyDescent="0.35">
      <c r="A345" s="19">
        <v>45723</v>
      </c>
      <c r="B345" s="20"/>
      <c r="C345" s="20"/>
      <c r="D345" s="20">
        <v>20000</v>
      </c>
      <c r="E345" s="99" t="s">
        <v>521</v>
      </c>
      <c r="F345" s="20">
        <f t="shared" si="5"/>
        <v>157269632</v>
      </c>
      <c r="G345" s="7" t="s">
        <v>330</v>
      </c>
      <c r="H345" s="24" t="s">
        <v>109</v>
      </c>
      <c r="I345" s="32" t="s">
        <v>152</v>
      </c>
    </row>
    <row r="346" spans="1:9" x14ac:dyDescent="0.35">
      <c r="A346" s="19">
        <v>45723</v>
      </c>
      <c r="B346" s="20"/>
      <c r="C346" s="20"/>
      <c r="D346" s="20">
        <v>4331</v>
      </c>
      <c r="E346" s="99" t="s">
        <v>521</v>
      </c>
      <c r="F346" s="20">
        <f t="shared" si="5"/>
        <v>157273963</v>
      </c>
      <c r="G346" s="7" t="s">
        <v>330</v>
      </c>
      <c r="H346" s="24" t="s">
        <v>109</v>
      </c>
      <c r="I346" s="32" t="s">
        <v>152</v>
      </c>
    </row>
    <row r="347" spans="1:9" x14ac:dyDescent="0.35">
      <c r="A347" s="19">
        <v>45723</v>
      </c>
      <c r="B347" s="20">
        <v>2000000</v>
      </c>
      <c r="C347" s="20"/>
      <c r="D347" s="20"/>
      <c r="E347" s="99" t="s">
        <v>521</v>
      </c>
      <c r="F347" s="20">
        <f t="shared" si="5"/>
        <v>155273963</v>
      </c>
      <c r="G347" s="7" t="s">
        <v>351</v>
      </c>
      <c r="H347" s="24" t="s">
        <v>323</v>
      </c>
      <c r="I347" s="32" t="s">
        <v>152</v>
      </c>
    </row>
    <row r="348" spans="1:9" x14ac:dyDescent="0.35">
      <c r="A348" s="19">
        <v>45723</v>
      </c>
      <c r="B348" s="20">
        <v>2500</v>
      </c>
      <c r="C348" s="20"/>
      <c r="D348" s="20"/>
      <c r="E348" s="99" t="s">
        <v>521</v>
      </c>
      <c r="F348" s="20">
        <f t="shared" si="5"/>
        <v>155271463</v>
      </c>
      <c r="G348" s="7" t="s">
        <v>352</v>
      </c>
      <c r="H348" s="24" t="s">
        <v>323</v>
      </c>
      <c r="I348" s="32" t="s">
        <v>152</v>
      </c>
    </row>
    <row r="349" spans="1:9" x14ac:dyDescent="0.35">
      <c r="A349" s="19">
        <v>45726</v>
      </c>
      <c r="B349" s="20">
        <v>1350000</v>
      </c>
      <c r="C349" s="20"/>
      <c r="D349" s="20"/>
      <c r="E349" s="99" t="s">
        <v>521</v>
      </c>
      <c r="F349" s="20">
        <f t="shared" si="5"/>
        <v>153921463</v>
      </c>
      <c r="G349" s="7" t="s">
        <v>368</v>
      </c>
      <c r="H349" s="24" t="s">
        <v>320</v>
      </c>
      <c r="I349" s="32" t="s">
        <v>152</v>
      </c>
    </row>
    <row r="350" spans="1:9" x14ac:dyDescent="0.35">
      <c r="A350" s="19">
        <v>45726</v>
      </c>
      <c r="B350" s="20"/>
      <c r="C350" s="20"/>
      <c r="D350" s="20">
        <v>250000</v>
      </c>
      <c r="E350" s="99" t="s">
        <v>521</v>
      </c>
      <c r="F350" s="20">
        <f t="shared" si="5"/>
        <v>154171463</v>
      </c>
      <c r="G350" s="7" t="s">
        <v>369</v>
      </c>
      <c r="H350" s="24" t="s">
        <v>109</v>
      </c>
      <c r="I350" s="32" t="s">
        <v>152</v>
      </c>
    </row>
    <row r="351" spans="1:9" x14ac:dyDescent="0.35">
      <c r="A351" s="19">
        <v>45726</v>
      </c>
      <c r="B351" s="20"/>
      <c r="C351" s="20"/>
      <c r="D351" s="20">
        <v>50000</v>
      </c>
      <c r="E351" s="99" t="s">
        <v>521</v>
      </c>
      <c r="F351" s="20">
        <f t="shared" si="5"/>
        <v>154221463</v>
      </c>
      <c r="G351" s="7" t="s">
        <v>369</v>
      </c>
      <c r="H351" s="24" t="s">
        <v>109</v>
      </c>
      <c r="I351" s="32" t="s">
        <v>152</v>
      </c>
    </row>
    <row r="352" spans="1:9" x14ac:dyDescent="0.35">
      <c r="A352" s="19">
        <v>45726</v>
      </c>
      <c r="B352" s="20"/>
      <c r="C352" s="20"/>
      <c r="D352" s="20">
        <v>50000</v>
      </c>
      <c r="E352" s="99" t="s">
        <v>521</v>
      </c>
      <c r="F352" s="20">
        <f t="shared" si="5"/>
        <v>154271463</v>
      </c>
      <c r="G352" s="7" t="s">
        <v>369</v>
      </c>
      <c r="H352" s="24" t="s">
        <v>109</v>
      </c>
      <c r="I352" s="32" t="s">
        <v>152</v>
      </c>
    </row>
    <row r="353" spans="1:9" x14ac:dyDescent="0.35">
      <c r="A353" s="19">
        <v>45726</v>
      </c>
      <c r="B353" s="20"/>
      <c r="C353" s="20"/>
      <c r="D353" s="20">
        <v>50000</v>
      </c>
      <c r="E353" s="99" t="s">
        <v>521</v>
      </c>
      <c r="F353" s="20">
        <f t="shared" si="5"/>
        <v>154321463</v>
      </c>
      <c r="G353" s="7" t="s">
        <v>369</v>
      </c>
      <c r="H353" s="24" t="s">
        <v>109</v>
      </c>
      <c r="I353" s="32" t="s">
        <v>152</v>
      </c>
    </row>
    <row r="354" spans="1:9" x14ac:dyDescent="0.35">
      <c r="A354" s="19">
        <v>45726</v>
      </c>
      <c r="B354" s="20"/>
      <c r="C354" s="20"/>
      <c r="D354" s="20">
        <v>100000</v>
      </c>
      <c r="E354" s="99" t="s">
        <v>521</v>
      </c>
      <c r="F354" s="20">
        <f t="shared" si="5"/>
        <v>154421463</v>
      </c>
      <c r="G354" s="7" t="s">
        <v>369</v>
      </c>
      <c r="H354" s="24" t="s">
        <v>109</v>
      </c>
      <c r="I354" s="32" t="s">
        <v>152</v>
      </c>
    </row>
    <row r="355" spans="1:9" x14ac:dyDescent="0.35">
      <c r="A355" s="19">
        <v>45726</v>
      </c>
      <c r="B355" s="20"/>
      <c r="C355" s="20"/>
      <c r="D355" s="20">
        <v>25000</v>
      </c>
      <c r="E355" s="99" t="s">
        <v>521</v>
      </c>
      <c r="F355" s="20">
        <f t="shared" si="5"/>
        <v>154446463</v>
      </c>
      <c r="G355" s="7" t="s">
        <v>369</v>
      </c>
      <c r="H355" s="24" t="s">
        <v>109</v>
      </c>
      <c r="I355" s="32" t="s">
        <v>152</v>
      </c>
    </row>
    <row r="356" spans="1:9" x14ac:dyDescent="0.35">
      <c r="A356" s="19">
        <v>45726</v>
      </c>
      <c r="B356" s="20"/>
      <c r="C356" s="20"/>
      <c r="D356" s="20">
        <v>10000</v>
      </c>
      <c r="E356" s="99" t="s">
        <v>521</v>
      </c>
      <c r="F356" s="20">
        <f t="shared" si="5"/>
        <v>154456463</v>
      </c>
      <c r="G356" s="7" t="s">
        <v>369</v>
      </c>
      <c r="H356" s="24" t="s">
        <v>109</v>
      </c>
      <c r="I356" s="32" t="s">
        <v>152</v>
      </c>
    </row>
    <row r="357" spans="1:9" x14ac:dyDescent="0.35">
      <c r="A357" s="19">
        <v>45726</v>
      </c>
      <c r="B357" s="20"/>
      <c r="C357" s="20"/>
      <c r="D357" s="20">
        <v>50000</v>
      </c>
      <c r="E357" s="99" t="s">
        <v>521</v>
      </c>
      <c r="F357" s="20">
        <f t="shared" si="5"/>
        <v>154506463</v>
      </c>
      <c r="G357" s="7" t="s">
        <v>369</v>
      </c>
      <c r="H357" s="24" t="s">
        <v>109</v>
      </c>
      <c r="I357" s="32" t="s">
        <v>152</v>
      </c>
    </row>
    <row r="358" spans="1:9" x14ac:dyDescent="0.35">
      <c r="A358" s="19">
        <v>45726</v>
      </c>
      <c r="B358" s="20"/>
      <c r="C358" s="20"/>
      <c r="D358" s="20">
        <v>10000</v>
      </c>
      <c r="E358" s="99" t="s">
        <v>521</v>
      </c>
      <c r="F358" s="20">
        <f t="shared" si="5"/>
        <v>154516463</v>
      </c>
      <c r="G358" s="7" t="s">
        <v>369</v>
      </c>
      <c r="H358" s="24" t="s">
        <v>109</v>
      </c>
      <c r="I358" s="32" t="s">
        <v>152</v>
      </c>
    </row>
    <row r="359" spans="1:9" x14ac:dyDescent="0.35">
      <c r="A359" s="19">
        <v>45726</v>
      </c>
      <c r="B359" s="20"/>
      <c r="C359" s="20"/>
      <c r="D359" s="20">
        <v>20000</v>
      </c>
      <c r="E359" s="99" t="s">
        <v>521</v>
      </c>
      <c r="F359" s="20">
        <f t="shared" si="5"/>
        <v>154536463</v>
      </c>
      <c r="G359" s="7" t="s">
        <v>369</v>
      </c>
      <c r="H359" s="24" t="s">
        <v>109</v>
      </c>
      <c r="I359" s="32" t="s">
        <v>152</v>
      </c>
    </row>
    <row r="360" spans="1:9" x14ac:dyDescent="0.35">
      <c r="A360" s="19">
        <v>45726</v>
      </c>
      <c r="B360" s="20"/>
      <c r="C360" s="20"/>
      <c r="D360" s="20">
        <v>3000</v>
      </c>
      <c r="E360" s="99" t="s">
        <v>521</v>
      </c>
      <c r="F360" s="20">
        <f t="shared" si="5"/>
        <v>154539463</v>
      </c>
      <c r="G360" s="7" t="s">
        <v>369</v>
      </c>
      <c r="H360" s="24" t="s">
        <v>109</v>
      </c>
      <c r="I360" s="32" t="s">
        <v>152</v>
      </c>
    </row>
    <row r="361" spans="1:9" x14ac:dyDescent="0.35">
      <c r="A361" s="19">
        <v>45726</v>
      </c>
      <c r="B361" s="20"/>
      <c r="C361" s="20"/>
      <c r="D361" s="20">
        <v>916</v>
      </c>
      <c r="E361" s="99" t="s">
        <v>521</v>
      </c>
      <c r="F361" s="20">
        <f t="shared" si="5"/>
        <v>154540379</v>
      </c>
      <c r="G361" s="7" t="s">
        <v>369</v>
      </c>
      <c r="H361" s="24" t="s">
        <v>109</v>
      </c>
      <c r="I361" s="32" t="s">
        <v>152</v>
      </c>
    </row>
    <row r="362" spans="1:9" x14ac:dyDescent="0.35">
      <c r="A362" s="19">
        <v>45726</v>
      </c>
      <c r="B362" s="20">
        <v>750000</v>
      </c>
      <c r="C362" s="20"/>
      <c r="D362" s="20"/>
      <c r="E362" s="99" t="s">
        <v>521</v>
      </c>
      <c r="F362" s="20">
        <f t="shared" si="5"/>
        <v>153790379</v>
      </c>
      <c r="G362" s="7" t="s">
        <v>370</v>
      </c>
      <c r="H362" s="24" t="s">
        <v>323</v>
      </c>
      <c r="I362" s="32" t="s">
        <v>152</v>
      </c>
    </row>
    <row r="363" spans="1:9" x14ac:dyDescent="0.35">
      <c r="A363" s="19">
        <v>45726</v>
      </c>
      <c r="B363" s="20">
        <v>2500</v>
      </c>
      <c r="C363" s="20"/>
      <c r="D363" s="20"/>
      <c r="E363" s="99" t="s">
        <v>521</v>
      </c>
      <c r="F363" s="20">
        <f t="shared" si="5"/>
        <v>153787879</v>
      </c>
      <c r="G363" s="7" t="s">
        <v>371</v>
      </c>
      <c r="H363" s="24" t="s">
        <v>323</v>
      </c>
      <c r="I363" s="32" t="s">
        <v>152</v>
      </c>
    </row>
    <row r="364" spans="1:9" x14ac:dyDescent="0.35">
      <c r="A364" s="19">
        <v>45726</v>
      </c>
      <c r="B364" s="20"/>
      <c r="C364" s="20"/>
      <c r="D364" s="20">
        <v>400000</v>
      </c>
      <c r="E364" s="99" t="s">
        <v>521</v>
      </c>
      <c r="F364" s="20">
        <f t="shared" si="5"/>
        <v>154187879</v>
      </c>
      <c r="G364" s="7" t="s">
        <v>372</v>
      </c>
      <c r="H364" s="24" t="s">
        <v>109</v>
      </c>
      <c r="I364" s="32" t="s">
        <v>152</v>
      </c>
    </row>
    <row r="365" spans="1:9" x14ac:dyDescent="0.35">
      <c r="A365" s="19">
        <v>45726</v>
      </c>
      <c r="B365" s="20"/>
      <c r="C365" s="20"/>
      <c r="D365" s="20">
        <v>20000</v>
      </c>
      <c r="E365" s="99" t="s">
        <v>521</v>
      </c>
      <c r="F365" s="20">
        <f t="shared" si="5"/>
        <v>154207879</v>
      </c>
      <c r="G365" s="7" t="s">
        <v>369</v>
      </c>
      <c r="H365" s="24" t="s">
        <v>109</v>
      </c>
      <c r="I365" s="32" t="s">
        <v>152</v>
      </c>
    </row>
    <row r="366" spans="1:9" x14ac:dyDescent="0.35">
      <c r="A366" s="19">
        <v>45726</v>
      </c>
      <c r="B366" s="20"/>
      <c r="C366" s="20"/>
      <c r="D366" s="20">
        <v>25000</v>
      </c>
      <c r="E366" s="99" t="s">
        <v>521</v>
      </c>
      <c r="F366" s="20">
        <f t="shared" si="5"/>
        <v>154232879</v>
      </c>
      <c r="G366" s="7" t="s">
        <v>369</v>
      </c>
      <c r="H366" s="24" t="s">
        <v>109</v>
      </c>
      <c r="I366" s="32" t="s">
        <v>152</v>
      </c>
    </row>
    <row r="367" spans="1:9" x14ac:dyDescent="0.35">
      <c r="A367" s="19">
        <v>45726</v>
      </c>
      <c r="B367" s="20"/>
      <c r="C367" s="20"/>
      <c r="D367" s="20">
        <v>100000</v>
      </c>
      <c r="E367" s="99" t="s">
        <v>521</v>
      </c>
      <c r="F367" s="20">
        <f t="shared" si="5"/>
        <v>154332879</v>
      </c>
      <c r="G367" s="7" t="s">
        <v>369</v>
      </c>
      <c r="H367" s="24" t="s">
        <v>109</v>
      </c>
      <c r="I367" s="32" t="s">
        <v>152</v>
      </c>
    </row>
    <row r="368" spans="1:9" x14ac:dyDescent="0.35">
      <c r="A368" s="19">
        <v>45726</v>
      </c>
      <c r="B368" s="20"/>
      <c r="C368" s="20"/>
      <c r="D368" s="20">
        <v>50000</v>
      </c>
      <c r="E368" s="99" t="s">
        <v>521</v>
      </c>
      <c r="F368" s="20">
        <f t="shared" si="5"/>
        <v>154382879</v>
      </c>
      <c r="G368" s="7" t="s">
        <v>369</v>
      </c>
      <c r="H368" s="24" t="s">
        <v>109</v>
      </c>
      <c r="I368" s="32" t="s">
        <v>152</v>
      </c>
    </row>
    <row r="369" spans="1:9" x14ac:dyDescent="0.35">
      <c r="A369" s="19">
        <v>45726</v>
      </c>
      <c r="B369" s="20"/>
      <c r="C369" s="20"/>
      <c r="D369" s="20">
        <v>100000</v>
      </c>
      <c r="E369" s="99" t="s">
        <v>521</v>
      </c>
      <c r="F369" s="20">
        <f t="shared" si="5"/>
        <v>154482879</v>
      </c>
      <c r="G369" s="7" t="s">
        <v>369</v>
      </c>
      <c r="H369" s="24" t="s">
        <v>109</v>
      </c>
      <c r="I369" s="32" t="s">
        <v>152</v>
      </c>
    </row>
    <row r="370" spans="1:9" x14ac:dyDescent="0.35">
      <c r="A370" s="19">
        <v>45726</v>
      </c>
      <c r="B370" s="20"/>
      <c r="C370" s="20"/>
      <c r="D370" s="20">
        <v>25000</v>
      </c>
      <c r="E370" s="99" t="s">
        <v>521</v>
      </c>
      <c r="F370" s="20">
        <f t="shared" si="5"/>
        <v>154507879</v>
      </c>
      <c r="G370" s="7" t="s">
        <v>369</v>
      </c>
      <c r="H370" s="24" t="s">
        <v>109</v>
      </c>
      <c r="I370" s="32" t="s">
        <v>152</v>
      </c>
    </row>
    <row r="371" spans="1:9" x14ac:dyDescent="0.35">
      <c r="A371" s="19">
        <v>45726</v>
      </c>
      <c r="B371" s="20"/>
      <c r="C371" s="20"/>
      <c r="D371" s="20">
        <v>25000</v>
      </c>
      <c r="E371" s="99" t="s">
        <v>521</v>
      </c>
      <c r="F371" s="20">
        <f t="shared" si="5"/>
        <v>154532879</v>
      </c>
      <c r="G371" s="7" t="s">
        <v>369</v>
      </c>
      <c r="H371" s="24" t="s">
        <v>109</v>
      </c>
      <c r="I371" s="32" t="s">
        <v>152</v>
      </c>
    </row>
    <row r="372" spans="1:9" x14ac:dyDescent="0.35">
      <c r="A372" s="19">
        <v>45726</v>
      </c>
      <c r="B372" s="20"/>
      <c r="C372" s="20"/>
      <c r="D372" s="20">
        <v>50000</v>
      </c>
      <c r="E372" s="99" t="s">
        <v>521</v>
      </c>
      <c r="F372" s="20">
        <f t="shared" si="5"/>
        <v>154582879</v>
      </c>
      <c r="G372" s="7" t="s">
        <v>369</v>
      </c>
      <c r="H372" s="24" t="s">
        <v>109</v>
      </c>
      <c r="I372" s="32" t="s">
        <v>152</v>
      </c>
    </row>
    <row r="373" spans="1:9" x14ac:dyDescent="0.35">
      <c r="A373" s="19">
        <v>45726</v>
      </c>
      <c r="B373" s="20"/>
      <c r="C373" s="20"/>
      <c r="D373" s="20">
        <v>10000</v>
      </c>
      <c r="E373" s="99" t="s">
        <v>521</v>
      </c>
      <c r="F373" s="20">
        <f t="shared" si="5"/>
        <v>154592879</v>
      </c>
      <c r="G373" s="7" t="s">
        <v>369</v>
      </c>
      <c r="H373" s="24" t="s">
        <v>109</v>
      </c>
      <c r="I373" s="32" t="s">
        <v>152</v>
      </c>
    </row>
    <row r="374" spans="1:9" x14ac:dyDescent="0.35">
      <c r="A374" s="19">
        <v>45726</v>
      </c>
      <c r="B374" s="20"/>
      <c r="C374" s="20"/>
      <c r="D374" s="20">
        <v>100000</v>
      </c>
      <c r="E374" s="99" t="s">
        <v>521</v>
      </c>
      <c r="F374" s="20">
        <f t="shared" si="5"/>
        <v>154692879</v>
      </c>
      <c r="G374" s="7" t="s">
        <v>369</v>
      </c>
      <c r="H374" s="24" t="s">
        <v>109</v>
      </c>
      <c r="I374" s="32" t="s">
        <v>152</v>
      </c>
    </row>
    <row r="375" spans="1:9" x14ac:dyDescent="0.35">
      <c r="A375" s="19">
        <v>45726</v>
      </c>
      <c r="B375" s="20"/>
      <c r="C375" s="20"/>
      <c r="D375" s="20">
        <v>50000</v>
      </c>
      <c r="E375" s="99" t="s">
        <v>521</v>
      </c>
      <c r="F375" s="20">
        <f t="shared" si="5"/>
        <v>154742879</v>
      </c>
      <c r="G375" s="7" t="s">
        <v>369</v>
      </c>
      <c r="H375" s="24" t="s">
        <v>109</v>
      </c>
      <c r="I375" s="32" t="s">
        <v>152</v>
      </c>
    </row>
    <row r="376" spans="1:9" x14ac:dyDescent="0.35">
      <c r="A376" s="19">
        <v>45726</v>
      </c>
      <c r="B376" s="20"/>
      <c r="C376" s="20"/>
      <c r="D376" s="20">
        <v>100000</v>
      </c>
      <c r="E376" s="99" t="s">
        <v>521</v>
      </c>
      <c r="F376" s="20">
        <f t="shared" si="5"/>
        <v>154842879</v>
      </c>
      <c r="G376" s="7" t="s">
        <v>369</v>
      </c>
      <c r="H376" s="24" t="s">
        <v>109</v>
      </c>
      <c r="I376" s="32" t="s">
        <v>152</v>
      </c>
    </row>
    <row r="377" spans="1:9" x14ac:dyDescent="0.35">
      <c r="A377" s="19">
        <v>45726</v>
      </c>
      <c r="B377" s="20"/>
      <c r="C377" s="20"/>
      <c r="D377" s="20">
        <v>25000</v>
      </c>
      <c r="E377" s="99" t="s">
        <v>521</v>
      </c>
      <c r="F377" s="20">
        <f t="shared" si="5"/>
        <v>154867879</v>
      </c>
      <c r="G377" s="7" t="s">
        <v>369</v>
      </c>
      <c r="H377" s="24" t="s">
        <v>109</v>
      </c>
      <c r="I377" s="32" t="s">
        <v>152</v>
      </c>
    </row>
    <row r="378" spans="1:9" x14ac:dyDescent="0.35">
      <c r="A378" s="19">
        <v>45726</v>
      </c>
      <c r="B378" s="20"/>
      <c r="C378" s="20"/>
      <c r="D378" s="20">
        <v>200000</v>
      </c>
      <c r="E378" s="99" t="s">
        <v>521</v>
      </c>
      <c r="F378" s="20">
        <f t="shared" si="5"/>
        <v>155067879</v>
      </c>
      <c r="G378" s="7" t="s">
        <v>380</v>
      </c>
      <c r="H378" s="24" t="s">
        <v>109</v>
      </c>
      <c r="I378" s="32" t="s">
        <v>152</v>
      </c>
    </row>
    <row r="379" spans="1:9" x14ac:dyDescent="0.35">
      <c r="A379" s="19">
        <v>45726</v>
      </c>
      <c r="B379" s="20"/>
      <c r="C379" s="20"/>
      <c r="D379" s="20">
        <v>20000</v>
      </c>
      <c r="E379" s="99" t="s">
        <v>521</v>
      </c>
      <c r="F379" s="20">
        <f t="shared" si="5"/>
        <v>155087879</v>
      </c>
      <c r="G379" s="7" t="s">
        <v>369</v>
      </c>
      <c r="H379" s="24" t="s">
        <v>109</v>
      </c>
      <c r="I379" s="32" t="s">
        <v>152</v>
      </c>
    </row>
    <row r="380" spans="1:9" x14ac:dyDescent="0.35">
      <c r="A380" s="19">
        <v>45726</v>
      </c>
      <c r="B380" s="20"/>
      <c r="C380" s="20"/>
      <c r="D380" s="20">
        <v>100000</v>
      </c>
      <c r="E380" s="99" t="s">
        <v>521</v>
      </c>
      <c r="F380" s="20">
        <f t="shared" si="5"/>
        <v>155187879</v>
      </c>
      <c r="G380" s="7" t="s">
        <v>369</v>
      </c>
      <c r="H380" s="24" t="s">
        <v>109</v>
      </c>
      <c r="I380" s="32" t="s">
        <v>152</v>
      </c>
    </row>
    <row r="381" spans="1:9" x14ac:dyDescent="0.35">
      <c r="A381" s="19">
        <v>45726</v>
      </c>
      <c r="B381" s="20"/>
      <c r="C381" s="20"/>
      <c r="D381" s="20">
        <v>25000</v>
      </c>
      <c r="E381" s="99" t="s">
        <v>521</v>
      </c>
      <c r="F381" s="20">
        <f t="shared" si="5"/>
        <v>155212879</v>
      </c>
      <c r="G381" s="7" t="s">
        <v>369</v>
      </c>
      <c r="H381" s="24" t="s">
        <v>109</v>
      </c>
      <c r="I381" s="32" t="s">
        <v>152</v>
      </c>
    </row>
    <row r="382" spans="1:9" x14ac:dyDescent="0.35">
      <c r="A382" s="19">
        <v>45726</v>
      </c>
      <c r="B382" s="20"/>
      <c r="C382" s="20"/>
      <c r="D382" s="20">
        <v>25000</v>
      </c>
      <c r="E382" s="99" t="s">
        <v>521</v>
      </c>
      <c r="F382" s="20">
        <f t="shared" si="5"/>
        <v>155237879</v>
      </c>
      <c r="G382" s="7" t="s">
        <v>369</v>
      </c>
      <c r="H382" s="24" t="s">
        <v>109</v>
      </c>
      <c r="I382" s="32" t="s">
        <v>152</v>
      </c>
    </row>
    <row r="383" spans="1:9" x14ac:dyDescent="0.35">
      <c r="A383" s="19">
        <v>45726</v>
      </c>
      <c r="B383" s="20"/>
      <c r="C383" s="20"/>
      <c r="D383" s="20">
        <v>100000</v>
      </c>
      <c r="E383" s="99" t="s">
        <v>521</v>
      </c>
      <c r="F383" s="20">
        <f t="shared" si="5"/>
        <v>155337879</v>
      </c>
      <c r="G383" s="7" t="s">
        <v>369</v>
      </c>
      <c r="H383" s="24" t="s">
        <v>109</v>
      </c>
      <c r="I383" s="32" t="s">
        <v>152</v>
      </c>
    </row>
    <row r="384" spans="1:9" x14ac:dyDescent="0.35">
      <c r="A384" s="19">
        <v>45726</v>
      </c>
      <c r="B384" s="20"/>
      <c r="C384" s="20"/>
      <c r="D384" s="20">
        <v>10000</v>
      </c>
      <c r="E384" s="99" t="s">
        <v>521</v>
      </c>
      <c r="F384" s="20">
        <f t="shared" si="5"/>
        <v>155347879</v>
      </c>
      <c r="G384" s="7" t="s">
        <v>369</v>
      </c>
      <c r="H384" s="24" t="s">
        <v>109</v>
      </c>
      <c r="I384" s="32" t="s">
        <v>152</v>
      </c>
    </row>
    <row r="385" spans="1:9" x14ac:dyDescent="0.35">
      <c r="A385" s="19">
        <v>45726</v>
      </c>
      <c r="B385" s="20"/>
      <c r="C385" s="20"/>
      <c r="D385" s="20">
        <v>10000</v>
      </c>
      <c r="E385" s="99" t="s">
        <v>521</v>
      </c>
      <c r="F385" s="20">
        <f t="shared" si="5"/>
        <v>155357879</v>
      </c>
      <c r="G385" s="7" t="s">
        <v>369</v>
      </c>
      <c r="H385" s="24" t="s">
        <v>109</v>
      </c>
      <c r="I385" s="32" t="s">
        <v>152</v>
      </c>
    </row>
    <row r="386" spans="1:9" x14ac:dyDescent="0.35">
      <c r="A386" s="19">
        <v>45726</v>
      </c>
      <c r="B386" s="20"/>
      <c r="C386" s="20"/>
      <c r="D386" s="20">
        <v>7000</v>
      </c>
      <c r="E386" s="99" t="s">
        <v>521</v>
      </c>
      <c r="F386" s="20">
        <f t="shared" si="5"/>
        <v>155364879</v>
      </c>
      <c r="G386" s="7" t="s">
        <v>369</v>
      </c>
      <c r="H386" s="24" t="s">
        <v>109</v>
      </c>
      <c r="I386" s="32" t="s">
        <v>152</v>
      </c>
    </row>
    <row r="387" spans="1:9" x14ac:dyDescent="0.35">
      <c r="A387" s="19">
        <v>45726</v>
      </c>
      <c r="B387" s="20"/>
      <c r="C387" s="20"/>
      <c r="D387" s="20">
        <v>25000</v>
      </c>
      <c r="E387" s="99" t="s">
        <v>521</v>
      </c>
      <c r="F387" s="20">
        <f>+F386+D387-B387</f>
        <v>155389879</v>
      </c>
      <c r="G387" s="7" t="s">
        <v>369</v>
      </c>
      <c r="H387" s="24" t="s">
        <v>109</v>
      </c>
      <c r="I387" s="32" t="s">
        <v>152</v>
      </c>
    </row>
    <row r="388" spans="1:9" x14ac:dyDescent="0.35">
      <c r="A388" s="19">
        <v>45726</v>
      </c>
      <c r="B388" s="20"/>
      <c r="C388" s="20"/>
      <c r="D388" s="20">
        <v>20000</v>
      </c>
      <c r="E388" s="99" t="s">
        <v>521</v>
      </c>
      <c r="F388" s="20">
        <f t="shared" si="5"/>
        <v>155409879</v>
      </c>
      <c r="G388" s="7" t="s">
        <v>369</v>
      </c>
      <c r="H388" s="24" t="s">
        <v>109</v>
      </c>
      <c r="I388" s="32" t="s">
        <v>152</v>
      </c>
    </row>
    <row r="389" spans="1:9" x14ac:dyDescent="0.35">
      <c r="A389" s="19">
        <v>45726</v>
      </c>
      <c r="B389" s="20"/>
      <c r="C389" s="20"/>
      <c r="D389" s="23">
        <v>5597000</v>
      </c>
      <c r="E389" s="99" t="s">
        <v>521</v>
      </c>
      <c r="F389" s="20">
        <f t="shared" ref="F389:F452" si="6">+F388+D389-B389</f>
        <v>161006879</v>
      </c>
      <c r="G389" s="24" t="s">
        <v>107</v>
      </c>
      <c r="H389" s="24" t="s">
        <v>107</v>
      </c>
      <c r="I389" s="32" t="s">
        <v>152</v>
      </c>
    </row>
    <row r="390" spans="1:9" x14ac:dyDescent="0.35">
      <c r="A390" s="19">
        <v>45726</v>
      </c>
      <c r="B390" s="20"/>
      <c r="C390" s="20"/>
      <c r="D390" s="23">
        <v>5680000</v>
      </c>
      <c r="E390" s="99" t="s">
        <v>521</v>
      </c>
      <c r="F390" s="20">
        <f t="shared" si="6"/>
        <v>166686879</v>
      </c>
      <c r="G390" s="24" t="s">
        <v>109</v>
      </c>
      <c r="H390" s="24" t="s">
        <v>109</v>
      </c>
      <c r="I390" s="32" t="s">
        <v>152</v>
      </c>
    </row>
    <row r="391" spans="1:9" x14ac:dyDescent="0.35">
      <c r="A391" s="19">
        <v>45726</v>
      </c>
      <c r="B391" s="20"/>
      <c r="C391" s="20"/>
      <c r="D391" s="23">
        <v>4558000</v>
      </c>
      <c r="E391" s="99" t="s">
        <v>521</v>
      </c>
      <c r="F391" s="20">
        <f t="shared" si="6"/>
        <v>171244879</v>
      </c>
      <c r="G391" s="24" t="s">
        <v>377</v>
      </c>
      <c r="H391" s="24" t="s">
        <v>109</v>
      </c>
      <c r="I391" s="32" t="s">
        <v>152</v>
      </c>
    </row>
    <row r="392" spans="1:9" x14ac:dyDescent="0.35">
      <c r="A392" s="19">
        <v>45726</v>
      </c>
      <c r="B392" s="23">
        <v>5000</v>
      </c>
      <c r="C392" s="20"/>
      <c r="D392" s="20"/>
      <c r="E392" s="99" t="s">
        <v>521</v>
      </c>
      <c r="F392" s="20">
        <f t="shared" si="6"/>
        <v>171239879</v>
      </c>
      <c r="G392" s="24" t="s">
        <v>115</v>
      </c>
      <c r="H392" s="59" t="s">
        <v>320</v>
      </c>
      <c r="I392" s="32" t="s">
        <v>152</v>
      </c>
    </row>
    <row r="393" spans="1:9" x14ac:dyDescent="0.35">
      <c r="A393" s="19"/>
      <c r="B393" s="20"/>
      <c r="C393" s="20">
        <v>15830000</v>
      </c>
      <c r="D393" s="20"/>
      <c r="E393" s="99"/>
      <c r="F393" s="20">
        <f t="shared" si="6"/>
        <v>171239879</v>
      </c>
      <c r="G393" s="7" t="s">
        <v>305</v>
      </c>
      <c r="H393" s="59"/>
      <c r="I393" s="32"/>
    </row>
    <row r="394" spans="1:9" x14ac:dyDescent="0.35">
      <c r="A394" s="19">
        <v>45727</v>
      </c>
      <c r="B394" s="20"/>
      <c r="C394" s="20"/>
      <c r="D394" s="20">
        <v>50000</v>
      </c>
      <c r="E394" s="99" t="s">
        <v>521</v>
      </c>
      <c r="F394" s="20">
        <f t="shared" si="6"/>
        <v>171289879</v>
      </c>
      <c r="G394" s="7" t="s">
        <v>369</v>
      </c>
      <c r="H394" s="24" t="s">
        <v>109</v>
      </c>
      <c r="I394" s="32" t="s">
        <v>152</v>
      </c>
    </row>
    <row r="395" spans="1:9" x14ac:dyDescent="0.35">
      <c r="A395" s="19">
        <v>45727</v>
      </c>
      <c r="B395" s="20"/>
      <c r="C395" s="20"/>
      <c r="D395" s="20">
        <v>100000</v>
      </c>
      <c r="E395" s="99" t="s">
        <v>521</v>
      </c>
      <c r="F395" s="20">
        <f t="shared" si="6"/>
        <v>171389879</v>
      </c>
      <c r="G395" s="7" t="s">
        <v>369</v>
      </c>
      <c r="H395" s="24" t="s">
        <v>109</v>
      </c>
      <c r="I395" s="32" t="s">
        <v>152</v>
      </c>
    </row>
    <row r="396" spans="1:9" x14ac:dyDescent="0.35">
      <c r="A396" s="19">
        <v>45727</v>
      </c>
      <c r="B396" s="20"/>
      <c r="C396" s="20"/>
      <c r="D396" s="20">
        <v>250000</v>
      </c>
      <c r="E396" s="99" t="s">
        <v>521</v>
      </c>
      <c r="F396" s="20">
        <f t="shared" si="6"/>
        <v>171639879</v>
      </c>
      <c r="G396" s="7" t="s">
        <v>369</v>
      </c>
      <c r="H396" s="24" t="s">
        <v>109</v>
      </c>
      <c r="I396" s="32" t="s">
        <v>152</v>
      </c>
    </row>
    <row r="397" spans="1:9" x14ac:dyDescent="0.35">
      <c r="A397" s="19">
        <v>45727</v>
      </c>
      <c r="B397" s="20"/>
      <c r="C397" s="20"/>
      <c r="D397" s="20">
        <v>50000</v>
      </c>
      <c r="E397" s="99" t="s">
        <v>521</v>
      </c>
      <c r="F397" s="20">
        <f t="shared" si="6"/>
        <v>171689879</v>
      </c>
      <c r="G397" s="7" t="s">
        <v>369</v>
      </c>
      <c r="H397" s="24" t="s">
        <v>109</v>
      </c>
      <c r="I397" s="32" t="s">
        <v>152</v>
      </c>
    </row>
    <row r="398" spans="1:9" x14ac:dyDescent="0.35">
      <c r="A398" s="19">
        <v>45727</v>
      </c>
      <c r="B398" s="20"/>
      <c r="C398" s="20"/>
      <c r="D398" s="20">
        <v>10000</v>
      </c>
      <c r="E398" s="99" t="s">
        <v>521</v>
      </c>
      <c r="F398" s="20">
        <f t="shared" si="6"/>
        <v>171699879</v>
      </c>
      <c r="G398" s="7" t="s">
        <v>369</v>
      </c>
      <c r="H398" s="24" t="s">
        <v>109</v>
      </c>
      <c r="I398" s="32" t="s">
        <v>152</v>
      </c>
    </row>
    <row r="399" spans="1:9" x14ac:dyDescent="0.35">
      <c r="A399" s="19">
        <v>45727</v>
      </c>
      <c r="B399" s="20"/>
      <c r="C399" s="20"/>
      <c r="D399" s="20">
        <v>25000</v>
      </c>
      <c r="E399" s="99" t="s">
        <v>521</v>
      </c>
      <c r="F399" s="20">
        <f t="shared" si="6"/>
        <v>171724879</v>
      </c>
      <c r="G399" s="7" t="s">
        <v>369</v>
      </c>
      <c r="H399" s="24" t="s">
        <v>109</v>
      </c>
      <c r="I399" s="32" t="s">
        <v>152</v>
      </c>
    </row>
    <row r="400" spans="1:9" x14ac:dyDescent="0.35">
      <c r="A400" s="19">
        <v>45727</v>
      </c>
      <c r="B400" s="20"/>
      <c r="C400" s="20"/>
      <c r="D400" s="20">
        <v>50000</v>
      </c>
      <c r="E400" s="99" t="s">
        <v>521</v>
      </c>
      <c r="F400" s="20">
        <f t="shared" si="6"/>
        <v>171774879</v>
      </c>
      <c r="G400" s="7" t="s">
        <v>369</v>
      </c>
      <c r="H400" s="24" t="s">
        <v>109</v>
      </c>
      <c r="I400" s="32" t="s">
        <v>152</v>
      </c>
    </row>
    <row r="401" spans="1:9" x14ac:dyDescent="0.35">
      <c r="A401" s="19">
        <v>45727</v>
      </c>
      <c r="B401" s="20"/>
      <c r="C401" s="20"/>
      <c r="D401" s="20">
        <v>20000</v>
      </c>
      <c r="E401" s="99" t="s">
        <v>521</v>
      </c>
      <c r="F401" s="20">
        <f t="shared" si="6"/>
        <v>171794879</v>
      </c>
      <c r="G401" s="7" t="s">
        <v>369</v>
      </c>
      <c r="H401" s="24" t="s">
        <v>109</v>
      </c>
      <c r="I401" s="32" t="s">
        <v>152</v>
      </c>
    </row>
    <row r="402" spans="1:9" x14ac:dyDescent="0.35">
      <c r="A402" s="19">
        <v>45727</v>
      </c>
      <c r="B402" s="20"/>
      <c r="C402" s="20"/>
      <c r="D402" s="20">
        <v>1010</v>
      </c>
      <c r="E402" s="99" t="s">
        <v>521</v>
      </c>
      <c r="F402" s="20">
        <f t="shared" si="6"/>
        <v>171795889</v>
      </c>
      <c r="G402" s="7" t="s">
        <v>369</v>
      </c>
      <c r="H402" s="24" t="s">
        <v>109</v>
      </c>
      <c r="I402" s="32" t="s">
        <v>152</v>
      </c>
    </row>
    <row r="403" spans="1:9" x14ac:dyDescent="0.35">
      <c r="A403" s="19">
        <v>45727</v>
      </c>
      <c r="B403" s="20"/>
      <c r="C403" s="20"/>
      <c r="D403" s="20">
        <v>5000</v>
      </c>
      <c r="E403" s="99" t="s">
        <v>521</v>
      </c>
      <c r="F403" s="20">
        <f t="shared" si="6"/>
        <v>171800889</v>
      </c>
      <c r="G403" s="7" t="s">
        <v>369</v>
      </c>
      <c r="H403" s="24" t="s">
        <v>109</v>
      </c>
      <c r="I403" s="32" t="s">
        <v>152</v>
      </c>
    </row>
    <row r="404" spans="1:9" x14ac:dyDescent="0.35">
      <c r="A404" s="19">
        <v>45727</v>
      </c>
      <c r="B404" s="20"/>
      <c r="C404" s="20"/>
      <c r="D404" s="20">
        <v>100000</v>
      </c>
      <c r="E404" s="99" t="s">
        <v>521</v>
      </c>
      <c r="F404" s="20">
        <f t="shared" si="6"/>
        <v>171900889</v>
      </c>
      <c r="G404" s="7" t="s">
        <v>373</v>
      </c>
      <c r="H404" s="24" t="s">
        <v>109</v>
      </c>
      <c r="I404" s="32" t="s">
        <v>152</v>
      </c>
    </row>
    <row r="405" spans="1:9" x14ac:dyDescent="0.35">
      <c r="A405" s="19">
        <v>45727</v>
      </c>
      <c r="B405" s="20"/>
      <c r="C405" s="20"/>
      <c r="D405" s="20">
        <v>250000</v>
      </c>
      <c r="E405" s="99" t="s">
        <v>521</v>
      </c>
      <c r="F405" s="20">
        <f t="shared" si="6"/>
        <v>172150889</v>
      </c>
      <c r="G405" s="7" t="s">
        <v>387</v>
      </c>
      <c r="H405" s="24" t="s">
        <v>109</v>
      </c>
      <c r="I405" s="32" t="s">
        <v>152</v>
      </c>
    </row>
    <row r="406" spans="1:9" x14ac:dyDescent="0.35">
      <c r="A406" s="19">
        <v>45728</v>
      </c>
      <c r="B406" s="20">
        <v>3500000</v>
      </c>
      <c r="C406" s="20"/>
      <c r="D406" s="20"/>
      <c r="E406" s="99" t="s">
        <v>521</v>
      </c>
      <c r="F406" s="20">
        <f t="shared" si="6"/>
        <v>168650889</v>
      </c>
      <c r="G406" s="7" t="s">
        <v>388</v>
      </c>
      <c r="H406" s="24" t="s">
        <v>320</v>
      </c>
      <c r="I406" s="32" t="s">
        <v>152</v>
      </c>
    </row>
    <row r="407" spans="1:9" x14ac:dyDescent="0.35">
      <c r="A407" s="19">
        <v>45728</v>
      </c>
      <c r="B407" s="20">
        <v>2500</v>
      </c>
      <c r="C407" s="20"/>
      <c r="D407" s="20"/>
      <c r="E407" s="99" t="s">
        <v>521</v>
      </c>
      <c r="F407" s="20">
        <f t="shared" si="6"/>
        <v>168648389</v>
      </c>
      <c r="G407" s="7" t="s">
        <v>389</v>
      </c>
      <c r="H407" s="24" t="s">
        <v>320</v>
      </c>
      <c r="I407" s="32" t="s">
        <v>152</v>
      </c>
    </row>
    <row r="408" spans="1:9" x14ac:dyDescent="0.35">
      <c r="A408" s="19">
        <v>45728</v>
      </c>
      <c r="B408" s="20"/>
      <c r="C408" s="20"/>
      <c r="D408" s="20">
        <v>50000</v>
      </c>
      <c r="E408" s="99" t="s">
        <v>521</v>
      </c>
      <c r="F408" s="20">
        <f t="shared" si="6"/>
        <v>168698389</v>
      </c>
      <c r="G408" s="7" t="s">
        <v>330</v>
      </c>
      <c r="H408" s="24" t="s">
        <v>109</v>
      </c>
      <c r="I408" s="32" t="s">
        <v>152</v>
      </c>
    </row>
    <row r="409" spans="1:9" x14ac:dyDescent="0.35">
      <c r="A409" s="19">
        <v>45728</v>
      </c>
      <c r="B409" s="20"/>
      <c r="C409" s="20"/>
      <c r="D409" s="20">
        <v>50000</v>
      </c>
      <c r="E409" s="99" t="s">
        <v>521</v>
      </c>
      <c r="F409" s="20">
        <f t="shared" si="6"/>
        <v>168748389</v>
      </c>
      <c r="G409" s="7" t="s">
        <v>330</v>
      </c>
      <c r="H409" s="24" t="s">
        <v>109</v>
      </c>
      <c r="I409" s="32" t="s">
        <v>152</v>
      </c>
    </row>
    <row r="410" spans="1:9" x14ac:dyDescent="0.35">
      <c r="A410" s="19">
        <v>45728</v>
      </c>
      <c r="B410" s="20"/>
      <c r="C410" s="20"/>
      <c r="D410" s="20">
        <v>10000</v>
      </c>
      <c r="E410" s="99" t="s">
        <v>521</v>
      </c>
      <c r="F410" s="20">
        <f t="shared" si="6"/>
        <v>168758389</v>
      </c>
      <c r="G410" s="7" t="s">
        <v>330</v>
      </c>
      <c r="H410" s="24" t="s">
        <v>109</v>
      </c>
      <c r="I410" s="32" t="s">
        <v>152</v>
      </c>
    </row>
    <row r="411" spans="1:9" x14ac:dyDescent="0.35">
      <c r="A411" s="19">
        <v>45728</v>
      </c>
      <c r="B411" s="20"/>
      <c r="C411" s="20"/>
      <c r="D411" s="20">
        <v>100000</v>
      </c>
      <c r="E411" s="99" t="s">
        <v>521</v>
      </c>
      <c r="F411" s="20">
        <f t="shared" si="6"/>
        <v>168858389</v>
      </c>
      <c r="G411" s="7" t="s">
        <v>330</v>
      </c>
      <c r="H411" s="24" t="s">
        <v>109</v>
      </c>
      <c r="I411" s="32" t="s">
        <v>152</v>
      </c>
    </row>
    <row r="412" spans="1:9" x14ac:dyDescent="0.35">
      <c r="A412" s="19">
        <v>45728</v>
      </c>
      <c r="B412" s="20"/>
      <c r="C412" s="20"/>
      <c r="D412" s="20">
        <v>5000</v>
      </c>
      <c r="E412" s="99" t="s">
        <v>521</v>
      </c>
      <c r="F412" s="20">
        <f t="shared" si="6"/>
        <v>168863389</v>
      </c>
      <c r="G412" s="7" t="s">
        <v>330</v>
      </c>
      <c r="H412" s="24" t="s">
        <v>109</v>
      </c>
      <c r="I412" s="32" t="s">
        <v>152</v>
      </c>
    </row>
    <row r="413" spans="1:9" x14ac:dyDescent="0.35">
      <c r="A413" s="19">
        <v>45728</v>
      </c>
      <c r="B413" s="20"/>
      <c r="C413" s="20"/>
      <c r="D413" s="20">
        <v>10000</v>
      </c>
      <c r="E413" s="99" t="s">
        <v>521</v>
      </c>
      <c r="F413" s="20">
        <f t="shared" si="6"/>
        <v>168873389</v>
      </c>
      <c r="G413" s="7" t="s">
        <v>330</v>
      </c>
      <c r="H413" s="24" t="s">
        <v>109</v>
      </c>
      <c r="I413" s="32" t="s">
        <v>152</v>
      </c>
    </row>
    <row r="414" spans="1:9" x14ac:dyDescent="0.35">
      <c r="A414" s="19">
        <v>45728</v>
      </c>
      <c r="B414" s="20"/>
      <c r="C414" s="20"/>
      <c r="D414" s="20">
        <v>10000</v>
      </c>
      <c r="E414" s="99" t="s">
        <v>521</v>
      </c>
      <c r="F414" s="20">
        <f t="shared" si="6"/>
        <v>168883389</v>
      </c>
      <c r="G414" s="7" t="s">
        <v>330</v>
      </c>
      <c r="H414" s="24" t="s">
        <v>109</v>
      </c>
      <c r="I414" s="32" t="s">
        <v>152</v>
      </c>
    </row>
    <row r="415" spans="1:9" x14ac:dyDescent="0.35">
      <c r="A415" s="19">
        <v>45728</v>
      </c>
      <c r="B415" s="20"/>
      <c r="C415" s="20"/>
      <c r="D415" s="20">
        <v>170000</v>
      </c>
      <c r="E415" s="99" t="s">
        <v>521</v>
      </c>
      <c r="F415" s="20">
        <f t="shared" si="6"/>
        <v>169053389</v>
      </c>
      <c r="G415" s="7" t="s">
        <v>241</v>
      </c>
      <c r="H415" s="24" t="s">
        <v>109</v>
      </c>
      <c r="I415" s="32" t="s">
        <v>152</v>
      </c>
    </row>
    <row r="416" spans="1:9" x14ac:dyDescent="0.35">
      <c r="A416" s="19">
        <v>45729</v>
      </c>
      <c r="B416" s="20"/>
      <c r="C416" s="20"/>
      <c r="D416" s="20">
        <v>100000</v>
      </c>
      <c r="E416" s="99" t="s">
        <v>521</v>
      </c>
      <c r="F416" s="20">
        <f t="shared" si="6"/>
        <v>169153389</v>
      </c>
      <c r="G416" s="7" t="s">
        <v>330</v>
      </c>
      <c r="H416" s="24" t="s">
        <v>109</v>
      </c>
      <c r="I416" s="32" t="s">
        <v>152</v>
      </c>
    </row>
    <row r="417" spans="1:9" x14ac:dyDescent="0.35">
      <c r="A417" s="19">
        <v>45729</v>
      </c>
      <c r="B417" s="20"/>
      <c r="C417" s="20"/>
      <c r="D417" s="20">
        <v>10000</v>
      </c>
      <c r="E417" s="99" t="s">
        <v>521</v>
      </c>
      <c r="F417" s="20">
        <f t="shared" si="6"/>
        <v>169163389</v>
      </c>
      <c r="G417" s="7" t="s">
        <v>330</v>
      </c>
      <c r="H417" s="24" t="s">
        <v>109</v>
      </c>
      <c r="I417" s="32" t="s">
        <v>152</v>
      </c>
    </row>
    <row r="418" spans="1:9" x14ac:dyDescent="0.35">
      <c r="A418" s="19">
        <v>45729</v>
      </c>
      <c r="B418" s="20"/>
      <c r="C418" s="20"/>
      <c r="D418" s="20">
        <v>50000</v>
      </c>
      <c r="E418" s="99" t="s">
        <v>521</v>
      </c>
      <c r="F418" s="20">
        <f t="shared" si="6"/>
        <v>169213389</v>
      </c>
      <c r="G418" s="7" t="s">
        <v>330</v>
      </c>
      <c r="H418" s="24" t="s">
        <v>109</v>
      </c>
      <c r="I418" s="32" t="s">
        <v>152</v>
      </c>
    </row>
    <row r="419" spans="1:9" x14ac:dyDescent="0.35">
      <c r="A419" s="19">
        <v>45729</v>
      </c>
      <c r="B419" s="20"/>
      <c r="C419" s="20"/>
      <c r="D419" s="20">
        <v>100000</v>
      </c>
      <c r="E419" s="99" t="s">
        <v>521</v>
      </c>
      <c r="F419" s="20">
        <f t="shared" si="6"/>
        <v>169313389</v>
      </c>
      <c r="G419" s="7" t="s">
        <v>330</v>
      </c>
      <c r="H419" s="24" t="s">
        <v>109</v>
      </c>
      <c r="I419" s="32" t="s">
        <v>152</v>
      </c>
    </row>
    <row r="420" spans="1:9" x14ac:dyDescent="0.35">
      <c r="A420" s="19">
        <v>45729</v>
      </c>
      <c r="B420" s="20">
        <v>1000000</v>
      </c>
      <c r="C420" s="20"/>
      <c r="D420" s="20"/>
      <c r="E420" s="99" t="s">
        <v>521</v>
      </c>
      <c r="F420" s="20">
        <f t="shared" si="6"/>
        <v>168313389</v>
      </c>
      <c r="G420" s="7" t="s">
        <v>390</v>
      </c>
      <c r="H420" s="24" t="s">
        <v>322</v>
      </c>
      <c r="I420" s="32" t="s">
        <v>152</v>
      </c>
    </row>
    <row r="421" spans="1:9" x14ac:dyDescent="0.35">
      <c r="A421" s="19">
        <v>45729</v>
      </c>
      <c r="B421" s="20">
        <v>2500</v>
      </c>
      <c r="C421" s="20"/>
      <c r="D421" s="20"/>
      <c r="E421" s="99" t="s">
        <v>521</v>
      </c>
      <c r="F421" s="20">
        <f t="shared" si="6"/>
        <v>168310889</v>
      </c>
      <c r="G421" s="7" t="s">
        <v>391</v>
      </c>
      <c r="H421" s="24" t="s">
        <v>322</v>
      </c>
      <c r="I421" s="32" t="s">
        <v>152</v>
      </c>
    </row>
    <row r="422" spans="1:9" x14ac:dyDescent="0.35">
      <c r="A422" s="19">
        <v>45730</v>
      </c>
      <c r="B422" s="20"/>
      <c r="C422" s="20"/>
      <c r="D422" s="20">
        <v>100000</v>
      </c>
      <c r="E422" s="99" t="s">
        <v>521</v>
      </c>
      <c r="F422" s="20">
        <f t="shared" si="6"/>
        <v>168410889</v>
      </c>
      <c r="G422" s="7" t="s">
        <v>330</v>
      </c>
      <c r="H422" s="24" t="s">
        <v>109</v>
      </c>
      <c r="I422" s="32" t="s">
        <v>152</v>
      </c>
    </row>
    <row r="423" spans="1:9" x14ac:dyDescent="0.35">
      <c r="A423" s="19">
        <v>45730</v>
      </c>
      <c r="B423" s="20"/>
      <c r="C423" s="20"/>
      <c r="D423" s="20">
        <v>200000</v>
      </c>
      <c r="E423" s="99" t="s">
        <v>521</v>
      </c>
      <c r="F423" s="20">
        <f t="shared" si="6"/>
        <v>168610889</v>
      </c>
      <c r="G423" s="7" t="s">
        <v>330</v>
      </c>
      <c r="H423" s="24" t="s">
        <v>109</v>
      </c>
      <c r="I423" s="32" t="s">
        <v>152</v>
      </c>
    </row>
    <row r="424" spans="1:9" x14ac:dyDescent="0.35">
      <c r="A424" s="19">
        <v>45730</v>
      </c>
      <c r="B424" s="20"/>
      <c r="C424" s="20"/>
      <c r="D424" s="20">
        <v>50000</v>
      </c>
      <c r="E424" s="99" t="s">
        <v>521</v>
      </c>
      <c r="F424" s="20">
        <f t="shared" si="6"/>
        <v>168660889</v>
      </c>
      <c r="G424" s="7" t="s">
        <v>330</v>
      </c>
      <c r="H424" s="24" t="s">
        <v>109</v>
      </c>
      <c r="I424" s="32" t="s">
        <v>152</v>
      </c>
    </row>
    <row r="425" spans="1:9" x14ac:dyDescent="0.35">
      <c r="A425" s="19">
        <v>45730</v>
      </c>
      <c r="B425" s="20"/>
      <c r="C425" s="20"/>
      <c r="D425" s="20">
        <v>50000</v>
      </c>
      <c r="E425" s="99" t="s">
        <v>521</v>
      </c>
      <c r="F425" s="20">
        <f t="shared" si="6"/>
        <v>168710889</v>
      </c>
      <c r="G425" s="7" t="s">
        <v>330</v>
      </c>
      <c r="H425" s="24" t="s">
        <v>109</v>
      </c>
      <c r="I425" s="32" t="s">
        <v>152</v>
      </c>
    </row>
    <row r="426" spans="1:9" x14ac:dyDescent="0.35">
      <c r="A426" s="19">
        <v>45730</v>
      </c>
      <c r="B426" s="20"/>
      <c r="C426" s="20"/>
      <c r="D426" s="20">
        <v>25000</v>
      </c>
      <c r="E426" s="99" t="s">
        <v>521</v>
      </c>
      <c r="F426" s="20">
        <f t="shared" si="6"/>
        <v>168735889</v>
      </c>
      <c r="G426" s="7" t="s">
        <v>330</v>
      </c>
      <c r="H426" s="24" t="s">
        <v>109</v>
      </c>
      <c r="I426" s="32" t="s">
        <v>152</v>
      </c>
    </row>
    <row r="427" spans="1:9" x14ac:dyDescent="0.35">
      <c r="A427" s="19">
        <v>45730</v>
      </c>
      <c r="B427" s="20"/>
      <c r="C427" s="20"/>
      <c r="D427" s="20">
        <v>50000</v>
      </c>
      <c r="E427" s="99" t="s">
        <v>521</v>
      </c>
      <c r="F427" s="20">
        <f t="shared" si="6"/>
        <v>168785889</v>
      </c>
      <c r="G427" s="7" t="s">
        <v>330</v>
      </c>
      <c r="H427" s="24" t="s">
        <v>109</v>
      </c>
      <c r="I427" s="32" t="s">
        <v>152</v>
      </c>
    </row>
    <row r="428" spans="1:9" x14ac:dyDescent="0.35">
      <c r="A428" s="19">
        <v>45730</v>
      </c>
      <c r="B428" s="20"/>
      <c r="C428" s="20"/>
      <c r="D428" s="20">
        <v>100000</v>
      </c>
      <c r="E428" s="99" t="s">
        <v>521</v>
      </c>
      <c r="F428" s="20">
        <f t="shared" si="6"/>
        <v>168885889</v>
      </c>
      <c r="G428" s="7" t="s">
        <v>330</v>
      </c>
      <c r="H428" s="24" t="s">
        <v>109</v>
      </c>
      <c r="I428" s="32" t="s">
        <v>152</v>
      </c>
    </row>
    <row r="429" spans="1:9" x14ac:dyDescent="0.35">
      <c r="A429" s="19">
        <v>45730</v>
      </c>
      <c r="B429" s="20"/>
      <c r="C429" s="20"/>
      <c r="D429" s="20">
        <v>10000</v>
      </c>
      <c r="E429" s="99" t="s">
        <v>521</v>
      </c>
      <c r="F429" s="20">
        <f t="shared" si="6"/>
        <v>168895889</v>
      </c>
      <c r="G429" s="7" t="s">
        <v>330</v>
      </c>
      <c r="H429" s="24" t="s">
        <v>109</v>
      </c>
      <c r="I429" s="32" t="s">
        <v>152</v>
      </c>
    </row>
    <row r="430" spans="1:9" x14ac:dyDescent="0.35">
      <c r="A430" s="19">
        <v>45730</v>
      </c>
      <c r="B430" s="20"/>
      <c r="C430" s="20"/>
      <c r="D430" s="20">
        <v>300000</v>
      </c>
      <c r="E430" s="99" t="s">
        <v>521</v>
      </c>
      <c r="F430" s="20">
        <f t="shared" si="6"/>
        <v>169195889</v>
      </c>
      <c r="G430" s="7" t="s">
        <v>399</v>
      </c>
      <c r="H430" s="24" t="s">
        <v>109</v>
      </c>
      <c r="I430" s="32" t="s">
        <v>152</v>
      </c>
    </row>
    <row r="431" spans="1:9" x14ac:dyDescent="0.35">
      <c r="A431" s="19">
        <v>45730</v>
      </c>
      <c r="B431" s="20">
        <v>400000</v>
      </c>
      <c r="C431" s="20"/>
      <c r="D431" s="20"/>
      <c r="E431" s="99" t="s">
        <v>521</v>
      </c>
      <c r="F431" s="20">
        <f t="shared" si="6"/>
        <v>168795889</v>
      </c>
      <c r="G431" s="7" t="s">
        <v>400</v>
      </c>
      <c r="H431" s="59" t="s">
        <v>201</v>
      </c>
      <c r="I431" s="32" t="s">
        <v>152</v>
      </c>
    </row>
    <row r="432" spans="1:9" x14ac:dyDescent="0.35">
      <c r="A432" s="19">
        <v>45733</v>
      </c>
      <c r="B432" s="20"/>
      <c r="C432" s="20"/>
      <c r="D432" s="20">
        <v>50000</v>
      </c>
      <c r="E432" s="99" t="s">
        <v>521</v>
      </c>
      <c r="F432" s="20">
        <f t="shared" si="6"/>
        <v>168845889</v>
      </c>
      <c r="G432" s="7" t="s">
        <v>330</v>
      </c>
      <c r="H432" s="24" t="s">
        <v>109</v>
      </c>
      <c r="I432" s="32" t="s">
        <v>152</v>
      </c>
    </row>
    <row r="433" spans="1:9" x14ac:dyDescent="0.35">
      <c r="A433" s="19">
        <v>45733</v>
      </c>
      <c r="B433" s="20"/>
      <c r="C433" s="20"/>
      <c r="D433" s="20">
        <v>50000</v>
      </c>
      <c r="E433" s="99" t="s">
        <v>521</v>
      </c>
      <c r="F433" s="20">
        <f t="shared" si="6"/>
        <v>168895889</v>
      </c>
      <c r="G433" s="7" t="s">
        <v>330</v>
      </c>
      <c r="H433" s="24" t="s">
        <v>109</v>
      </c>
      <c r="I433" s="32" t="s">
        <v>152</v>
      </c>
    </row>
    <row r="434" spans="1:9" x14ac:dyDescent="0.35">
      <c r="A434" s="19">
        <v>45733</v>
      </c>
      <c r="B434" s="20"/>
      <c r="C434" s="20"/>
      <c r="D434" s="20">
        <v>50000</v>
      </c>
      <c r="E434" s="99" t="s">
        <v>521</v>
      </c>
      <c r="F434" s="20">
        <f t="shared" si="6"/>
        <v>168945889</v>
      </c>
      <c r="G434" s="7" t="s">
        <v>330</v>
      </c>
      <c r="H434" s="24" t="s">
        <v>109</v>
      </c>
      <c r="I434" s="32" t="s">
        <v>152</v>
      </c>
    </row>
    <row r="435" spans="1:9" x14ac:dyDescent="0.35">
      <c r="A435" s="19">
        <v>45733</v>
      </c>
      <c r="B435" s="20"/>
      <c r="C435" s="20"/>
      <c r="D435" s="20">
        <v>25000</v>
      </c>
      <c r="E435" s="99" t="s">
        <v>521</v>
      </c>
      <c r="F435" s="20">
        <f t="shared" si="6"/>
        <v>168970889</v>
      </c>
      <c r="G435" s="7" t="s">
        <v>330</v>
      </c>
      <c r="H435" s="24" t="s">
        <v>109</v>
      </c>
      <c r="I435" s="32" t="s">
        <v>152</v>
      </c>
    </row>
    <row r="436" spans="1:9" x14ac:dyDescent="0.35">
      <c r="A436" s="19">
        <v>45733</v>
      </c>
      <c r="B436" s="20"/>
      <c r="C436" s="20"/>
      <c r="D436" s="20">
        <v>10000</v>
      </c>
      <c r="E436" s="99" t="s">
        <v>521</v>
      </c>
      <c r="F436" s="20">
        <f t="shared" si="6"/>
        <v>168980889</v>
      </c>
      <c r="G436" s="7" t="s">
        <v>330</v>
      </c>
      <c r="H436" s="24" t="s">
        <v>109</v>
      </c>
      <c r="I436" s="32" t="s">
        <v>152</v>
      </c>
    </row>
    <row r="437" spans="1:9" x14ac:dyDescent="0.35">
      <c r="A437" s="19">
        <v>45733</v>
      </c>
      <c r="B437" s="20"/>
      <c r="C437" s="20"/>
      <c r="D437" s="20">
        <v>50000</v>
      </c>
      <c r="E437" s="99" t="s">
        <v>521</v>
      </c>
      <c r="F437" s="20">
        <f t="shared" si="6"/>
        <v>169030889</v>
      </c>
      <c r="G437" s="7" t="s">
        <v>330</v>
      </c>
      <c r="H437" s="24" t="s">
        <v>109</v>
      </c>
      <c r="I437" s="32" t="s">
        <v>152</v>
      </c>
    </row>
    <row r="438" spans="1:9" x14ac:dyDescent="0.35">
      <c r="A438" s="19">
        <v>45733</v>
      </c>
      <c r="B438" s="20"/>
      <c r="C438" s="20"/>
      <c r="D438" s="20">
        <v>50000</v>
      </c>
      <c r="E438" s="99" t="s">
        <v>521</v>
      </c>
      <c r="F438" s="20">
        <f t="shared" si="6"/>
        <v>169080889</v>
      </c>
      <c r="G438" s="7" t="s">
        <v>330</v>
      </c>
      <c r="H438" s="24" t="s">
        <v>109</v>
      </c>
      <c r="I438" s="32" t="s">
        <v>152</v>
      </c>
    </row>
    <row r="439" spans="1:9" x14ac:dyDescent="0.35">
      <c r="A439" s="19">
        <v>45733</v>
      </c>
      <c r="B439" s="20"/>
      <c r="C439" s="20"/>
      <c r="D439" s="20">
        <v>100000</v>
      </c>
      <c r="E439" s="99" t="s">
        <v>521</v>
      </c>
      <c r="F439" s="20">
        <f t="shared" si="6"/>
        <v>169180889</v>
      </c>
      <c r="G439" s="7" t="s">
        <v>330</v>
      </c>
      <c r="H439" s="24" t="s">
        <v>109</v>
      </c>
      <c r="I439" s="32" t="s">
        <v>152</v>
      </c>
    </row>
    <row r="440" spans="1:9" x14ac:dyDescent="0.35">
      <c r="A440" s="19">
        <v>45733</v>
      </c>
      <c r="B440" s="20"/>
      <c r="C440" s="20"/>
      <c r="D440" s="20">
        <v>50000</v>
      </c>
      <c r="E440" s="99" t="s">
        <v>521</v>
      </c>
      <c r="F440" s="20">
        <f t="shared" si="6"/>
        <v>169230889</v>
      </c>
      <c r="G440" s="7" t="s">
        <v>330</v>
      </c>
      <c r="H440" s="24" t="s">
        <v>109</v>
      </c>
      <c r="I440" s="32" t="s">
        <v>152</v>
      </c>
    </row>
    <row r="441" spans="1:9" x14ac:dyDescent="0.35">
      <c r="A441" s="19">
        <v>45733</v>
      </c>
      <c r="B441" s="20"/>
      <c r="C441" s="20"/>
      <c r="D441" s="20">
        <v>20000</v>
      </c>
      <c r="E441" s="99" t="s">
        <v>521</v>
      </c>
      <c r="F441" s="20">
        <f t="shared" si="6"/>
        <v>169250889</v>
      </c>
      <c r="G441" s="7" t="s">
        <v>330</v>
      </c>
      <c r="H441" s="24" t="s">
        <v>109</v>
      </c>
      <c r="I441" s="32" t="s">
        <v>152</v>
      </c>
    </row>
    <row r="442" spans="1:9" x14ac:dyDescent="0.35">
      <c r="A442" s="19">
        <v>45733</v>
      </c>
      <c r="B442" s="20"/>
      <c r="C442" s="20"/>
      <c r="D442" s="20">
        <v>510</v>
      </c>
      <c r="E442" s="99" t="s">
        <v>521</v>
      </c>
      <c r="F442" s="20">
        <f t="shared" si="6"/>
        <v>169251399</v>
      </c>
      <c r="G442" s="7" t="s">
        <v>330</v>
      </c>
      <c r="H442" s="24" t="s">
        <v>109</v>
      </c>
      <c r="I442" s="32" t="s">
        <v>152</v>
      </c>
    </row>
    <row r="443" spans="1:9" x14ac:dyDescent="0.35">
      <c r="A443" s="19">
        <v>45733</v>
      </c>
      <c r="B443" s="20">
        <v>3000000</v>
      </c>
      <c r="C443" s="20"/>
      <c r="D443" s="20"/>
      <c r="E443" s="99" t="s">
        <v>521</v>
      </c>
      <c r="F443" s="20">
        <f t="shared" si="6"/>
        <v>166251399</v>
      </c>
      <c r="G443" s="7" t="s">
        <v>401</v>
      </c>
      <c r="H443" s="24" t="s">
        <v>327</v>
      </c>
      <c r="I443" s="32" t="s">
        <v>152</v>
      </c>
    </row>
    <row r="444" spans="1:9" x14ac:dyDescent="0.35">
      <c r="A444" s="19">
        <v>45733</v>
      </c>
      <c r="B444" s="20">
        <v>2500</v>
      </c>
      <c r="C444" s="20"/>
      <c r="D444" s="20"/>
      <c r="E444" s="99" t="s">
        <v>521</v>
      </c>
      <c r="F444" s="20">
        <f t="shared" si="6"/>
        <v>166248899</v>
      </c>
      <c r="G444" s="7" t="s">
        <v>402</v>
      </c>
      <c r="H444" s="24" t="s">
        <v>327</v>
      </c>
      <c r="I444" s="32" t="s">
        <v>152</v>
      </c>
    </row>
    <row r="445" spans="1:9" x14ac:dyDescent="0.35">
      <c r="A445" s="19">
        <v>45733</v>
      </c>
      <c r="B445" s="20"/>
      <c r="C445" s="20"/>
      <c r="D445" s="20">
        <v>100000</v>
      </c>
      <c r="E445" s="99" t="s">
        <v>521</v>
      </c>
      <c r="F445" s="20">
        <f t="shared" si="6"/>
        <v>166348899</v>
      </c>
      <c r="G445" s="7" t="s">
        <v>330</v>
      </c>
      <c r="H445" s="24" t="s">
        <v>109</v>
      </c>
      <c r="I445" s="32" t="s">
        <v>152</v>
      </c>
    </row>
    <row r="446" spans="1:9" x14ac:dyDescent="0.35">
      <c r="A446" s="19">
        <v>45733</v>
      </c>
      <c r="B446" s="20"/>
      <c r="C446" s="20"/>
      <c r="D446" s="20">
        <v>100000</v>
      </c>
      <c r="E446" s="99" t="s">
        <v>521</v>
      </c>
      <c r="F446" s="20">
        <f t="shared" si="6"/>
        <v>166448899</v>
      </c>
      <c r="G446" s="7" t="s">
        <v>330</v>
      </c>
      <c r="H446" s="24" t="s">
        <v>109</v>
      </c>
      <c r="I446" s="32" t="s">
        <v>152</v>
      </c>
    </row>
    <row r="447" spans="1:9" x14ac:dyDescent="0.35">
      <c r="A447" s="19">
        <v>45733</v>
      </c>
      <c r="B447" s="20"/>
      <c r="C447" s="20"/>
      <c r="D447" s="20">
        <v>25000</v>
      </c>
      <c r="E447" s="99" t="s">
        <v>521</v>
      </c>
      <c r="F447" s="20">
        <f t="shared" si="6"/>
        <v>166473899</v>
      </c>
      <c r="G447" s="7" t="s">
        <v>330</v>
      </c>
      <c r="H447" s="24" t="s">
        <v>109</v>
      </c>
      <c r="I447" s="32" t="s">
        <v>152</v>
      </c>
    </row>
    <row r="448" spans="1:9" x14ac:dyDescent="0.35">
      <c r="A448" s="19">
        <v>45733</v>
      </c>
      <c r="B448" s="20"/>
      <c r="C448" s="20"/>
      <c r="D448" s="20">
        <v>10000</v>
      </c>
      <c r="E448" s="99" t="s">
        <v>521</v>
      </c>
      <c r="F448" s="20">
        <f t="shared" si="6"/>
        <v>166483899</v>
      </c>
      <c r="G448" s="7" t="s">
        <v>330</v>
      </c>
      <c r="H448" s="24" t="s">
        <v>109</v>
      </c>
      <c r="I448" s="32" t="s">
        <v>152</v>
      </c>
    </row>
    <row r="449" spans="1:9" x14ac:dyDescent="0.35">
      <c r="A449" s="19">
        <v>45733</v>
      </c>
      <c r="B449" s="20"/>
      <c r="C449" s="20"/>
      <c r="D449" s="20">
        <v>10000</v>
      </c>
      <c r="E449" s="99" t="s">
        <v>521</v>
      </c>
      <c r="F449" s="20">
        <f t="shared" si="6"/>
        <v>166493899</v>
      </c>
      <c r="G449" s="7" t="s">
        <v>330</v>
      </c>
      <c r="H449" s="24" t="s">
        <v>109</v>
      </c>
      <c r="I449" s="32" t="s">
        <v>152</v>
      </c>
    </row>
    <row r="450" spans="1:9" x14ac:dyDescent="0.35">
      <c r="A450" s="19">
        <v>45733</v>
      </c>
      <c r="B450" s="20"/>
      <c r="C450" s="20"/>
      <c r="D450" s="20">
        <v>50000</v>
      </c>
      <c r="E450" s="99" t="s">
        <v>521</v>
      </c>
      <c r="F450" s="20">
        <f t="shared" si="6"/>
        <v>166543899</v>
      </c>
      <c r="G450" s="7" t="s">
        <v>330</v>
      </c>
      <c r="H450" s="24" t="s">
        <v>109</v>
      </c>
      <c r="I450" s="32" t="s">
        <v>152</v>
      </c>
    </row>
    <row r="451" spans="1:9" x14ac:dyDescent="0.35">
      <c r="A451" s="19">
        <v>45733</v>
      </c>
      <c r="B451" s="20"/>
      <c r="C451" s="20"/>
      <c r="D451" s="20">
        <v>10000</v>
      </c>
      <c r="E451" s="99" t="s">
        <v>521</v>
      </c>
      <c r="F451" s="20">
        <f t="shared" si="6"/>
        <v>166553899</v>
      </c>
      <c r="G451" s="7" t="s">
        <v>330</v>
      </c>
      <c r="H451" s="24" t="s">
        <v>109</v>
      </c>
      <c r="I451" s="32" t="s">
        <v>152</v>
      </c>
    </row>
    <row r="452" spans="1:9" x14ac:dyDescent="0.35">
      <c r="A452" s="19">
        <v>45733</v>
      </c>
      <c r="B452" s="20"/>
      <c r="C452" s="20"/>
      <c r="D452" s="20">
        <v>20000</v>
      </c>
      <c r="E452" s="99" t="s">
        <v>521</v>
      </c>
      <c r="F452" s="20">
        <f t="shared" si="6"/>
        <v>166573899</v>
      </c>
      <c r="G452" s="7" t="s">
        <v>330</v>
      </c>
      <c r="H452" s="24" t="s">
        <v>109</v>
      </c>
      <c r="I452" s="32" t="s">
        <v>152</v>
      </c>
    </row>
    <row r="453" spans="1:9" x14ac:dyDescent="0.35">
      <c r="A453" s="19">
        <v>45733</v>
      </c>
      <c r="B453" s="20"/>
      <c r="C453" s="20"/>
      <c r="D453" s="20">
        <v>50000</v>
      </c>
      <c r="E453" s="99" t="s">
        <v>521</v>
      </c>
      <c r="F453" s="20">
        <f t="shared" ref="F453:F516" si="7">+F452+D453-B453</f>
        <v>166623899</v>
      </c>
      <c r="G453" s="7" t="s">
        <v>330</v>
      </c>
      <c r="H453" s="24" t="s">
        <v>109</v>
      </c>
      <c r="I453" s="32" t="s">
        <v>152</v>
      </c>
    </row>
    <row r="454" spans="1:9" x14ac:dyDescent="0.35">
      <c r="A454" s="19">
        <v>45733</v>
      </c>
      <c r="B454" s="20"/>
      <c r="C454" s="20"/>
      <c r="D454" s="20">
        <v>100000</v>
      </c>
      <c r="E454" s="99" t="s">
        <v>521</v>
      </c>
      <c r="F454" s="20">
        <f t="shared" si="7"/>
        <v>166723899</v>
      </c>
      <c r="G454" s="7" t="s">
        <v>330</v>
      </c>
      <c r="H454" s="24" t="s">
        <v>109</v>
      </c>
      <c r="I454" s="32" t="s">
        <v>152</v>
      </c>
    </row>
    <row r="455" spans="1:9" x14ac:dyDescent="0.35">
      <c r="A455" s="19">
        <v>45733</v>
      </c>
      <c r="B455" s="20"/>
      <c r="C455" s="20"/>
      <c r="D455" s="20">
        <v>100000</v>
      </c>
      <c r="E455" s="99" t="s">
        <v>521</v>
      </c>
      <c r="F455" s="20">
        <f t="shared" si="7"/>
        <v>166823899</v>
      </c>
      <c r="G455" s="7" t="s">
        <v>330</v>
      </c>
      <c r="H455" s="24" t="s">
        <v>109</v>
      </c>
      <c r="I455" s="32" t="s">
        <v>152</v>
      </c>
    </row>
    <row r="456" spans="1:9" x14ac:dyDescent="0.35">
      <c r="A456" s="19">
        <v>45733</v>
      </c>
      <c r="B456" s="20"/>
      <c r="C456" s="20"/>
      <c r="D456" s="20">
        <v>30000</v>
      </c>
      <c r="E456" s="99" t="s">
        <v>521</v>
      </c>
      <c r="F456" s="20">
        <f t="shared" si="7"/>
        <v>166853899</v>
      </c>
      <c r="G456" s="7" t="s">
        <v>330</v>
      </c>
      <c r="H456" s="24" t="s">
        <v>109</v>
      </c>
      <c r="I456" s="32" t="s">
        <v>152</v>
      </c>
    </row>
    <row r="457" spans="1:9" x14ac:dyDescent="0.35">
      <c r="A457" s="19">
        <v>45733</v>
      </c>
      <c r="B457" s="20"/>
      <c r="C457" s="20"/>
      <c r="D457" s="20">
        <v>50000</v>
      </c>
      <c r="E457" s="99" t="s">
        <v>521</v>
      </c>
      <c r="F457" s="20">
        <f t="shared" si="7"/>
        <v>166903899</v>
      </c>
      <c r="G457" s="7" t="s">
        <v>330</v>
      </c>
      <c r="H457" s="24" t="s">
        <v>109</v>
      </c>
      <c r="I457" s="32" t="s">
        <v>152</v>
      </c>
    </row>
    <row r="458" spans="1:9" x14ac:dyDescent="0.35">
      <c r="A458" s="19">
        <v>45733</v>
      </c>
      <c r="B458" s="20"/>
      <c r="C458" s="20"/>
      <c r="D458" s="20">
        <v>15000</v>
      </c>
      <c r="E458" s="99" t="s">
        <v>521</v>
      </c>
      <c r="F458" s="20">
        <f t="shared" si="7"/>
        <v>166918899</v>
      </c>
      <c r="G458" s="7" t="s">
        <v>330</v>
      </c>
      <c r="H458" s="24" t="s">
        <v>109</v>
      </c>
      <c r="I458" s="32" t="s">
        <v>152</v>
      </c>
    </row>
    <row r="459" spans="1:9" x14ac:dyDescent="0.35">
      <c r="A459" s="19">
        <v>45733</v>
      </c>
      <c r="B459" s="20"/>
      <c r="C459" s="20"/>
      <c r="D459" s="20">
        <v>10000</v>
      </c>
      <c r="E459" s="99" t="s">
        <v>521</v>
      </c>
      <c r="F459" s="20">
        <f t="shared" si="7"/>
        <v>166928899</v>
      </c>
      <c r="G459" s="7" t="s">
        <v>330</v>
      </c>
      <c r="H459" s="24" t="s">
        <v>109</v>
      </c>
      <c r="I459" s="32" t="s">
        <v>152</v>
      </c>
    </row>
    <row r="460" spans="1:9" x14ac:dyDescent="0.35">
      <c r="A460" s="19">
        <v>45733</v>
      </c>
      <c r="B460" s="20"/>
      <c r="C460" s="20"/>
      <c r="D460" s="20">
        <v>50000</v>
      </c>
      <c r="E460" s="99" t="s">
        <v>521</v>
      </c>
      <c r="F460" s="20">
        <f t="shared" si="7"/>
        <v>166978899</v>
      </c>
      <c r="G460" s="7" t="s">
        <v>330</v>
      </c>
      <c r="H460" s="24" t="s">
        <v>109</v>
      </c>
      <c r="I460" s="32" t="s">
        <v>152</v>
      </c>
    </row>
    <row r="461" spans="1:9" x14ac:dyDescent="0.35">
      <c r="A461" s="19">
        <v>45733</v>
      </c>
      <c r="B461" s="20"/>
      <c r="C461" s="20"/>
      <c r="D461" s="20">
        <v>10000</v>
      </c>
      <c r="E461" s="99" t="s">
        <v>521</v>
      </c>
      <c r="F461" s="20">
        <f t="shared" si="7"/>
        <v>166988899</v>
      </c>
      <c r="G461" s="7" t="s">
        <v>330</v>
      </c>
      <c r="H461" s="24" t="s">
        <v>109</v>
      </c>
      <c r="I461" s="32" t="s">
        <v>152</v>
      </c>
    </row>
    <row r="462" spans="1:9" x14ac:dyDescent="0.35">
      <c r="A462" s="19">
        <v>45733</v>
      </c>
      <c r="B462" s="20"/>
      <c r="C462" s="20"/>
      <c r="D462" s="20">
        <v>100000</v>
      </c>
      <c r="E462" s="99" t="s">
        <v>521</v>
      </c>
      <c r="F462" s="20">
        <f t="shared" si="7"/>
        <v>167088899</v>
      </c>
      <c r="G462" s="7" t="s">
        <v>330</v>
      </c>
      <c r="H462" s="24" t="s">
        <v>109</v>
      </c>
      <c r="I462" s="32" t="s">
        <v>152</v>
      </c>
    </row>
    <row r="463" spans="1:9" x14ac:dyDescent="0.35">
      <c r="A463" s="19">
        <v>45733</v>
      </c>
      <c r="B463" s="20"/>
      <c r="C463" s="20"/>
      <c r="D463" s="20">
        <v>5000</v>
      </c>
      <c r="E463" s="99" t="s">
        <v>521</v>
      </c>
      <c r="F463" s="20">
        <f t="shared" si="7"/>
        <v>167093899</v>
      </c>
      <c r="G463" s="7" t="s">
        <v>330</v>
      </c>
      <c r="H463" s="24" t="s">
        <v>109</v>
      </c>
      <c r="I463" s="32" t="s">
        <v>152</v>
      </c>
    </row>
    <row r="464" spans="1:9" x14ac:dyDescent="0.35">
      <c r="A464" s="19">
        <v>45733</v>
      </c>
      <c r="B464" s="20"/>
      <c r="C464" s="20"/>
      <c r="D464" s="20">
        <v>150000</v>
      </c>
      <c r="E464" s="99" t="s">
        <v>521</v>
      </c>
      <c r="F464" s="20">
        <f t="shared" si="7"/>
        <v>167243899</v>
      </c>
      <c r="G464" s="7" t="s">
        <v>330</v>
      </c>
      <c r="H464" s="24" t="s">
        <v>109</v>
      </c>
      <c r="I464" s="32" t="s">
        <v>152</v>
      </c>
    </row>
    <row r="465" spans="1:9" x14ac:dyDescent="0.35">
      <c r="A465" s="19">
        <v>45733</v>
      </c>
      <c r="B465" s="20"/>
      <c r="C465" s="20"/>
      <c r="D465" s="20">
        <v>20000</v>
      </c>
      <c r="E465" s="99" t="s">
        <v>521</v>
      </c>
      <c r="F465" s="20">
        <f t="shared" si="7"/>
        <v>167263899</v>
      </c>
      <c r="G465" s="7" t="s">
        <v>330</v>
      </c>
      <c r="H465" s="24" t="s">
        <v>109</v>
      </c>
      <c r="I465" s="32" t="s">
        <v>152</v>
      </c>
    </row>
    <row r="466" spans="1:9" x14ac:dyDescent="0.35">
      <c r="A466" s="19">
        <v>45733</v>
      </c>
      <c r="B466" s="20">
        <v>58150000</v>
      </c>
      <c r="C466" s="20"/>
      <c r="D466" s="20"/>
      <c r="E466" s="99" t="s">
        <v>521</v>
      </c>
      <c r="F466" s="20">
        <f t="shared" si="7"/>
        <v>109113899</v>
      </c>
      <c r="G466" s="7" t="s">
        <v>403</v>
      </c>
      <c r="H466" s="59" t="s">
        <v>203</v>
      </c>
      <c r="I466" s="32" t="s">
        <v>152</v>
      </c>
    </row>
    <row r="467" spans="1:9" x14ac:dyDescent="0.35">
      <c r="A467" s="19">
        <v>45733</v>
      </c>
      <c r="B467" s="20">
        <v>2500</v>
      </c>
      <c r="C467" s="20"/>
      <c r="D467" s="20"/>
      <c r="E467" s="99" t="s">
        <v>521</v>
      </c>
      <c r="F467" s="20">
        <f t="shared" si="7"/>
        <v>109111399</v>
      </c>
      <c r="G467" s="7" t="s">
        <v>404</v>
      </c>
      <c r="H467" s="59" t="s">
        <v>203</v>
      </c>
      <c r="I467" s="32" t="s">
        <v>152</v>
      </c>
    </row>
    <row r="468" spans="1:9" x14ac:dyDescent="0.35">
      <c r="A468" s="19">
        <v>45733</v>
      </c>
      <c r="B468" s="20"/>
      <c r="C468" s="20"/>
      <c r="D468" s="23">
        <v>4230000</v>
      </c>
      <c r="E468" s="99" t="s">
        <v>521</v>
      </c>
      <c r="F468" s="20">
        <f t="shared" si="7"/>
        <v>113341399</v>
      </c>
      <c r="G468" s="24" t="s">
        <v>107</v>
      </c>
      <c r="H468" s="24" t="s">
        <v>107</v>
      </c>
      <c r="I468" s="32" t="s">
        <v>152</v>
      </c>
    </row>
    <row r="469" spans="1:9" x14ac:dyDescent="0.35">
      <c r="A469" s="19">
        <v>45733</v>
      </c>
      <c r="B469" s="20"/>
      <c r="C469" s="20"/>
      <c r="D469" s="23">
        <f>4756000-4230000</f>
        <v>526000</v>
      </c>
      <c r="E469" s="99" t="s">
        <v>521</v>
      </c>
      <c r="F469" s="20">
        <f t="shared" si="7"/>
        <v>113867399</v>
      </c>
      <c r="G469" s="24" t="s">
        <v>109</v>
      </c>
      <c r="H469" s="24" t="s">
        <v>109</v>
      </c>
      <c r="I469" s="32" t="s">
        <v>152</v>
      </c>
    </row>
    <row r="470" spans="1:9" x14ac:dyDescent="0.35">
      <c r="A470" s="19">
        <v>45733</v>
      </c>
      <c r="B470" s="20"/>
      <c r="C470" s="20"/>
      <c r="D470" s="23">
        <v>5578000</v>
      </c>
      <c r="E470" s="99" t="s">
        <v>521</v>
      </c>
      <c r="F470" s="20">
        <f t="shared" si="7"/>
        <v>119445399</v>
      </c>
      <c r="G470" s="24" t="s">
        <v>377</v>
      </c>
      <c r="H470" s="24" t="s">
        <v>109</v>
      </c>
      <c r="I470" s="32" t="s">
        <v>152</v>
      </c>
    </row>
    <row r="471" spans="1:9" x14ac:dyDescent="0.35">
      <c r="A471" s="19">
        <v>45733</v>
      </c>
      <c r="B471" s="20"/>
      <c r="C471" s="20"/>
      <c r="D471" s="23">
        <v>1000</v>
      </c>
      <c r="E471" s="99" t="s">
        <v>521</v>
      </c>
      <c r="F471" s="20">
        <f t="shared" si="7"/>
        <v>119446399</v>
      </c>
      <c r="G471" s="24" t="s">
        <v>115</v>
      </c>
      <c r="H471" s="24" t="s">
        <v>109</v>
      </c>
      <c r="I471" s="32" t="s">
        <v>152</v>
      </c>
    </row>
    <row r="472" spans="1:9" x14ac:dyDescent="0.35">
      <c r="A472" s="19"/>
      <c r="B472" s="20"/>
      <c r="C472" s="95">
        <v>10335000</v>
      </c>
      <c r="D472" s="95"/>
      <c r="E472" s="124"/>
      <c r="F472" s="20">
        <f t="shared" si="7"/>
        <v>119446399</v>
      </c>
      <c r="G472" s="125" t="s">
        <v>305</v>
      </c>
      <c r="H472" s="24"/>
      <c r="I472" s="32"/>
    </row>
    <row r="473" spans="1:9" x14ac:dyDescent="0.35">
      <c r="A473" s="19">
        <v>45734</v>
      </c>
      <c r="B473" s="20">
        <v>2800000</v>
      </c>
      <c r="C473" s="20"/>
      <c r="D473" s="20"/>
      <c r="E473" s="99" t="s">
        <v>521</v>
      </c>
      <c r="F473" s="20">
        <f t="shared" si="7"/>
        <v>116646399</v>
      </c>
      <c r="G473" s="7" t="s">
        <v>405</v>
      </c>
      <c r="H473" s="59" t="s">
        <v>201</v>
      </c>
      <c r="I473" s="32" t="s">
        <v>152</v>
      </c>
    </row>
    <row r="474" spans="1:9" x14ac:dyDescent="0.35">
      <c r="A474" s="19">
        <v>45734</v>
      </c>
      <c r="B474" s="20">
        <v>2500</v>
      </c>
      <c r="C474" s="20"/>
      <c r="D474" s="20"/>
      <c r="E474" s="99" t="s">
        <v>521</v>
      </c>
      <c r="F474" s="20">
        <f t="shared" si="7"/>
        <v>116643899</v>
      </c>
      <c r="G474" s="7" t="s">
        <v>406</v>
      </c>
      <c r="H474" s="59" t="s">
        <v>201</v>
      </c>
      <c r="I474" s="32" t="s">
        <v>152</v>
      </c>
    </row>
    <row r="475" spans="1:9" x14ac:dyDescent="0.35">
      <c r="A475" s="19">
        <v>45734</v>
      </c>
      <c r="B475" s="20"/>
      <c r="C475" s="20"/>
      <c r="D475" s="20">
        <v>50000</v>
      </c>
      <c r="E475" s="99" t="s">
        <v>521</v>
      </c>
      <c r="F475" s="20">
        <f t="shared" si="7"/>
        <v>116693899</v>
      </c>
      <c r="G475" s="7" t="s">
        <v>330</v>
      </c>
      <c r="H475" s="24" t="s">
        <v>109</v>
      </c>
      <c r="I475" s="32" t="s">
        <v>152</v>
      </c>
    </row>
    <row r="476" spans="1:9" x14ac:dyDescent="0.35">
      <c r="A476" s="19">
        <v>45734</v>
      </c>
      <c r="B476" s="20"/>
      <c r="C476" s="20"/>
      <c r="D476" s="20">
        <v>50000</v>
      </c>
      <c r="E476" s="99" t="s">
        <v>521</v>
      </c>
      <c r="F476" s="20">
        <f t="shared" si="7"/>
        <v>116743899</v>
      </c>
      <c r="G476" s="7" t="s">
        <v>330</v>
      </c>
      <c r="H476" s="24" t="s">
        <v>109</v>
      </c>
      <c r="I476" s="32" t="s">
        <v>152</v>
      </c>
    </row>
    <row r="477" spans="1:9" x14ac:dyDescent="0.35">
      <c r="A477" s="19">
        <v>45734</v>
      </c>
      <c r="B477" s="20"/>
      <c r="C477" s="20"/>
      <c r="D477" s="20">
        <v>100000</v>
      </c>
      <c r="E477" s="99" t="s">
        <v>521</v>
      </c>
      <c r="F477" s="20">
        <f t="shared" si="7"/>
        <v>116843899</v>
      </c>
      <c r="G477" s="7" t="s">
        <v>330</v>
      </c>
      <c r="H477" s="24" t="s">
        <v>109</v>
      </c>
      <c r="I477" s="32" t="s">
        <v>152</v>
      </c>
    </row>
    <row r="478" spans="1:9" x14ac:dyDescent="0.35">
      <c r="A478" s="19">
        <v>45734</v>
      </c>
      <c r="B478" s="20"/>
      <c r="C478" s="20"/>
      <c r="D478" s="20">
        <v>50000</v>
      </c>
      <c r="E478" s="99" t="s">
        <v>521</v>
      </c>
      <c r="F478" s="20">
        <f t="shared" si="7"/>
        <v>116893899</v>
      </c>
      <c r="G478" s="7" t="s">
        <v>330</v>
      </c>
      <c r="H478" s="24" t="s">
        <v>109</v>
      </c>
      <c r="I478" s="32" t="s">
        <v>152</v>
      </c>
    </row>
    <row r="479" spans="1:9" x14ac:dyDescent="0.35">
      <c r="A479" s="19">
        <v>45734</v>
      </c>
      <c r="B479" s="20"/>
      <c r="C479" s="20"/>
      <c r="D479" s="20">
        <v>10000</v>
      </c>
      <c r="E479" s="99" t="s">
        <v>521</v>
      </c>
      <c r="F479" s="20">
        <f t="shared" si="7"/>
        <v>116903899</v>
      </c>
      <c r="G479" s="7" t="s">
        <v>330</v>
      </c>
      <c r="H479" s="24" t="s">
        <v>109</v>
      </c>
      <c r="I479" s="32" t="s">
        <v>152</v>
      </c>
    </row>
    <row r="480" spans="1:9" x14ac:dyDescent="0.35">
      <c r="A480" s="19">
        <v>45734</v>
      </c>
      <c r="B480" s="20"/>
      <c r="C480" s="20"/>
      <c r="D480" s="20">
        <v>50000</v>
      </c>
      <c r="E480" s="99" t="s">
        <v>521</v>
      </c>
      <c r="F480" s="20">
        <f t="shared" si="7"/>
        <v>116953899</v>
      </c>
      <c r="G480" s="7" t="s">
        <v>330</v>
      </c>
      <c r="H480" s="24" t="s">
        <v>109</v>
      </c>
      <c r="I480" s="32" t="s">
        <v>152</v>
      </c>
    </row>
    <row r="481" spans="1:9" x14ac:dyDescent="0.35">
      <c r="A481" s="19">
        <v>45734</v>
      </c>
      <c r="B481" s="20"/>
      <c r="C481" s="20"/>
      <c r="D481" s="20">
        <v>10000</v>
      </c>
      <c r="E481" s="99" t="s">
        <v>521</v>
      </c>
      <c r="F481" s="20">
        <f t="shared" si="7"/>
        <v>116963899</v>
      </c>
      <c r="G481" s="7" t="s">
        <v>330</v>
      </c>
      <c r="H481" s="24" t="s">
        <v>109</v>
      </c>
      <c r="I481" s="32" t="s">
        <v>152</v>
      </c>
    </row>
    <row r="482" spans="1:9" x14ac:dyDescent="0.35">
      <c r="A482" s="19">
        <v>45734</v>
      </c>
      <c r="B482" s="20"/>
      <c r="C482" s="20"/>
      <c r="D482" s="20">
        <v>100000</v>
      </c>
      <c r="E482" s="99" t="s">
        <v>521</v>
      </c>
      <c r="F482" s="20">
        <f t="shared" si="7"/>
        <v>117063899</v>
      </c>
      <c r="G482" s="7" t="s">
        <v>330</v>
      </c>
      <c r="H482" s="24" t="s">
        <v>109</v>
      </c>
      <c r="I482" s="32" t="s">
        <v>152</v>
      </c>
    </row>
    <row r="483" spans="1:9" x14ac:dyDescent="0.35">
      <c r="A483" s="19">
        <v>45734</v>
      </c>
      <c r="B483" s="20"/>
      <c r="C483" s="20"/>
      <c r="D483" s="20">
        <v>20000</v>
      </c>
      <c r="E483" s="99" t="s">
        <v>521</v>
      </c>
      <c r="F483" s="20">
        <f t="shared" si="7"/>
        <v>117083899</v>
      </c>
      <c r="G483" s="7" t="s">
        <v>330</v>
      </c>
      <c r="H483" s="24" t="s">
        <v>109</v>
      </c>
      <c r="I483" s="32" t="s">
        <v>152</v>
      </c>
    </row>
    <row r="484" spans="1:9" x14ac:dyDescent="0.35">
      <c r="A484" s="19">
        <v>45735</v>
      </c>
      <c r="B484" s="20"/>
      <c r="C484" s="20"/>
      <c r="D484" s="20">
        <v>50000</v>
      </c>
      <c r="E484" s="99" t="s">
        <v>521</v>
      </c>
      <c r="F484" s="20">
        <f t="shared" si="7"/>
        <v>117133899</v>
      </c>
      <c r="G484" s="7" t="s">
        <v>330</v>
      </c>
      <c r="H484" s="24" t="s">
        <v>109</v>
      </c>
      <c r="I484" s="32" t="s">
        <v>152</v>
      </c>
    </row>
    <row r="485" spans="1:9" x14ac:dyDescent="0.35">
      <c r="A485" s="19">
        <v>45735</v>
      </c>
      <c r="B485" s="20"/>
      <c r="C485" s="20"/>
      <c r="D485" s="20">
        <v>25000</v>
      </c>
      <c r="E485" s="99" t="s">
        <v>521</v>
      </c>
      <c r="F485" s="20">
        <f t="shared" si="7"/>
        <v>117158899</v>
      </c>
      <c r="G485" s="7" t="s">
        <v>330</v>
      </c>
      <c r="H485" s="24" t="s">
        <v>109</v>
      </c>
      <c r="I485" s="32" t="s">
        <v>152</v>
      </c>
    </row>
    <row r="486" spans="1:9" x14ac:dyDescent="0.35">
      <c r="A486" s="19">
        <v>45735</v>
      </c>
      <c r="B486" s="20"/>
      <c r="C486" s="20"/>
      <c r="D486" s="20">
        <v>25000</v>
      </c>
      <c r="E486" s="99" t="s">
        <v>521</v>
      </c>
      <c r="F486" s="20">
        <f t="shared" si="7"/>
        <v>117183899</v>
      </c>
      <c r="G486" s="7" t="s">
        <v>330</v>
      </c>
      <c r="H486" s="24" t="s">
        <v>109</v>
      </c>
      <c r="I486" s="32" t="s">
        <v>152</v>
      </c>
    </row>
    <row r="487" spans="1:9" x14ac:dyDescent="0.35">
      <c r="A487" s="19">
        <v>45735</v>
      </c>
      <c r="B487" s="20"/>
      <c r="C487" s="20"/>
      <c r="D487" s="20">
        <v>100000</v>
      </c>
      <c r="E487" s="99" t="s">
        <v>521</v>
      </c>
      <c r="F487" s="20">
        <f t="shared" si="7"/>
        <v>117283899</v>
      </c>
      <c r="G487" s="7" t="s">
        <v>330</v>
      </c>
      <c r="H487" s="24" t="s">
        <v>109</v>
      </c>
      <c r="I487" s="32" t="s">
        <v>152</v>
      </c>
    </row>
    <row r="488" spans="1:9" x14ac:dyDescent="0.35">
      <c r="A488" s="19">
        <v>45735</v>
      </c>
      <c r="B488" s="20"/>
      <c r="C488" s="20"/>
      <c r="D488" s="20">
        <v>50000</v>
      </c>
      <c r="E488" s="99" t="s">
        <v>521</v>
      </c>
      <c r="F488" s="20">
        <f t="shared" si="7"/>
        <v>117333899</v>
      </c>
      <c r="G488" s="7" t="s">
        <v>330</v>
      </c>
      <c r="H488" s="24" t="s">
        <v>109</v>
      </c>
      <c r="I488" s="32" t="s">
        <v>152</v>
      </c>
    </row>
    <row r="489" spans="1:9" x14ac:dyDescent="0.35">
      <c r="A489" s="19">
        <v>45735</v>
      </c>
      <c r="B489" s="20"/>
      <c r="C489" s="20"/>
      <c r="D489" s="20">
        <v>25000</v>
      </c>
      <c r="E489" s="99" t="s">
        <v>521</v>
      </c>
      <c r="F489" s="20">
        <f t="shared" si="7"/>
        <v>117358899</v>
      </c>
      <c r="G489" s="7" t="s">
        <v>330</v>
      </c>
      <c r="H489" s="24" t="s">
        <v>109</v>
      </c>
      <c r="I489" s="32" t="s">
        <v>152</v>
      </c>
    </row>
    <row r="490" spans="1:9" x14ac:dyDescent="0.35">
      <c r="A490" s="19">
        <v>45735</v>
      </c>
      <c r="B490" s="20"/>
      <c r="C490" s="20"/>
      <c r="D490" s="20">
        <v>50000</v>
      </c>
      <c r="E490" s="99" t="s">
        <v>521</v>
      </c>
      <c r="F490" s="20">
        <f t="shared" si="7"/>
        <v>117408899</v>
      </c>
      <c r="G490" s="7" t="s">
        <v>330</v>
      </c>
      <c r="H490" s="24" t="s">
        <v>109</v>
      </c>
      <c r="I490" s="32" t="s">
        <v>152</v>
      </c>
    </row>
    <row r="491" spans="1:9" x14ac:dyDescent="0.35">
      <c r="A491" s="19">
        <v>45735</v>
      </c>
      <c r="B491" s="20"/>
      <c r="C491" s="20"/>
      <c r="D491" s="20">
        <v>10000</v>
      </c>
      <c r="E491" s="99" t="s">
        <v>521</v>
      </c>
      <c r="F491" s="20">
        <f t="shared" si="7"/>
        <v>117418899</v>
      </c>
      <c r="G491" s="7" t="s">
        <v>330</v>
      </c>
      <c r="H491" s="24" t="s">
        <v>109</v>
      </c>
      <c r="I491" s="32" t="s">
        <v>152</v>
      </c>
    </row>
    <row r="492" spans="1:9" x14ac:dyDescent="0.35">
      <c r="A492" s="19">
        <v>45735</v>
      </c>
      <c r="B492" s="20"/>
      <c r="C492" s="20"/>
      <c r="D492" s="20">
        <v>10000</v>
      </c>
      <c r="E492" s="99" t="s">
        <v>521</v>
      </c>
      <c r="F492" s="20">
        <f t="shared" si="7"/>
        <v>117428899</v>
      </c>
      <c r="G492" s="7" t="s">
        <v>330</v>
      </c>
      <c r="H492" s="24" t="s">
        <v>109</v>
      </c>
      <c r="I492" s="32" t="s">
        <v>152</v>
      </c>
    </row>
    <row r="493" spans="1:9" x14ac:dyDescent="0.35">
      <c r="A493" s="19">
        <v>45735</v>
      </c>
      <c r="B493" s="20"/>
      <c r="C493" s="20"/>
      <c r="D493" s="20">
        <v>100000</v>
      </c>
      <c r="E493" s="99" t="s">
        <v>521</v>
      </c>
      <c r="F493" s="20">
        <f t="shared" si="7"/>
        <v>117528899</v>
      </c>
      <c r="G493" s="7" t="s">
        <v>330</v>
      </c>
      <c r="H493" s="24" t="s">
        <v>109</v>
      </c>
      <c r="I493" s="32" t="s">
        <v>152</v>
      </c>
    </row>
    <row r="494" spans="1:9" x14ac:dyDescent="0.35">
      <c r="A494" s="19">
        <v>45735</v>
      </c>
      <c r="B494" s="20"/>
      <c r="C494" s="20"/>
      <c r="D494" s="20">
        <v>50000</v>
      </c>
      <c r="E494" s="99" t="s">
        <v>521</v>
      </c>
      <c r="F494" s="20">
        <f t="shared" si="7"/>
        <v>117578899</v>
      </c>
      <c r="G494" s="7" t="s">
        <v>330</v>
      </c>
      <c r="H494" s="24" t="s">
        <v>109</v>
      </c>
      <c r="I494" s="32" t="s">
        <v>152</v>
      </c>
    </row>
    <row r="495" spans="1:9" x14ac:dyDescent="0.35">
      <c r="A495" s="19">
        <v>45735</v>
      </c>
      <c r="B495" s="20"/>
      <c r="C495" s="20"/>
      <c r="D495" s="20">
        <v>10000</v>
      </c>
      <c r="E495" s="99" t="s">
        <v>521</v>
      </c>
      <c r="F495" s="20">
        <f t="shared" si="7"/>
        <v>117588899</v>
      </c>
      <c r="G495" s="7" t="s">
        <v>330</v>
      </c>
      <c r="H495" s="24" t="s">
        <v>109</v>
      </c>
      <c r="I495" s="32" t="s">
        <v>152</v>
      </c>
    </row>
    <row r="496" spans="1:9" x14ac:dyDescent="0.35">
      <c r="A496" s="19">
        <v>45735</v>
      </c>
      <c r="B496" s="20"/>
      <c r="C496" s="20"/>
      <c r="D496" s="20">
        <v>5000</v>
      </c>
      <c r="E496" s="99" t="s">
        <v>521</v>
      </c>
      <c r="F496" s="20">
        <f t="shared" si="7"/>
        <v>117593899</v>
      </c>
      <c r="G496" s="7" t="s">
        <v>330</v>
      </c>
      <c r="H496" s="24" t="s">
        <v>109</v>
      </c>
      <c r="I496" s="32" t="s">
        <v>152</v>
      </c>
    </row>
    <row r="497" spans="1:9" x14ac:dyDescent="0.35">
      <c r="A497" s="19">
        <v>45735</v>
      </c>
      <c r="B497" s="20"/>
      <c r="C497" s="20"/>
      <c r="D497" s="20">
        <v>50000</v>
      </c>
      <c r="E497" s="99" t="s">
        <v>521</v>
      </c>
      <c r="F497" s="20">
        <f t="shared" si="7"/>
        <v>117643899</v>
      </c>
      <c r="G497" s="7" t="s">
        <v>330</v>
      </c>
      <c r="H497" s="24" t="s">
        <v>109</v>
      </c>
      <c r="I497" s="32" t="s">
        <v>152</v>
      </c>
    </row>
    <row r="498" spans="1:9" x14ac:dyDescent="0.35">
      <c r="A498" s="19">
        <v>45735</v>
      </c>
      <c r="B498" s="20"/>
      <c r="C498" s="20"/>
      <c r="D498" s="20">
        <v>900000</v>
      </c>
      <c r="E498" s="99" t="s">
        <v>521</v>
      </c>
      <c r="F498" s="20">
        <f t="shared" si="7"/>
        <v>118543899</v>
      </c>
      <c r="G498" s="7" t="s">
        <v>407</v>
      </c>
      <c r="H498" s="24" t="s">
        <v>109</v>
      </c>
      <c r="I498" s="32" t="s">
        <v>152</v>
      </c>
    </row>
    <row r="499" spans="1:9" x14ac:dyDescent="0.35">
      <c r="A499" s="19">
        <v>45736</v>
      </c>
      <c r="B499" s="20"/>
      <c r="C499" s="20"/>
      <c r="D499" s="20">
        <v>50000</v>
      </c>
      <c r="E499" s="99" t="s">
        <v>521</v>
      </c>
      <c r="F499" s="20">
        <f t="shared" si="7"/>
        <v>118593899</v>
      </c>
      <c r="G499" s="7" t="s">
        <v>330</v>
      </c>
      <c r="H499" s="24" t="s">
        <v>109</v>
      </c>
      <c r="I499" s="32" t="s">
        <v>152</v>
      </c>
    </row>
    <row r="500" spans="1:9" x14ac:dyDescent="0.35">
      <c r="A500" s="19">
        <v>45736</v>
      </c>
      <c r="B500" s="20"/>
      <c r="C500" s="20"/>
      <c r="D500" s="20">
        <v>100000</v>
      </c>
      <c r="E500" s="99" t="s">
        <v>521</v>
      </c>
      <c r="F500" s="20">
        <f t="shared" si="7"/>
        <v>118693899</v>
      </c>
      <c r="G500" s="7" t="s">
        <v>330</v>
      </c>
      <c r="H500" s="24" t="s">
        <v>109</v>
      </c>
      <c r="I500" s="32" t="s">
        <v>152</v>
      </c>
    </row>
    <row r="501" spans="1:9" x14ac:dyDescent="0.35">
      <c r="A501" s="19">
        <v>45736</v>
      </c>
      <c r="B501" s="20"/>
      <c r="C501" s="20"/>
      <c r="D501" s="20">
        <v>25000</v>
      </c>
      <c r="E501" s="99" t="s">
        <v>521</v>
      </c>
      <c r="F501" s="20">
        <f t="shared" si="7"/>
        <v>118718899</v>
      </c>
      <c r="G501" s="7" t="s">
        <v>330</v>
      </c>
      <c r="H501" s="24" t="s">
        <v>109</v>
      </c>
      <c r="I501" s="32" t="s">
        <v>152</v>
      </c>
    </row>
    <row r="502" spans="1:9" x14ac:dyDescent="0.35">
      <c r="A502" s="19">
        <v>45736</v>
      </c>
      <c r="B502" s="20"/>
      <c r="C502" s="20"/>
      <c r="D502" s="20">
        <v>50000</v>
      </c>
      <c r="E502" s="99" t="s">
        <v>521</v>
      </c>
      <c r="F502" s="20">
        <f t="shared" si="7"/>
        <v>118768899</v>
      </c>
      <c r="G502" s="7" t="s">
        <v>330</v>
      </c>
      <c r="H502" s="24" t="s">
        <v>109</v>
      </c>
      <c r="I502" s="32" t="s">
        <v>152</v>
      </c>
    </row>
    <row r="503" spans="1:9" x14ac:dyDescent="0.35">
      <c r="A503" s="19">
        <v>45736</v>
      </c>
      <c r="B503" s="20"/>
      <c r="C503" s="20"/>
      <c r="D503" s="20">
        <v>50000</v>
      </c>
      <c r="E503" s="99" t="s">
        <v>521</v>
      </c>
      <c r="F503" s="20">
        <f t="shared" si="7"/>
        <v>118818899</v>
      </c>
      <c r="G503" s="7" t="s">
        <v>330</v>
      </c>
      <c r="H503" s="24" t="s">
        <v>109</v>
      </c>
      <c r="I503" s="32" t="s">
        <v>152</v>
      </c>
    </row>
    <row r="504" spans="1:9" x14ac:dyDescent="0.35">
      <c r="A504" s="19">
        <v>45736</v>
      </c>
      <c r="B504" s="20"/>
      <c r="C504" s="20"/>
      <c r="D504" s="20">
        <v>10000</v>
      </c>
      <c r="E504" s="99" t="s">
        <v>521</v>
      </c>
      <c r="F504" s="20">
        <f t="shared" si="7"/>
        <v>118828899</v>
      </c>
      <c r="G504" s="7" t="s">
        <v>330</v>
      </c>
      <c r="H504" s="24" t="s">
        <v>109</v>
      </c>
      <c r="I504" s="32" t="s">
        <v>152</v>
      </c>
    </row>
    <row r="505" spans="1:9" x14ac:dyDescent="0.35">
      <c r="A505" s="19">
        <v>45736</v>
      </c>
      <c r="B505" s="20"/>
      <c r="C505" s="20"/>
      <c r="D505" s="20">
        <v>50000</v>
      </c>
      <c r="E505" s="99" t="s">
        <v>521</v>
      </c>
      <c r="F505" s="20">
        <f t="shared" si="7"/>
        <v>118878899</v>
      </c>
      <c r="G505" s="7" t="s">
        <v>330</v>
      </c>
      <c r="H505" s="24" t="s">
        <v>109</v>
      </c>
      <c r="I505" s="32" t="s">
        <v>152</v>
      </c>
    </row>
    <row r="506" spans="1:9" x14ac:dyDescent="0.35">
      <c r="A506" s="19">
        <v>45736</v>
      </c>
      <c r="B506" s="20"/>
      <c r="C506" s="20"/>
      <c r="D506" s="20">
        <v>10000</v>
      </c>
      <c r="E506" s="99" t="s">
        <v>521</v>
      </c>
      <c r="F506" s="20">
        <f t="shared" si="7"/>
        <v>118888899</v>
      </c>
      <c r="G506" s="7" t="s">
        <v>330</v>
      </c>
      <c r="H506" s="24" t="s">
        <v>109</v>
      </c>
      <c r="I506" s="32" t="s">
        <v>152</v>
      </c>
    </row>
    <row r="507" spans="1:9" x14ac:dyDescent="0.35">
      <c r="A507" s="19">
        <v>45736</v>
      </c>
      <c r="B507" s="20"/>
      <c r="C507" s="20"/>
      <c r="D507" s="20">
        <v>100000</v>
      </c>
      <c r="E507" s="99" t="s">
        <v>521</v>
      </c>
      <c r="F507" s="20">
        <f t="shared" si="7"/>
        <v>118988899</v>
      </c>
      <c r="G507" s="7" t="s">
        <v>330</v>
      </c>
      <c r="H507" s="24" t="s">
        <v>109</v>
      </c>
      <c r="I507" s="32" t="s">
        <v>152</v>
      </c>
    </row>
    <row r="508" spans="1:9" x14ac:dyDescent="0.35">
      <c r="A508" s="19">
        <v>45736</v>
      </c>
      <c r="B508" s="20"/>
      <c r="C508" s="20"/>
      <c r="D508" s="20">
        <v>50000</v>
      </c>
      <c r="E508" s="99" t="s">
        <v>521</v>
      </c>
      <c r="F508" s="20">
        <f t="shared" si="7"/>
        <v>119038899</v>
      </c>
      <c r="G508" s="7" t="s">
        <v>330</v>
      </c>
      <c r="H508" s="24" t="s">
        <v>109</v>
      </c>
      <c r="I508" s="32" t="s">
        <v>152</v>
      </c>
    </row>
    <row r="509" spans="1:9" x14ac:dyDescent="0.35">
      <c r="A509" s="19">
        <v>45736</v>
      </c>
      <c r="B509" s="20"/>
      <c r="C509" s="20"/>
      <c r="D509" s="23">
        <v>4250000</v>
      </c>
      <c r="E509" s="99" t="s">
        <v>521</v>
      </c>
      <c r="F509" s="20">
        <f t="shared" si="7"/>
        <v>123288899</v>
      </c>
      <c r="G509" s="24" t="s">
        <v>409</v>
      </c>
      <c r="H509" s="24" t="s">
        <v>109</v>
      </c>
      <c r="I509" s="32" t="s">
        <v>152</v>
      </c>
    </row>
    <row r="510" spans="1:9" x14ac:dyDescent="0.35">
      <c r="A510" s="19">
        <v>45736</v>
      </c>
      <c r="B510" s="23">
        <v>425000</v>
      </c>
      <c r="C510" s="20"/>
      <c r="D510" s="23"/>
      <c r="E510" s="99" t="s">
        <v>521</v>
      </c>
      <c r="F510" s="20">
        <f t="shared" si="7"/>
        <v>122863899</v>
      </c>
      <c r="G510" s="24" t="s">
        <v>410</v>
      </c>
      <c r="H510" s="59" t="s">
        <v>144</v>
      </c>
      <c r="I510" s="32" t="s">
        <v>152</v>
      </c>
    </row>
    <row r="511" spans="1:9" x14ac:dyDescent="0.35">
      <c r="A511" s="19">
        <v>45736</v>
      </c>
      <c r="B511" s="23">
        <v>2006000</v>
      </c>
      <c r="C511" s="20"/>
      <c r="D511" s="23"/>
      <c r="E511" s="99" t="s">
        <v>521</v>
      </c>
      <c r="F511" s="20">
        <f t="shared" si="7"/>
        <v>120857899</v>
      </c>
      <c r="G511" s="24" t="s">
        <v>411</v>
      </c>
      <c r="H511" s="59" t="s">
        <v>321</v>
      </c>
      <c r="I511" s="32" t="s">
        <v>152</v>
      </c>
    </row>
    <row r="512" spans="1:9" x14ac:dyDescent="0.35">
      <c r="A512" s="19"/>
      <c r="B512" s="20"/>
      <c r="C512" s="95">
        <v>1819000</v>
      </c>
      <c r="D512" s="95"/>
      <c r="E512" s="99"/>
      <c r="F512" s="20">
        <f t="shared" si="7"/>
        <v>120857899</v>
      </c>
      <c r="G512" s="125" t="s">
        <v>98</v>
      </c>
      <c r="H512" s="24"/>
      <c r="I512" s="32"/>
    </row>
    <row r="513" spans="1:9" x14ac:dyDescent="0.35">
      <c r="A513" s="19">
        <v>45736</v>
      </c>
      <c r="B513" s="20"/>
      <c r="C513" s="20"/>
      <c r="D513" s="20">
        <v>25000</v>
      </c>
      <c r="E513" s="99" t="s">
        <v>521</v>
      </c>
      <c r="F513" s="20">
        <f t="shared" si="7"/>
        <v>120882899</v>
      </c>
      <c r="G513" s="7" t="s">
        <v>408</v>
      </c>
      <c r="H513" s="24" t="s">
        <v>109</v>
      </c>
      <c r="I513" s="32" t="s">
        <v>152</v>
      </c>
    </row>
    <row r="514" spans="1:9" x14ac:dyDescent="0.35">
      <c r="A514" s="19">
        <v>45737</v>
      </c>
      <c r="B514" s="20"/>
      <c r="C514" s="20"/>
      <c r="D514" s="20">
        <v>50000</v>
      </c>
      <c r="E514" s="99" t="s">
        <v>521</v>
      </c>
      <c r="F514" s="20">
        <f t="shared" si="7"/>
        <v>120932899</v>
      </c>
      <c r="G514" s="7" t="s">
        <v>330</v>
      </c>
      <c r="H514" s="24" t="s">
        <v>109</v>
      </c>
      <c r="I514" s="32" t="s">
        <v>152</v>
      </c>
    </row>
    <row r="515" spans="1:9" x14ac:dyDescent="0.35">
      <c r="A515" s="19">
        <v>45737</v>
      </c>
      <c r="B515" s="20"/>
      <c r="C515" s="20"/>
      <c r="D515" s="20">
        <v>200000</v>
      </c>
      <c r="E515" s="99" t="s">
        <v>521</v>
      </c>
      <c r="F515" s="20">
        <f t="shared" si="7"/>
        <v>121132899</v>
      </c>
      <c r="G515" s="7" t="s">
        <v>330</v>
      </c>
      <c r="H515" s="24" t="s">
        <v>109</v>
      </c>
      <c r="I515" s="32" t="s">
        <v>152</v>
      </c>
    </row>
    <row r="516" spans="1:9" x14ac:dyDescent="0.35">
      <c r="A516" s="19">
        <v>45737</v>
      </c>
      <c r="B516" s="20"/>
      <c r="C516" s="20"/>
      <c r="D516" s="20">
        <v>25000</v>
      </c>
      <c r="E516" s="99" t="s">
        <v>521</v>
      </c>
      <c r="F516" s="20">
        <f t="shared" si="7"/>
        <v>121157899</v>
      </c>
      <c r="G516" s="7" t="s">
        <v>330</v>
      </c>
      <c r="H516" s="24" t="s">
        <v>109</v>
      </c>
      <c r="I516" s="32" t="s">
        <v>152</v>
      </c>
    </row>
    <row r="517" spans="1:9" x14ac:dyDescent="0.35">
      <c r="A517" s="19">
        <v>45737</v>
      </c>
      <c r="B517" s="20"/>
      <c r="C517" s="20"/>
      <c r="D517" s="20">
        <v>100000</v>
      </c>
      <c r="E517" s="99" t="s">
        <v>521</v>
      </c>
      <c r="F517" s="20">
        <f t="shared" ref="F517:F580" si="8">+F516+D517-B517</f>
        <v>121257899</v>
      </c>
      <c r="G517" s="7" t="s">
        <v>330</v>
      </c>
      <c r="H517" s="24" t="s">
        <v>109</v>
      </c>
      <c r="I517" s="32" t="s">
        <v>152</v>
      </c>
    </row>
    <row r="518" spans="1:9" x14ac:dyDescent="0.35">
      <c r="A518" s="19">
        <v>45737</v>
      </c>
      <c r="B518" s="20"/>
      <c r="C518" s="20"/>
      <c r="D518" s="20">
        <v>100000</v>
      </c>
      <c r="E518" s="99" t="s">
        <v>521</v>
      </c>
      <c r="F518" s="20">
        <f t="shared" si="8"/>
        <v>121357899</v>
      </c>
      <c r="G518" s="7" t="s">
        <v>330</v>
      </c>
      <c r="H518" s="24" t="s">
        <v>109</v>
      </c>
      <c r="I518" s="32" t="s">
        <v>152</v>
      </c>
    </row>
    <row r="519" spans="1:9" x14ac:dyDescent="0.35">
      <c r="A519" s="19">
        <v>45737</v>
      </c>
      <c r="B519" s="20"/>
      <c r="C519" s="20"/>
      <c r="D519" s="20">
        <v>10000</v>
      </c>
      <c r="E519" s="99" t="s">
        <v>521</v>
      </c>
      <c r="F519" s="20">
        <f t="shared" si="8"/>
        <v>121367899</v>
      </c>
      <c r="G519" s="7" t="s">
        <v>330</v>
      </c>
      <c r="H519" s="24" t="s">
        <v>109</v>
      </c>
      <c r="I519" s="32" t="s">
        <v>152</v>
      </c>
    </row>
    <row r="520" spans="1:9" x14ac:dyDescent="0.35">
      <c r="A520" s="19">
        <v>45737</v>
      </c>
      <c r="B520" s="20"/>
      <c r="C520" s="20"/>
      <c r="D520" s="20">
        <v>25000</v>
      </c>
      <c r="E520" s="99" t="s">
        <v>521</v>
      </c>
      <c r="F520" s="20">
        <f t="shared" si="8"/>
        <v>121392899</v>
      </c>
      <c r="G520" s="7" t="s">
        <v>330</v>
      </c>
      <c r="H520" s="24" t="s">
        <v>109</v>
      </c>
      <c r="I520" s="32" t="s">
        <v>152</v>
      </c>
    </row>
    <row r="521" spans="1:9" x14ac:dyDescent="0.35">
      <c r="A521" s="19">
        <v>45737</v>
      </c>
      <c r="B521" s="20"/>
      <c r="C521" s="20"/>
      <c r="D521" s="20">
        <v>50000</v>
      </c>
      <c r="E521" s="99" t="s">
        <v>521</v>
      </c>
      <c r="F521" s="20">
        <f t="shared" si="8"/>
        <v>121442899</v>
      </c>
      <c r="G521" s="7" t="s">
        <v>330</v>
      </c>
      <c r="H521" s="24" t="s">
        <v>109</v>
      </c>
      <c r="I521" s="32" t="s">
        <v>152</v>
      </c>
    </row>
    <row r="522" spans="1:9" x14ac:dyDescent="0.35">
      <c r="A522" s="19">
        <v>45737</v>
      </c>
      <c r="B522" s="20"/>
      <c r="C522" s="20"/>
      <c r="D522" s="20">
        <v>10000</v>
      </c>
      <c r="E522" s="99" t="s">
        <v>521</v>
      </c>
      <c r="F522" s="20">
        <f t="shared" si="8"/>
        <v>121452899</v>
      </c>
      <c r="G522" s="7" t="s">
        <v>330</v>
      </c>
      <c r="H522" s="24" t="s">
        <v>109</v>
      </c>
      <c r="I522" s="32" t="s">
        <v>152</v>
      </c>
    </row>
    <row r="523" spans="1:9" x14ac:dyDescent="0.35">
      <c r="A523" s="19">
        <v>45737</v>
      </c>
      <c r="B523" s="20"/>
      <c r="C523" s="20"/>
      <c r="D523" s="20">
        <v>100000</v>
      </c>
      <c r="E523" s="99" t="s">
        <v>521</v>
      </c>
      <c r="F523" s="20">
        <f t="shared" si="8"/>
        <v>121552899</v>
      </c>
      <c r="G523" s="7" t="s">
        <v>330</v>
      </c>
      <c r="H523" s="24" t="s">
        <v>109</v>
      </c>
      <c r="I523" s="32" t="s">
        <v>152</v>
      </c>
    </row>
    <row r="524" spans="1:9" x14ac:dyDescent="0.35">
      <c r="A524" s="19">
        <v>45737</v>
      </c>
      <c r="B524" s="20"/>
      <c r="C524" s="20"/>
      <c r="D524" s="20">
        <v>10000</v>
      </c>
      <c r="E524" s="99" t="s">
        <v>521</v>
      </c>
      <c r="F524" s="20">
        <f t="shared" si="8"/>
        <v>121562899</v>
      </c>
      <c r="G524" s="7" t="s">
        <v>330</v>
      </c>
      <c r="H524" s="24" t="s">
        <v>109</v>
      </c>
      <c r="I524" s="32" t="s">
        <v>152</v>
      </c>
    </row>
    <row r="525" spans="1:9" x14ac:dyDescent="0.35">
      <c r="A525" s="19">
        <v>45737</v>
      </c>
      <c r="B525" s="20"/>
      <c r="C525" s="20"/>
      <c r="D525" s="20">
        <v>1000000</v>
      </c>
      <c r="E525" s="99" t="s">
        <v>521</v>
      </c>
      <c r="F525" s="20">
        <f t="shared" si="8"/>
        <v>122562899</v>
      </c>
      <c r="G525" s="7" t="s">
        <v>314</v>
      </c>
      <c r="H525" s="24" t="s">
        <v>109</v>
      </c>
      <c r="I525" s="32" t="s">
        <v>152</v>
      </c>
    </row>
    <row r="526" spans="1:9" x14ac:dyDescent="0.35">
      <c r="A526" s="19">
        <v>45737</v>
      </c>
      <c r="B526" s="20">
        <v>7000</v>
      </c>
      <c r="C526" s="20"/>
      <c r="D526" s="20"/>
      <c r="E526" s="99" t="s">
        <v>521</v>
      </c>
      <c r="F526" s="20">
        <f t="shared" si="8"/>
        <v>122555899</v>
      </c>
      <c r="G526" s="7" t="s">
        <v>423</v>
      </c>
      <c r="H526" s="24" t="s">
        <v>320</v>
      </c>
      <c r="I526" s="32" t="s">
        <v>152</v>
      </c>
    </row>
    <row r="527" spans="1:9" x14ac:dyDescent="0.35">
      <c r="A527" s="19">
        <v>45737</v>
      </c>
      <c r="B527" s="20"/>
      <c r="C527" s="20"/>
      <c r="D527" s="20">
        <v>100000</v>
      </c>
      <c r="E527" s="99" t="s">
        <v>521</v>
      </c>
      <c r="F527" s="20">
        <f t="shared" si="8"/>
        <v>122655899</v>
      </c>
      <c r="G527" s="7" t="s">
        <v>424</v>
      </c>
      <c r="H527" s="24" t="s">
        <v>109</v>
      </c>
      <c r="I527" s="32" t="s">
        <v>152</v>
      </c>
    </row>
    <row r="528" spans="1:9" x14ac:dyDescent="0.35">
      <c r="A528" s="19">
        <v>45740</v>
      </c>
      <c r="B528" s="20"/>
      <c r="C528" s="20"/>
      <c r="D528" s="20">
        <v>50000</v>
      </c>
      <c r="E528" s="99" t="s">
        <v>521</v>
      </c>
      <c r="F528" s="20">
        <f t="shared" si="8"/>
        <v>122705899</v>
      </c>
      <c r="G528" s="7" t="s">
        <v>330</v>
      </c>
      <c r="H528" s="24" t="s">
        <v>109</v>
      </c>
      <c r="I528" s="32" t="s">
        <v>152</v>
      </c>
    </row>
    <row r="529" spans="1:9" x14ac:dyDescent="0.35">
      <c r="A529" s="19">
        <v>45740</v>
      </c>
      <c r="B529" s="20"/>
      <c r="C529" s="20"/>
      <c r="D529" s="20">
        <v>100000</v>
      </c>
      <c r="E529" s="99" t="s">
        <v>521</v>
      </c>
      <c r="F529" s="20">
        <f t="shared" si="8"/>
        <v>122805899</v>
      </c>
      <c r="G529" s="7" t="s">
        <v>330</v>
      </c>
      <c r="H529" s="24" t="s">
        <v>109</v>
      </c>
      <c r="I529" s="32" t="s">
        <v>152</v>
      </c>
    </row>
    <row r="530" spans="1:9" x14ac:dyDescent="0.35">
      <c r="A530" s="19">
        <v>45740</v>
      </c>
      <c r="B530" s="20"/>
      <c r="C530" s="20"/>
      <c r="D530" s="20">
        <v>25000</v>
      </c>
      <c r="E530" s="99" t="s">
        <v>521</v>
      </c>
      <c r="F530" s="20">
        <f t="shared" si="8"/>
        <v>122830899</v>
      </c>
      <c r="G530" s="7" t="s">
        <v>330</v>
      </c>
      <c r="H530" s="24" t="s">
        <v>109</v>
      </c>
      <c r="I530" s="32" t="s">
        <v>152</v>
      </c>
    </row>
    <row r="531" spans="1:9" x14ac:dyDescent="0.35">
      <c r="A531" s="19">
        <v>45740</v>
      </c>
      <c r="B531" s="20"/>
      <c r="C531" s="20"/>
      <c r="D531" s="20">
        <v>100000</v>
      </c>
      <c r="E531" s="99" t="s">
        <v>521</v>
      </c>
      <c r="F531" s="20">
        <f t="shared" si="8"/>
        <v>122930899</v>
      </c>
      <c r="G531" s="7" t="s">
        <v>330</v>
      </c>
      <c r="H531" s="24" t="s">
        <v>109</v>
      </c>
      <c r="I531" s="32" t="s">
        <v>152</v>
      </c>
    </row>
    <row r="532" spans="1:9" x14ac:dyDescent="0.35">
      <c r="A532" s="19">
        <v>45740</v>
      </c>
      <c r="B532" s="20"/>
      <c r="C532" s="20"/>
      <c r="D532" s="20">
        <v>1000010</v>
      </c>
      <c r="E532" s="99" t="s">
        <v>521</v>
      </c>
      <c r="F532" s="20">
        <f t="shared" si="8"/>
        <v>123930909</v>
      </c>
      <c r="G532" s="7" t="s">
        <v>441</v>
      </c>
      <c r="H532" s="59" t="s">
        <v>105</v>
      </c>
      <c r="I532" s="32" t="s">
        <v>152</v>
      </c>
    </row>
    <row r="533" spans="1:9" x14ac:dyDescent="0.35">
      <c r="A533" s="19">
        <v>45740</v>
      </c>
      <c r="B533" s="20"/>
      <c r="C533" s="20"/>
      <c r="D533" s="20">
        <v>25000</v>
      </c>
      <c r="E533" s="99" t="s">
        <v>521</v>
      </c>
      <c r="F533" s="20">
        <f t="shared" si="8"/>
        <v>123955909</v>
      </c>
      <c r="G533" s="7" t="s">
        <v>330</v>
      </c>
      <c r="H533" s="24" t="s">
        <v>109</v>
      </c>
      <c r="I533" s="32" t="s">
        <v>152</v>
      </c>
    </row>
    <row r="534" spans="1:9" x14ac:dyDescent="0.35">
      <c r="A534" s="19">
        <v>45740</v>
      </c>
      <c r="B534" s="20"/>
      <c r="C534" s="20"/>
      <c r="D534" s="20">
        <v>10000</v>
      </c>
      <c r="E534" s="99" t="s">
        <v>521</v>
      </c>
      <c r="F534" s="20">
        <f t="shared" si="8"/>
        <v>123965909</v>
      </c>
      <c r="G534" s="7" t="s">
        <v>330</v>
      </c>
      <c r="H534" s="24" t="s">
        <v>109</v>
      </c>
      <c r="I534" s="32" t="s">
        <v>152</v>
      </c>
    </row>
    <row r="535" spans="1:9" x14ac:dyDescent="0.35">
      <c r="A535" s="19">
        <v>45740</v>
      </c>
      <c r="B535" s="20"/>
      <c r="C535" s="20"/>
      <c r="D535" s="20">
        <v>50000</v>
      </c>
      <c r="E535" s="99" t="s">
        <v>521</v>
      </c>
      <c r="F535" s="20">
        <f t="shared" si="8"/>
        <v>124015909</v>
      </c>
      <c r="G535" s="7" t="s">
        <v>330</v>
      </c>
      <c r="H535" s="24" t="s">
        <v>109</v>
      </c>
      <c r="I535" s="32" t="s">
        <v>152</v>
      </c>
    </row>
    <row r="536" spans="1:9" x14ac:dyDescent="0.35">
      <c r="A536" s="19">
        <v>45740</v>
      </c>
      <c r="B536" s="20"/>
      <c r="C536" s="20"/>
      <c r="D536" s="20">
        <v>10000</v>
      </c>
      <c r="E536" s="99" t="s">
        <v>521</v>
      </c>
      <c r="F536" s="20">
        <f t="shared" si="8"/>
        <v>124025909</v>
      </c>
      <c r="G536" s="7" t="s">
        <v>330</v>
      </c>
      <c r="H536" s="24" t="s">
        <v>109</v>
      </c>
      <c r="I536" s="32" t="s">
        <v>152</v>
      </c>
    </row>
    <row r="537" spans="1:9" x14ac:dyDescent="0.35">
      <c r="A537" s="19">
        <v>45740</v>
      </c>
      <c r="B537" s="20"/>
      <c r="C537" s="20"/>
      <c r="D537" s="20">
        <v>100000</v>
      </c>
      <c r="E537" s="99" t="s">
        <v>521</v>
      </c>
      <c r="F537" s="20">
        <f t="shared" si="8"/>
        <v>124125909</v>
      </c>
      <c r="G537" s="7" t="s">
        <v>330</v>
      </c>
      <c r="H537" s="24" t="s">
        <v>109</v>
      </c>
      <c r="I537" s="32" t="s">
        <v>152</v>
      </c>
    </row>
    <row r="538" spans="1:9" x14ac:dyDescent="0.35">
      <c r="A538" s="19">
        <v>45740</v>
      </c>
      <c r="B538" s="20"/>
      <c r="C538" s="20"/>
      <c r="D538" s="20">
        <v>20000</v>
      </c>
      <c r="E538" s="99" t="s">
        <v>521</v>
      </c>
      <c r="F538" s="20">
        <f t="shared" si="8"/>
        <v>124145909</v>
      </c>
      <c r="G538" s="7" t="s">
        <v>330</v>
      </c>
      <c r="H538" s="24" t="s">
        <v>109</v>
      </c>
      <c r="I538" s="32" t="s">
        <v>152</v>
      </c>
    </row>
    <row r="539" spans="1:9" x14ac:dyDescent="0.35">
      <c r="A539" s="19">
        <v>45740</v>
      </c>
      <c r="B539" s="20"/>
      <c r="C539" s="20"/>
      <c r="D539" s="20">
        <v>48000</v>
      </c>
      <c r="E539" s="99" t="s">
        <v>521</v>
      </c>
      <c r="F539" s="20">
        <f t="shared" si="8"/>
        <v>124193909</v>
      </c>
      <c r="G539" s="7" t="s">
        <v>330</v>
      </c>
      <c r="H539" s="24" t="s">
        <v>109</v>
      </c>
      <c r="I539" s="32" t="s">
        <v>152</v>
      </c>
    </row>
    <row r="540" spans="1:9" x14ac:dyDescent="0.35">
      <c r="A540" s="19">
        <v>45740</v>
      </c>
      <c r="B540" s="20"/>
      <c r="C540" s="20"/>
      <c r="D540" s="20">
        <v>100000</v>
      </c>
      <c r="E540" s="99" t="s">
        <v>521</v>
      </c>
      <c r="F540" s="20">
        <f t="shared" si="8"/>
        <v>124293909</v>
      </c>
      <c r="G540" s="7" t="s">
        <v>330</v>
      </c>
      <c r="H540" s="24" t="s">
        <v>109</v>
      </c>
      <c r="I540" s="32" t="s">
        <v>152</v>
      </c>
    </row>
    <row r="541" spans="1:9" x14ac:dyDescent="0.35">
      <c r="A541" s="19">
        <v>45740</v>
      </c>
      <c r="B541" s="20"/>
      <c r="C541" s="20"/>
      <c r="D541" s="20">
        <v>300000</v>
      </c>
      <c r="E541" s="99" t="s">
        <v>521</v>
      </c>
      <c r="F541" s="20">
        <f t="shared" si="8"/>
        <v>124593909</v>
      </c>
      <c r="G541" s="7" t="s">
        <v>330</v>
      </c>
      <c r="H541" s="24" t="s">
        <v>109</v>
      </c>
      <c r="I541" s="32" t="s">
        <v>152</v>
      </c>
    </row>
    <row r="542" spans="1:9" x14ac:dyDescent="0.35">
      <c r="A542" s="19">
        <v>45740</v>
      </c>
      <c r="B542" s="20"/>
      <c r="C542" s="20"/>
      <c r="D542" s="20">
        <v>20000</v>
      </c>
      <c r="E542" s="99" t="s">
        <v>521</v>
      </c>
      <c r="F542" s="20">
        <f t="shared" si="8"/>
        <v>124613909</v>
      </c>
      <c r="G542" s="7" t="s">
        <v>330</v>
      </c>
      <c r="H542" s="24" t="s">
        <v>109</v>
      </c>
      <c r="I542" s="32" t="s">
        <v>152</v>
      </c>
    </row>
    <row r="543" spans="1:9" x14ac:dyDescent="0.35">
      <c r="A543" s="19">
        <v>45740</v>
      </c>
      <c r="B543" s="20"/>
      <c r="C543" s="20"/>
      <c r="D543" s="20">
        <v>1474</v>
      </c>
      <c r="E543" s="99" t="s">
        <v>521</v>
      </c>
      <c r="F543" s="20">
        <f t="shared" si="8"/>
        <v>124615383</v>
      </c>
      <c r="G543" s="7" t="s">
        <v>330</v>
      </c>
      <c r="H543" s="24" t="s">
        <v>109</v>
      </c>
      <c r="I543" s="32" t="s">
        <v>152</v>
      </c>
    </row>
    <row r="544" spans="1:9" x14ac:dyDescent="0.35">
      <c r="A544" s="19">
        <v>45740</v>
      </c>
      <c r="B544" s="20"/>
      <c r="C544" s="20"/>
      <c r="D544" s="20">
        <v>5000</v>
      </c>
      <c r="E544" s="99" t="s">
        <v>521</v>
      </c>
      <c r="F544" s="20">
        <f t="shared" si="8"/>
        <v>124620383</v>
      </c>
      <c r="G544" s="7" t="s">
        <v>330</v>
      </c>
      <c r="H544" s="24" t="s">
        <v>109</v>
      </c>
      <c r="I544" s="32" t="s">
        <v>152</v>
      </c>
    </row>
    <row r="545" spans="1:9" x14ac:dyDescent="0.35">
      <c r="A545" s="19">
        <v>45740</v>
      </c>
      <c r="B545" s="20"/>
      <c r="C545" s="20"/>
      <c r="D545" s="20">
        <v>20000</v>
      </c>
      <c r="E545" s="99" t="s">
        <v>521</v>
      </c>
      <c r="F545" s="20">
        <f t="shared" si="8"/>
        <v>124640383</v>
      </c>
      <c r="G545" s="7" t="s">
        <v>330</v>
      </c>
      <c r="H545" s="24" t="s">
        <v>109</v>
      </c>
      <c r="I545" s="32" t="s">
        <v>152</v>
      </c>
    </row>
    <row r="546" spans="1:9" x14ac:dyDescent="0.35">
      <c r="A546" s="19">
        <v>45740</v>
      </c>
      <c r="B546" s="20"/>
      <c r="C546" s="20"/>
      <c r="D546" s="20">
        <v>2000000</v>
      </c>
      <c r="E546" s="99" t="s">
        <v>521</v>
      </c>
      <c r="F546" s="20">
        <f t="shared" si="8"/>
        <v>126640383</v>
      </c>
      <c r="G546" s="7" t="s">
        <v>425</v>
      </c>
      <c r="H546" s="24" t="s">
        <v>109</v>
      </c>
      <c r="I546" s="32" t="s">
        <v>152</v>
      </c>
    </row>
    <row r="547" spans="1:9" x14ac:dyDescent="0.35">
      <c r="A547" s="19">
        <v>45740</v>
      </c>
      <c r="B547" s="20"/>
      <c r="C547" s="20"/>
      <c r="D547" s="20">
        <v>1500000</v>
      </c>
      <c r="E547" s="99" t="s">
        <v>521</v>
      </c>
      <c r="F547" s="20">
        <f t="shared" si="8"/>
        <v>128140383</v>
      </c>
      <c r="G547" s="7" t="s">
        <v>440</v>
      </c>
      <c r="H547" s="59" t="s">
        <v>105</v>
      </c>
      <c r="I547" s="32" t="s">
        <v>152</v>
      </c>
    </row>
    <row r="548" spans="1:9" x14ac:dyDescent="0.35">
      <c r="A548" s="19">
        <v>45740</v>
      </c>
      <c r="B548" s="20"/>
      <c r="C548" s="20"/>
      <c r="D548" s="20">
        <v>25000</v>
      </c>
      <c r="E548" s="99" t="s">
        <v>521</v>
      </c>
      <c r="F548" s="20">
        <f t="shared" si="8"/>
        <v>128165383</v>
      </c>
      <c r="G548" s="7" t="s">
        <v>408</v>
      </c>
      <c r="H548" s="24" t="s">
        <v>109</v>
      </c>
      <c r="I548" s="32" t="s">
        <v>152</v>
      </c>
    </row>
    <row r="549" spans="1:9" x14ac:dyDescent="0.35">
      <c r="A549" s="19">
        <v>45740</v>
      </c>
      <c r="B549" s="20"/>
      <c r="C549" s="20"/>
      <c r="D549" s="20">
        <v>50000</v>
      </c>
      <c r="E549" s="99" t="s">
        <v>521</v>
      </c>
      <c r="F549" s="20">
        <f t="shared" si="8"/>
        <v>128215383</v>
      </c>
      <c r="G549" s="7" t="s">
        <v>330</v>
      </c>
      <c r="H549" s="24" t="s">
        <v>109</v>
      </c>
      <c r="I549" s="32" t="s">
        <v>152</v>
      </c>
    </row>
    <row r="550" spans="1:9" x14ac:dyDescent="0.35">
      <c r="A550" s="19">
        <v>45740</v>
      </c>
      <c r="B550" s="20"/>
      <c r="C550" s="20"/>
      <c r="D550" s="20">
        <v>100000</v>
      </c>
      <c r="E550" s="99" t="s">
        <v>521</v>
      </c>
      <c r="F550" s="20">
        <f t="shared" si="8"/>
        <v>128315383</v>
      </c>
      <c r="G550" s="7" t="s">
        <v>330</v>
      </c>
      <c r="H550" s="24" t="s">
        <v>109</v>
      </c>
      <c r="I550" s="32" t="s">
        <v>152</v>
      </c>
    </row>
    <row r="551" spans="1:9" x14ac:dyDescent="0.35">
      <c r="A551" s="19">
        <v>45740</v>
      </c>
      <c r="B551" s="20"/>
      <c r="C551" s="20"/>
      <c r="D551" s="20">
        <v>100000</v>
      </c>
      <c r="E551" s="99" t="s">
        <v>521</v>
      </c>
      <c r="F551" s="20">
        <f t="shared" si="8"/>
        <v>128415383</v>
      </c>
      <c r="G551" s="7" t="s">
        <v>330</v>
      </c>
      <c r="H551" s="24" t="s">
        <v>109</v>
      </c>
      <c r="I551" s="32" t="s">
        <v>152</v>
      </c>
    </row>
    <row r="552" spans="1:9" x14ac:dyDescent="0.35">
      <c r="A552" s="19">
        <v>45740</v>
      </c>
      <c r="B552" s="20"/>
      <c r="C552" s="20"/>
      <c r="D552" s="20">
        <v>100000</v>
      </c>
      <c r="E552" s="99" t="s">
        <v>521</v>
      </c>
      <c r="F552" s="20">
        <f t="shared" si="8"/>
        <v>128515383</v>
      </c>
      <c r="G552" s="7" t="s">
        <v>330</v>
      </c>
      <c r="H552" s="24" t="s">
        <v>109</v>
      </c>
      <c r="I552" s="32" t="s">
        <v>152</v>
      </c>
    </row>
    <row r="553" spans="1:9" x14ac:dyDescent="0.35">
      <c r="A553" s="19">
        <v>45740</v>
      </c>
      <c r="B553" s="20"/>
      <c r="C553" s="20"/>
      <c r="D553" s="20">
        <v>10000</v>
      </c>
      <c r="E553" s="99" t="s">
        <v>521</v>
      </c>
      <c r="F553" s="20">
        <f t="shared" si="8"/>
        <v>128525383</v>
      </c>
      <c r="G553" s="7" t="s">
        <v>330</v>
      </c>
      <c r="H553" s="24" t="s">
        <v>109</v>
      </c>
      <c r="I553" s="32" t="s">
        <v>152</v>
      </c>
    </row>
    <row r="554" spans="1:9" x14ac:dyDescent="0.35">
      <c r="A554" s="19">
        <v>45740</v>
      </c>
      <c r="B554" s="20"/>
      <c r="C554" s="20"/>
      <c r="D554" s="20">
        <v>10000</v>
      </c>
      <c r="E554" s="99" t="s">
        <v>521</v>
      </c>
      <c r="F554" s="20">
        <f t="shared" si="8"/>
        <v>128535383</v>
      </c>
      <c r="G554" s="7" t="s">
        <v>330</v>
      </c>
      <c r="H554" s="24" t="s">
        <v>109</v>
      </c>
      <c r="I554" s="32" t="s">
        <v>152</v>
      </c>
    </row>
    <row r="555" spans="1:9" x14ac:dyDescent="0.35">
      <c r="A555" s="19">
        <v>45740</v>
      </c>
      <c r="B555" s="20"/>
      <c r="C555" s="20"/>
      <c r="D555" s="20">
        <v>10000</v>
      </c>
      <c r="E555" s="99" t="s">
        <v>521</v>
      </c>
      <c r="F555" s="20">
        <f t="shared" si="8"/>
        <v>128545383</v>
      </c>
      <c r="G555" s="7" t="s">
        <v>330</v>
      </c>
      <c r="H555" s="24" t="s">
        <v>109</v>
      </c>
      <c r="I555" s="32" t="s">
        <v>152</v>
      </c>
    </row>
    <row r="556" spans="1:9" x14ac:dyDescent="0.35">
      <c r="A556" s="19">
        <v>45740</v>
      </c>
      <c r="B556" s="20"/>
      <c r="C556" s="20"/>
      <c r="D556" s="20">
        <v>25000</v>
      </c>
      <c r="E556" s="99" t="s">
        <v>521</v>
      </c>
      <c r="F556" s="20">
        <f t="shared" si="8"/>
        <v>128570383</v>
      </c>
      <c r="G556" s="7" t="s">
        <v>330</v>
      </c>
      <c r="H556" s="24" t="s">
        <v>109</v>
      </c>
      <c r="I556" s="32" t="s">
        <v>152</v>
      </c>
    </row>
    <row r="557" spans="1:9" x14ac:dyDescent="0.35">
      <c r="A557" s="19">
        <v>45740</v>
      </c>
      <c r="B557" s="20"/>
      <c r="C557" s="20"/>
      <c r="D557" s="20">
        <v>100000</v>
      </c>
      <c r="E557" s="99" t="s">
        <v>521</v>
      </c>
      <c r="F557" s="20">
        <f t="shared" si="8"/>
        <v>128670383</v>
      </c>
      <c r="G557" s="7" t="s">
        <v>330</v>
      </c>
      <c r="H557" s="24" t="s">
        <v>109</v>
      </c>
      <c r="I557" s="32" t="s">
        <v>152</v>
      </c>
    </row>
    <row r="558" spans="1:9" x14ac:dyDescent="0.35">
      <c r="A558" s="19">
        <v>45740</v>
      </c>
      <c r="B558" s="20"/>
      <c r="C558" s="20"/>
      <c r="D558" s="20">
        <v>25000</v>
      </c>
      <c r="E558" s="99" t="s">
        <v>521</v>
      </c>
      <c r="F558" s="20">
        <f t="shared" si="8"/>
        <v>128695383</v>
      </c>
      <c r="G558" s="7" t="s">
        <v>330</v>
      </c>
      <c r="H558" s="24" t="s">
        <v>109</v>
      </c>
      <c r="I558" s="32" t="s">
        <v>152</v>
      </c>
    </row>
    <row r="559" spans="1:9" x14ac:dyDescent="0.35">
      <c r="A559" s="19">
        <v>45740</v>
      </c>
      <c r="B559" s="20"/>
      <c r="C559" s="20"/>
      <c r="D559" s="20">
        <v>50000</v>
      </c>
      <c r="E559" s="99" t="s">
        <v>521</v>
      </c>
      <c r="F559" s="20">
        <f t="shared" si="8"/>
        <v>128745383</v>
      </c>
      <c r="G559" s="7" t="s">
        <v>330</v>
      </c>
      <c r="H559" s="24" t="s">
        <v>109</v>
      </c>
      <c r="I559" s="32" t="s">
        <v>152</v>
      </c>
    </row>
    <row r="560" spans="1:9" x14ac:dyDescent="0.35">
      <c r="A560" s="19">
        <v>45740</v>
      </c>
      <c r="B560" s="20"/>
      <c r="C560" s="20"/>
      <c r="D560" s="20">
        <v>20000</v>
      </c>
      <c r="E560" s="99" t="s">
        <v>521</v>
      </c>
      <c r="F560" s="20">
        <f t="shared" si="8"/>
        <v>128765383</v>
      </c>
      <c r="G560" s="7" t="s">
        <v>330</v>
      </c>
      <c r="H560" s="24" t="s">
        <v>109</v>
      </c>
      <c r="I560" s="32" t="s">
        <v>152</v>
      </c>
    </row>
    <row r="561" spans="1:9" x14ac:dyDescent="0.35">
      <c r="A561" s="19">
        <v>45740</v>
      </c>
      <c r="B561" s="20"/>
      <c r="C561" s="20"/>
      <c r="D561" s="20">
        <v>1000000</v>
      </c>
      <c r="E561" s="99" t="s">
        <v>521</v>
      </c>
      <c r="F561" s="20">
        <f t="shared" si="8"/>
        <v>129765383</v>
      </c>
      <c r="G561" s="7" t="s">
        <v>426</v>
      </c>
      <c r="H561" s="24" t="s">
        <v>109</v>
      </c>
      <c r="I561" s="32" t="s">
        <v>152</v>
      </c>
    </row>
    <row r="562" spans="1:9" x14ac:dyDescent="0.35">
      <c r="A562" s="19">
        <v>45740</v>
      </c>
      <c r="B562" s="20"/>
      <c r="C562" s="20"/>
      <c r="D562" s="20">
        <v>4000000</v>
      </c>
      <c r="E562" s="99" t="s">
        <v>521</v>
      </c>
      <c r="F562" s="20">
        <f t="shared" si="8"/>
        <v>133765383</v>
      </c>
      <c r="G562" s="7" t="s">
        <v>427</v>
      </c>
      <c r="H562" s="59" t="s">
        <v>105</v>
      </c>
      <c r="I562" s="32" t="s">
        <v>152</v>
      </c>
    </row>
    <row r="563" spans="1:9" x14ac:dyDescent="0.35">
      <c r="A563" s="19">
        <v>45740</v>
      </c>
      <c r="B563" s="20"/>
      <c r="C563" s="20"/>
      <c r="D563" s="20">
        <v>300000</v>
      </c>
      <c r="E563" s="99" t="s">
        <v>521</v>
      </c>
      <c r="F563" s="20">
        <f t="shared" si="8"/>
        <v>134065383</v>
      </c>
      <c r="G563" s="7" t="s">
        <v>428</v>
      </c>
      <c r="H563" s="24" t="s">
        <v>109</v>
      </c>
      <c r="I563" s="32" t="s">
        <v>152</v>
      </c>
    </row>
    <row r="564" spans="1:9" x14ac:dyDescent="0.35">
      <c r="A564" s="19">
        <v>45740</v>
      </c>
      <c r="B564" s="20"/>
      <c r="C564" s="20"/>
      <c r="D564" s="20">
        <v>5000000</v>
      </c>
      <c r="E564" s="99" t="s">
        <v>521</v>
      </c>
      <c r="F564" s="20">
        <f t="shared" si="8"/>
        <v>139065383</v>
      </c>
      <c r="G564" s="7" t="s">
        <v>429</v>
      </c>
      <c r="H564" s="59" t="s">
        <v>105</v>
      </c>
      <c r="I564" s="32" t="s">
        <v>152</v>
      </c>
    </row>
    <row r="565" spans="1:9" x14ac:dyDescent="0.35">
      <c r="A565" s="19">
        <v>45740</v>
      </c>
      <c r="B565" s="20"/>
      <c r="C565" s="20"/>
      <c r="D565" s="20">
        <v>20000</v>
      </c>
      <c r="E565" s="99" t="s">
        <v>521</v>
      </c>
      <c r="F565" s="20">
        <f t="shared" si="8"/>
        <v>139085383</v>
      </c>
      <c r="G565" s="7" t="s">
        <v>330</v>
      </c>
      <c r="H565" s="24" t="s">
        <v>109</v>
      </c>
      <c r="I565" s="32" t="s">
        <v>152</v>
      </c>
    </row>
    <row r="566" spans="1:9" x14ac:dyDescent="0.35">
      <c r="A566" s="19">
        <v>45740</v>
      </c>
      <c r="B566" s="20"/>
      <c r="C566" s="20"/>
      <c r="D566" s="20">
        <v>50000</v>
      </c>
      <c r="E566" s="99" t="s">
        <v>521</v>
      </c>
      <c r="F566" s="20">
        <f t="shared" si="8"/>
        <v>139135383</v>
      </c>
      <c r="G566" s="7" t="s">
        <v>330</v>
      </c>
      <c r="H566" s="24" t="s">
        <v>109</v>
      </c>
      <c r="I566" s="32" t="s">
        <v>152</v>
      </c>
    </row>
    <row r="567" spans="1:9" x14ac:dyDescent="0.35">
      <c r="A567" s="19">
        <v>45740</v>
      </c>
      <c r="B567" s="20"/>
      <c r="C567" s="20"/>
      <c r="D567" s="20">
        <v>25000</v>
      </c>
      <c r="E567" s="99" t="s">
        <v>521</v>
      </c>
      <c r="F567" s="20">
        <f t="shared" si="8"/>
        <v>139160383</v>
      </c>
      <c r="G567" s="7" t="s">
        <v>330</v>
      </c>
      <c r="H567" s="24" t="s">
        <v>109</v>
      </c>
      <c r="I567" s="32" t="s">
        <v>152</v>
      </c>
    </row>
    <row r="568" spans="1:9" x14ac:dyDescent="0.35">
      <c r="A568" s="19">
        <v>45740</v>
      </c>
      <c r="B568" s="20"/>
      <c r="C568" s="20"/>
      <c r="D568" s="20">
        <v>100000</v>
      </c>
      <c r="E568" s="99" t="s">
        <v>521</v>
      </c>
      <c r="F568" s="20">
        <f t="shared" si="8"/>
        <v>139260383</v>
      </c>
      <c r="G568" s="7" t="s">
        <v>330</v>
      </c>
      <c r="H568" s="24" t="s">
        <v>109</v>
      </c>
      <c r="I568" s="32" t="s">
        <v>152</v>
      </c>
    </row>
    <row r="569" spans="1:9" x14ac:dyDescent="0.35">
      <c r="A569" s="19">
        <v>45740</v>
      </c>
      <c r="B569" s="20"/>
      <c r="C569" s="20"/>
      <c r="D569" s="20">
        <v>5000</v>
      </c>
      <c r="E569" s="99" t="s">
        <v>521</v>
      </c>
      <c r="F569" s="20">
        <f t="shared" si="8"/>
        <v>139265383</v>
      </c>
      <c r="G569" s="7" t="s">
        <v>330</v>
      </c>
      <c r="H569" s="24" t="s">
        <v>109</v>
      </c>
      <c r="I569" s="32" t="s">
        <v>152</v>
      </c>
    </row>
    <row r="570" spans="1:9" x14ac:dyDescent="0.35">
      <c r="A570" s="19">
        <v>45740</v>
      </c>
      <c r="B570" s="20"/>
      <c r="C570" s="20"/>
      <c r="D570" s="20">
        <v>1000000</v>
      </c>
      <c r="E570" s="99" t="s">
        <v>521</v>
      </c>
      <c r="F570" s="20">
        <f t="shared" si="8"/>
        <v>140265383</v>
      </c>
      <c r="G570" s="7" t="s">
        <v>430</v>
      </c>
      <c r="H570" s="24" t="s">
        <v>109</v>
      </c>
      <c r="I570" s="32" t="s">
        <v>152</v>
      </c>
    </row>
    <row r="571" spans="1:9" x14ac:dyDescent="0.35">
      <c r="A571" s="19">
        <v>45740</v>
      </c>
      <c r="B571" s="20"/>
      <c r="C571" s="20"/>
      <c r="D571" s="20">
        <v>100000</v>
      </c>
      <c r="E571" s="99" t="s">
        <v>521</v>
      </c>
      <c r="F571" s="20">
        <f t="shared" si="8"/>
        <v>140365383</v>
      </c>
      <c r="G571" s="7" t="s">
        <v>330</v>
      </c>
      <c r="H571" s="24" t="s">
        <v>109</v>
      </c>
      <c r="I571" s="32" t="s">
        <v>152</v>
      </c>
    </row>
    <row r="572" spans="1:9" x14ac:dyDescent="0.35">
      <c r="A572" s="19">
        <v>45740</v>
      </c>
      <c r="B572" s="20"/>
      <c r="C572" s="20"/>
      <c r="D572" s="20">
        <v>9000</v>
      </c>
      <c r="E572" s="99" t="s">
        <v>521</v>
      </c>
      <c r="F572" s="20">
        <f t="shared" si="8"/>
        <v>140374383</v>
      </c>
      <c r="G572" s="7" t="s">
        <v>330</v>
      </c>
      <c r="H572" s="24" t="s">
        <v>109</v>
      </c>
      <c r="I572" s="32" t="s">
        <v>152</v>
      </c>
    </row>
    <row r="573" spans="1:9" x14ac:dyDescent="0.35">
      <c r="A573" s="19">
        <v>45740</v>
      </c>
      <c r="B573" s="20"/>
      <c r="C573" s="20"/>
      <c r="D573" s="20">
        <v>10000</v>
      </c>
      <c r="E573" s="99" t="s">
        <v>521</v>
      </c>
      <c r="F573" s="20">
        <f t="shared" si="8"/>
        <v>140384383</v>
      </c>
      <c r="G573" s="7" t="s">
        <v>330</v>
      </c>
      <c r="H573" s="24" t="s">
        <v>109</v>
      </c>
      <c r="I573" s="32" t="s">
        <v>152</v>
      </c>
    </row>
    <row r="574" spans="1:9" x14ac:dyDescent="0.35">
      <c r="A574" s="19">
        <v>45740</v>
      </c>
      <c r="B574" s="20"/>
      <c r="C574" s="20"/>
      <c r="D574" s="20">
        <v>50000</v>
      </c>
      <c r="E574" s="99" t="s">
        <v>521</v>
      </c>
      <c r="F574" s="20">
        <f t="shared" si="8"/>
        <v>140434383</v>
      </c>
      <c r="G574" s="7" t="s">
        <v>330</v>
      </c>
      <c r="H574" s="24" t="s">
        <v>109</v>
      </c>
      <c r="I574" s="32" t="s">
        <v>152</v>
      </c>
    </row>
    <row r="575" spans="1:9" x14ac:dyDescent="0.35">
      <c r="A575" s="19">
        <v>45740</v>
      </c>
      <c r="B575" s="20"/>
      <c r="C575" s="20"/>
      <c r="D575" s="20">
        <v>10000</v>
      </c>
      <c r="E575" s="99" t="s">
        <v>521</v>
      </c>
      <c r="F575" s="20">
        <f t="shared" si="8"/>
        <v>140444383</v>
      </c>
      <c r="G575" s="7" t="s">
        <v>330</v>
      </c>
      <c r="H575" s="24" t="s">
        <v>109</v>
      </c>
      <c r="I575" s="32" t="s">
        <v>152</v>
      </c>
    </row>
    <row r="576" spans="1:9" x14ac:dyDescent="0.35">
      <c r="A576" s="19">
        <v>45740</v>
      </c>
      <c r="B576" s="20"/>
      <c r="C576" s="20"/>
      <c r="D576" s="20">
        <v>25000</v>
      </c>
      <c r="E576" s="99" t="s">
        <v>521</v>
      </c>
      <c r="F576" s="20">
        <f t="shared" si="8"/>
        <v>140469383</v>
      </c>
      <c r="G576" s="7" t="s">
        <v>330</v>
      </c>
      <c r="H576" s="24" t="s">
        <v>109</v>
      </c>
      <c r="I576" s="32" t="s">
        <v>152</v>
      </c>
    </row>
    <row r="577" spans="1:9" x14ac:dyDescent="0.35">
      <c r="A577" s="19">
        <v>45740</v>
      </c>
      <c r="B577" s="20"/>
      <c r="C577" s="20"/>
      <c r="D577" s="20">
        <v>25000</v>
      </c>
      <c r="E577" s="99" t="s">
        <v>521</v>
      </c>
      <c r="F577" s="20">
        <f t="shared" si="8"/>
        <v>140494383</v>
      </c>
      <c r="G577" s="7" t="s">
        <v>330</v>
      </c>
      <c r="H577" s="24" t="s">
        <v>109</v>
      </c>
      <c r="I577" s="32" t="s">
        <v>152</v>
      </c>
    </row>
    <row r="578" spans="1:9" x14ac:dyDescent="0.35">
      <c r="A578" s="19">
        <v>45740</v>
      </c>
      <c r="B578" s="20"/>
      <c r="C578" s="20"/>
      <c r="D578" s="20">
        <v>5000</v>
      </c>
      <c r="E578" s="99" t="s">
        <v>521</v>
      </c>
      <c r="F578" s="20">
        <f t="shared" si="8"/>
        <v>140499383</v>
      </c>
      <c r="G578" s="7" t="s">
        <v>330</v>
      </c>
      <c r="H578" s="24" t="s">
        <v>109</v>
      </c>
      <c r="I578" s="32" t="s">
        <v>152</v>
      </c>
    </row>
    <row r="579" spans="1:9" x14ac:dyDescent="0.35">
      <c r="A579" s="19">
        <v>45740</v>
      </c>
      <c r="B579" s="20"/>
      <c r="C579" s="20"/>
      <c r="D579" s="20">
        <v>20000</v>
      </c>
      <c r="E579" s="99" t="s">
        <v>521</v>
      </c>
      <c r="F579" s="20">
        <f t="shared" si="8"/>
        <v>140519383</v>
      </c>
      <c r="G579" s="7" t="s">
        <v>330</v>
      </c>
      <c r="H579" s="24" t="s">
        <v>109</v>
      </c>
      <c r="I579" s="32" t="s">
        <v>152</v>
      </c>
    </row>
    <row r="580" spans="1:9" x14ac:dyDescent="0.35">
      <c r="A580" s="19">
        <v>45740</v>
      </c>
      <c r="B580" s="20"/>
      <c r="C580" s="20"/>
      <c r="D580" s="20">
        <v>10000</v>
      </c>
      <c r="E580" s="99" t="s">
        <v>521</v>
      </c>
      <c r="F580" s="20">
        <f t="shared" si="8"/>
        <v>140529383</v>
      </c>
      <c r="G580" s="7" t="s">
        <v>330</v>
      </c>
      <c r="H580" s="24" t="s">
        <v>109</v>
      </c>
      <c r="I580" s="32" t="s">
        <v>152</v>
      </c>
    </row>
    <row r="581" spans="1:9" x14ac:dyDescent="0.35">
      <c r="A581" s="19">
        <v>45740</v>
      </c>
      <c r="B581" s="20"/>
      <c r="C581" s="20"/>
      <c r="D581" s="20">
        <v>5252</v>
      </c>
      <c r="E581" s="99" t="s">
        <v>521</v>
      </c>
      <c r="F581" s="20">
        <f t="shared" ref="F581:F644" si="9">+F580+D581-B581</f>
        <v>140534635</v>
      </c>
      <c r="G581" s="7" t="s">
        <v>330</v>
      </c>
      <c r="H581" s="24" t="s">
        <v>109</v>
      </c>
      <c r="I581" s="32" t="s">
        <v>152</v>
      </c>
    </row>
    <row r="582" spans="1:9" x14ac:dyDescent="0.35">
      <c r="A582" s="19">
        <v>45740</v>
      </c>
      <c r="B582" s="20"/>
      <c r="C582" s="20"/>
      <c r="D582" s="20">
        <v>401</v>
      </c>
      <c r="E582" s="99" t="s">
        <v>521</v>
      </c>
      <c r="F582" s="20">
        <f t="shared" si="9"/>
        <v>140535036</v>
      </c>
      <c r="G582" s="7" t="s">
        <v>330</v>
      </c>
      <c r="H582" s="24" t="s">
        <v>109</v>
      </c>
      <c r="I582" s="32" t="s">
        <v>152</v>
      </c>
    </row>
    <row r="583" spans="1:9" x14ac:dyDescent="0.35">
      <c r="A583" s="19">
        <v>45740</v>
      </c>
      <c r="B583" s="20"/>
      <c r="C583" s="20"/>
      <c r="D583" s="20">
        <v>50000</v>
      </c>
      <c r="E583" s="99" t="s">
        <v>521</v>
      </c>
      <c r="F583" s="20">
        <f t="shared" si="9"/>
        <v>140585036</v>
      </c>
      <c r="G583" s="7" t="s">
        <v>330</v>
      </c>
      <c r="H583" s="24" t="s">
        <v>109</v>
      </c>
      <c r="I583" s="32" t="s">
        <v>152</v>
      </c>
    </row>
    <row r="584" spans="1:9" x14ac:dyDescent="0.35">
      <c r="A584" s="19">
        <v>45740</v>
      </c>
      <c r="B584" s="20"/>
      <c r="C584" s="20"/>
      <c r="D584" s="20">
        <v>1000000</v>
      </c>
      <c r="E584" s="99" t="s">
        <v>521</v>
      </c>
      <c r="F584" s="20">
        <f t="shared" si="9"/>
        <v>141585036</v>
      </c>
      <c r="G584" s="7" t="s">
        <v>449</v>
      </c>
      <c r="H584" s="59" t="s">
        <v>105</v>
      </c>
      <c r="I584" s="32" t="s">
        <v>152</v>
      </c>
    </row>
    <row r="585" spans="1:9" x14ac:dyDescent="0.35">
      <c r="A585" s="19">
        <v>45741</v>
      </c>
      <c r="B585" s="20"/>
      <c r="C585" s="20"/>
      <c r="D585" s="20">
        <v>50000</v>
      </c>
      <c r="E585" s="99" t="s">
        <v>521</v>
      </c>
      <c r="F585" s="20">
        <f t="shared" si="9"/>
        <v>141635036</v>
      </c>
      <c r="G585" s="7" t="s">
        <v>330</v>
      </c>
      <c r="H585" s="24" t="s">
        <v>109</v>
      </c>
      <c r="I585" s="32" t="s">
        <v>152</v>
      </c>
    </row>
    <row r="586" spans="1:9" x14ac:dyDescent="0.35">
      <c r="A586" s="19">
        <v>45741</v>
      </c>
      <c r="B586" s="20"/>
      <c r="C586" s="20"/>
      <c r="D586" s="20">
        <v>100000</v>
      </c>
      <c r="E586" s="99" t="s">
        <v>521</v>
      </c>
      <c r="F586" s="20">
        <f t="shared" si="9"/>
        <v>141735036</v>
      </c>
      <c r="G586" s="7" t="s">
        <v>330</v>
      </c>
      <c r="H586" s="24" t="s">
        <v>109</v>
      </c>
      <c r="I586" s="32" t="s">
        <v>152</v>
      </c>
    </row>
    <row r="587" spans="1:9" x14ac:dyDescent="0.35">
      <c r="A587" s="19">
        <v>45741</v>
      </c>
      <c r="B587" s="20"/>
      <c r="C587" s="20"/>
      <c r="D587" s="20">
        <v>100000</v>
      </c>
      <c r="E587" s="99" t="s">
        <v>521</v>
      </c>
      <c r="F587" s="20">
        <f t="shared" si="9"/>
        <v>141835036</v>
      </c>
      <c r="G587" s="7" t="s">
        <v>330</v>
      </c>
      <c r="H587" s="24" t="s">
        <v>109</v>
      </c>
      <c r="I587" s="32" t="s">
        <v>152</v>
      </c>
    </row>
    <row r="588" spans="1:9" x14ac:dyDescent="0.35">
      <c r="A588" s="19">
        <v>45741</v>
      </c>
      <c r="B588" s="20"/>
      <c r="C588" s="20"/>
      <c r="D588" s="20">
        <v>25000</v>
      </c>
      <c r="E588" s="99" t="s">
        <v>521</v>
      </c>
      <c r="F588" s="20">
        <f t="shared" si="9"/>
        <v>141860036</v>
      </c>
      <c r="G588" s="7" t="s">
        <v>330</v>
      </c>
      <c r="H588" s="24" t="s">
        <v>109</v>
      </c>
      <c r="I588" s="32" t="s">
        <v>152</v>
      </c>
    </row>
    <row r="589" spans="1:9" x14ac:dyDescent="0.35">
      <c r="A589" s="19">
        <v>45741</v>
      </c>
      <c r="B589" s="20"/>
      <c r="C589" s="20"/>
      <c r="D589" s="20">
        <v>10000</v>
      </c>
      <c r="E589" s="99" t="s">
        <v>521</v>
      </c>
      <c r="F589" s="20">
        <f t="shared" si="9"/>
        <v>141870036</v>
      </c>
      <c r="G589" s="7" t="s">
        <v>330</v>
      </c>
      <c r="H589" s="24" t="s">
        <v>109</v>
      </c>
      <c r="I589" s="32" t="s">
        <v>152</v>
      </c>
    </row>
    <row r="590" spans="1:9" x14ac:dyDescent="0.35">
      <c r="A590" s="19">
        <v>45741</v>
      </c>
      <c r="B590" s="20"/>
      <c r="C590" s="20"/>
      <c r="D590" s="20">
        <v>10000</v>
      </c>
      <c r="E590" s="99" t="s">
        <v>521</v>
      </c>
      <c r="F590" s="20">
        <f t="shared" si="9"/>
        <v>141880036</v>
      </c>
      <c r="G590" s="7" t="s">
        <v>330</v>
      </c>
      <c r="H590" s="24" t="s">
        <v>109</v>
      </c>
      <c r="I590" s="32" t="s">
        <v>152</v>
      </c>
    </row>
    <row r="591" spans="1:9" x14ac:dyDescent="0.35">
      <c r="A591" s="19">
        <v>45741</v>
      </c>
      <c r="B591" s="20"/>
      <c r="C591" s="20"/>
      <c r="D591" s="20">
        <v>100000</v>
      </c>
      <c r="E591" s="99" t="s">
        <v>521</v>
      </c>
      <c r="F591" s="20">
        <f t="shared" si="9"/>
        <v>141980036</v>
      </c>
      <c r="G591" s="7" t="s">
        <v>330</v>
      </c>
      <c r="H591" s="24" t="s">
        <v>109</v>
      </c>
      <c r="I591" s="32" t="s">
        <v>152</v>
      </c>
    </row>
    <row r="592" spans="1:9" x14ac:dyDescent="0.35">
      <c r="A592" s="19">
        <v>45741</v>
      </c>
      <c r="B592" s="20"/>
      <c r="C592" s="20"/>
      <c r="D592" s="20">
        <v>10000</v>
      </c>
      <c r="E592" s="99" t="s">
        <v>521</v>
      </c>
      <c r="F592" s="20">
        <f t="shared" si="9"/>
        <v>141990036</v>
      </c>
      <c r="G592" s="7" t="s">
        <v>330</v>
      </c>
      <c r="H592" s="24" t="s">
        <v>109</v>
      </c>
      <c r="I592" s="32" t="s">
        <v>152</v>
      </c>
    </row>
    <row r="593" spans="1:9" x14ac:dyDescent="0.35">
      <c r="A593" s="19">
        <v>45741</v>
      </c>
      <c r="B593" s="20"/>
      <c r="C593" s="20"/>
      <c r="D593" s="20">
        <v>20000</v>
      </c>
      <c r="E593" s="99" t="s">
        <v>521</v>
      </c>
      <c r="F593" s="20">
        <f t="shared" si="9"/>
        <v>142010036</v>
      </c>
      <c r="G593" s="7" t="s">
        <v>330</v>
      </c>
      <c r="H593" s="24" t="s">
        <v>109</v>
      </c>
      <c r="I593" s="32" t="s">
        <v>152</v>
      </c>
    </row>
    <row r="594" spans="1:9" x14ac:dyDescent="0.35">
      <c r="A594" s="19">
        <v>45741</v>
      </c>
      <c r="B594" s="20"/>
      <c r="C594" s="20"/>
      <c r="D594" s="20">
        <v>25000</v>
      </c>
      <c r="E594" s="99" t="s">
        <v>521</v>
      </c>
      <c r="F594" s="20">
        <f t="shared" si="9"/>
        <v>142035036</v>
      </c>
      <c r="G594" s="7" t="s">
        <v>330</v>
      </c>
      <c r="H594" s="24" t="s">
        <v>109</v>
      </c>
      <c r="I594" s="32" t="s">
        <v>152</v>
      </c>
    </row>
    <row r="595" spans="1:9" x14ac:dyDescent="0.35">
      <c r="A595" s="19">
        <v>45741</v>
      </c>
      <c r="B595" s="20"/>
      <c r="C595" s="20"/>
      <c r="D595" s="23">
        <v>4415000</v>
      </c>
      <c r="E595" s="99" t="s">
        <v>521</v>
      </c>
      <c r="F595" s="20">
        <f t="shared" si="9"/>
        <v>146450036</v>
      </c>
      <c r="G595" s="24" t="s">
        <v>107</v>
      </c>
      <c r="H595" s="24" t="s">
        <v>107</v>
      </c>
      <c r="I595" s="32" t="s">
        <v>152</v>
      </c>
    </row>
    <row r="596" spans="1:9" x14ac:dyDescent="0.35">
      <c r="A596" s="19">
        <v>45741</v>
      </c>
      <c r="B596" s="20"/>
      <c r="C596" s="20"/>
      <c r="D596" s="23">
        <f>4046000-2000000</f>
        <v>2046000</v>
      </c>
      <c r="E596" s="99" t="s">
        <v>521</v>
      </c>
      <c r="F596" s="20">
        <f t="shared" si="9"/>
        <v>148496036</v>
      </c>
      <c r="G596" s="24" t="s">
        <v>109</v>
      </c>
      <c r="H596" s="24" t="s">
        <v>109</v>
      </c>
      <c r="I596" s="32" t="s">
        <v>152</v>
      </c>
    </row>
    <row r="597" spans="1:9" x14ac:dyDescent="0.35">
      <c r="A597" s="19">
        <v>45741</v>
      </c>
      <c r="B597" s="20"/>
      <c r="C597" s="20"/>
      <c r="D597" s="23">
        <v>5026000</v>
      </c>
      <c r="E597" s="99" t="s">
        <v>521</v>
      </c>
      <c r="F597" s="20">
        <f t="shared" si="9"/>
        <v>153522036</v>
      </c>
      <c r="G597" s="24" t="s">
        <v>377</v>
      </c>
      <c r="H597" s="24" t="s">
        <v>109</v>
      </c>
      <c r="I597" s="32" t="s">
        <v>152</v>
      </c>
    </row>
    <row r="598" spans="1:9" x14ac:dyDescent="0.35">
      <c r="A598" s="19"/>
      <c r="B598" s="20"/>
      <c r="C598" s="20">
        <v>11487000</v>
      </c>
      <c r="D598" s="20"/>
      <c r="E598" s="99"/>
      <c r="F598" s="20">
        <f t="shared" si="9"/>
        <v>153522036</v>
      </c>
      <c r="G598" s="7" t="s">
        <v>305</v>
      </c>
      <c r="H598" s="24"/>
      <c r="I598" s="32"/>
    </row>
    <row r="599" spans="1:9" x14ac:dyDescent="0.35">
      <c r="A599" s="19">
        <v>45741</v>
      </c>
      <c r="B599" s="20"/>
      <c r="C599" s="20"/>
      <c r="D599" s="20">
        <v>20000</v>
      </c>
      <c r="E599" s="99" t="s">
        <v>521</v>
      </c>
      <c r="F599" s="20">
        <f t="shared" si="9"/>
        <v>153542036</v>
      </c>
      <c r="G599" s="7" t="s">
        <v>453</v>
      </c>
      <c r="H599" s="24" t="s">
        <v>109</v>
      </c>
      <c r="I599" s="32" t="s">
        <v>152</v>
      </c>
    </row>
    <row r="600" spans="1:9" x14ac:dyDescent="0.35">
      <c r="A600" s="19">
        <v>45742</v>
      </c>
      <c r="B600" s="20"/>
      <c r="C600" s="20"/>
      <c r="D600" s="20">
        <v>50000</v>
      </c>
      <c r="E600" s="99" t="s">
        <v>521</v>
      </c>
      <c r="F600" s="20">
        <f t="shared" si="9"/>
        <v>153592036</v>
      </c>
      <c r="G600" s="7" t="s">
        <v>330</v>
      </c>
      <c r="H600" s="24" t="s">
        <v>109</v>
      </c>
      <c r="I600" s="32" t="s">
        <v>152</v>
      </c>
    </row>
    <row r="601" spans="1:9" x14ac:dyDescent="0.35">
      <c r="A601" s="19">
        <v>45742</v>
      </c>
      <c r="B601" s="20"/>
      <c r="C601" s="20"/>
      <c r="D601" s="20">
        <v>50000</v>
      </c>
      <c r="E601" s="99" t="s">
        <v>521</v>
      </c>
      <c r="F601" s="20">
        <f t="shared" si="9"/>
        <v>153642036</v>
      </c>
      <c r="G601" s="7" t="s">
        <v>330</v>
      </c>
      <c r="H601" s="24" t="s">
        <v>109</v>
      </c>
      <c r="I601" s="32" t="s">
        <v>152</v>
      </c>
    </row>
    <row r="602" spans="1:9" x14ac:dyDescent="0.35">
      <c r="A602" s="19">
        <v>45742</v>
      </c>
      <c r="B602" s="20"/>
      <c r="C602" s="20"/>
      <c r="D602" s="20">
        <v>50000</v>
      </c>
      <c r="E602" s="99" t="s">
        <v>521</v>
      </c>
      <c r="F602" s="20">
        <f t="shared" si="9"/>
        <v>153692036</v>
      </c>
      <c r="G602" s="7" t="s">
        <v>330</v>
      </c>
      <c r="H602" s="24" t="s">
        <v>109</v>
      </c>
      <c r="I602" s="32" t="s">
        <v>152</v>
      </c>
    </row>
    <row r="603" spans="1:9" x14ac:dyDescent="0.35">
      <c r="A603" s="19">
        <v>45742</v>
      </c>
      <c r="B603" s="20"/>
      <c r="C603" s="20"/>
      <c r="D603" s="20">
        <v>100000</v>
      </c>
      <c r="E603" s="99" t="s">
        <v>521</v>
      </c>
      <c r="F603" s="20">
        <f t="shared" si="9"/>
        <v>153792036</v>
      </c>
      <c r="G603" s="7" t="s">
        <v>330</v>
      </c>
      <c r="H603" s="24" t="s">
        <v>109</v>
      </c>
      <c r="I603" s="32" t="s">
        <v>152</v>
      </c>
    </row>
    <row r="604" spans="1:9" x14ac:dyDescent="0.35">
      <c r="A604" s="19">
        <v>45742</v>
      </c>
      <c r="B604" s="20"/>
      <c r="C604" s="20"/>
      <c r="D604" s="20">
        <v>25000</v>
      </c>
      <c r="E604" s="99" t="s">
        <v>521</v>
      </c>
      <c r="F604" s="20">
        <f t="shared" si="9"/>
        <v>153817036</v>
      </c>
      <c r="G604" s="7" t="s">
        <v>330</v>
      </c>
      <c r="H604" s="24" t="s">
        <v>109</v>
      </c>
      <c r="I604" s="32" t="s">
        <v>152</v>
      </c>
    </row>
    <row r="605" spans="1:9" x14ac:dyDescent="0.35">
      <c r="A605" s="19">
        <v>45742</v>
      </c>
      <c r="B605" s="20"/>
      <c r="C605" s="20"/>
      <c r="D605" s="20">
        <v>10000</v>
      </c>
      <c r="E605" s="99" t="s">
        <v>521</v>
      </c>
      <c r="F605" s="20">
        <f t="shared" si="9"/>
        <v>153827036</v>
      </c>
      <c r="G605" s="7" t="s">
        <v>330</v>
      </c>
      <c r="H605" s="24" t="s">
        <v>109</v>
      </c>
      <c r="I605" s="32" t="s">
        <v>152</v>
      </c>
    </row>
    <row r="606" spans="1:9" x14ac:dyDescent="0.35">
      <c r="A606" s="19">
        <v>45742</v>
      </c>
      <c r="B606" s="20"/>
      <c r="C606" s="20"/>
      <c r="D606" s="20">
        <v>10000</v>
      </c>
      <c r="E606" s="99" t="s">
        <v>521</v>
      </c>
      <c r="F606" s="20">
        <f t="shared" si="9"/>
        <v>153837036</v>
      </c>
      <c r="G606" s="7" t="s">
        <v>330</v>
      </c>
      <c r="H606" s="24" t="s">
        <v>109</v>
      </c>
      <c r="I606" s="32" t="s">
        <v>152</v>
      </c>
    </row>
    <row r="607" spans="1:9" x14ac:dyDescent="0.35">
      <c r="A607" s="19">
        <v>45742</v>
      </c>
      <c r="B607" s="20"/>
      <c r="C607" s="20"/>
      <c r="D607" s="20">
        <v>100000</v>
      </c>
      <c r="E607" s="99" t="s">
        <v>521</v>
      </c>
      <c r="F607" s="20">
        <f t="shared" si="9"/>
        <v>153937036</v>
      </c>
      <c r="G607" s="7" t="s">
        <v>330</v>
      </c>
      <c r="H607" s="24" t="s">
        <v>109</v>
      </c>
      <c r="I607" s="32" t="s">
        <v>152</v>
      </c>
    </row>
    <row r="608" spans="1:9" x14ac:dyDescent="0.35">
      <c r="A608" s="19">
        <v>45742</v>
      </c>
      <c r="B608" s="20"/>
      <c r="C608" s="20"/>
      <c r="D608" s="20">
        <v>50000</v>
      </c>
      <c r="E608" s="99" t="s">
        <v>521</v>
      </c>
      <c r="F608" s="20">
        <f t="shared" si="9"/>
        <v>153987036</v>
      </c>
      <c r="G608" s="7" t="s">
        <v>330</v>
      </c>
      <c r="H608" s="24" t="s">
        <v>109</v>
      </c>
      <c r="I608" s="32" t="s">
        <v>152</v>
      </c>
    </row>
    <row r="609" spans="1:9" x14ac:dyDescent="0.35">
      <c r="A609" s="19">
        <v>45742</v>
      </c>
      <c r="B609" s="20"/>
      <c r="C609" s="20"/>
      <c r="D609" s="20">
        <v>25000</v>
      </c>
      <c r="E609" s="99" t="s">
        <v>521</v>
      </c>
      <c r="F609" s="20">
        <f t="shared" si="9"/>
        <v>154012036</v>
      </c>
      <c r="G609" s="7" t="s">
        <v>330</v>
      </c>
      <c r="H609" s="24" t="s">
        <v>109</v>
      </c>
      <c r="I609" s="32" t="s">
        <v>152</v>
      </c>
    </row>
    <row r="610" spans="1:9" x14ac:dyDescent="0.35">
      <c r="A610" s="19">
        <v>45742</v>
      </c>
      <c r="B610" s="20"/>
      <c r="C610" s="20"/>
      <c r="D610" s="20">
        <v>5000</v>
      </c>
      <c r="E610" s="99" t="s">
        <v>521</v>
      </c>
      <c r="F610" s="20">
        <f t="shared" si="9"/>
        <v>154017036</v>
      </c>
      <c r="G610" s="7" t="s">
        <v>330</v>
      </c>
      <c r="H610" s="24" t="s">
        <v>109</v>
      </c>
      <c r="I610" s="32" t="s">
        <v>152</v>
      </c>
    </row>
    <row r="611" spans="1:9" x14ac:dyDescent="0.35">
      <c r="A611" s="19">
        <v>45742</v>
      </c>
      <c r="B611" s="20"/>
      <c r="C611" s="20"/>
      <c r="D611" s="20">
        <v>100000</v>
      </c>
      <c r="E611" s="99" t="s">
        <v>521</v>
      </c>
      <c r="F611" s="20">
        <f t="shared" si="9"/>
        <v>154117036</v>
      </c>
      <c r="G611" s="7" t="s">
        <v>330</v>
      </c>
      <c r="H611" s="24" t="s">
        <v>109</v>
      </c>
      <c r="I611" s="32" t="s">
        <v>152</v>
      </c>
    </row>
    <row r="612" spans="1:9" x14ac:dyDescent="0.35">
      <c r="A612" s="19">
        <v>45743</v>
      </c>
      <c r="B612" s="20"/>
      <c r="C612" s="20"/>
      <c r="D612" s="20">
        <v>50000</v>
      </c>
      <c r="E612" s="99" t="s">
        <v>521</v>
      </c>
      <c r="F612" s="20">
        <f t="shared" si="9"/>
        <v>154167036</v>
      </c>
      <c r="G612" s="7" t="s">
        <v>453</v>
      </c>
      <c r="H612" s="24" t="s">
        <v>109</v>
      </c>
      <c r="I612" s="32" t="s">
        <v>152</v>
      </c>
    </row>
    <row r="613" spans="1:9" x14ac:dyDescent="0.35">
      <c r="A613" s="19">
        <v>45743</v>
      </c>
      <c r="B613" s="20"/>
      <c r="C613" s="20"/>
      <c r="D613" s="20">
        <v>40000</v>
      </c>
      <c r="E613" s="99" t="s">
        <v>521</v>
      </c>
      <c r="F613" s="20">
        <f t="shared" si="9"/>
        <v>154207036</v>
      </c>
      <c r="G613" s="7" t="s">
        <v>330</v>
      </c>
      <c r="H613" s="24" t="s">
        <v>109</v>
      </c>
      <c r="I613" s="32" t="s">
        <v>152</v>
      </c>
    </row>
    <row r="614" spans="1:9" x14ac:dyDescent="0.35">
      <c r="A614" s="19">
        <v>45743</v>
      </c>
      <c r="B614" s="20"/>
      <c r="C614" s="20"/>
      <c r="D614" s="20">
        <v>50000</v>
      </c>
      <c r="E614" s="99" t="s">
        <v>521</v>
      </c>
      <c r="F614" s="20">
        <f t="shared" si="9"/>
        <v>154257036</v>
      </c>
      <c r="G614" s="7" t="s">
        <v>330</v>
      </c>
      <c r="H614" s="24" t="s">
        <v>109</v>
      </c>
      <c r="I614" s="32" t="s">
        <v>152</v>
      </c>
    </row>
    <row r="615" spans="1:9" x14ac:dyDescent="0.35">
      <c r="A615" s="19">
        <v>45743</v>
      </c>
      <c r="B615" s="20"/>
      <c r="C615" s="20"/>
      <c r="D615" s="20">
        <v>4000000</v>
      </c>
      <c r="E615" s="99" t="s">
        <v>521</v>
      </c>
      <c r="F615" s="20">
        <f t="shared" si="9"/>
        <v>158257036</v>
      </c>
      <c r="G615" s="7" t="s">
        <v>461</v>
      </c>
      <c r="H615" s="59" t="s">
        <v>105</v>
      </c>
      <c r="I615" s="32" t="s">
        <v>152</v>
      </c>
    </row>
    <row r="616" spans="1:9" x14ac:dyDescent="0.35">
      <c r="A616" s="19">
        <v>45743</v>
      </c>
      <c r="B616" s="20"/>
      <c r="C616" s="20"/>
      <c r="D616" s="20">
        <v>50000</v>
      </c>
      <c r="E616" s="99" t="s">
        <v>521</v>
      </c>
      <c r="F616" s="20">
        <f t="shared" si="9"/>
        <v>158307036</v>
      </c>
      <c r="G616" s="7" t="s">
        <v>330</v>
      </c>
      <c r="H616" s="24" t="s">
        <v>109</v>
      </c>
      <c r="I616" s="32" t="s">
        <v>152</v>
      </c>
    </row>
    <row r="617" spans="1:9" x14ac:dyDescent="0.35">
      <c r="A617" s="19">
        <v>45743</v>
      </c>
      <c r="B617" s="20"/>
      <c r="C617" s="20"/>
      <c r="D617" s="20">
        <v>10000</v>
      </c>
      <c r="E617" s="99" t="s">
        <v>521</v>
      </c>
      <c r="F617" s="20">
        <f t="shared" si="9"/>
        <v>158317036</v>
      </c>
      <c r="G617" s="7" t="s">
        <v>330</v>
      </c>
      <c r="H617" s="24" t="s">
        <v>109</v>
      </c>
      <c r="I617" s="32" t="s">
        <v>152</v>
      </c>
    </row>
    <row r="618" spans="1:9" x14ac:dyDescent="0.35">
      <c r="A618" s="19">
        <v>45743</v>
      </c>
      <c r="B618" s="20"/>
      <c r="C618" s="20"/>
      <c r="D618" s="20">
        <v>10000</v>
      </c>
      <c r="E618" s="99" t="s">
        <v>521</v>
      </c>
      <c r="F618" s="20">
        <f t="shared" si="9"/>
        <v>158327036</v>
      </c>
      <c r="G618" s="7" t="s">
        <v>330</v>
      </c>
      <c r="H618" s="24" t="s">
        <v>109</v>
      </c>
      <c r="I618" s="32" t="s">
        <v>152</v>
      </c>
    </row>
    <row r="619" spans="1:9" x14ac:dyDescent="0.35">
      <c r="A619" s="19">
        <v>45743</v>
      </c>
      <c r="B619" s="20"/>
      <c r="C619" s="20"/>
      <c r="D619" s="20">
        <v>50000</v>
      </c>
      <c r="E619" s="99" t="s">
        <v>521</v>
      </c>
      <c r="F619" s="20">
        <f t="shared" si="9"/>
        <v>158377036</v>
      </c>
      <c r="G619" s="7" t="s">
        <v>330</v>
      </c>
      <c r="H619" s="24" t="s">
        <v>109</v>
      </c>
      <c r="I619" s="32" t="s">
        <v>152</v>
      </c>
    </row>
    <row r="620" spans="1:9" x14ac:dyDescent="0.35">
      <c r="A620" s="19">
        <v>45743</v>
      </c>
      <c r="B620" s="20"/>
      <c r="C620" s="20"/>
      <c r="D620" s="20">
        <v>100000</v>
      </c>
      <c r="E620" s="99" t="s">
        <v>521</v>
      </c>
      <c r="F620" s="20">
        <f t="shared" si="9"/>
        <v>158477036</v>
      </c>
      <c r="G620" s="7" t="s">
        <v>330</v>
      </c>
      <c r="H620" s="24" t="s">
        <v>109</v>
      </c>
      <c r="I620" s="32" t="s">
        <v>152</v>
      </c>
    </row>
    <row r="621" spans="1:9" x14ac:dyDescent="0.35">
      <c r="A621" s="19">
        <v>45743</v>
      </c>
      <c r="B621" s="20">
        <v>4000000</v>
      </c>
      <c r="C621" s="20"/>
      <c r="D621" s="20"/>
      <c r="E621" s="99" t="s">
        <v>521</v>
      </c>
      <c r="F621" s="20">
        <f t="shared" si="9"/>
        <v>154477036</v>
      </c>
      <c r="G621" s="7" t="s">
        <v>454</v>
      </c>
      <c r="H621" s="59" t="s">
        <v>201</v>
      </c>
      <c r="I621" s="32" t="s">
        <v>152</v>
      </c>
    </row>
    <row r="622" spans="1:9" x14ac:dyDescent="0.35">
      <c r="A622" s="19">
        <v>45743</v>
      </c>
      <c r="B622" s="20">
        <v>2500</v>
      </c>
      <c r="C622" s="20"/>
      <c r="D622" s="20"/>
      <c r="E622" s="99" t="s">
        <v>521</v>
      </c>
      <c r="F622" s="20">
        <f t="shared" si="9"/>
        <v>154474536</v>
      </c>
      <c r="G622" s="7" t="s">
        <v>454</v>
      </c>
      <c r="H622" s="59" t="s">
        <v>201</v>
      </c>
      <c r="I622" s="32" t="s">
        <v>152</v>
      </c>
    </row>
    <row r="623" spans="1:9" x14ac:dyDescent="0.35">
      <c r="A623" s="19">
        <v>45743</v>
      </c>
      <c r="B623" s="20">
        <v>5400000</v>
      </c>
      <c r="C623" s="20"/>
      <c r="D623" s="20"/>
      <c r="E623" s="99" t="s">
        <v>521</v>
      </c>
      <c r="F623" s="20">
        <f t="shared" si="9"/>
        <v>149074536</v>
      </c>
      <c r="G623" s="7" t="s">
        <v>455</v>
      </c>
      <c r="H623" s="59" t="s">
        <v>201</v>
      </c>
      <c r="I623" s="32" t="s">
        <v>152</v>
      </c>
    </row>
    <row r="624" spans="1:9" x14ac:dyDescent="0.35">
      <c r="A624" s="19">
        <v>45743</v>
      </c>
      <c r="B624" s="20">
        <v>6500</v>
      </c>
      <c r="C624" s="20"/>
      <c r="D624" s="20"/>
      <c r="E624" s="99" t="s">
        <v>521</v>
      </c>
      <c r="F624" s="20">
        <f t="shared" si="9"/>
        <v>149068036</v>
      </c>
      <c r="G624" s="7" t="s">
        <v>455</v>
      </c>
      <c r="H624" s="59" t="s">
        <v>201</v>
      </c>
      <c r="I624" s="32" t="s">
        <v>152</v>
      </c>
    </row>
    <row r="625" spans="1:9" x14ac:dyDescent="0.35">
      <c r="A625" s="19">
        <v>45743</v>
      </c>
      <c r="B625" s="20">
        <v>6500000</v>
      </c>
      <c r="C625" s="20"/>
      <c r="D625" s="20"/>
      <c r="E625" s="99" t="s">
        <v>521</v>
      </c>
      <c r="F625" s="20">
        <f t="shared" si="9"/>
        <v>142568036</v>
      </c>
      <c r="G625" s="7" t="s">
        <v>456</v>
      </c>
      <c r="H625" s="59" t="s">
        <v>325</v>
      </c>
      <c r="I625" s="32" t="s">
        <v>152</v>
      </c>
    </row>
    <row r="626" spans="1:9" x14ac:dyDescent="0.35">
      <c r="A626" s="19">
        <v>45743</v>
      </c>
      <c r="B626" s="20">
        <v>6500</v>
      </c>
      <c r="C626" s="20"/>
      <c r="D626" s="20"/>
      <c r="E626" s="99" t="s">
        <v>521</v>
      </c>
      <c r="F626" s="20">
        <f t="shared" si="9"/>
        <v>142561536</v>
      </c>
      <c r="G626" s="7" t="s">
        <v>456</v>
      </c>
      <c r="H626" s="59" t="s">
        <v>325</v>
      </c>
      <c r="I626" s="32" t="s">
        <v>152</v>
      </c>
    </row>
    <row r="627" spans="1:9" x14ac:dyDescent="0.35">
      <c r="A627" s="19">
        <v>45743</v>
      </c>
      <c r="B627" s="20">
        <v>5000000</v>
      </c>
      <c r="C627" s="20"/>
      <c r="D627" s="20"/>
      <c r="E627" s="99" t="s">
        <v>521</v>
      </c>
      <c r="F627" s="20">
        <f t="shared" si="9"/>
        <v>137561536</v>
      </c>
      <c r="G627" s="7" t="s">
        <v>457</v>
      </c>
      <c r="H627" s="59" t="s">
        <v>325</v>
      </c>
      <c r="I627" s="32" t="s">
        <v>152</v>
      </c>
    </row>
    <row r="628" spans="1:9" x14ac:dyDescent="0.35">
      <c r="A628" s="19">
        <v>45743</v>
      </c>
      <c r="B628" s="20">
        <v>6500</v>
      </c>
      <c r="C628" s="20"/>
      <c r="D628" s="20"/>
      <c r="E628" s="99" t="s">
        <v>521</v>
      </c>
      <c r="F628" s="20">
        <f t="shared" si="9"/>
        <v>137555036</v>
      </c>
      <c r="G628" s="7" t="s">
        <v>457</v>
      </c>
      <c r="H628" s="59" t="s">
        <v>325</v>
      </c>
      <c r="I628" s="32" t="s">
        <v>152</v>
      </c>
    </row>
    <row r="629" spans="1:9" x14ac:dyDescent="0.35">
      <c r="A629" s="19">
        <v>45743</v>
      </c>
      <c r="B629" s="20">
        <v>3000000</v>
      </c>
      <c r="C629" s="20"/>
      <c r="D629" s="20"/>
      <c r="E629" s="99" t="s">
        <v>521</v>
      </c>
      <c r="F629" s="20">
        <f t="shared" si="9"/>
        <v>134555036</v>
      </c>
      <c r="G629" s="7" t="s">
        <v>458</v>
      </c>
      <c r="H629" s="59" t="s">
        <v>325</v>
      </c>
      <c r="I629" s="32" t="s">
        <v>152</v>
      </c>
    </row>
    <row r="630" spans="1:9" x14ac:dyDescent="0.35">
      <c r="A630" s="19">
        <v>45743</v>
      </c>
      <c r="B630" s="20">
        <v>6500</v>
      </c>
      <c r="C630" s="20"/>
      <c r="D630" s="20"/>
      <c r="E630" s="99" t="s">
        <v>521</v>
      </c>
      <c r="F630" s="20">
        <f t="shared" si="9"/>
        <v>134548536</v>
      </c>
      <c r="G630" s="7" t="s">
        <v>458</v>
      </c>
      <c r="H630" s="59" t="s">
        <v>325</v>
      </c>
      <c r="I630" s="32" t="s">
        <v>152</v>
      </c>
    </row>
    <row r="631" spans="1:9" x14ac:dyDescent="0.35">
      <c r="A631" s="19">
        <v>45743</v>
      </c>
      <c r="B631" s="20">
        <v>4000000</v>
      </c>
      <c r="C631" s="20"/>
      <c r="D631" s="20"/>
      <c r="E631" s="99" t="s">
        <v>521</v>
      </c>
      <c r="F631" s="20">
        <f t="shared" si="9"/>
        <v>130548536</v>
      </c>
      <c r="G631" s="7" t="s">
        <v>459</v>
      </c>
      <c r="H631" s="59" t="s">
        <v>325</v>
      </c>
      <c r="I631" s="32" t="s">
        <v>152</v>
      </c>
    </row>
    <row r="632" spans="1:9" x14ac:dyDescent="0.35">
      <c r="A632" s="19">
        <v>45743</v>
      </c>
      <c r="B632" s="20">
        <v>6500</v>
      </c>
      <c r="C632" s="20"/>
      <c r="D632" s="20"/>
      <c r="E632" s="99" t="s">
        <v>521</v>
      </c>
      <c r="F632" s="20">
        <f t="shared" si="9"/>
        <v>130542036</v>
      </c>
      <c r="G632" s="7" t="s">
        <v>459</v>
      </c>
      <c r="H632" s="59" t="s">
        <v>325</v>
      </c>
      <c r="I632" s="32" t="s">
        <v>152</v>
      </c>
    </row>
    <row r="633" spans="1:9" x14ac:dyDescent="0.35">
      <c r="A633" s="19">
        <v>45743</v>
      </c>
      <c r="B633" s="20">
        <v>4000000</v>
      </c>
      <c r="C633" s="20"/>
      <c r="D633" s="20"/>
      <c r="E633" s="99" t="s">
        <v>521</v>
      </c>
      <c r="F633" s="20">
        <f t="shared" si="9"/>
        <v>126542036</v>
      </c>
      <c r="G633" s="7" t="s">
        <v>460</v>
      </c>
      <c r="H633" s="59" t="s">
        <v>325</v>
      </c>
      <c r="I633" s="32" t="s">
        <v>152</v>
      </c>
    </row>
    <row r="634" spans="1:9" x14ac:dyDescent="0.35">
      <c r="A634" s="19">
        <v>45743</v>
      </c>
      <c r="B634" s="20">
        <v>6500</v>
      </c>
      <c r="C634" s="20"/>
      <c r="D634" s="20"/>
      <c r="E634" s="99" t="s">
        <v>521</v>
      </c>
      <c r="F634" s="20">
        <f t="shared" si="9"/>
        <v>126535536</v>
      </c>
      <c r="G634" s="7" t="s">
        <v>460</v>
      </c>
      <c r="H634" s="59" t="s">
        <v>325</v>
      </c>
      <c r="I634" s="32" t="s">
        <v>152</v>
      </c>
    </row>
    <row r="635" spans="1:9" x14ac:dyDescent="0.35">
      <c r="A635" s="19">
        <v>45743</v>
      </c>
      <c r="B635" s="20">
        <v>5000000</v>
      </c>
      <c r="C635" s="20"/>
      <c r="D635" s="20"/>
      <c r="E635" s="99" t="s">
        <v>521</v>
      </c>
      <c r="F635" s="20">
        <f t="shared" si="9"/>
        <v>121535536</v>
      </c>
      <c r="G635" s="7" t="s">
        <v>181</v>
      </c>
      <c r="H635" s="59" t="s">
        <v>325</v>
      </c>
      <c r="I635" s="32" t="s">
        <v>152</v>
      </c>
    </row>
    <row r="636" spans="1:9" x14ac:dyDescent="0.35">
      <c r="A636" s="19">
        <v>45743</v>
      </c>
      <c r="B636" s="20"/>
      <c r="C636" s="20"/>
      <c r="D636" s="20">
        <v>100000</v>
      </c>
      <c r="E636" s="99" t="s">
        <v>521</v>
      </c>
      <c r="F636" s="20">
        <f t="shared" si="9"/>
        <v>121635536</v>
      </c>
      <c r="G636" s="7" t="s">
        <v>330</v>
      </c>
      <c r="H636" s="24" t="s">
        <v>109</v>
      </c>
      <c r="I636" s="32" t="s">
        <v>152</v>
      </c>
    </row>
    <row r="637" spans="1:9" x14ac:dyDescent="0.35">
      <c r="A637" s="19">
        <v>45743</v>
      </c>
      <c r="B637" s="20"/>
      <c r="C637" s="20"/>
      <c r="D637" s="20">
        <v>50000</v>
      </c>
      <c r="E637" s="99" t="s">
        <v>521</v>
      </c>
      <c r="F637" s="20">
        <f t="shared" si="9"/>
        <v>121685536</v>
      </c>
      <c r="G637" s="7" t="s">
        <v>330</v>
      </c>
      <c r="H637" s="24" t="s">
        <v>109</v>
      </c>
      <c r="I637" s="32" t="s">
        <v>152</v>
      </c>
    </row>
    <row r="638" spans="1:9" x14ac:dyDescent="0.35">
      <c r="A638" s="19">
        <v>45744</v>
      </c>
      <c r="B638" s="20"/>
      <c r="C638" s="20"/>
      <c r="D638" s="20">
        <v>50000</v>
      </c>
      <c r="E638" s="99" t="s">
        <v>521</v>
      </c>
      <c r="F638" s="20">
        <f t="shared" si="9"/>
        <v>121735536</v>
      </c>
      <c r="G638" s="7" t="s">
        <v>330</v>
      </c>
      <c r="H638" s="24" t="s">
        <v>109</v>
      </c>
      <c r="I638" s="32" t="s">
        <v>152</v>
      </c>
    </row>
    <row r="639" spans="1:9" x14ac:dyDescent="0.35">
      <c r="A639" s="19">
        <v>45744</v>
      </c>
      <c r="B639" s="20"/>
      <c r="C639" s="20"/>
      <c r="D639" s="20">
        <v>100000</v>
      </c>
      <c r="E639" s="99" t="s">
        <v>521</v>
      </c>
      <c r="F639" s="20">
        <f t="shared" si="9"/>
        <v>121835536</v>
      </c>
      <c r="G639" s="7" t="s">
        <v>330</v>
      </c>
      <c r="H639" s="24" t="s">
        <v>109</v>
      </c>
      <c r="I639" s="32" t="s">
        <v>152</v>
      </c>
    </row>
    <row r="640" spans="1:9" x14ac:dyDescent="0.35">
      <c r="A640" s="19">
        <v>45744</v>
      </c>
      <c r="B640" s="20"/>
      <c r="C640" s="20"/>
      <c r="D640" s="20">
        <v>24000</v>
      </c>
      <c r="E640" s="99" t="s">
        <v>521</v>
      </c>
      <c r="F640" s="20">
        <f t="shared" si="9"/>
        <v>121859536</v>
      </c>
      <c r="G640" s="7" t="s">
        <v>330</v>
      </c>
      <c r="H640" s="24" t="s">
        <v>109</v>
      </c>
      <c r="I640" s="32" t="s">
        <v>152</v>
      </c>
    </row>
    <row r="641" spans="1:9" x14ac:dyDescent="0.35">
      <c r="A641" s="19">
        <v>45744</v>
      </c>
      <c r="B641" s="20"/>
      <c r="C641" s="20"/>
      <c r="D641" s="20">
        <v>100000</v>
      </c>
      <c r="E641" s="99" t="s">
        <v>521</v>
      </c>
      <c r="F641" s="20">
        <f t="shared" si="9"/>
        <v>121959536</v>
      </c>
      <c r="G641" s="7" t="s">
        <v>330</v>
      </c>
      <c r="H641" s="24" t="s">
        <v>109</v>
      </c>
      <c r="I641" s="32" t="s">
        <v>152</v>
      </c>
    </row>
    <row r="642" spans="1:9" x14ac:dyDescent="0.35">
      <c r="A642" s="19">
        <v>45744</v>
      </c>
      <c r="B642" s="20"/>
      <c r="C642" s="20"/>
      <c r="D642" s="20">
        <v>25000</v>
      </c>
      <c r="E642" s="99" t="s">
        <v>521</v>
      </c>
      <c r="F642" s="20">
        <f t="shared" si="9"/>
        <v>121984536</v>
      </c>
      <c r="G642" s="7" t="s">
        <v>330</v>
      </c>
      <c r="H642" s="24" t="s">
        <v>109</v>
      </c>
      <c r="I642" s="32" t="s">
        <v>152</v>
      </c>
    </row>
    <row r="643" spans="1:9" x14ac:dyDescent="0.35">
      <c r="A643" s="19">
        <v>45744</v>
      </c>
      <c r="B643" s="20"/>
      <c r="C643" s="20"/>
      <c r="D643" s="20">
        <v>50000</v>
      </c>
      <c r="E643" s="99" t="s">
        <v>521</v>
      </c>
      <c r="F643" s="20">
        <f t="shared" si="9"/>
        <v>122034536</v>
      </c>
      <c r="G643" s="7" t="s">
        <v>330</v>
      </c>
      <c r="H643" s="24" t="s">
        <v>109</v>
      </c>
      <c r="I643" s="32" t="s">
        <v>152</v>
      </c>
    </row>
    <row r="644" spans="1:9" x14ac:dyDescent="0.35">
      <c r="A644" s="19">
        <v>45744</v>
      </c>
      <c r="B644" s="20"/>
      <c r="C644" s="20"/>
      <c r="D644" s="20">
        <v>15000</v>
      </c>
      <c r="E644" s="99" t="s">
        <v>521</v>
      </c>
      <c r="F644" s="20">
        <f t="shared" si="9"/>
        <v>122049536</v>
      </c>
      <c r="G644" s="7" t="s">
        <v>330</v>
      </c>
      <c r="H644" s="24" t="s">
        <v>109</v>
      </c>
      <c r="I644" s="32" t="s">
        <v>152</v>
      </c>
    </row>
    <row r="645" spans="1:9" x14ac:dyDescent="0.35">
      <c r="A645" s="19">
        <v>45744</v>
      </c>
      <c r="B645" s="20"/>
      <c r="C645" s="20"/>
      <c r="D645" s="20">
        <v>1000000</v>
      </c>
      <c r="E645" s="99" t="s">
        <v>521</v>
      </c>
      <c r="F645" s="20">
        <f t="shared" ref="F645:F708" si="10">+F644+D645-B645</f>
        <v>123049536</v>
      </c>
      <c r="G645" s="7" t="s">
        <v>486</v>
      </c>
      <c r="H645" s="59" t="s">
        <v>105</v>
      </c>
      <c r="I645" s="32" t="s">
        <v>152</v>
      </c>
    </row>
    <row r="646" spans="1:9" x14ac:dyDescent="0.35">
      <c r="A646" s="19">
        <v>45744</v>
      </c>
      <c r="B646" s="20"/>
      <c r="C646" s="20"/>
      <c r="D646" s="20">
        <v>10000</v>
      </c>
      <c r="E646" s="99" t="s">
        <v>521</v>
      </c>
      <c r="F646" s="20">
        <f t="shared" si="10"/>
        <v>123059536</v>
      </c>
      <c r="G646" s="7" t="s">
        <v>330</v>
      </c>
      <c r="H646" s="24" t="s">
        <v>109</v>
      </c>
      <c r="I646" s="32" t="s">
        <v>152</v>
      </c>
    </row>
    <row r="647" spans="1:9" x14ac:dyDescent="0.35">
      <c r="A647" s="19">
        <v>45744</v>
      </c>
      <c r="B647" s="20"/>
      <c r="C647" s="20"/>
      <c r="D647" s="20">
        <v>100000</v>
      </c>
      <c r="E647" s="99" t="s">
        <v>521</v>
      </c>
      <c r="F647" s="20">
        <f t="shared" si="10"/>
        <v>123159536</v>
      </c>
      <c r="G647" s="7" t="s">
        <v>330</v>
      </c>
      <c r="H647" s="24" t="s">
        <v>109</v>
      </c>
      <c r="I647" s="32" t="s">
        <v>152</v>
      </c>
    </row>
    <row r="648" spans="1:9" x14ac:dyDescent="0.35">
      <c r="A648" s="19">
        <v>45744</v>
      </c>
      <c r="B648" s="20"/>
      <c r="C648" s="20"/>
      <c r="D648" s="20">
        <v>100000</v>
      </c>
      <c r="E648" s="99" t="s">
        <v>521</v>
      </c>
      <c r="F648" s="20">
        <f t="shared" si="10"/>
        <v>123259536</v>
      </c>
      <c r="G648" s="7" t="s">
        <v>330</v>
      </c>
      <c r="H648" s="24" t="s">
        <v>109</v>
      </c>
      <c r="I648" s="32" t="s">
        <v>152</v>
      </c>
    </row>
    <row r="649" spans="1:9" x14ac:dyDescent="0.35">
      <c r="A649" s="19">
        <v>45744</v>
      </c>
      <c r="B649" s="20"/>
      <c r="C649" s="20"/>
      <c r="D649" s="20">
        <v>50000</v>
      </c>
      <c r="E649" s="99" t="s">
        <v>521</v>
      </c>
      <c r="F649" s="20">
        <f t="shared" si="10"/>
        <v>123309536</v>
      </c>
      <c r="G649" s="7" t="s">
        <v>330</v>
      </c>
      <c r="H649" s="24" t="s">
        <v>109</v>
      </c>
      <c r="I649" s="32" t="s">
        <v>152</v>
      </c>
    </row>
    <row r="650" spans="1:9" x14ac:dyDescent="0.35">
      <c r="A650" s="19">
        <v>45744</v>
      </c>
      <c r="B650" s="20"/>
      <c r="C650" s="20"/>
      <c r="D650" s="20">
        <v>100000</v>
      </c>
      <c r="E650" s="99" t="s">
        <v>521</v>
      </c>
      <c r="F650" s="20">
        <f t="shared" si="10"/>
        <v>123409536</v>
      </c>
      <c r="G650" s="7" t="s">
        <v>330</v>
      </c>
      <c r="H650" s="24" t="s">
        <v>109</v>
      </c>
      <c r="I650" s="32" t="s">
        <v>152</v>
      </c>
    </row>
    <row r="651" spans="1:9" x14ac:dyDescent="0.35">
      <c r="A651" s="19">
        <v>45744</v>
      </c>
      <c r="B651" s="20"/>
      <c r="C651" s="20"/>
      <c r="D651" s="20">
        <v>25000</v>
      </c>
      <c r="E651" s="99" t="s">
        <v>521</v>
      </c>
      <c r="F651" s="20">
        <f t="shared" si="10"/>
        <v>123434536</v>
      </c>
      <c r="G651" s="7" t="s">
        <v>330</v>
      </c>
      <c r="H651" s="24" t="s">
        <v>109</v>
      </c>
      <c r="I651" s="32" t="s">
        <v>152</v>
      </c>
    </row>
    <row r="652" spans="1:9" x14ac:dyDescent="0.35">
      <c r="A652" s="19">
        <v>45744</v>
      </c>
      <c r="B652" s="20"/>
      <c r="C652" s="20"/>
      <c r="D652" s="20">
        <v>200000</v>
      </c>
      <c r="E652" s="99" t="s">
        <v>521</v>
      </c>
      <c r="F652" s="20">
        <f t="shared" si="10"/>
        <v>123634536</v>
      </c>
      <c r="G652" s="7" t="s">
        <v>330</v>
      </c>
      <c r="H652" s="24" t="s">
        <v>109</v>
      </c>
      <c r="I652" s="32" t="s">
        <v>152</v>
      </c>
    </row>
    <row r="653" spans="1:9" x14ac:dyDescent="0.35">
      <c r="A653" s="19">
        <v>45744</v>
      </c>
      <c r="B653" s="20"/>
      <c r="C653" s="20"/>
      <c r="D653" s="20">
        <v>20000</v>
      </c>
      <c r="E653" s="99" t="s">
        <v>521</v>
      </c>
      <c r="F653" s="20">
        <f t="shared" si="10"/>
        <v>123654536</v>
      </c>
      <c r="G653" s="7" t="s">
        <v>330</v>
      </c>
      <c r="H653" s="24" t="s">
        <v>109</v>
      </c>
      <c r="I653" s="32" t="s">
        <v>152</v>
      </c>
    </row>
    <row r="654" spans="1:9" x14ac:dyDescent="0.35">
      <c r="A654" s="19">
        <v>45744</v>
      </c>
      <c r="B654" s="20"/>
      <c r="C654" s="20"/>
      <c r="D654" s="20">
        <v>30000</v>
      </c>
      <c r="E654" s="99" t="s">
        <v>521</v>
      </c>
      <c r="F654" s="20">
        <f t="shared" si="10"/>
        <v>123684536</v>
      </c>
      <c r="G654" s="7" t="s">
        <v>330</v>
      </c>
      <c r="H654" s="24" t="s">
        <v>109</v>
      </c>
      <c r="I654" s="32" t="s">
        <v>152</v>
      </c>
    </row>
    <row r="655" spans="1:9" x14ac:dyDescent="0.35">
      <c r="A655" s="19">
        <v>45744</v>
      </c>
      <c r="B655" s="20"/>
      <c r="C655" s="20"/>
      <c r="D655" s="20">
        <v>10000</v>
      </c>
      <c r="E655" s="99" t="s">
        <v>521</v>
      </c>
      <c r="F655" s="20">
        <f t="shared" si="10"/>
        <v>123694536</v>
      </c>
      <c r="G655" s="7" t="s">
        <v>330</v>
      </c>
      <c r="H655" s="24" t="s">
        <v>109</v>
      </c>
      <c r="I655" s="32" t="s">
        <v>152</v>
      </c>
    </row>
    <row r="656" spans="1:9" x14ac:dyDescent="0.35">
      <c r="A656" s="19">
        <v>45744</v>
      </c>
      <c r="B656" s="20"/>
      <c r="C656" s="20"/>
      <c r="D656" s="20">
        <v>20000</v>
      </c>
      <c r="E656" s="99" t="s">
        <v>521</v>
      </c>
      <c r="F656" s="20">
        <f t="shared" si="10"/>
        <v>123714536</v>
      </c>
      <c r="G656" s="7" t="s">
        <v>330</v>
      </c>
      <c r="H656" s="24" t="s">
        <v>109</v>
      </c>
      <c r="I656" s="32" t="s">
        <v>152</v>
      </c>
    </row>
    <row r="657" spans="1:9" x14ac:dyDescent="0.35">
      <c r="A657" s="19">
        <v>45744</v>
      </c>
      <c r="B657" s="20"/>
      <c r="C657" s="20"/>
      <c r="D657" s="20">
        <v>20000</v>
      </c>
      <c r="E657" s="99" t="s">
        <v>521</v>
      </c>
      <c r="F657" s="20">
        <f t="shared" si="10"/>
        <v>123734536</v>
      </c>
      <c r="G657" s="7" t="s">
        <v>330</v>
      </c>
      <c r="H657" s="24" t="s">
        <v>109</v>
      </c>
      <c r="I657" s="32" t="s">
        <v>152</v>
      </c>
    </row>
    <row r="658" spans="1:9" x14ac:dyDescent="0.35">
      <c r="A658" s="19">
        <v>45744</v>
      </c>
      <c r="B658" s="20"/>
      <c r="C658" s="20"/>
      <c r="D658" s="20">
        <v>10000</v>
      </c>
      <c r="E658" s="99" t="s">
        <v>521</v>
      </c>
      <c r="F658" s="20">
        <f t="shared" si="10"/>
        <v>123744536</v>
      </c>
      <c r="G658" s="7" t="s">
        <v>330</v>
      </c>
      <c r="H658" s="24" t="s">
        <v>109</v>
      </c>
      <c r="I658" s="32" t="s">
        <v>152</v>
      </c>
    </row>
    <row r="659" spans="1:9" x14ac:dyDescent="0.35">
      <c r="A659" s="19">
        <v>45744</v>
      </c>
      <c r="B659" s="20"/>
      <c r="C659" s="20"/>
      <c r="D659" s="20">
        <v>20000</v>
      </c>
      <c r="E659" s="99" t="s">
        <v>521</v>
      </c>
      <c r="F659" s="20">
        <f t="shared" si="10"/>
        <v>123764536</v>
      </c>
      <c r="G659" s="7" t="s">
        <v>330</v>
      </c>
      <c r="H659" s="24" t="s">
        <v>109</v>
      </c>
      <c r="I659" s="32" t="s">
        <v>152</v>
      </c>
    </row>
    <row r="660" spans="1:9" x14ac:dyDescent="0.35">
      <c r="A660" s="19">
        <v>45744</v>
      </c>
      <c r="B660" s="20"/>
      <c r="C660" s="20"/>
      <c r="D660" s="20">
        <v>1000000</v>
      </c>
      <c r="E660" s="99" t="s">
        <v>521</v>
      </c>
      <c r="F660" s="20">
        <f t="shared" si="10"/>
        <v>124764536</v>
      </c>
      <c r="G660" s="7" t="s">
        <v>487</v>
      </c>
      <c r="H660" s="59" t="s">
        <v>105</v>
      </c>
      <c r="I660" s="32" t="s">
        <v>152</v>
      </c>
    </row>
    <row r="661" spans="1:9" x14ac:dyDescent="0.35">
      <c r="A661" s="19">
        <v>45744</v>
      </c>
      <c r="B661" s="20">
        <v>53150000</v>
      </c>
      <c r="C661" s="20"/>
      <c r="D661" s="20"/>
      <c r="E661" s="99" t="s">
        <v>521</v>
      </c>
      <c r="F661" s="20">
        <f t="shared" si="10"/>
        <v>71614536</v>
      </c>
      <c r="G661" s="7" t="s">
        <v>488</v>
      </c>
      <c r="H661" s="59" t="s">
        <v>201</v>
      </c>
      <c r="I661" s="32" t="s">
        <v>152</v>
      </c>
    </row>
    <row r="662" spans="1:9" x14ac:dyDescent="0.35">
      <c r="A662" s="19">
        <v>45744</v>
      </c>
      <c r="B662" s="20">
        <v>2500</v>
      </c>
      <c r="C662" s="20"/>
      <c r="D662" s="20"/>
      <c r="E662" s="99" t="s">
        <v>521</v>
      </c>
      <c r="F662" s="20">
        <f t="shared" si="10"/>
        <v>71612036</v>
      </c>
      <c r="G662" s="7" t="s">
        <v>488</v>
      </c>
      <c r="H662" s="59" t="s">
        <v>201</v>
      </c>
      <c r="I662" s="32" t="s">
        <v>152</v>
      </c>
    </row>
    <row r="663" spans="1:9" x14ac:dyDescent="0.35">
      <c r="A663" s="19">
        <v>45744</v>
      </c>
      <c r="B663" s="20"/>
      <c r="C663" s="20"/>
      <c r="D663" s="20">
        <v>1000000</v>
      </c>
      <c r="E663" s="99" t="s">
        <v>521</v>
      </c>
      <c r="F663" s="20">
        <f t="shared" si="10"/>
        <v>72612036</v>
      </c>
      <c r="G663" s="7" t="s">
        <v>489</v>
      </c>
      <c r="H663" s="24" t="s">
        <v>109</v>
      </c>
      <c r="I663" s="32" t="s">
        <v>152</v>
      </c>
    </row>
    <row r="664" spans="1:9" x14ac:dyDescent="0.35">
      <c r="A664" s="19">
        <v>45744</v>
      </c>
      <c r="B664" s="20"/>
      <c r="C664" s="20"/>
      <c r="D664" s="20">
        <v>50000</v>
      </c>
      <c r="E664" s="99" t="s">
        <v>521</v>
      </c>
      <c r="F664" s="20">
        <f t="shared" si="10"/>
        <v>72662036</v>
      </c>
      <c r="G664" s="7" t="s">
        <v>330</v>
      </c>
      <c r="H664" s="24" t="s">
        <v>109</v>
      </c>
      <c r="I664" s="32" t="s">
        <v>152</v>
      </c>
    </row>
    <row r="665" spans="1:9" x14ac:dyDescent="0.35">
      <c r="A665" s="19">
        <v>45744</v>
      </c>
      <c r="B665" s="20"/>
      <c r="C665" s="20"/>
      <c r="D665" s="20">
        <v>20000</v>
      </c>
      <c r="E665" s="99" t="s">
        <v>521</v>
      </c>
      <c r="F665" s="20">
        <f t="shared" si="10"/>
        <v>72682036</v>
      </c>
      <c r="G665" s="7" t="s">
        <v>330</v>
      </c>
      <c r="H665" s="24" t="s">
        <v>109</v>
      </c>
      <c r="I665" s="32" t="s">
        <v>152</v>
      </c>
    </row>
    <row r="666" spans="1:9" x14ac:dyDescent="0.35">
      <c r="A666" s="19">
        <v>45744</v>
      </c>
      <c r="B666" s="20"/>
      <c r="C666" s="20"/>
      <c r="D666" s="20">
        <v>200000</v>
      </c>
      <c r="E666" s="99" t="s">
        <v>521</v>
      </c>
      <c r="F666" s="20">
        <f t="shared" si="10"/>
        <v>72882036</v>
      </c>
      <c r="G666" s="7" t="s">
        <v>330</v>
      </c>
      <c r="H666" s="24" t="s">
        <v>109</v>
      </c>
      <c r="I666" s="32" t="s">
        <v>152</v>
      </c>
    </row>
    <row r="667" spans="1:9" x14ac:dyDescent="0.35">
      <c r="A667" s="19">
        <v>45744</v>
      </c>
      <c r="B667" s="20"/>
      <c r="C667" s="20"/>
      <c r="D667" s="20">
        <v>50000</v>
      </c>
      <c r="E667" s="99" t="s">
        <v>521</v>
      </c>
      <c r="F667" s="20">
        <f t="shared" si="10"/>
        <v>72932036</v>
      </c>
      <c r="G667" s="7" t="s">
        <v>330</v>
      </c>
      <c r="H667" s="24" t="s">
        <v>109</v>
      </c>
      <c r="I667" s="32" t="s">
        <v>152</v>
      </c>
    </row>
    <row r="668" spans="1:9" x14ac:dyDescent="0.35">
      <c r="A668" s="19">
        <v>45744</v>
      </c>
      <c r="B668" s="20"/>
      <c r="C668" s="20"/>
      <c r="D668" s="20">
        <v>100000</v>
      </c>
      <c r="E668" s="99" t="s">
        <v>521</v>
      </c>
      <c r="F668" s="20">
        <f t="shared" si="10"/>
        <v>73032036</v>
      </c>
      <c r="G668" s="7" t="s">
        <v>330</v>
      </c>
      <c r="H668" s="24" t="s">
        <v>109</v>
      </c>
      <c r="I668" s="32" t="s">
        <v>152</v>
      </c>
    </row>
    <row r="669" spans="1:9" x14ac:dyDescent="0.35">
      <c r="A669" s="19">
        <v>45744</v>
      </c>
      <c r="B669" s="20"/>
      <c r="C669" s="20"/>
      <c r="D669" s="20">
        <v>2000000</v>
      </c>
      <c r="E669" s="99" t="s">
        <v>521</v>
      </c>
      <c r="F669" s="20">
        <f t="shared" si="10"/>
        <v>75032036</v>
      </c>
      <c r="G669" s="7" t="s">
        <v>490</v>
      </c>
      <c r="H669" s="24" t="s">
        <v>109</v>
      </c>
      <c r="I669" s="32" t="s">
        <v>152</v>
      </c>
    </row>
    <row r="670" spans="1:9" x14ac:dyDescent="0.35">
      <c r="A670" s="19">
        <v>45744</v>
      </c>
      <c r="B670" s="20"/>
      <c r="C670" s="20"/>
      <c r="D670" s="20">
        <v>100000</v>
      </c>
      <c r="E670" s="99" t="s">
        <v>521</v>
      </c>
      <c r="F670" s="20">
        <f t="shared" si="10"/>
        <v>75132036</v>
      </c>
      <c r="G670" s="7" t="s">
        <v>330</v>
      </c>
      <c r="H670" s="24" t="s">
        <v>109</v>
      </c>
      <c r="I670" s="32" t="s">
        <v>152</v>
      </c>
    </row>
    <row r="671" spans="1:9" x14ac:dyDescent="0.35">
      <c r="A671" s="19">
        <v>45744</v>
      </c>
      <c r="B671" s="20"/>
      <c r="C671" s="20"/>
      <c r="D671" s="20">
        <v>50000</v>
      </c>
      <c r="E671" s="99" t="s">
        <v>521</v>
      </c>
      <c r="F671" s="20">
        <f t="shared" si="10"/>
        <v>75182036</v>
      </c>
      <c r="G671" s="7" t="s">
        <v>330</v>
      </c>
      <c r="H671" s="24" t="s">
        <v>109</v>
      </c>
      <c r="I671" s="32" t="s">
        <v>152</v>
      </c>
    </row>
    <row r="672" spans="1:9" x14ac:dyDescent="0.35">
      <c r="A672" s="19">
        <v>45744</v>
      </c>
      <c r="B672" s="20"/>
      <c r="C672" s="20"/>
      <c r="D672" s="20">
        <v>10000</v>
      </c>
      <c r="E672" s="99" t="s">
        <v>521</v>
      </c>
      <c r="F672" s="20">
        <f t="shared" si="10"/>
        <v>75192036</v>
      </c>
      <c r="G672" s="7" t="s">
        <v>330</v>
      </c>
      <c r="H672" s="24" t="s">
        <v>109</v>
      </c>
      <c r="I672" s="32" t="s">
        <v>152</v>
      </c>
    </row>
    <row r="673" spans="1:9" x14ac:dyDescent="0.35">
      <c r="A673" s="19">
        <v>45744</v>
      </c>
      <c r="B673" s="20"/>
      <c r="C673" s="20"/>
      <c r="D673" s="20">
        <v>30000</v>
      </c>
      <c r="E673" s="99" t="s">
        <v>521</v>
      </c>
      <c r="F673" s="20">
        <f t="shared" si="10"/>
        <v>75222036</v>
      </c>
      <c r="G673" s="7" t="s">
        <v>330</v>
      </c>
      <c r="H673" s="24" t="s">
        <v>109</v>
      </c>
      <c r="I673" s="32" t="s">
        <v>152</v>
      </c>
    </row>
    <row r="674" spans="1:9" x14ac:dyDescent="0.35">
      <c r="A674" s="19">
        <v>45744</v>
      </c>
      <c r="B674" s="20"/>
      <c r="C674" s="20"/>
      <c r="D674" s="20">
        <v>3475000</v>
      </c>
      <c r="E674" s="99" t="s">
        <v>521</v>
      </c>
      <c r="F674" s="20">
        <f t="shared" si="10"/>
        <v>78697036</v>
      </c>
      <c r="G674" s="7" t="s">
        <v>491</v>
      </c>
      <c r="H674" s="59" t="s">
        <v>105</v>
      </c>
      <c r="I674" s="32" t="s">
        <v>152</v>
      </c>
    </row>
    <row r="675" spans="1:9" x14ac:dyDescent="0.35">
      <c r="A675" s="19">
        <v>45744</v>
      </c>
      <c r="B675" s="20"/>
      <c r="C675" s="20"/>
      <c r="D675" s="20">
        <v>50000</v>
      </c>
      <c r="E675" s="99" t="s">
        <v>521</v>
      </c>
      <c r="F675" s="20">
        <f t="shared" si="10"/>
        <v>78747036</v>
      </c>
      <c r="G675" s="7" t="s">
        <v>330</v>
      </c>
      <c r="H675" s="24" t="s">
        <v>109</v>
      </c>
      <c r="I675" s="32" t="s">
        <v>152</v>
      </c>
    </row>
    <row r="676" spans="1:9" x14ac:dyDescent="0.35">
      <c r="A676" s="19">
        <v>45744</v>
      </c>
      <c r="B676" s="20"/>
      <c r="C676" s="20"/>
      <c r="D676" s="20">
        <v>3000000</v>
      </c>
      <c r="E676" s="99" t="s">
        <v>521</v>
      </c>
      <c r="F676" s="20">
        <f t="shared" si="10"/>
        <v>81747036</v>
      </c>
      <c r="G676" s="7" t="s">
        <v>491</v>
      </c>
      <c r="H676" s="59" t="s">
        <v>105</v>
      </c>
      <c r="I676" s="32" t="s">
        <v>152</v>
      </c>
    </row>
    <row r="677" spans="1:9" x14ac:dyDescent="0.35">
      <c r="A677" s="19">
        <v>45744</v>
      </c>
      <c r="B677" s="20"/>
      <c r="C677" s="20"/>
      <c r="D677" s="20">
        <v>100000</v>
      </c>
      <c r="E677" s="99" t="s">
        <v>521</v>
      </c>
      <c r="F677" s="20">
        <f t="shared" si="10"/>
        <v>81847036</v>
      </c>
      <c r="G677" s="7" t="s">
        <v>330</v>
      </c>
      <c r="H677" s="24" t="s">
        <v>109</v>
      </c>
      <c r="I677" s="32" t="s">
        <v>152</v>
      </c>
    </row>
    <row r="678" spans="1:9" x14ac:dyDescent="0.35">
      <c r="A678" s="19">
        <v>45744</v>
      </c>
      <c r="B678" s="20"/>
      <c r="C678" s="20"/>
      <c r="D678" s="20">
        <v>25000</v>
      </c>
      <c r="E678" s="99" t="s">
        <v>521</v>
      </c>
      <c r="F678" s="20">
        <f t="shared" si="10"/>
        <v>81872036</v>
      </c>
      <c r="G678" s="7" t="s">
        <v>330</v>
      </c>
      <c r="H678" s="24" t="s">
        <v>109</v>
      </c>
      <c r="I678" s="32" t="s">
        <v>152</v>
      </c>
    </row>
    <row r="679" spans="1:9" x14ac:dyDescent="0.35">
      <c r="A679" s="19">
        <v>45744</v>
      </c>
      <c r="B679" s="20"/>
      <c r="C679" s="20"/>
      <c r="D679" s="20">
        <v>50000</v>
      </c>
      <c r="E679" s="99" t="s">
        <v>521</v>
      </c>
      <c r="F679" s="20">
        <f t="shared" si="10"/>
        <v>81922036</v>
      </c>
      <c r="G679" s="7" t="s">
        <v>330</v>
      </c>
      <c r="H679" s="24" t="s">
        <v>109</v>
      </c>
      <c r="I679" s="32" t="s">
        <v>152</v>
      </c>
    </row>
    <row r="680" spans="1:9" x14ac:dyDescent="0.35">
      <c r="A680" s="19">
        <v>45744</v>
      </c>
      <c r="B680" s="20"/>
      <c r="C680" s="20"/>
      <c r="D680" s="20">
        <v>200000</v>
      </c>
      <c r="E680" s="99" t="s">
        <v>521</v>
      </c>
      <c r="F680" s="20">
        <f t="shared" si="10"/>
        <v>82122036</v>
      </c>
      <c r="G680" s="7" t="s">
        <v>330</v>
      </c>
      <c r="H680" s="24" t="s">
        <v>109</v>
      </c>
      <c r="I680" s="32" t="s">
        <v>152</v>
      </c>
    </row>
    <row r="681" spans="1:9" x14ac:dyDescent="0.35">
      <c r="A681" s="19">
        <v>45744</v>
      </c>
      <c r="B681" s="20"/>
      <c r="C681" s="20"/>
      <c r="D681" s="20">
        <v>30000</v>
      </c>
      <c r="E681" s="99" t="s">
        <v>521</v>
      </c>
      <c r="F681" s="20">
        <f t="shared" si="10"/>
        <v>82152036</v>
      </c>
      <c r="G681" s="7" t="s">
        <v>330</v>
      </c>
      <c r="H681" s="24" t="s">
        <v>109</v>
      </c>
      <c r="I681" s="32" t="s">
        <v>152</v>
      </c>
    </row>
    <row r="682" spans="1:9" x14ac:dyDescent="0.35">
      <c r="A682" s="19">
        <v>45744</v>
      </c>
      <c r="B682" s="20"/>
      <c r="C682" s="20"/>
      <c r="D682" s="20">
        <v>20000</v>
      </c>
      <c r="E682" s="99" t="s">
        <v>521</v>
      </c>
      <c r="F682" s="20">
        <f t="shared" si="10"/>
        <v>82172036</v>
      </c>
      <c r="G682" s="7" t="s">
        <v>330</v>
      </c>
      <c r="H682" s="24" t="s">
        <v>109</v>
      </c>
      <c r="I682" s="32" t="s">
        <v>152</v>
      </c>
    </row>
    <row r="683" spans="1:9" x14ac:dyDescent="0.35">
      <c r="A683" s="19">
        <v>45744</v>
      </c>
      <c r="B683" s="20"/>
      <c r="C683" s="20"/>
      <c r="D683" s="20">
        <v>150000</v>
      </c>
      <c r="E683" s="99" t="s">
        <v>521</v>
      </c>
      <c r="F683" s="20">
        <f t="shared" si="10"/>
        <v>82322036</v>
      </c>
      <c r="G683" s="7" t="s">
        <v>330</v>
      </c>
      <c r="H683" s="24" t="s">
        <v>109</v>
      </c>
      <c r="I683" s="32" t="s">
        <v>152</v>
      </c>
    </row>
    <row r="684" spans="1:9" x14ac:dyDescent="0.35">
      <c r="A684" s="19">
        <v>45744</v>
      </c>
      <c r="B684" s="20"/>
      <c r="C684" s="20"/>
      <c r="D684" s="20">
        <v>10000</v>
      </c>
      <c r="E684" s="99" t="s">
        <v>521</v>
      </c>
      <c r="F684" s="20">
        <f t="shared" si="10"/>
        <v>82332036</v>
      </c>
      <c r="G684" s="7" t="s">
        <v>330</v>
      </c>
      <c r="H684" s="24" t="s">
        <v>109</v>
      </c>
      <c r="I684" s="32" t="s">
        <v>152</v>
      </c>
    </row>
    <row r="685" spans="1:9" x14ac:dyDescent="0.35">
      <c r="A685" s="19">
        <v>45744</v>
      </c>
      <c r="B685" s="20"/>
      <c r="C685" s="20"/>
      <c r="D685" s="20">
        <v>1000000</v>
      </c>
      <c r="E685" s="99" t="s">
        <v>521</v>
      </c>
      <c r="F685" s="20">
        <f t="shared" si="10"/>
        <v>83332036</v>
      </c>
      <c r="G685" s="7" t="s">
        <v>330</v>
      </c>
      <c r="H685" s="24" t="s">
        <v>109</v>
      </c>
      <c r="I685" s="32" t="s">
        <v>152</v>
      </c>
    </row>
    <row r="686" spans="1:9" x14ac:dyDescent="0.35">
      <c r="A686" s="19">
        <v>45744</v>
      </c>
      <c r="B686" s="20"/>
      <c r="C686" s="20"/>
      <c r="D686" s="20">
        <v>50000</v>
      </c>
      <c r="E686" s="99" t="s">
        <v>521</v>
      </c>
      <c r="F686" s="20">
        <f t="shared" si="10"/>
        <v>83382036</v>
      </c>
      <c r="G686" s="7" t="s">
        <v>330</v>
      </c>
      <c r="H686" s="24" t="s">
        <v>109</v>
      </c>
      <c r="I686" s="32" t="s">
        <v>152</v>
      </c>
    </row>
    <row r="687" spans="1:9" x14ac:dyDescent="0.35">
      <c r="A687" s="19">
        <v>45744</v>
      </c>
      <c r="B687" s="20"/>
      <c r="C687" s="20"/>
      <c r="D687" s="20">
        <v>6000</v>
      </c>
      <c r="E687" s="99" t="s">
        <v>521</v>
      </c>
      <c r="F687" s="20">
        <f t="shared" si="10"/>
        <v>83388036</v>
      </c>
      <c r="G687" s="7" t="s">
        <v>330</v>
      </c>
      <c r="H687" s="24" t="s">
        <v>109</v>
      </c>
      <c r="I687" s="32" t="s">
        <v>152</v>
      </c>
    </row>
    <row r="688" spans="1:9" x14ac:dyDescent="0.35">
      <c r="A688" s="19">
        <v>45744</v>
      </c>
      <c r="B688" s="20"/>
      <c r="C688" s="20"/>
      <c r="D688" s="20">
        <v>20000</v>
      </c>
      <c r="E688" s="99" t="s">
        <v>521</v>
      </c>
      <c r="F688" s="20">
        <f t="shared" si="10"/>
        <v>83408036</v>
      </c>
      <c r="G688" s="7" t="s">
        <v>330</v>
      </c>
      <c r="H688" s="24" t="s">
        <v>109</v>
      </c>
      <c r="I688" s="32" t="s">
        <v>152</v>
      </c>
    </row>
    <row r="689" spans="1:9" x14ac:dyDescent="0.35">
      <c r="A689" s="19">
        <v>45744</v>
      </c>
      <c r="B689" s="20"/>
      <c r="C689" s="20"/>
      <c r="D689" s="20">
        <v>150000</v>
      </c>
      <c r="E689" s="99" t="s">
        <v>521</v>
      </c>
      <c r="F689" s="20">
        <f t="shared" si="10"/>
        <v>83558036</v>
      </c>
      <c r="G689" s="7" t="s">
        <v>330</v>
      </c>
      <c r="H689" s="24" t="s">
        <v>109</v>
      </c>
      <c r="I689" s="32" t="s">
        <v>152</v>
      </c>
    </row>
    <row r="690" spans="1:9" x14ac:dyDescent="0.35">
      <c r="A690" s="19">
        <v>45744</v>
      </c>
      <c r="B690" s="20"/>
      <c r="C690" s="20"/>
      <c r="D690" s="20">
        <v>6570000</v>
      </c>
      <c r="E690" s="99" t="s">
        <v>521</v>
      </c>
      <c r="F690" s="20">
        <f t="shared" si="10"/>
        <v>90128036</v>
      </c>
      <c r="G690" s="7" t="s">
        <v>491</v>
      </c>
      <c r="H690" s="59" t="s">
        <v>105</v>
      </c>
      <c r="I690" s="32" t="s">
        <v>152</v>
      </c>
    </row>
    <row r="691" spans="1:9" x14ac:dyDescent="0.35">
      <c r="A691" s="19">
        <v>45744</v>
      </c>
      <c r="B691" s="20"/>
      <c r="C691" s="20"/>
      <c r="D691" s="20">
        <v>50000</v>
      </c>
      <c r="E691" s="99" t="s">
        <v>521</v>
      </c>
      <c r="F691" s="20">
        <f t="shared" si="10"/>
        <v>90178036</v>
      </c>
      <c r="G691" s="7" t="s">
        <v>330</v>
      </c>
      <c r="H691" s="24" t="s">
        <v>109</v>
      </c>
      <c r="I691" s="32" t="s">
        <v>152</v>
      </c>
    </row>
    <row r="692" spans="1:9" x14ac:dyDescent="0.35">
      <c r="A692" s="19">
        <v>45744</v>
      </c>
      <c r="B692" s="20"/>
      <c r="C692" s="20"/>
      <c r="D692" s="20">
        <v>5000</v>
      </c>
      <c r="E692" s="99" t="s">
        <v>521</v>
      </c>
      <c r="F692" s="20">
        <f t="shared" si="10"/>
        <v>90183036</v>
      </c>
      <c r="G692" s="7" t="s">
        <v>330</v>
      </c>
      <c r="H692" s="24" t="s">
        <v>109</v>
      </c>
      <c r="I692" s="32" t="s">
        <v>152</v>
      </c>
    </row>
    <row r="693" spans="1:9" x14ac:dyDescent="0.35">
      <c r="A693" s="19">
        <v>45744</v>
      </c>
      <c r="B693" s="20"/>
      <c r="C693" s="20"/>
      <c r="D693" s="20">
        <v>5000</v>
      </c>
      <c r="E693" s="99" t="s">
        <v>521</v>
      </c>
      <c r="F693" s="20">
        <f t="shared" si="10"/>
        <v>90188036</v>
      </c>
      <c r="G693" s="7" t="s">
        <v>330</v>
      </c>
      <c r="H693" s="24" t="s">
        <v>109</v>
      </c>
      <c r="I693" s="32" t="s">
        <v>152</v>
      </c>
    </row>
    <row r="694" spans="1:9" x14ac:dyDescent="0.35">
      <c r="A694" s="19">
        <v>45755</v>
      </c>
      <c r="B694" s="20"/>
      <c r="C694" s="20"/>
      <c r="D694" s="20">
        <v>50000</v>
      </c>
      <c r="E694" s="99" t="s">
        <v>559</v>
      </c>
      <c r="F694" s="20">
        <f t="shared" si="10"/>
        <v>90238036</v>
      </c>
      <c r="G694" s="7" t="s">
        <v>330</v>
      </c>
      <c r="H694" s="24" t="s">
        <v>109</v>
      </c>
      <c r="I694" s="32" t="s">
        <v>152</v>
      </c>
    </row>
    <row r="695" spans="1:9" x14ac:dyDescent="0.35">
      <c r="A695" s="19">
        <v>45755</v>
      </c>
      <c r="B695" s="20"/>
      <c r="C695" s="20"/>
      <c r="D695" s="20">
        <v>50000</v>
      </c>
      <c r="E695" s="99" t="s">
        <v>559</v>
      </c>
      <c r="F695" s="20">
        <f t="shared" si="10"/>
        <v>90288036</v>
      </c>
      <c r="G695" s="7" t="s">
        <v>330</v>
      </c>
      <c r="H695" s="24" t="s">
        <v>109</v>
      </c>
      <c r="I695" s="32" t="s">
        <v>152</v>
      </c>
    </row>
    <row r="696" spans="1:9" x14ac:dyDescent="0.35">
      <c r="A696" s="19">
        <v>45755</v>
      </c>
      <c r="B696" s="20"/>
      <c r="C696" s="20"/>
      <c r="D696" s="20">
        <v>100000</v>
      </c>
      <c r="E696" s="99" t="s">
        <v>559</v>
      </c>
      <c r="F696" s="20">
        <f t="shared" si="10"/>
        <v>90388036</v>
      </c>
      <c r="G696" s="7" t="s">
        <v>330</v>
      </c>
      <c r="H696" s="24" t="s">
        <v>109</v>
      </c>
      <c r="I696" s="32" t="s">
        <v>152</v>
      </c>
    </row>
    <row r="697" spans="1:9" x14ac:dyDescent="0.35">
      <c r="A697" s="19">
        <v>45755</v>
      </c>
      <c r="B697" s="20"/>
      <c r="C697" s="20"/>
      <c r="D697" s="20">
        <v>10000</v>
      </c>
      <c r="E697" s="99" t="s">
        <v>559</v>
      </c>
      <c r="F697" s="20">
        <f t="shared" si="10"/>
        <v>90398036</v>
      </c>
      <c r="G697" s="7" t="s">
        <v>330</v>
      </c>
      <c r="H697" s="24" t="s">
        <v>109</v>
      </c>
      <c r="I697" s="32" t="s">
        <v>152</v>
      </c>
    </row>
    <row r="698" spans="1:9" x14ac:dyDescent="0.35">
      <c r="A698" s="19">
        <v>45755</v>
      </c>
      <c r="B698" s="20"/>
      <c r="C698" s="20"/>
      <c r="D698" s="20">
        <v>100000</v>
      </c>
      <c r="E698" s="99" t="s">
        <v>559</v>
      </c>
      <c r="F698" s="20">
        <f t="shared" si="10"/>
        <v>90498036</v>
      </c>
      <c r="G698" s="7" t="s">
        <v>330</v>
      </c>
      <c r="H698" s="24" t="s">
        <v>109</v>
      </c>
      <c r="I698" s="32" t="s">
        <v>152</v>
      </c>
    </row>
    <row r="699" spans="1:9" x14ac:dyDescent="0.35">
      <c r="A699" s="19">
        <v>45755</v>
      </c>
      <c r="B699" s="20"/>
      <c r="C699" s="20"/>
      <c r="D699" s="20">
        <v>300000</v>
      </c>
      <c r="E699" s="99" t="s">
        <v>559</v>
      </c>
      <c r="F699" s="20">
        <f t="shared" si="10"/>
        <v>90798036</v>
      </c>
      <c r="G699" s="7" t="s">
        <v>330</v>
      </c>
      <c r="H699" s="24" t="s">
        <v>109</v>
      </c>
      <c r="I699" s="32" t="s">
        <v>152</v>
      </c>
    </row>
    <row r="700" spans="1:9" x14ac:dyDescent="0.35">
      <c r="A700" s="19">
        <v>45755</v>
      </c>
      <c r="B700" s="20"/>
      <c r="C700" s="20"/>
      <c r="D700" s="20">
        <v>5000000</v>
      </c>
      <c r="E700" s="99" t="s">
        <v>559</v>
      </c>
      <c r="F700" s="20">
        <f t="shared" si="10"/>
        <v>95798036</v>
      </c>
      <c r="G700" s="7" t="s">
        <v>506</v>
      </c>
      <c r="H700" s="24" t="s">
        <v>105</v>
      </c>
      <c r="I700" s="32" t="s">
        <v>152</v>
      </c>
    </row>
    <row r="701" spans="1:9" x14ac:dyDescent="0.35">
      <c r="A701" s="19">
        <v>45755</v>
      </c>
      <c r="B701" s="20"/>
      <c r="C701" s="20"/>
      <c r="D701" s="20">
        <v>50000</v>
      </c>
      <c r="E701" s="99" t="s">
        <v>559</v>
      </c>
      <c r="F701" s="20">
        <f t="shared" si="10"/>
        <v>95848036</v>
      </c>
      <c r="G701" s="7" t="s">
        <v>330</v>
      </c>
      <c r="H701" s="24" t="s">
        <v>109</v>
      </c>
      <c r="I701" s="32" t="s">
        <v>152</v>
      </c>
    </row>
    <row r="702" spans="1:9" x14ac:dyDescent="0.35">
      <c r="A702" s="19">
        <v>45755</v>
      </c>
      <c r="B702" s="20"/>
      <c r="C702" s="20"/>
      <c r="D702" s="20">
        <v>50000</v>
      </c>
      <c r="E702" s="99" t="s">
        <v>559</v>
      </c>
      <c r="F702" s="20">
        <f t="shared" si="10"/>
        <v>95898036</v>
      </c>
      <c r="G702" s="7" t="s">
        <v>330</v>
      </c>
      <c r="H702" s="24" t="s">
        <v>109</v>
      </c>
      <c r="I702" s="32" t="s">
        <v>152</v>
      </c>
    </row>
    <row r="703" spans="1:9" x14ac:dyDescent="0.35">
      <c r="A703" s="19">
        <v>45755</v>
      </c>
      <c r="B703" s="20"/>
      <c r="C703" s="20"/>
      <c r="D703" s="20">
        <v>100000</v>
      </c>
      <c r="E703" s="99" t="s">
        <v>559</v>
      </c>
      <c r="F703" s="20">
        <f t="shared" si="10"/>
        <v>95998036</v>
      </c>
      <c r="G703" s="7" t="s">
        <v>330</v>
      </c>
      <c r="H703" s="24" t="s">
        <v>109</v>
      </c>
      <c r="I703" s="32" t="s">
        <v>152</v>
      </c>
    </row>
    <row r="704" spans="1:9" x14ac:dyDescent="0.35">
      <c r="A704" s="19">
        <v>45755</v>
      </c>
      <c r="B704" s="20"/>
      <c r="C704" s="20"/>
      <c r="D704" s="20">
        <v>25000</v>
      </c>
      <c r="E704" s="99" t="s">
        <v>559</v>
      </c>
      <c r="F704" s="20">
        <f t="shared" si="10"/>
        <v>96023036</v>
      </c>
      <c r="G704" s="7" t="s">
        <v>330</v>
      </c>
      <c r="H704" s="24" t="s">
        <v>109</v>
      </c>
      <c r="I704" s="32" t="s">
        <v>152</v>
      </c>
    </row>
    <row r="705" spans="1:9" x14ac:dyDescent="0.35">
      <c r="A705" s="19">
        <v>45755</v>
      </c>
      <c r="B705" s="20"/>
      <c r="C705" s="20"/>
      <c r="D705" s="20">
        <v>18000</v>
      </c>
      <c r="E705" s="99" t="s">
        <v>559</v>
      </c>
      <c r="F705" s="20">
        <f t="shared" si="10"/>
        <v>96041036</v>
      </c>
      <c r="G705" s="7" t="s">
        <v>330</v>
      </c>
      <c r="H705" s="24" t="s">
        <v>109</v>
      </c>
      <c r="I705" s="32" t="s">
        <v>152</v>
      </c>
    </row>
    <row r="706" spans="1:9" x14ac:dyDescent="0.35">
      <c r="A706" s="19">
        <v>45755</v>
      </c>
      <c r="B706" s="20"/>
      <c r="C706" s="20"/>
      <c r="D706" s="20">
        <v>30000</v>
      </c>
      <c r="E706" s="99" t="s">
        <v>559</v>
      </c>
      <c r="F706" s="20">
        <f t="shared" si="10"/>
        <v>96071036</v>
      </c>
      <c r="G706" s="7" t="s">
        <v>330</v>
      </c>
      <c r="H706" s="24" t="s">
        <v>109</v>
      </c>
      <c r="I706" s="32" t="s">
        <v>152</v>
      </c>
    </row>
    <row r="707" spans="1:9" x14ac:dyDescent="0.35">
      <c r="A707" s="19">
        <v>45755</v>
      </c>
      <c r="B707" s="20"/>
      <c r="C707" s="20"/>
      <c r="D707" s="20">
        <v>20000</v>
      </c>
      <c r="E707" s="99" t="s">
        <v>559</v>
      </c>
      <c r="F707" s="20">
        <f t="shared" si="10"/>
        <v>96091036</v>
      </c>
      <c r="G707" s="7" t="s">
        <v>330</v>
      </c>
      <c r="H707" s="24" t="s">
        <v>109</v>
      </c>
      <c r="I707" s="32" t="s">
        <v>152</v>
      </c>
    </row>
    <row r="708" spans="1:9" x14ac:dyDescent="0.35">
      <c r="A708" s="19">
        <v>45755</v>
      </c>
      <c r="B708" s="20"/>
      <c r="C708" s="20"/>
      <c r="D708" s="20">
        <v>1000000</v>
      </c>
      <c r="E708" s="99" t="s">
        <v>559</v>
      </c>
      <c r="F708" s="20">
        <f t="shared" si="10"/>
        <v>97091036</v>
      </c>
      <c r="G708" s="7" t="s">
        <v>330</v>
      </c>
      <c r="H708" s="24" t="s">
        <v>109</v>
      </c>
      <c r="I708" s="32" t="s">
        <v>152</v>
      </c>
    </row>
    <row r="709" spans="1:9" x14ac:dyDescent="0.35">
      <c r="A709" s="19">
        <v>45755</v>
      </c>
      <c r="B709" s="20"/>
      <c r="C709" s="20"/>
      <c r="D709" s="20">
        <v>10000</v>
      </c>
      <c r="E709" s="99" t="s">
        <v>559</v>
      </c>
      <c r="F709" s="20">
        <f t="shared" ref="F709:F772" si="11">+F708+D709-B709</f>
        <v>97101036</v>
      </c>
      <c r="G709" s="7" t="s">
        <v>330</v>
      </c>
      <c r="H709" s="24" t="s">
        <v>109</v>
      </c>
      <c r="I709" s="32" t="s">
        <v>152</v>
      </c>
    </row>
    <row r="710" spans="1:9" x14ac:dyDescent="0.35">
      <c r="A710" s="19">
        <v>45755</v>
      </c>
      <c r="B710" s="20"/>
      <c r="C710" s="20"/>
      <c r="D710" s="20">
        <v>620000</v>
      </c>
      <c r="E710" s="99" t="s">
        <v>559</v>
      </c>
      <c r="F710" s="20">
        <f t="shared" si="11"/>
        <v>97721036</v>
      </c>
      <c r="G710" s="7" t="s">
        <v>503</v>
      </c>
      <c r="H710" s="24" t="s">
        <v>105</v>
      </c>
      <c r="I710" s="32" t="s">
        <v>152</v>
      </c>
    </row>
    <row r="711" spans="1:9" x14ac:dyDescent="0.35">
      <c r="A711" s="19">
        <v>45755</v>
      </c>
      <c r="B711" s="20"/>
      <c r="C711" s="20"/>
      <c r="D711" s="20">
        <v>50000</v>
      </c>
      <c r="E711" s="99" t="s">
        <v>559</v>
      </c>
      <c r="F711" s="20">
        <f t="shared" si="11"/>
        <v>97771036</v>
      </c>
      <c r="G711" s="7" t="s">
        <v>330</v>
      </c>
      <c r="H711" s="24" t="s">
        <v>109</v>
      </c>
      <c r="I711" s="32" t="s">
        <v>152</v>
      </c>
    </row>
    <row r="712" spans="1:9" x14ac:dyDescent="0.35">
      <c r="A712" s="19">
        <v>45755</v>
      </c>
      <c r="B712" s="20"/>
      <c r="C712" s="20"/>
      <c r="D712" s="20">
        <v>25000</v>
      </c>
      <c r="E712" s="99" t="s">
        <v>559</v>
      </c>
      <c r="F712" s="20">
        <f t="shared" si="11"/>
        <v>97796036</v>
      </c>
      <c r="G712" s="7" t="s">
        <v>330</v>
      </c>
      <c r="H712" s="24" t="s">
        <v>109</v>
      </c>
      <c r="I712" s="32" t="s">
        <v>152</v>
      </c>
    </row>
    <row r="713" spans="1:9" x14ac:dyDescent="0.35">
      <c r="A713" s="19">
        <v>45755</v>
      </c>
      <c r="B713" s="20"/>
      <c r="C713" s="20"/>
      <c r="D713" s="20">
        <v>150000</v>
      </c>
      <c r="E713" s="99" t="s">
        <v>559</v>
      </c>
      <c r="F713" s="20">
        <f t="shared" si="11"/>
        <v>97946036</v>
      </c>
      <c r="G713" s="7" t="s">
        <v>330</v>
      </c>
      <c r="H713" s="24" t="s">
        <v>109</v>
      </c>
      <c r="I713" s="32" t="s">
        <v>152</v>
      </c>
    </row>
    <row r="714" spans="1:9" x14ac:dyDescent="0.35">
      <c r="A714" s="19">
        <v>45755</v>
      </c>
      <c r="B714" s="20"/>
      <c r="C714" s="20"/>
      <c r="D714" s="20">
        <v>30000</v>
      </c>
      <c r="E714" s="99" t="s">
        <v>559</v>
      </c>
      <c r="F714" s="20">
        <f t="shared" si="11"/>
        <v>97976036</v>
      </c>
      <c r="G714" s="7" t="s">
        <v>330</v>
      </c>
      <c r="H714" s="24" t="s">
        <v>109</v>
      </c>
      <c r="I714" s="32" t="s">
        <v>152</v>
      </c>
    </row>
    <row r="715" spans="1:9" x14ac:dyDescent="0.35">
      <c r="A715" s="19">
        <v>45755</v>
      </c>
      <c r="B715" s="20"/>
      <c r="C715" s="20"/>
      <c r="D715" s="20">
        <v>10000</v>
      </c>
      <c r="E715" s="99" t="s">
        <v>559</v>
      </c>
      <c r="F715" s="20">
        <f t="shared" si="11"/>
        <v>97986036</v>
      </c>
      <c r="G715" s="7" t="s">
        <v>330</v>
      </c>
      <c r="H715" s="24" t="s">
        <v>109</v>
      </c>
      <c r="I715" s="32" t="s">
        <v>152</v>
      </c>
    </row>
    <row r="716" spans="1:9" x14ac:dyDescent="0.35">
      <c r="A716" s="19">
        <v>45755</v>
      </c>
      <c r="B716" s="20"/>
      <c r="C716" s="20"/>
      <c r="D716" s="20">
        <v>6000</v>
      </c>
      <c r="E716" s="99" t="s">
        <v>559</v>
      </c>
      <c r="F716" s="20">
        <f t="shared" si="11"/>
        <v>97992036</v>
      </c>
      <c r="G716" s="7" t="s">
        <v>330</v>
      </c>
      <c r="H716" s="24" t="s">
        <v>109</v>
      </c>
      <c r="I716" s="32" t="s">
        <v>152</v>
      </c>
    </row>
    <row r="717" spans="1:9" x14ac:dyDescent="0.35">
      <c r="A717" s="19">
        <v>45755</v>
      </c>
      <c r="B717" s="20"/>
      <c r="C717" s="20"/>
      <c r="D717" s="20">
        <v>50000</v>
      </c>
      <c r="E717" s="99" t="s">
        <v>559</v>
      </c>
      <c r="F717" s="20">
        <f t="shared" si="11"/>
        <v>98042036</v>
      </c>
      <c r="G717" s="7" t="s">
        <v>330</v>
      </c>
      <c r="H717" s="24" t="s">
        <v>109</v>
      </c>
      <c r="I717" s="32" t="s">
        <v>152</v>
      </c>
    </row>
    <row r="718" spans="1:9" x14ac:dyDescent="0.35">
      <c r="A718" s="19">
        <v>45755</v>
      </c>
      <c r="B718" s="20"/>
      <c r="C718" s="23"/>
      <c r="D718" s="23">
        <v>24000000</v>
      </c>
      <c r="E718" s="99" t="s">
        <v>559</v>
      </c>
      <c r="F718" s="20">
        <f t="shared" si="11"/>
        <v>122042036</v>
      </c>
      <c r="G718" s="7"/>
      <c r="H718" s="24" t="s">
        <v>105</v>
      </c>
      <c r="I718" s="32" t="s">
        <v>152</v>
      </c>
    </row>
    <row r="719" spans="1:9" x14ac:dyDescent="0.35">
      <c r="A719" s="19">
        <v>45755</v>
      </c>
      <c r="B719" s="20"/>
      <c r="C719" s="23"/>
      <c r="D719" s="23">
        <v>2040000</v>
      </c>
      <c r="E719" s="99" t="s">
        <v>559</v>
      </c>
      <c r="F719" s="20">
        <f t="shared" si="11"/>
        <v>124082036</v>
      </c>
      <c r="G719" s="7"/>
      <c r="H719" s="24" t="s">
        <v>109</v>
      </c>
      <c r="I719" s="32" t="s">
        <v>152</v>
      </c>
    </row>
    <row r="720" spans="1:9" x14ac:dyDescent="0.35">
      <c r="A720" s="19"/>
      <c r="B720" s="20"/>
      <c r="C720" s="23">
        <v>26040000</v>
      </c>
      <c r="D720" s="23"/>
      <c r="E720" s="99"/>
      <c r="F720" s="20">
        <f t="shared" si="11"/>
        <v>124082036</v>
      </c>
      <c r="G720" s="7" t="s">
        <v>507</v>
      </c>
      <c r="H720" s="24"/>
      <c r="I720" s="32"/>
    </row>
    <row r="721" spans="1:9" x14ac:dyDescent="0.35">
      <c r="A721" s="19">
        <v>45755</v>
      </c>
      <c r="B721" s="20"/>
      <c r="C721" s="20"/>
      <c r="D721" s="20">
        <v>20000000</v>
      </c>
      <c r="E721" s="99" t="s">
        <v>559</v>
      </c>
      <c r="F721" s="20">
        <f t="shared" si="11"/>
        <v>144082036</v>
      </c>
      <c r="G721" s="7" t="s">
        <v>504</v>
      </c>
      <c r="H721" s="24" t="s">
        <v>105</v>
      </c>
      <c r="I721" s="32" t="s">
        <v>152</v>
      </c>
    </row>
    <row r="722" spans="1:9" x14ac:dyDescent="0.35">
      <c r="A722" s="19">
        <v>45755</v>
      </c>
      <c r="B722" s="20"/>
      <c r="C722" s="20"/>
      <c r="D722" s="20">
        <v>500000</v>
      </c>
      <c r="E722" s="99" t="s">
        <v>559</v>
      </c>
      <c r="F722" s="20">
        <f t="shared" si="11"/>
        <v>144582036</v>
      </c>
      <c r="G722" s="7" t="s">
        <v>330</v>
      </c>
      <c r="H722" s="24" t="s">
        <v>109</v>
      </c>
      <c r="I722" s="32" t="s">
        <v>152</v>
      </c>
    </row>
    <row r="723" spans="1:9" x14ac:dyDescent="0.35">
      <c r="A723" s="19">
        <v>45755</v>
      </c>
      <c r="B723" s="20"/>
      <c r="C723" s="20"/>
      <c r="D723" s="20">
        <v>10000</v>
      </c>
      <c r="E723" s="99" t="s">
        <v>559</v>
      </c>
      <c r="F723" s="20">
        <f t="shared" si="11"/>
        <v>144592036</v>
      </c>
      <c r="G723" s="7" t="s">
        <v>330</v>
      </c>
      <c r="H723" s="24" t="s">
        <v>109</v>
      </c>
      <c r="I723" s="32" t="s">
        <v>152</v>
      </c>
    </row>
    <row r="724" spans="1:9" x14ac:dyDescent="0.35">
      <c r="A724" s="19">
        <v>45755</v>
      </c>
      <c r="B724" s="20"/>
      <c r="C724" s="20"/>
      <c r="D724" s="20">
        <v>10000</v>
      </c>
      <c r="E724" s="99" t="s">
        <v>559</v>
      </c>
      <c r="F724" s="20">
        <f t="shared" si="11"/>
        <v>144602036</v>
      </c>
      <c r="G724" s="7" t="s">
        <v>330</v>
      </c>
      <c r="H724" s="24" t="s">
        <v>109</v>
      </c>
      <c r="I724" s="32" t="s">
        <v>152</v>
      </c>
    </row>
    <row r="725" spans="1:9" x14ac:dyDescent="0.35">
      <c r="A725" s="19">
        <v>45755</v>
      </c>
      <c r="B725" s="20"/>
      <c r="C725" s="20"/>
      <c r="D725" s="20">
        <v>50000</v>
      </c>
      <c r="E725" s="99" t="s">
        <v>559</v>
      </c>
      <c r="F725" s="20">
        <f t="shared" si="11"/>
        <v>144652036</v>
      </c>
      <c r="G725" s="7" t="s">
        <v>330</v>
      </c>
      <c r="H725" s="24" t="s">
        <v>109</v>
      </c>
      <c r="I725" s="32" t="s">
        <v>152</v>
      </c>
    </row>
    <row r="726" spans="1:9" x14ac:dyDescent="0.35">
      <c r="A726" s="19">
        <v>45755</v>
      </c>
      <c r="B726" s="20"/>
      <c r="C726" s="20"/>
      <c r="D726" s="20">
        <v>50000</v>
      </c>
      <c r="E726" s="99" t="s">
        <v>559</v>
      </c>
      <c r="F726" s="20">
        <f t="shared" si="11"/>
        <v>144702036</v>
      </c>
      <c r="G726" s="7" t="s">
        <v>330</v>
      </c>
      <c r="H726" s="24" t="s">
        <v>109</v>
      </c>
      <c r="I726" s="32" t="s">
        <v>152</v>
      </c>
    </row>
    <row r="727" spans="1:9" x14ac:dyDescent="0.35">
      <c r="A727" s="19">
        <v>45755</v>
      </c>
      <c r="B727" s="20"/>
      <c r="C727" s="20"/>
      <c r="D727" s="20">
        <v>100000</v>
      </c>
      <c r="E727" s="99" t="s">
        <v>559</v>
      </c>
      <c r="F727" s="20">
        <f t="shared" si="11"/>
        <v>144802036</v>
      </c>
      <c r="G727" s="7" t="s">
        <v>330</v>
      </c>
      <c r="H727" s="24" t="s">
        <v>109</v>
      </c>
      <c r="I727" s="32" t="s">
        <v>152</v>
      </c>
    </row>
    <row r="728" spans="1:9" x14ac:dyDescent="0.35">
      <c r="A728" s="19">
        <v>45755</v>
      </c>
      <c r="B728" s="20"/>
      <c r="C728" s="20"/>
      <c r="D728" s="20">
        <v>20000</v>
      </c>
      <c r="E728" s="99" t="s">
        <v>559</v>
      </c>
      <c r="F728" s="20">
        <f t="shared" si="11"/>
        <v>144822036</v>
      </c>
      <c r="G728" s="7" t="s">
        <v>330</v>
      </c>
      <c r="H728" s="24" t="s">
        <v>109</v>
      </c>
      <c r="I728" s="32" t="s">
        <v>152</v>
      </c>
    </row>
    <row r="729" spans="1:9" x14ac:dyDescent="0.35">
      <c r="A729" s="19">
        <v>45755</v>
      </c>
      <c r="B729" s="20"/>
      <c r="C729" s="20"/>
      <c r="D729" s="20">
        <v>20000</v>
      </c>
      <c r="E729" s="99" t="s">
        <v>559</v>
      </c>
      <c r="F729" s="20">
        <f t="shared" si="11"/>
        <v>144842036</v>
      </c>
      <c r="G729" s="7" t="s">
        <v>330</v>
      </c>
      <c r="H729" s="24" t="s">
        <v>109</v>
      </c>
      <c r="I729" s="32" t="s">
        <v>152</v>
      </c>
    </row>
    <row r="730" spans="1:9" x14ac:dyDescent="0.35">
      <c r="A730" s="19">
        <v>45755</v>
      </c>
      <c r="B730" s="20"/>
      <c r="C730" s="20"/>
      <c r="D730" s="20">
        <v>10000</v>
      </c>
      <c r="E730" s="99" t="s">
        <v>559</v>
      </c>
      <c r="F730" s="20">
        <f t="shared" si="11"/>
        <v>144852036</v>
      </c>
      <c r="G730" s="7" t="s">
        <v>330</v>
      </c>
      <c r="H730" s="24" t="s">
        <v>109</v>
      </c>
      <c r="I730" s="32" t="s">
        <v>152</v>
      </c>
    </row>
    <row r="731" spans="1:9" x14ac:dyDescent="0.35">
      <c r="A731" s="19">
        <v>45755</v>
      </c>
      <c r="B731" s="20"/>
      <c r="C731" s="20"/>
      <c r="D731" s="20">
        <v>10000000</v>
      </c>
      <c r="E731" s="99" t="s">
        <v>559</v>
      </c>
      <c r="F731" s="20">
        <f t="shared" si="11"/>
        <v>154852036</v>
      </c>
      <c r="G731" s="7" t="s">
        <v>505</v>
      </c>
      <c r="H731" s="24" t="s">
        <v>105</v>
      </c>
      <c r="I731" s="32" t="s">
        <v>152</v>
      </c>
    </row>
    <row r="732" spans="1:9" x14ac:dyDescent="0.35">
      <c r="A732" s="19">
        <v>45755</v>
      </c>
      <c r="B732" s="20"/>
      <c r="C732" s="20"/>
      <c r="D732" s="20">
        <v>250000</v>
      </c>
      <c r="E732" s="99" t="s">
        <v>559</v>
      </c>
      <c r="F732" s="20">
        <f t="shared" si="11"/>
        <v>155102036</v>
      </c>
      <c r="G732" s="7" t="s">
        <v>330</v>
      </c>
      <c r="H732" s="24" t="s">
        <v>109</v>
      </c>
      <c r="I732" s="32" t="s">
        <v>152</v>
      </c>
    </row>
    <row r="733" spans="1:9" x14ac:dyDescent="0.35">
      <c r="A733" s="19">
        <v>45755</v>
      </c>
      <c r="B733" s="20"/>
      <c r="C733" s="20"/>
      <c r="D733" s="20">
        <v>50000</v>
      </c>
      <c r="E733" s="99" t="s">
        <v>559</v>
      </c>
      <c r="F733" s="20">
        <f t="shared" si="11"/>
        <v>155152036</v>
      </c>
      <c r="G733" s="7" t="s">
        <v>330</v>
      </c>
      <c r="H733" s="24" t="s">
        <v>109</v>
      </c>
      <c r="I733" s="32" t="s">
        <v>152</v>
      </c>
    </row>
    <row r="734" spans="1:9" x14ac:dyDescent="0.35">
      <c r="A734" s="19">
        <v>45755</v>
      </c>
      <c r="B734" s="20"/>
      <c r="C734" s="20"/>
      <c r="D734" s="20">
        <v>10000</v>
      </c>
      <c r="E734" s="99" t="s">
        <v>559</v>
      </c>
      <c r="F734" s="20">
        <f t="shared" si="11"/>
        <v>155162036</v>
      </c>
      <c r="G734" s="7" t="s">
        <v>330</v>
      </c>
      <c r="H734" s="24" t="s">
        <v>109</v>
      </c>
      <c r="I734" s="32" t="s">
        <v>152</v>
      </c>
    </row>
    <row r="735" spans="1:9" x14ac:dyDescent="0.35">
      <c r="A735" s="19">
        <v>45755</v>
      </c>
      <c r="B735" s="20"/>
      <c r="C735" s="20"/>
      <c r="D735" s="20">
        <v>20000</v>
      </c>
      <c r="E735" s="99" t="s">
        <v>559</v>
      </c>
      <c r="F735" s="20">
        <f t="shared" si="11"/>
        <v>155182036</v>
      </c>
      <c r="G735" s="7" t="s">
        <v>330</v>
      </c>
      <c r="H735" s="24" t="s">
        <v>109</v>
      </c>
      <c r="I735" s="32" t="s">
        <v>152</v>
      </c>
    </row>
    <row r="736" spans="1:9" x14ac:dyDescent="0.35">
      <c r="A736" s="19">
        <v>45755</v>
      </c>
      <c r="B736" s="20"/>
      <c r="C736" s="20"/>
      <c r="D736" s="20">
        <v>50000</v>
      </c>
      <c r="E736" s="99" t="s">
        <v>559</v>
      </c>
      <c r="F736" s="20">
        <f t="shared" si="11"/>
        <v>155232036</v>
      </c>
      <c r="G736" s="7" t="s">
        <v>330</v>
      </c>
      <c r="H736" s="24" t="s">
        <v>109</v>
      </c>
      <c r="I736" s="32" t="s">
        <v>152</v>
      </c>
    </row>
    <row r="737" spans="1:9" x14ac:dyDescent="0.35">
      <c r="A737" s="19">
        <v>45755</v>
      </c>
      <c r="B737" s="20"/>
      <c r="C737" s="20"/>
      <c r="D737" s="20">
        <v>5000</v>
      </c>
      <c r="E737" s="99" t="s">
        <v>559</v>
      </c>
      <c r="F737" s="20">
        <f t="shared" si="11"/>
        <v>155237036</v>
      </c>
      <c r="G737" s="7" t="s">
        <v>330</v>
      </c>
      <c r="H737" s="24" t="s">
        <v>109</v>
      </c>
      <c r="I737" s="32" t="s">
        <v>152</v>
      </c>
    </row>
    <row r="738" spans="1:9" x14ac:dyDescent="0.35">
      <c r="A738" s="19">
        <v>45755</v>
      </c>
      <c r="B738" s="20"/>
      <c r="C738" s="20"/>
      <c r="D738" s="20">
        <v>10000</v>
      </c>
      <c r="E738" s="99" t="s">
        <v>559</v>
      </c>
      <c r="F738" s="20">
        <f t="shared" si="11"/>
        <v>155247036</v>
      </c>
      <c r="G738" s="7" t="s">
        <v>330</v>
      </c>
      <c r="H738" s="24" t="s">
        <v>109</v>
      </c>
      <c r="I738" s="32" t="s">
        <v>152</v>
      </c>
    </row>
    <row r="739" spans="1:9" x14ac:dyDescent="0.35">
      <c r="A739" s="19">
        <v>45755</v>
      </c>
      <c r="B739" s="20"/>
      <c r="C739" s="20"/>
      <c r="D739" s="20">
        <v>10000</v>
      </c>
      <c r="E739" s="99" t="s">
        <v>559</v>
      </c>
      <c r="F739" s="20">
        <f t="shared" si="11"/>
        <v>155257036</v>
      </c>
      <c r="G739" s="7" t="s">
        <v>330</v>
      </c>
      <c r="H739" s="24" t="s">
        <v>109</v>
      </c>
      <c r="I739" s="32" t="s">
        <v>152</v>
      </c>
    </row>
    <row r="740" spans="1:9" x14ac:dyDescent="0.35">
      <c r="A740" s="19">
        <v>45755</v>
      </c>
      <c r="B740" s="20"/>
      <c r="C740" s="20"/>
      <c r="D740" s="20">
        <v>200000</v>
      </c>
      <c r="E740" s="99" t="s">
        <v>559</v>
      </c>
      <c r="F740" s="20">
        <f t="shared" si="11"/>
        <v>155457036</v>
      </c>
      <c r="G740" s="7" t="s">
        <v>330</v>
      </c>
      <c r="H740" s="24" t="s">
        <v>109</v>
      </c>
      <c r="I740" s="32" t="s">
        <v>152</v>
      </c>
    </row>
    <row r="741" spans="1:9" x14ac:dyDescent="0.35">
      <c r="A741" s="19">
        <v>45755</v>
      </c>
      <c r="B741" s="20"/>
      <c r="C741" s="20"/>
      <c r="D741" s="20">
        <v>200000</v>
      </c>
      <c r="E741" s="99" t="s">
        <v>559</v>
      </c>
      <c r="F741" s="20">
        <f t="shared" si="11"/>
        <v>155657036</v>
      </c>
      <c r="G741" s="7" t="s">
        <v>330</v>
      </c>
      <c r="H741" s="24" t="s">
        <v>109</v>
      </c>
      <c r="I741" s="32" t="s">
        <v>152</v>
      </c>
    </row>
    <row r="742" spans="1:9" x14ac:dyDescent="0.35">
      <c r="A742" s="19">
        <v>45755</v>
      </c>
      <c r="B742" s="20"/>
      <c r="C742" s="20"/>
      <c r="D742" s="20">
        <v>10000</v>
      </c>
      <c r="E742" s="99" t="s">
        <v>559</v>
      </c>
      <c r="F742" s="20">
        <f t="shared" si="11"/>
        <v>155667036</v>
      </c>
      <c r="G742" s="7" t="s">
        <v>330</v>
      </c>
      <c r="H742" s="24" t="s">
        <v>109</v>
      </c>
      <c r="I742" s="32" t="s">
        <v>152</v>
      </c>
    </row>
    <row r="743" spans="1:9" x14ac:dyDescent="0.35">
      <c r="A743" s="19">
        <v>45755</v>
      </c>
      <c r="B743" s="20"/>
      <c r="C743" s="20"/>
      <c r="D743" s="20">
        <v>20000</v>
      </c>
      <c r="E743" s="99" t="s">
        <v>559</v>
      </c>
      <c r="F743" s="20">
        <f t="shared" si="11"/>
        <v>155687036</v>
      </c>
      <c r="G743" s="7" t="s">
        <v>330</v>
      </c>
      <c r="H743" s="24" t="s">
        <v>109</v>
      </c>
      <c r="I743" s="32" t="s">
        <v>152</v>
      </c>
    </row>
    <row r="744" spans="1:9" x14ac:dyDescent="0.35">
      <c r="A744" s="19">
        <v>45755</v>
      </c>
      <c r="B744" s="20"/>
      <c r="C744" s="20"/>
      <c r="D744" s="20">
        <v>5700</v>
      </c>
      <c r="E744" s="99" t="s">
        <v>559</v>
      </c>
      <c r="F744" s="20">
        <f t="shared" si="11"/>
        <v>155692736</v>
      </c>
      <c r="G744" s="7" t="s">
        <v>330</v>
      </c>
      <c r="H744" s="24" t="s">
        <v>109</v>
      </c>
      <c r="I744" s="32" t="s">
        <v>152</v>
      </c>
    </row>
    <row r="745" spans="1:9" x14ac:dyDescent="0.35">
      <c r="A745" s="19">
        <v>45755</v>
      </c>
      <c r="B745" s="20"/>
      <c r="C745" s="20"/>
      <c r="D745" s="20">
        <v>400000</v>
      </c>
      <c r="E745" s="99" t="s">
        <v>559</v>
      </c>
      <c r="F745" s="20">
        <f t="shared" si="11"/>
        <v>156092736</v>
      </c>
      <c r="G745" s="7" t="s">
        <v>515</v>
      </c>
      <c r="H745" s="24" t="s">
        <v>109</v>
      </c>
      <c r="I745" s="32" t="s">
        <v>152</v>
      </c>
    </row>
    <row r="746" spans="1:9" x14ac:dyDescent="0.35">
      <c r="A746" s="19">
        <v>45755</v>
      </c>
      <c r="B746" s="20"/>
      <c r="C746" s="20"/>
      <c r="D746" s="20">
        <v>20000</v>
      </c>
      <c r="E746" s="99" t="s">
        <v>559</v>
      </c>
      <c r="F746" s="20">
        <f t="shared" si="11"/>
        <v>156112736</v>
      </c>
      <c r="G746" s="7" t="s">
        <v>330</v>
      </c>
      <c r="H746" s="24" t="s">
        <v>109</v>
      </c>
      <c r="I746" s="32" t="s">
        <v>152</v>
      </c>
    </row>
    <row r="747" spans="1:9" x14ac:dyDescent="0.35">
      <c r="A747" s="19">
        <v>45755</v>
      </c>
      <c r="B747" s="20"/>
      <c r="C747" s="20"/>
      <c r="D747" s="20">
        <v>5700</v>
      </c>
      <c r="E747" s="99" t="s">
        <v>559</v>
      </c>
      <c r="F747" s="20">
        <f t="shared" si="11"/>
        <v>156118436</v>
      </c>
      <c r="G747" s="7" t="s">
        <v>330</v>
      </c>
      <c r="H747" s="24" t="s">
        <v>109</v>
      </c>
      <c r="I747" s="32" t="s">
        <v>152</v>
      </c>
    </row>
    <row r="748" spans="1:9" x14ac:dyDescent="0.35">
      <c r="A748" s="19">
        <v>45755</v>
      </c>
      <c r="B748" s="20"/>
      <c r="C748" s="20"/>
      <c r="D748" s="20">
        <v>100000</v>
      </c>
      <c r="E748" s="99" t="s">
        <v>559</v>
      </c>
      <c r="F748" s="20">
        <f t="shared" si="11"/>
        <v>156218436</v>
      </c>
      <c r="G748" s="7" t="s">
        <v>516</v>
      </c>
      <c r="H748" s="24" t="s">
        <v>109</v>
      </c>
      <c r="I748" s="32" t="s">
        <v>152</v>
      </c>
    </row>
    <row r="749" spans="1:9" x14ac:dyDescent="0.35">
      <c r="A749" s="19">
        <v>45755</v>
      </c>
      <c r="B749" s="20"/>
      <c r="C749" s="20"/>
      <c r="D749" s="20">
        <v>150000</v>
      </c>
      <c r="E749" s="99" t="s">
        <v>559</v>
      </c>
      <c r="F749" s="20">
        <f t="shared" si="11"/>
        <v>156368436</v>
      </c>
      <c r="G749" s="7" t="s">
        <v>517</v>
      </c>
      <c r="H749" s="24" t="s">
        <v>109</v>
      </c>
      <c r="I749" s="32" t="s">
        <v>152</v>
      </c>
    </row>
    <row r="750" spans="1:9" x14ac:dyDescent="0.35">
      <c r="A750" s="19">
        <v>45755</v>
      </c>
      <c r="B750" s="20"/>
      <c r="C750" s="20"/>
      <c r="D750" s="20">
        <v>4816</v>
      </c>
      <c r="E750" s="99" t="s">
        <v>559</v>
      </c>
      <c r="F750" s="20">
        <f t="shared" si="11"/>
        <v>156373252</v>
      </c>
      <c r="G750" s="7" t="s">
        <v>330</v>
      </c>
      <c r="H750" s="24" t="s">
        <v>109</v>
      </c>
      <c r="I750" s="32" t="s">
        <v>152</v>
      </c>
    </row>
    <row r="751" spans="1:9" x14ac:dyDescent="0.35">
      <c r="A751" s="19">
        <v>45755</v>
      </c>
      <c r="B751" s="20"/>
      <c r="C751" s="20"/>
      <c r="D751" s="20">
        <v>10000</v>
      </c>
      <c r="E751" s="99" t="s">
        <v>559</v>
      </c>
      <c r="F751" s="20">
        <f t="shared" si="11"/>
        <v>156383252</v>
      </c>
      <c r="G751" s="7" t="s">
        <v>330</v>
      </c>
      <c r="H751" s="24" t="s">
        <v>109</v>
      </c>
      <c r="I751" s="32" t="s">
        <v>152</v>
      </c>
    </row>
    <row r="752" spans="1:9" x14ac:dyDescent="0.35">
      <c r="A752" s="19">
        <v>45755</v>
      </c>
      <c r="B752" s="20"/>
      <c r="C752" s="20"/>
      <c r="D752" s="20">
        <v>2308</v>
      </c>
      <c r="E752" s="99" t="s">
        <v>559</v>
      </c>
      <c r="F752" s="20">
        <f t="shared" si="11"/>
        <v>156385560</v>
      </c>
      <c r="G752" s="7" t="s">
        <v>330</v>
      </c>
      <c r="H752" s="24" t="s">
        <v>109</v>
      </c>
      <c r="I752" s="32" t="s">
        <v>152</v>
      </c>
    </row>
    <row r="753" spans="1:9" x14ac:dyDescent="0.35">
      <c r="A753" s="19">
        <v>45755</v>
      </c>
      <c r="B753" s="20">
        <v>20000</v>
      </c>
      <c r="C753" s="20"/>
      <c r="D753" s="20"/>
      <c r="E753" s="99" t="s">
        <v>559</v>
      </c>
      <c r="F753" s="20">
        <f t="shared" si="11"/>
        <v>156365560</v>
      </c>
      <c r="G753" s="7" t="s">
        <v>330</v>
      </c>
      <c r="H753" s="24" t="s">
        <v>320</v>
      </c>
      <c r="I753" s="32" t="s">
        <v>152</v>
      </c>
    </row>
    <row r="754" spans="1:9" x14ac:dyDescent="0.35">
      <c r="A754" s="19">
        <v>45755</v>
      </c>
      <c r="B754" s="20">
        <v>5700</v>
      </c>
      <c r="C754" s="20"/>
      <c r="D754" s="20"/>
      <c r="E754" s="99" t="s">
        <v>559</v>
      </c>
      <c r="F754" s="20">
        <f t="shared" si="11"/>
        <v>156359860</v>
      </c>
      <c r="G754" s="7" t="s">
        <v>330</v>
      </c>
      <c r="H754" s="24" t="s">
        <v>320</v>
      </c>
      <c r="I754" s="32" t="s">
        <v>152</v>
      </c>
    </row>
    <row r="755" spans="1:9" x14ac:dyDescent="0.35">
      <c r="A755" s="19">
        <v>45755</v>
      </c>
      <c r="B755" s="20"/>
      <c r="C755" s="20"/>
      <c r="D755" s="20">
        <v>25000</v>
      </c>
      <c r="E755" s="99" t="s">
        <v>559</v>
      </c>
      <c r="F755" s="20">
        <f t="shared" si="11"/>
        <v>156384860</v>
      </c>
      <c r="G755" s="7" t="s">
        <v>330</v>
      </c>
      <c r="H755" s="24" t="s">
        <v>109</v>
      </c>
      <c r="I755" s="32" t="s">
        <v>152</v>
      </c>
    </row>
    <row r="756" spans="1:9" x14ac:dyDescent="0.35">
      <c r="A756" s="19">
        <v>45755</v>
      </c>
      <c r="B756" s="20"/>
      <c r="C756" s="20"/>
      <c r="D756" s="20">
        <v>10000</v>
      </c>
      <c r="E756" s="99" t="s">
        <v>559</v>
      </c>
      <c r="F756" s="20">
        <f t="shared" si="11"/>
        <v>156394860</v>
      </c>
      <c r="G756" s="7" t="s">
        <v>330</v>
      </c>
      <c r="H756" s="24" t="s">
        <v>109</v>
      </c>
      <c r="I756" s="32" t="s">
        <v>152</v>
      </c>
    </row>
    <row r="757" spans="1:9" x14ac:dyDescent="0.35">
      <c r="A757" s="19">
        <v>45755</v>
      </c>
      <c r="B757" s="20"/>
      <c r="C757" s="20"/>
      <c r="D757" s="20">
        <v>20000</v>
      </c>
      <c r="E757" s="99" t="s">
        <v>559</v>
      </c>
      <c r="F757" s="20">
        <f t="shared" si="11"/>
        <v>156414860</v>
      </c>
      <c r="G757" s="7" t="s">
        <v>330</v>
      </c>
      <c r="H757" s="24" t="s">
        <v>109</v>
      </c>
      <c r="I757" s="32" t="s">
        <v>152</v>
      </c>
    </row>
    <row r="758" spans="1:9" x14ac:dyDescent="0.35">
      <c r="A758" s="19">
        <v>45755</v>
      </c>
      <c r="B758" s="20"/>
      <c r="C758" s="20"/>
      <c r="D758" s="20">
        <v>25000</v>
      </c>
      <c r="E758" s="99" t="s">
        <v>559</v>
      </c>
      <c r="F758" s="20">
        <f t="shared" si="11"/>
        <v>156439860</v>
      </c>
      <c r="G758" s="7" t="s">
        <v>330</v>
      </c>
      <c r="H758" s="24" t="s">
        <v>109</v>
      </c>
      <c r="I758" s="32" t="s">
        <v>152</v>
      </c>
    </row>
    <row r="759" spans="1:9" x14ac:dyDescent="0.35">
      <c r="A759" s="19">
        <v>45755</v>
      </c>
      <c r="B759" s="20"/>
      <c r="C759" s="20"/>
      <c r="D759" s="20">
        <v>100000</v>
      </c>
      <c r="E759" s="99" t="s">
        <v>559</v>
      </c>
      <c r="F759" s="20">
        <f t="shared" si="11"/>
        <v>156539860</v>
      </c>
      <c r="G759" s="7" t="s">
        <v>330</v>
      </c>
      <c r="H759" s="24" t="s">
        <v>109</v>
      </c>
      <c r="I759" s="32" t="s">
        <v>152</v>
      </c>
    </row>
    <row r="760" spans="1:9" x14ac:dyDescent="0.35">
      <c r="A760" s="19">
        <v>45755</v>
      </c>
      <c r="B760" s="20"/>
      <c r="C760" s="20"/>
      <c r="D760" s="20">
        <v>22000</v>
      </c>
      <c r="E760" s="99" t="s">
        <v>559</v>
      </c>
      <c r="F760" s="20">
        <f t="shared" si="11"/>
        <v>156561860</v>
      </c>
      <c r="G760" s="7" t="s">
        <v>330</v>
      </c>
      <c r="H760" s="24" t="s">
        <v>109</v>
      </c>
      <c r="I760" s="32" t="s">
        <v>152</v>
      </c>
    </row>
    <row r="761" spans="1:9" x14ac:dyDescent="0.35">
      <c r="A761" s="19">
        <v>45757</v>
      </c>
      <c r="B761" s="20">
        <v>2000000</v>
      </c>
      <c r="C761" s="20"/>
      <c r="D761" s="20"/>
      <c r="E761" s="99" t="s">
        <v>559</v>
      </c>
      <c r="F761" s="20">
        <f t="shared" si="11"/>
        <v>154561860</v>
      </c>
      <c r="G761" s="7" t="s">
        <v>518</v>
      </c>
      <c r="H761" s="24" t="s">
        <v>323</v>
      </c>
      <c r="I761" s="32" t="s">
        <v>152</v>
      </c>
    </row>
    <row r="762" spans="1:9" x14ac:dyDescent="0.35">
      <c r="A762" s="19">
        <v>45757</v>
      </c>
      <c r="B762" s="20">
        <v>2900</v>
      </c>
      <c r="C762" s="20"/>
      <c r="D762" s="20"/>
      <c r="E762" s="99" t="s">
        <v>559</v>
      </c>
      <c r="F762" s="20">
        <f t="shared" si="11"/>
        <v>154558960</v>
      </c>
      <c r="G762" s="7" t="s">
        <v>519</v>
      </c>
      <c r="H762" s="24" t="s">
        <v>323</v>
      </c>
      <c r="I762" s="32" t="s">
        <v>152</v>
      </c>
    </row>
    <row r="763" spans="1:9" x14ac:dyDescent="0.35">
      <c r="A763" s="19">
        <v>45757</v>
      </c>
      <c r="B763" s="20"/>
      <c r="C763" s="20"/>
      <c r="D763" s="20">
        <v>17785500</v>
      </c>
      <c r="E763" s="99" t="s">
        <v>559</v>
      </c>
      <c r="F763" s="20">
        <f t="shared" si="11"/>
        <v>172344460</v>
      </c>
      <c r="G763" s="7" t="s">
        <v>520</v>
      </c>
      <c r="H763" s="24" t="s">
        <v>109</v>
      </c>
      <c r="I763" s="32" t="s">
        <v>152</v>
      </c>
    </row>
    <row r="764" spans="1:9" x14ac:dyDescent="0.35">
      <c r="A764" s="19">
        <v>45758</v>
      </c>
      <c r="B764" s="20"/>
      <c r="C764" s="20"/>
      <c r="D764" s="20">
        <v>100000</v>
      </c>
      <c r="E764" s="99" t="s">
        <v>559</v>
      </c>
      <c r="F764" s="20">
        <f t="shared" si="11"/>
        <v>172444460</v>
      </c>
      <c r="G764" s="7" t="s">
        <v>330</v>
      </c>
      <c r="H764" s="24" t="s">
        <v>109</v>
      </c>
      <c r="I764" s="32" t="s">
        <v>152</v>
      </c>
    </row>
    <row r="765" spans="1:9" x14ac:dyDescent="0.35">
      <c r="A765" s="19">
        <v>45758</v>
      </c>
      <c r="B765" s="20"/>
      <c r="C765" s="20"/>
      <c r="D765" s="20">
        <v>2000000</v>
      </c>
      <c r="E765" s="99" t="s">
        <v>559</v>
      </c>
      <c r="F765" s="20">
        <f t="shared" si="11"/>
        <v>174444460</v>
      </c>
      <c r="G765" s="7" t="s">
        <v>522</v>
      </c>
      <c r="H765" s="24" t="s">
        <v>109</v>
      </c>
      <c r="I765" s="32" t="s">
        <v>152</v>
      </c>
    </row>
    <row r="766" spans="1:9" x14ac:dyDescent="0.35">
      <c r="A766" s="19">
        <v>45758</v>
      </c>
      <c r="B766" s="20">
        <v>5250000</v>
      </c>
      <c r="C766" s="20"/>
      <c r="D766" s="20"/>
      <c r="E766" s="99" t="s">
        <v>559</v>
      </c>
      <c r="F766" s="20">
        <f t="shared" si="11"/>
        <v>169194460</v>
      </c>
      <c r="G766" s="7" t="s">
        <v>523</v>
      </c>
      <c r="H766" s="24" t="s">
        <v>322</v>
      </c>
      <c r="I766" s="32" t="s">
        <v>152</v>
      </c>
    </row>
    <row r="767" spans="1:9" x14ac:dyDescent="0.35">
      <c r="A767" s="19">
        <v>45758</v>
      </c>
      <c r="B767" s="20">
        <v>2900</v>
      </c>
      <c r="C767" s="20"/>
      <c r="D767" s="20"/>
      <c r="E767" s="99" t="s">
        <v>559</v>
      </c>
      <c r="F767" s="20">
        <f t="shared" si="11"/>
        <v>169191560</v>
      </c>
      <c r="G767" s="7" t="s">
        <v>524</v>
      </c>
      <c r="H767" s="24" t="s">
        <v>322</v>
      </c>
      <c r="I767" s="32" t="s">
        <v>152</v>
      </c>
    </row>
    <row r="768" spans="1:9" x14ac:dyDescent="0.35">
      <c r="A768" s="19">
        <v>45758</v>
      </c>
      <c r="B768" s="20"/>
      <c r="C768" s="20"/>
      <c r="D768" s="20">
        <v>1000000</v>
      </c>
      <c r="E768" s="99" t="s">
        <v>559</v>
      </c>
      <c r="F768" s="20">
        <f t="shared" si="11"/>
        <v>170191560</v>
      </c>
      <c r="G768" s="7" t="s">
        <v>526</v>
      </c>
      <c r="H768" s="24" t="s">
        <v>109</v>
      </c>
      <c r="I768" s="32" t="s">
        <v>152</v>
      </c>
    </row>
    <row r="769" spans="1:9" x14ac:dyDescent="0.35">
      <c r="A769" s="19">
        <v>45758</v>
      </c>
      <c r="B769" s="20"/>
      <c r="C769" s="20"/>
      <c r="D769" s="20">
        <v>66500</v>
      </c>
      <c r="E769" s="99" t="s">
        <v>559</v>
      </c>
      <c r="F769" s="20">
        <f t="shared" si="11"/>
        <v>170258060</v>
      </c>
      <c r="G769" s="7" t="s">
        <v>527</v>
      </c>
      <c r="H769" s="24" t="s">
        <v>109</v>
      </c>
      <c r="I769" s="32" t="s">
        <v>152</v>
      </c>
    </row>
    <row r="770" spans="1:9" x14ac:dyDescent="0.35">
      <c r="A770" s="19">
        <v>45761</v>
      </c>
      <c r="B770" s="20"/>
      <c r="C770" s="20"/>
      <c r="D770" s="20">
        <v>25000</v>
      </c>
      <c r="E770" s="99" t="s">
        <v>559</v>
      </c>
      <c r="F770" s="20">
        <f t="shared" si="11"/>
        <v>170283060</v>
      </c>
      <c r="G770" s="7" t="s">
        <v>330</v>
      </c>
      <c r="H770" s="24" t="s">
        <v>109</v>
      </c>
      <c r="I770" s="32" t="s">
        <v>152</v>
      </c>
    </row>
    <row r="771" spans="1:9" x14ac:dyDescent="0.35">
      <c r="A771" s="19">
        <v>45761</v>
      </c>
      <c r="B771" s="20"/>
      <c r="C771" s="20"/>
      <c r="D771" s="20">
        <v>100000</v>
      </c>
      <c r="E771" s="99" t="s">
        <v>559</v>
      </c>
      <c r="F771" s="20">
        <f t="shared" si="11"/>
        <v>170383060</v>
      </c>
      <c r="G771" s="7" t="s">
        <v>330</v>
      </c>
      <c r="H771" s="24" t="s">
        <v>109</v>
      </c>
      <c r="I771" s="32" t="s">
        <v>152</v>
      </c>
    </row>
    <row r="772" spans="1:9" x14ac:dyDescent="0.35">
      <c r="A772" s="19">
        <v>45761</v>
      </c>
      <c r="B772" s="20"/>
      <c r="C772" s="20"/>
      <c r="D772" s="20">
        <v>25000</v>
      </c>
      <c r="E772" s="99" t="s">
        <v>559</v>
      </c>
      <c r="F772" s="20">
        <f t="shared" si="11"/>
        <v>170408060</v>
      </c>
      <c r="G772" s="7" t="s">
        <v>330</v>
      </c>
      <c r="H772" s="24" t="s">
        <v>109</v>
      </c>
      <c r="I772" s="32" t="s">
        <v>152</v>
      </c>
    </row>
    <row r="773" spans="1:9" x14ac:dyDescent="0.35">
      <c r="A773" s="19">
        <v>45761</v>
      </c>
      <c r="B773" s="20"/>
      <c r="C773" s="20"/>
      <c r="D773" s="20">
        <v>50000</v>
      </c>
      <c r="E773" s="99" t="s">
        <v>559</v>
      </c>
      <c r="F773" s="20">
        <f t="shared" ref="F773:F836" si="12">+F772+D773-B773</f>
        <v>170458060</v>
      </c>
      <c r="G773" s="7" t="s">
        <v>330</v>
      </c>
      <c r="H773" s="24" t="s">
        <v>109</v>
      </c>
      <c r="I773" s="32" t="s">
        <v>152</v>
      </c>
    </row>
    <row r="774" spans="1:9" x14ac:dyDescent="0.35">
      <c r="A774" s="19">
        <v>45761</v>
      </c>
      <c r="B774" s="20"/>
      <c r="C774" s="20"/>
      <c r="D774" s="20">
        <v>10000</v>
      </c>
      <c r="E774" s="99" t="s">
        <v>559</v>
      </c>
      <c r="F774" s="20">
        <f t="shared" si="12"/>
        <v>170468060</v>
      </c>
      <c r="G774" s="7" t="s">
        <v>330</v>
      </c>
      <c r="H774" s="24" t="s">
        <v>109</v>
      </c>
      <c r="I774" s="32" t="s">
        <v>152</v>
      </c>
    </row>
    <row r="775" spans="1:9" x14ac:dyDescent="0.35">
      <c r="A775" s="19">
        <v>45761</v>
      </c>
      <c r="B775" s="20"/>
      <c r="C775" s="20"/>
      <c r="D775" s="20">
        <v>10000</v>
      </c>
      <c r="E775" s="99" t="s">
        <v>559</v>
      </c>
      <c r="F775" s="20">
        <f t="shared" si="12"/>
        <v>170478060</v>
      </c>
      <c r="G775" s="7" t="s">
        <v>330</v>
      </c>
      <c r="H775" s="24" t="s">
        <v>109</v>
      </c>
      <c r="I775" s="32" t="s">
        <v>152</v>
      </c>
    </row>
    <row r="776" spans="1:9" x14ac:dyDescent="0.35">
      <c r="A776" s="19">
        <v>45761</v>
      </c>
      <c r="B776" s="20"/>
      <c r="C776" s="20"/>
      <c r="D776" s="20">
        <v>20000</v>
      </c>
      <c r="E776" s="99" t="s">
        <v>559</v>
      </c>
      <c r="F776" s="20">
        <f t="shared" si="12"/>
        <v>170498060</v>
      </c>
      <c r="G776" s="7" t="s">
        <v>330</v>
      </c>
      <c r="H776" s="24" t="s">
        <v>109</v>
      </c>
      <c r="I776" s="32" t="s">
        <v>152</v>
      </c>
    </row>
    <row r="777" spans="1:9" x14ac:dyDescent="0.35">
      <c r="A777" s="19">
        <v>45761</v>
      </c>
      <c r="B777" s="20"/>
      <c r="C777" s="20"/>
      <c r="D777" s="20">
        <v>10000</v>
      </c>
      <c r="E777" s="99" t="s">
        <v>559</v>
      </c>
      <c r="F777" s="20">
        <f t="shared" si="12"/>
        <v>170508060</v>
      </c>
      <c r="G777" s="7" t="s">
        <v>330</v>
      </c>
      <c r="H777" s="24" t="s">
        <v>109</v>
      </c>
      <c r="I777" s="32" t="s">
        <v>152</v>
      </c>
    </row>
    <row r="778" spans="1:9" x14ac:dyDescent="0.35">
      <c r="A778" s="19">
        <v>45761</v>
      </c>
      <c r="B778" s="20"/>
      <c r="C778" s="20"/>
      <c r="D778" s="20">
        <v>5000</v>
      </c>
      <c r="E778" s="99" t="s">
        <v>559</v>
      </c>
      <c r="F778" s="20">
        <f t="shared" si="12"/>
        <v>170513060</v>
      </c>
      <c r="G778" s="7" t="s">
        <v>330</v>
      </c>
      <c r="H778" s="24" t="s">
        <v>109</v>
      </c>
      <c r="I778" s="32" t="s">
        <v>152</v>
      </c>
    </row>
    <row r="779" spans="1:9" x14ac:dyDescent="0.35">
      <c r="A779" s="19">
        <v>45761</v>
      </c>
      <c r="B779" s="20"/>
      <c r="C779" s="20"/>
      <c r="D779" s="20">
        <v>6661</v>
      </c>
      <c r="E779" s="99" t="s">
        <v>559</v>
      </c>
      <c r="F779" s="20">
        <f t="shared" si="12"/>
        <v>170519721</v>
      </c>
      <c r="G779" s="7" t="s">
        <v>330</v>
      </c>
      <c r="H779" s="24" t="s">
        <v>109</v>
      </c>
      <c r="I779" s="32" t="s">
        <v>152</v>
      </c>
    </row>
    <row r="780" spans="1:9" x14ac:dyDescent="0.35">
      <c r="A780" s="19">
        <v>45761</v>
      </c>
      <c r="B780" s="20">
        <v>4105500</v>
      </c>
      <c r="C780" s="20"/>
      <c r="D780" s="20"/>
      <c r="E780" s="99" t="s">
        <v>559</v>
      </c>
      <c r="F780" s="20">
        <f t="shared" si="12"/>
        <v>166414221</v>
      </c>
      <c r="G780" s="7" t="s">
        <v>528</v>
      </c>
      <c r="H780" s="24" t="s">
        <v>322</v>
      </c>
      <c r="I780" s="32" t="s">
        <v>152</v>
      </c>
    </row>
    <row r="781" spans="1:9" x14ac:dyDescent="0.35">
      <c r="A781" s="19">
        <v>45761</v>
      </c>
      <c r="B781" s="20">
        <v>6500</v>
      </c>
      <c r="C781" s="20"/>
      <c r="D781" s="20"/>
      <c r="E781" s="99" t="s">
        <v>559</v>
      </c>
      <c r="F781" s="20">
        <f t="shared" si="12"/>
        <v>166407721</v>
      </c>
      <c r="G781" s="7" t="s">
        <v>529</v>
      </c>
      <c r="H781" s="24" t="s">
        <v>322</v>
      </c>
      <c r="I781" s="32" t="s">
        <v>152</v>
      </c>
    </row>
    <row r="782" spans="1:9" x14ac:dyDescent="0.35">
      <c r="A782" s="19">
        <v>45761</v>
      </c>
      <c r="B782" s="20">
        <v>750000</v>
      </c>
      <c r="C782" s="20"/>
      <c r="D782" s="20"/>
      <c r="E782" s="99" t="s">
        <v>559</v>
      </c>
      <c r="F782" s="20">
        <f t="shared" si="12"/>
        <v>165657721</v>
      </c>
      <c r="G782" s="7" t="s">
        <v>530</v>
      </c>
      <c r="H782" s="24" t="s">
        <v>323</v>
      </c>
      <c r="I782" s="32" t="s">
        <v>152</v>
      </c>
    </row>
    <row r="783" spans="1:9" x14ac:dyDescent="0.35">
      <c r="A783" s="19">
        <v>45761</v>
      </c>
      <c r="B783" s="20"/>
      <c r="C783" s="20"/>
      <c r="D783" s="20">
        <v>10000</v>
      </c>
      <c r="E783" s="99" t="s">
        <v>559</v>
      </c>
      <c r="F783" s="20">
        <f t="shared" si="12"/>
        <v>165667721</v>
      </c>
      <c r="G783" s="7" t="s">
        <v>330</v>
      </c>
      <c r="H783" s="24" t="s">
        <v>109</v>
      </c>
      <c r="I783" s="32" t="s">
        <v>152</v>
      </c>
    </row>
    <row r="784" spans="1:9" x14ac:dyDescent="0.35">
      <c r="A784" s="19">
        <v>45761</v>
      </c>
      <c r="B784" s="20"/>
      <c r="C784" s="20"/>
      <c r="D784" s="20">
        <v>25000</v>
      </c>
      <c r="E784" s="99" t="s">
        <v>559</v>
      </c>
      <c r="F784" s="20">
        <f t="shared" si="12"/>
        <v>165692721</v>
      </c>
      <c r="G784" s="7" t="s">
        <v>330</v>
      </c>
      <c r="H784" s="24" t="s">
        <v>109</v>
      </c>
      <c r="I784" s="32" t="s">
        <v>152</v>
      </c>
    </row>
    <row r="785" spans="1:9" x14ac:dyDescent="0.35">
      <c r="A785" s="19">
        <v>45761</v>
      </c>
      <c r="B785" s="20"/>
      <c r="C785" s="20"/>
      <c r="D785" s="20">
        <v>200000</v>
      </c>
      <c r="E785" s="99" t="s">
        <v>559</v>
      </c>
      <c r="F785" s="20">
        <f t="shared" si="12"/>
        <v>165892721</v>
      </c>
      <c r="G785" s="7" t="s">
        <v>531</v>
      </c>
      <c r="H785" s="24" t="s">
        <v>109</v>
      </c>
      <c r="I785" s="32" t="s">
        <v>152</v>
      </c>
    </row>
    <row r="786" spans="1:9" x14ac:dyDescent="0.35">
      <c r="A786" s="19">
        <v>45761</v>
      </c>
      <c r="B786" s="20"/>
      <c r="C786" s="20"/>
      <c r="D786" s="20">
        <v>41800000</v>
      </c>
      <c r="E786" s="99" t="s">
        <v>559</v>
      </c>
      <c r="F786" s="20">
        <f t="shared" si="12"/>
        <v>207692721</v>
      </c>
      <c r="G786" s="7" t="s">
        <v>586</v>
      </c>
      <c r="H786" s="24" t="s">
        <v>105</v>
      </c>
      <c r="I786" s="32" t="s">
        <v>152</v>
      </c>
    </row>
    <row r="787" spans="1:9" x14ac:dyDescent="0.35">
      <c r="A787" s="19">
        <v>45761</v>
      </c>
      <c r="B787" s="20"/>
      <c r="C787" s="20"/>
      <c r="D787" s="20">
        <f>3080000-38000</f>
        <v>3042000</v>
      </c>
      <c r="E787" s="99" t="s">
        <v>559</v>
      </c>
      <c r="F787" s="20">
        <f t="shared" si="12"/>
        <v>210734721</v>
      </c>
      <c r="G787" s="7" t="s">
        <v>587</v>
      </c>
      <c r="H787" s="24" t="s">
        <v>109</v>
      </c>
      <c r="I787" s="32" t="s">
        <v>152</v>
      </c>
    </row>
    <row r="788" spans="1:9" x14ac:dyDescent="0.35">
      <c r="A788" s="19">
        <v>45761</v>
      </c>
      <c r="B788" s="20"/>
      <c r="C788" s="20"/>
      <c r="D788" s="20">
        <v>10195000</v>
      </c>
      <c r="E788" s="99" t="s">
        <v>559</v>
      </c>
      <c r="F788" s="20">
        <f t="shared" si="12"/>
        <v>220929721</v>
      </c>
      <c r="G788" s="7" t="s">
        <v>584</v>
      </c>
      <c r="H788" s="24" t="s">
        <v>107</v>
      </c>
      <c r="I788" s="32" t="s">
        <v>152</v>
      </c>
    </row>
    <row r="789" spans="1:9" x14ac:dyDescent="0.35">
      <c r="A789" s="19">
        <v>45761</v>
      </c>
      <c r="B789" s="20"/>
      <c r="C789" s="20"/>
      <c r="D789" s="20">
        <v>9155000</v>
      </c>
      <c r="E789" s="99" t="s">
        <v>559</v>
      </c>
      <c r="F789" s="20">
        <f t="shared" si="12"/>
        <v>230084721</v>
      </c>
      <c r="G789" s="7" t="s">
        <v>585</v>
      </c>
      <c r="H789" s="24" t="s">
        <v>109</v>
      </c>
      <c r="I789" s="32" t="s">
        <v>152</v>
      </c>
    </row>
    <row r="790" spans="1:9" x14ac:dyDescent="0.35">
      <c r="A790" s="19"/>
      <c r="B790" s="20"/>
      <c r="C790" s="20">
        <v>64192000</v>
      </c>
      <c r="D790" s="20"/>
      <c r="E790" s="99"/>
      <c r="F790" s="20">
        <f t="shared" si="12"/>
        <v>230084721</v>
      </c>
      <c r="G790" s="7" t="s">
        <v>305</v>
      </c>
      <c r="H790" s="24"/>
      <c r="I790" s="32"/>
    </row>
    <row r="791" spans="1:9" x14ac:dyDescent="0.35">
      <c r="A791" s="19">
        <v>45761</v>
      </c>
      <c r="B791" s="20">
        <v>600000</v>
      </c>
      <c r="C791" s="20"/>
      <c r="D791" s="20"/>
      <c r="E791" s="99" t="s">
        <v>559</v>
      </c>
      <c r="F791" s="20">
        <f t="shared" si="12"/>
        <v>229484721</v>
      </c>
      <c r="G791" s="7" t="s">
        <v>532</v>
      </c>
      <c r="H791" s="24" t="s">
        <v>322</v>
      </c>
      <c r="I791" s="32" t="s">
        <v>152</v>
      </c>
    </row>
    <row r="792" spans="1:9" x14ac:dyDescent="0.35">
      <c r="A792" s="19">
        <v>45761</v>
      </c>
      <c r="B792" s="20">
        <v>2900</v>
      </c>
      <c r="C792" s="20"/>
      <c r="D792" s="20"/>
      <c r="E792" s="99" t="s">
        <v>559</v>
      </c>
      <c r="F792" s="20">
        <f t="shared" si="12"/>
        <v>229481821</v>
      </c>
      <c r="G792" s="7" t="s">
        <v>533</v>
      </c>
      <c r="H792" s="24" t="s">
        <v>322</v>
      </c>
      <c r="I792" s="32" t="s">
        <v>152</v>
      </c>
    </row>
    <row r="793" spans="1:9" x14ac:dyDescent="0.35">
      <c r="A793" s="19">
        <v>45762</v>
      </c>
      <c r="B793" s="20"/>
      <c r="C793" s="20"/>
      <c r="D793" s="20">
        <v>50000</v>
      </c>
      <c r="E793" s="99" t="s">
        <v>559</v>
      </c>
      <c r="F793" s="20">
        <f t="shared" si="12"/>
        <v>229531821</v>
      </c>
      <c r="G793" s="7" t="s">
        <v>330</v>
      </c>
      <c r="H793" s="24" t="s">
        <v>109</v>
      </c>
      <c r="I793" s="32" t="s">
        <v>152</v>
      </c>
    </row>
    <row r="794" spans="1:9" x14ac:dyDescent="0.35">
      <c r="A794" s="19">
        <v>45762</v>
      </c>
      <c r="B794" s="20"/>
      <c r="C794" s="20"/>
      <c r="D794" s="20">
        <v>10000</v>
      </c>
      <c r="E794" s="99" t="s">
        <v>559</v>
      </c>
      <c r="F794" s="20">
        <f t="shared" si="12"/>
        <v>229541821</v>
      </c>
      <c r="G794" s="7" t="s">
        <v>330</v>
      </c>
      <c r="H794" s="24" t="s">
        <v>109</v>
      </c>
      <c r="I794" s="32" t="s">
        <v>152</v>
      </c>
    </row>
    <row r="795" spans="1:9" x14ac:dyDescent="0.35">
      <c r="A795" s="19">
        <v>45762</v>
      </c>
      <c r="B795" s="20"/>
      <c r="C795" s="20"/>
      <c r="D795" s="20">
        <v>500000</v>
      </c>
      <c r="E795" s="99" t="s">
        <v>559</v>
      </c>
      <c r="F795" s="20">
        <f t="shared" si="12"/>
        <v>230041821</v>
      </c>
      <c r="G795" s="7" t="s">
        <v>534</v>
      </c>
      <c r="H795" s="24" t="s">
        <v>109</v>
      </c>
      <c r="I795" s="32" t="s">
        <v>152</v>
      </c>
    </row>
    <row r="796" spans="1:9" x14ac:dyDescent="0.35">
      <c r="A796" s="19">
        <v>45762</v>
      </c>
      <c r="B796" s="20">
        <v>850000</v>
      </c>
      <c r="C796" s="20"/>
      <c r="D796" s="20"/>
      <c r="E796" s="99" t="s">
        <v>559</v>
      </c>
      <c r="F796" s="20">
        <f t="shared" si="12"/>
        <v>229191821</v>
      </c>
      <c r="G796" s="7" t="s">
        <v>532</v>
      </c>
      <c r="H796" s="24" t="s">
        <v>322</v>
      </c>
      <c r="I796" s="32" t="s">
        <v>152</v>
      </c>
    </row>
    <row r="797" spans="1:9" x14ac:dyDescent="0.35">
      <c r="A797" s="19">
        <v>45762</v>
      </c>
      <c r="B797" s="20">
        <v>2900</v>
      </c>
      <c r="C797" s="20"/>
      <c r="D797" s="20"/>
      <c r="E797" s="99" t="s">
        <v>559</v>
      </c>
      <c r="F797" s="20">
        <f t="shared" si="12"/>
        <v>229188921</v>
      </c>
      <c r="G797" s="7" t="s">
        <v>533</v>
      </c>
      <c r="H797" s="24" t="s">
        <v>322</v>
      </c>
      <c r="I797" s="32" t="s">
        <v>152</v>
      </c>
    </row>
    <row r="798" spans="1:9" x14ac:dyDescent="0.35">
      <c r="A798" s="19">
        <v>45763</v>
      </c>
      <c r="B798" s="20"/>
      <c r="C798" s="20"/>
      <c r="D798" s="20">
        <v>50000</v>
      </c>
      <c r="E798" s="99" t="s">
        <v>559</v>
      </c>
      <c r="F798" s="20">
        <f t="shared" si="12"/>
        <v>229238921</v>
      </c>
      <c r="G798" s="7" t="s">
        <v>330</v>
      </c>
      <c r="H798" s="24" t="s">
        <v>109</v>
      </c>
      <c r="I798" s="32" t="s">
        <v>152</v>
      </c>
    </row>
    <row r="799" spans="1:9" x14ac:dyDescent="0.35">
      <c r="A799" s="19">
        <v>45763</v>
      </c>
      <c r="B799" s="20"/>
      <c r="C799" s="20"/>
      <c r="D799" s="20">
        <v>100000</v>
      </c>
      <c r="E799" s="99" t="s">
        <v>559</v>
      </c>
      <c r="F799" s="20">
        <f t="shared" si="12"/>
        <v>229338921</v>
      </c>
      <c r="G799" s="7" t="s">
        <v>330</v>
      </c>
      <c r="H799" s="24" t="s">
        <v>109</v>
      </c>
      <c r="I799" s="32" t="s">
        <v>152</v>
      </c>
    </row>
    <row r="800" spans="1:9" x14ac:dyDescent="0.35">
      <c r="A800" s="19">
        <v>45763</v>
      </c>
      <c r="B800" s="20"/>
      <c r="C800" s="20"/>
      <c r="D800" s="20">
        <v>10000</v>
      </c>
      <c r="E800" s="99" t="s">
        <v>559</v>
      </c>
      <c r="F800" s="20">
        <f t="shared" si="12"/>
        <v>229348921</v>
      </c>
      <c r="G800" s="7" t="s">
        <v>330</v>
      </c>
      <c r="H800" s="24" t="s">
        <v>109</v>
      </c>
      <c r="I800" s="32" t="s">
        <v>152</v>
      </c>
    </row>
    <row r="801" spans="1:9" x14ac:dyDescent="0.35">
      <c r="A801" s="19">
        <v>45764</v>
      </c>
      <c r="B801" s="20"/>
      <c r="C801" s="20"/>
      <c r="D801" s="20">
        <v>10000</v>
      </c>
      <c r="E801" s="99" t="s">
        <v>559</v>
      </c>
      <c r="F801" s="20">
        <f t="shared" si="12"/>
        <v>229358921</v>
      </c>
      <c r="G801" s="7" t="s">
        <v>330</v>
      </c>
      <c r="H801" s="24" t="s">
        <v>109</v>
      </c>
      <c r="I801" s="32" t="s">
        <v>152</v>
      </c>
    </row>
    <row r="802" spans="1:9" x14ac:dyDescent="0.35">
      <c r="A802" s="19">
        <v>45764</v>
      </c>
      <c r="B802" s="20">
        <v>7705000</v>
      </c>
      <c r="C802" s="20"/>
      <c r="D802" s="20"/>
      <c r="E802" s="99" t="s">
        <v>559</v>
      </c>
      <c r="F802" s="20">
        <f t="shared" si="12"/>
        <v>221653921</v>
      </c>
      <c r="G802" s="7" t="s">
        <v>535</v>
      </c>
      <c r="H802" s="24" t="s">
        <v>322</v>
      </c>
      <c r="I802" s="32" t="s">
        <v>152</v>
      </c>
    </row>
    <row r="803" spans="1:9" x14ac:dyDescent="0.35">
      <c r="A803" s="19">
        <v>45764</v>
      </c>
      <c r="B803" s="20">
        <v>6500</v>
      </c>
      <c r="C803" s="20"/>
      <c r="D803" s="20"/>
      <c r="E803" s="99" t="s">
        <v>559</v>
      </c>
      <c r="F803" s="20">
        <f t="shared" si="12"/>
        <v>221647421</v>
      </c>
      <c r="G803" s="7" t="s">
        <v>536</v>
      </c>
      <c r="H803" s="24" t="s">
        <v>322</v>
      </c>
      <c r="I803" s="32" t="s">
        <v>152</v>
      </c>
    </row>
    <row r="804" spans="1:9" x14ac:dyDescent="0.35">
      <c r="A804" s="19">
        <v>45765</v>
      </c>
      <c r="B804" s="20"/>
      <c r="C804" s="20"/>
      <c r="D804" s="20">
        <v>50000</v>
      </c>
      <c r="E804" s="99" t="s">
        <v>559</v>
      </c>
      <c r="F804" s="20">
        <f t="shared" si="12"/>
        <v>221697421</v>
      </c>
      <c r="G804" s="7" t="s">
        <v>330</v>
      </c>
      <c r="H804" s="24" t="s">
        <v>109</v>
      </c>
      <c r="I804" s="32" t="s">
        <v>152</v>
      </c>
    </row>
    <row r="805" spans="1:9" x14ac:dyDescent="0.35">
      <c r="A805" s="19">
        <v>45765</v>
      </c>
      <c r="B805" s="20"/>
      <c r="C805" s="20"/>
      <c r="D805" s="20">
        <v>10000</v>
      </c>
      <c r="E805" s="99" t="s">
        <v>559</v>
      </c>
      <c r="F805" s="20">
        <f t="shared" si="12"/>
        <v>221707421</v>
      </c>
      <c r="G805" s="7" t="s">
        <v>330</v>
      </c>
      <c r="H805" s="24" t="s">
        <v>109</v>
      </c>
      <c r="I805" s="32" t="s">
        <v>152</v>
      </c>
    </row>
    <row r="806" spans="1:9" x14ac:dyDescent="0.35">
      <c r="A806" s="19">
        <v>45766</v>
      </c>
      <c r="B806" s="20"/>
      <c r="C806" s="20"/>
      <c r="D806" s="20">
        <v>50000</v>
      </c>
      <c r="E806" s="99" t="s">
        <v>559</v>
      </c>
      <c r="F806" s="20">
        <f t="shared" si="12"/>
        <v>221757421</v>
      </c>
      <c r="G806" s="7" t="s">
        <v>330</v>
      </c>
      <c r="H806" s="24" t="s">
        <v>109</v>
      </c>
      <c r="I806" s="32" t="s">
        <v>152</v>
      </c>
    </row>
    <row r="807" spans="1:9" x14ac:dyDescent="0.35">
      <c r="A807" s="19">
        <v>45766</v>
      </c>
      <c r="B807" s="20"/>
      <c r="C807" s="20"/>
      <c r="D807" s="20">
        <v>200000</v>
      </c>
      <c r="E807" s="99" t="s">
        <v>559</v>
      </c>
      <c r="F807" s="20">
        <f t="shared" si="12"/>
        <v>221957421</v>
      </c>
      <c r="G807" s="7" t="s">
        <v>330</v>
      </c>
      <c r="H807" s="24" t="s">
        <v>109</v>
      </c>
      <c r="I807" s="32" t="s">
        <v>152</v>
      </c>
    </row>
    <row r="808" spans="1:9" x14ac:dyDescent="0.35">
      <c r="A808" s="19">
        <v>45766</v>
      </c>
      <c r="B808" s="20"/>
      <c r="C808" s="20"/>
      <c r="D808" s="20">
        <v>8000</v>
      </c>
      <c r="E808" s="99" t="s">
        <v>559</v>
      </c>
      <c r="F808" s="20">
        <f t="shared" si="12"/>
        <v>221965421</v>
      </c>
      <c r="G808" s="7" t="s">
        <v>330</v>
      </c>
      <c r="H808" s="24" t="s">
        <v>109</v>
      </c>
      <c r="I808" s="32" t="s">
        <v>152</v>
      </c>
    </row>
    <row r="809" spans="1:9" x14ac:dyDescent="0.35">
      <c r="A809" s="19">
        <v>45766</v>
      </c>
      <c r="B809" s="20"/>
      <c r="C809" s="20"/>
      <c r="D809" s="20">
        <v>25000</v>
      </c>
      <c r="E809" s="99" t="s">
        <v>559</v>
      </c>
      <c r="F809" s="20">
        <f t="shared" si="12"/>
        <v>221990421</v>
      </c>
      <c r="G809" s="7" t="s">
        <v>330</v>
      </c>
      <c r="H809" s="24" t="s">
        <v>109</v>
      </c>
      <c r="I809" s="32" t="s">
        <v>152</v>
      </c>
    </row>
    <row r="810" spans="1:9" x14ac:dyDescent="0.35">
      <c r="A810" s="19">
        <v>45766</v>
      </c>
      <c r="B810" s="20"/>
      <c r="C810" s="20"/>
      <c r="D810" s="20">
        <v>100000</v>
      </c>
      <c r="E810" s="99" t="s">
        <v>559</v>
      </c>
      <c r="F810" s="20">
        <f t="shared" si="12"/>
        <v>222090421</v>
      </c>
      <c r="G810" s="7" t="s">
        <v>330</v>
      </c>
      <c r="H810" s="24" t="s">
        <v>109</v>
      </c>
      <c r="I810" s="32" t="s">
        <v>152</v>
      </c>
    </row>
    <row r="811" spans="1:9" x14ac:dyDescent="0.35">
      <c r="A811" s="19">
        <v>45766</v>
      </c>
      <c r="B811" s="20"/>
      <c r="C811" s="20"/>
      <c r="D811" s="20">
        <v>50000</v>
      </c>
      <c r="E811" s="99" t="s">
        <v>559</v>
      </c>
      <c r="F811" s="20">
        <f t="shared" si="12"/>
        <v>222140421</v>
      </c>
      <c r="G811" s="7" t="s">
        <v>330</v>
      </c>
      <c r="H811" s="24" t="s">
        <v>109</v>
      </c>
      <c r="I811" s="32" t="s">
        <v>152</v>
      </c>
    </row>
    <row r="812" spans="1:9" x14ac:dyDescent="0.35">
      <c r="A812" s="19">
        <v>45766</v>
      </c>
      <c r="B812" s="20"/>
      <c r="C812" s="20"/>
      <c r="D812" s="20">
        <v>75000</v>
      </c>
      <c r="E812" s="99" t="s">
        <v>559</v>
      </c>
      <c r="F812" s="20">
        <f t="shared" si="12"/>
        <v>222215421</v>
      </c>
      <c r="G812" s="7" t="s">
        <v>330</v>
      </c>
      <c r="H812" s="24" t="s">
        <v>109</v>
      </c>
      <c r="I812" s="32" t="s">
        <v>152</v>
      </c>
    </row>
    <row r="813" spans="1:9" x14ac:dyDescent="0.35">
      <c r="A813" s="19">
        <v>45766</v>
      </c>
      <c r="B813" s="20"/>
      <c r="C813" s="20"/>
      <c r="D813" s="20">
        <v>20000</v>
      </c>
      <c r="E813" s="99" t="s">
        <v>559</v>
      </c>
      <c r="F813" s="20">
        <f t="shared" si="12"/>
        <v>222235421</v>
      </c>
      <c r="G813" s="7" t="s">
        <v>330</v>
      </c>
      <c r="H813" s="24" t="s">
        <v>109</v>
      </c>
      <c r="I813" s="32" t="s">
        <v>152</v>
      </c>
    </row>
    <row r="814" spans="1:9" x14ac:dyDescent="0.35">
      <c r="A814" s="19">
        <v>45766</v>
      </c>
      <c r="B814" s="20">
        <v>5657000</v>
      </c>
      <c r="C814" s="20"/>
      <c r="D814" s="20"/>
      <c r="E814" s="99" t="s">
        <v>559</v>
      </c>
      <c r="F814" s="20">
        <f t="shared" si="12"/>
        <v>216578421</v>
      </c>
      <c r="G814" s="7" t="s">
        <v>545</v>
      </c>
      <c r="H814" s="24" t="s">
        <v>322</v>
      </c>
      <c r="I814" s="32" t="s">
        <v>152</v>
      </c>
    </row>
    <row r="815" spans="1:9" x14ac:dyDescent="0.35">
      <c r="A815" s="19">
        <v>45766</v>
      </c>
      <c r="B815" s="20">
        <v>6500</v>
      </c>
      <c r="C815" s="20"/>
      <c r="D815" s="20"/>
      <c r="E815" s="99" t="s">
        <v>559</v>
      </c>
      <c r="F815" s="20">
        <f t="shared" si="12"/>
        <v>216571921</v>
      </c>
      <c r="G815" s="7" t="s">
        <v>546</v>
      </c>
      <c r="H815" s="24" t="s">
        <v>322</v>
      </c>
      <c r="I815" s="32" t="s">
        <v>152</v>
      </c>
    </row>
    <row r="816" spans="1:9" x14ac:dyDescent="0.35">
      <c r="A816" s="19">
        <v>45767</v>
      </c>
      <c r="B816" s="20">
        <v>750000</v>
      </c>
      <c r="C816" s="20"/>
      <c r="D816" s="20"/>
      <c r="E816" s="99" t="s">
        <v>559</v>
      </c>
      <c r="F816" s="20">
        <f t="shared" si="12"/>
        <v>215821921</v>
      </c>
      <c r="G816" s="7" t="s">
        <v>547</v>
      </c>
      <c r="H816" s="24" t="s">
        <v>323</v>
      </c>
      <c r="I816" s="32" t="s">
        <v>152</v>
      </c>
    </row>
    <row r="817" spans="1:9" x14ac:dyDescent="0.35">
      <c r="A817" s="19">
        <v>45767</v>
      </c>
      <c r="B817" s="20">
        <v>6500</v>
      </c>
      <c r="C817" s="20"/>
      <c r="D817" s="20"/>
      <c r="E817" s="99" t="s">
        <v>559</v>
      </c>
      <c r="F817" s="20">
        <f t="shared" si="12"/>
        <v>215815421</v>
      </c>
      <c r="G817" s="7" t="s">
        <v>548</v>
      </c>
      <c r="H817" s="24" t="s">
        <v>323</v>
      </c>
      <c r="I817" s="32" t="s">
        <v>152</v>
      </c>
    </row>
    <row r="818" spans="1:9" x14ac:dyDescent="0.35">
      <c r="A818" s="19">
        <v>45767</v>
      </c>
      <c r="B818" s="20"/>
      <c r="C818" s="20"/>
      <c r="D818" s="20">
        <v>50000</v>
      </c>
      <c r="E818" s="99" t="s">
        <v>559</v>
      </c>
      <c r="F818" s="20">
        <f t="shared" si="12"/>
        <v>215865421</v>
      </c>
      <c r="G818" s="7" t="s">
        <v>330</v>
      </c>
      <c r="H818" s="24" t="s">
        <v>109</v>
      </c>
      <c r="I818" s="32" t="s">
        <v>152</v>
      </c>
    </row>
    <row r="819" spans="1:9" x14ac:dyDescent="0.35">
      <c r="A819" s="19">
        <v>45767</v>
      </c>
      <c r="B819" s="20"/>
      <c r="C819" s="20"/>
      <c r="D819" s="20">
        <v>50000</v>
      </c>
      <c r="E819" s="99" t="s">
        <v>559</v>
      </c>
      <c r="F819" s="20">
        <f t="shared" si="12"/>
        <v>215915421</v>
      </c>
      <c r="G819" s="7" t="s">
        <v>330</v>
      </c>
      <c r="H819" s="24" t="s">
        <v>109</v>
      </c>
      <c r="I819" s="32" t="s">
        <v>152</v>
      </c>
    </row>
    <row r="820" spans="1:9" x14ac:dyDescent="0.35">
      <c r="A820" s="19">
        <v>45768</v>
      </c>
      <c r="B820" s="20"/>
      <c r="C820" s="20"/>
      <c r="D820" s="20">
        <v>10000</v>
      </c>
      <c r="E820" s="99" t="s">
        <v>559</v>
      </c>
      <c r="F820" s="20">
        <f t="shared" si="12"/>
        <v>215925421</v>
      </c>
      <c r="G820" s="7" t="s">
        <v>330</v>
      </c>
      <c r="H820" s="24" t="s">
        <v>109</v>
      </c>
      <c r="I820" s="32" t="s">
        <v>152</v>
      </c>
    </row>
    <row r="821" spans="1:9" x14ac:dyDescent="0.35">
      <c r="A821" s="19">
        <v>45768</v>
      </c>
      <c r="B821" s="20"/>
      <c r="C821" s="20"/>
      <c r="D821" s="20">
        <v>5000</v>
      </c>
      <c r="E821" s="99" t="s">
        <v>559</v>
      </c>
      <c r="F821" s="20">
        <f t="shared" si="12"/>
        <v>215930421</v>
      </c>
      <c r="G821" s="7" t="s">
        <v>330</v>
      </c>
      <c r="H821" s="24" t="s">
        <v>109</v>
      </c>
      <c r="I821" s="32" t="s">
        <v>152</v>
      </c>
    </row>
    <row r="822" spans="1:9" x14ac:dyDescent="0.35">
      <c r="A822" s="19">
        <v>45768</v>
      </c>
      <c r="B822" s="20"/>
      <c r="C822" s="20"/>
      <c r="D822" s="20">
        <v>25000</v>
      </c>
      <c r="E822" s="99" t="s">
        <v>559</v>
      </c>
      <c r="F822" s="20">
        <f t="shared" si="12"/>
        <v>215955421</v>
      </c>
      <c r="G822" s="7" t="s">
        <v>330</v>
      </c>
      <c r="H822" s="24" t="s">
        <v>109</v>
      </c>
      <c r="I822" s="32" t="s">
        <v>152</v>
      </c>
    </row>
    <row r="823" spans="1:9" x14ac:dyDescent="0.35">
      <c r="A823" s="19">
        <v>45768</v>
      </c>
      <c r="B823" s="20"/>
      <c r="C823" s="20"/>
      <c r="D823" s="20">
        <v>5000</v>
      </c>
      <c r="E823" s="99" t="s">
        <v>559</v>
      </c>
      <c r="F823" s="20">
        <f t="shared" si="12"/>
        <v>215960421</v>
      </c>
      <c r="G823" s="7" t="s">
        <v>330</v>
      </c>
      <c r="H823" s="24" t="s">
        <v>109</v>
      </c>
      <c r="I823" s="32" t="s">
        <v>152</v>
      </c>
    </row>
    <row r="824" spans="1:9" x14ac:dyDescent="0.35">
      <c r="A824" s="19">
        <v>45769</v>
      </c>
      <c r="B824" s="20"/>
      <c r="C824" s="20"/>
      <c r="D824" s="20">
        <v>10000</v>
      </c>
      <c r="E824" s="99" t="s">
        <v>559</v>
      </c>
      <c r="F824" s="20">
        <f t="shared" si="12"/>
        <v>215970421</v>
      </c>
      <c r="G824" s="7" t="s">
        <v>330</v>
      </c>
      <c r="H824" s="24" t="s">
        <v>109</v>
      </c>
      <c r="I824" s="32" t="s">
        <v>152</v>
      </c>
    </row>
    <row r="825" spans="1:9" x14ac:dyDescent="0.35">
      <c r="A825" s="19">
        <v>45769</v>
      </c>
      <c r="B825" s="20"/>
      <c r="C825" s="20"/>
      <c r="D825" s="41">
        <v>4358000</v>
      </c>
      <c r="E825" s="99" t="s">
        <v>559</v>
      </c>
      <c r="F825" s="20">
        <f t="shared" si="12"/>
        <v>220328421</v>
      </c>
      <c r="G825" s="24" t="s">
        <v>107</v>
      </c>
      <c r="H825" s="24" t="s">
        <v>107</v>
      </c>
      <c r="I825" s="32" t="s">
        <v>152</v>
      </c>
    </row>
    <row r="826" spans="1:9" x14ac:dyDescent="0.35">
      <c r="A826" s="19">
        <v>45769</v>
      </c>
      <c r="B826" s="20"/>
      <c r="C826" s="20"/>
      <c r="D826" s="41">
        <v>2722000</v>
      </c>
      <c r="E826" s="99" t="s">
        <v>559</v>
      </c>
      <c r="F826" s="20">
        <f t="shared" si="12"/>
        <v>223050421</v>
      </c>
      <c r="G826" s="24" t="s">
        <v>109</v>
      </c>
      <c r="H826" s="24" t="s">
        <v>109</v>
      </c>
      <c r="I826" s="32" t="s">
        <v>152</v>
      </c>
    </row>
    <row r="827" spans="1:9" x14ac:dyDescent="0.35">
      <c r="A827" s="19"/>
      <c r="B827" s="20"/>
      <c r="C827" s="20">
        <v>7080000</v>
      </c>
      <c r="D827" s="20"/>
      <c r="E827" s="99"/>
      <c r="F827" s="20">
        <f t="shared" si="12"/>
        <v>223050421</v>
      </c>
      <c r="G827" s="7" t="s">
        <v>552</v>
      </c>
      <c r="H827" s="24"/>
      <c r="I827" s="32"/>
    </row>
    <row r="828" spans="1:9" x14ac:dyDescent="0.35">
      <c r="A828" s="19">
        <v>45769</v>
      </c>
      <c r="B828" s="20">
        <v>7000</v>
      </c>
      <c r="C828" s="20"/>
      <c r="D828" s="20"/>
      <c r="E828" s="99" t="s">
        <v>559</v>
      </c>
      <c r="F828" s="20">
        <f t="shared" si="12"/>
        <v>223043421</v>
      </c>
      <c r="G828" s="7" t="s">
        <v>549</v>
      </c>
      <c r="H828" s="24" t="s">
        <v>320</v>
      </c>
      <c r="I828" s="32" t="s">
        <v>152</v>
      </c>
    </row>
    <row r="829" spans="1:9" x14ac:dyDescent="0.35">
      <c r="A829" s="19">
        <v>45771</v>
      </c>
      <c r="B829" s="20"/>
      <c r="C829" s="20"/>
      <c r="D829" s="20">
        <v>10000</v>
      </c>
      <c r="E829" s="99" t="s">
        <v>559</v>
      </c>
      <c r="F829" s="20">
        <f t="shared" si="12"/>
        <v>223053421</v>
      </c>
      <c r="G829" s="7" t="s">
        <v>330</v>
      </c>
      <c r="H829" s="24" t="s">
        <v>109</v>
      </c>
      <c r="I829" s="32" t="s">
        <v>152</v>
      </c>
    </row>
    <row r="830" spans="1:9" x14ac:dyDescent="0.35">
      <c r="A830" s="19">
        <v>45771</v>
      </c>
      <c r="B830" s="20">
        <v>2000000</v>
      </c>
      <c r="C830" s="20"/>
      <c r="D830" s="20"/>
      <c r="E830" s="99" t="s">
        <v>559</v>
      </c>
      <c r="F830" s="20">
        <f t="shared" si="12"/>
        <v>221053421</v>
      </c>
      <c r="G830" s="7" t="s">
        <v>550</v>
      </c>
      <c r="H830" s="24" t="s">
        <v>200</v>
      </c>
      <c r="I830" s="32" t="s">
        <v>152</v>
      </c>
    </row>
    <row r="831" spans="1:9" x14ac:dyDescent="0.35">
      <c r="A831" s="19">
        <v>45771</v>
      </c>
      <c r="B831" s="20">
        <v>2900</v>
      </c>
      <c r="C831" s="20"/>
      <c r="D831" s="20"/>
      <c r="E831" s="99" t="s">
        <v>559</v>
      </c>
      <c r="F831" s="20">
        <f t="shared" si="12"/>
        <v>221050521</v>
      </c>
      <c r="G831" s="7" t="s">
        <v>551</v>
      </c>
      <c r="H831" s="24" t="s">
        <v>200</v>
      </c>
      <c r="I831" s="32" t="s">
        <v>152</v>
      </c>
    </row>
    <row r="832" spans="1:9" x14ac:dyDescent="0.35">
      <c r="A832" s="19">
        <v>45772</v>
      </c>
      <c r="B832" s="20"/>
      <c r="C832" s="20"/>
      <c r="D832" s="20">
        <v>10000</v>
      </c>
      <c r="E832" s="99" t="s">
        <v>559</v>
      </c>
      <c r="F832" s="20">
        <f t="shared" si="12"/>
        <v>221060521</v>
      </c>
      <c r="G832" s="7" t="s">
        <v>330</v>
      </c>
      <c r="H832" s="24" t="s">
        <v>109</v>
      </c>
      <c r="I832" s="32" t="s">
        <v>152</v>
      </c>
    </row>
    <row r="833" spans="1:9" x14ac:dyDescent="0.35">
      <c r="A833" s="19">
        <v>45772</v>
      </c>
      <c r="B833" s="20"/>
      <c r="C833" s="20"/>
      <c r="D833" s="20">
        <v>10000</v>
      </c>
      <c r="E833" s="99" t="s">
        <v>559</v>
      </c>
      <c r="F833" s="20">
        <f t="shared" si="12"/>
        <v>221070521</v>
      </c>
      <c r="G833" s="7" t="s">
        <v>330</v>
      </c>
      <c r="H833" s="24" t="s">
        <v>109</v>
      </c>
      <c r="I833" s="32" t="s">
        <v>152</v>
      </c>
    </row>
    <row r="834" spans="1:9" x14ac:dyDescent="0.35">
      <c r="A834" s="19">
        <v>45772</v>
      </c>
      <c r="B834" s="20"/>
      <c r="C834" s="20"/>
      <c r="D834" s="20">
        <v>200000</v>
      </c>
      <c r="E834" s="99" t="s">
        <v>559</v>
      </c>
      <c r="F834" s="20">
        <f t="shared" si="12"/>
        <v>221270521</v>
      </c>
      <c r="G834" s="7" t="s">
        <v>306</v>
      </c>
      <c r="H834" s="24" t="s">
        <v>140</v>
      </c>
      <c r="I834" s="32" t="s">
        <v>152</v>
      </c>
    </row>
    <row r="835" spans="1:9" x14ac:dyDescent="0.35">
      <c r="A835" s="19">
        <v>45772</v>
      </c>
      <c r="B835" s="20"/>
      <c r="C835" s="20"/>
      <c r="D835" s="20">
        <v>1000000</v>
      </c>
      <c r="E835" s="99" t="s">
        <v>559</v>
      </c>
      <c r="F835" s="20">
        <f t="shared" si="12"/>
        <v>222270521</v>
      </c>
      <c r="G835" s="7" t="s">
        <v>561</v>
      </c>
      <c r="H835" s="24" t="s">
        <v>109</v>
      </c>
      <c r="I835" s="32" t="s">
        <v>152</v>
      </c>
    </row>
    <row r="836" spans="1:9" x14ac:dyDescent="0.35">
      <c r="A836" s="19">
        <v>45773</v>
      </c>
      <c r="B836" s="20">
        <v>750000</v>
      </c>
      <c r="C836" s="20"/>
      <c r="D836" s="20"/>
      <c r="E836" s="99" t="s">
        <v>559</v>
      </c>
      <c r="F836" s="20">
        <f t="shared" si="12"/>
        <v>221520521</v>
      </c>
      <c r="G836" s="7" t="s">
        <v>562</v>
      </c>
      <c r="H836" s="24" t="s">
        <v>323</v>
      </c>
      <c r="I836" s="32" t="s">
        <v>152</v>
      </c>
    </row>
    <row r="837" spans="1:9" x14ac:dyDescent="0.35">
      <c r="A837" s="19">
        <v>45773</v>
      </c>
      <c r="B837" s="20">
        <v>6500</v>
      </c>
      <c r="C837" s="20"/>
      <c r="D837" s="20"/>
      <c r="E837" s="99" t="s">
        <v>559</v>
      </c>
      <c r="F837" s="20">
        <f t="shared" ref="F837:F900" si="13">+F836+D837-B837</f>
        <v>221514021</v>
      </c>
      <c r="G837" s="7" t="s">
        <v>563</v>
      </c>
      <c r="H837" s="24" t="s">
        <v>323</v>
      </c>
      <c r="I837" s="32" t="s">
        <v>152</v>
      </c>
    </row>
    <row r="838" spans="1:9" x14ac:dyDescent="0.35">
      <c r="A838" s="19">
        <v>45773</v>
      </c>
      <c r="B838" s="20"/>
      <c r="C838" s="20"/>
      <c r="D838" s="20">
        <v>10000</v>
      </c>
      <c r="E838" s="99" t="s">
        <v>559</v>
      </c>
      <c r="F838" s="20">
        <f t="shared" si="13"/>
        <v>221524021</v>
      </c>
      <c r="G838" s="7" t="s">
        <v>330</v>
      </c>
      <c r="H838" s="24" t="s">
        <v>109</v>
      </c>
      <c r="I838" s="32" t="s">
        <v>152</v>
      </c>
    </row>
    <row r="839" spans="1:9" x14ac:dyDescent="0.35">
      <c r="A839" s="19">
        <v>45773</v>
      </c>
      <c r="B839" s="20"/>
      <c r="C839" s="20"/>
      <c r="D839" s="20">
        <v>5000</v>
      </c>
      <c r="E839" s="99" t="s">
        <v>559</v>
      </c>
      <c r="F839" s="20">
        <f t="shared" si="13"/>
        <v>221529021</v>
      </c>
      <c r="G839" s="7" t="s">
        <v>330</v>
      </c>
      <c r="H839" s="24" t="s">
        <v>109</v>
      </c>
      <c r="I839" s="32" t="s">
        <v>152</v>
      </c>
    </row>
    <row r="840" spans="1:9" x14ac:dyDescent="0.35">
      <c r="A840" s="19">
        <v>45773</v>
      </c>
      <c r="B840" s="20"/>
      <c r="C840" s="20"/>
      <c r="D840" s="20">
        <v>10000</v>
      </c>
      <c r="E840" s="99" t="s">
        <v>559</v>
      </c>
      <c r="F840" s="20">
        <f t="shared" si="13"/>
        <v>221539021</v>
      </c>
      <c r="G840" s="7" t="s">
        <v>330</v>
      </c>
      <c r="H840" s="24" t="s">
        <v>109</v>
      </c>
      <c r="I840" s="32" t="s">
        <v>152</v>
      </c>
    </row>
    <row r="841" spans="1:9" x14ac:dyDescent="0.35">
      <c r="A841" s="19">
        <v>45773</v>
      </c>
      <c r="B841" s="20"/>
      <c r="C841" s="20"/>
      <c r="D841" s="20">
        <v>100000</v>
      </c>
      <c r="E841" s="99" t="s">
        <v>559</v>
      </c>
      <c r="F841" s="20">
        <f t="shared" si="13"/>
        <v>221639021</v>
      </c>
      <c r="G841" s="7" t="s">
        <v>424</v>
      </c>
      <c r="H841" s="24" t="s">
        <v>109</v>
      </c>
      <c r="I841" s="32" t="s">
        <v>152</v>
      </c>
    </row>
    <row r="842" spans="1:9" x14ac:dyDescent="0.35">
      <c r="A842" s="19">
        <v>45774</v>
      </c>
      <c r="B842" s="20"/>
      <c r="C842" s="20"/>
      <c r="D842" s="20">
        <v>10000</v>
      </c>
      <c r="E842" s="99" t="s">
        <v>559</v>
      </c>
      <c r="F842" s="20">
        <f t="shared" si="13"/>
        <v>221649021</v>
      </c>
      <c r="G842" s="7" t="s">
        <v>330</v>
      </c>
      <c r="H842" s="24" t="s">
        <v>109</v>
      </c>
      <c r="I842" s="32" t="s">
        <v>152</v>
      </c>
    </row>
    <row r="843" spans="1:9" x14ac:dyDescent="0.35">
      <c r="A843" s="19">
        <v>45775</v>
      </c>
      <c r="B843" s="20"/>
      <c r="C843" s="20"/>
      <c r="D843" s="20">
        <v>10000</v>
      </c>
      <c r="E843" s="99" t="s">
        <v>559</v>
      </c>
      <c r="F843" s="20">
        <f t="shared" si="13"/>
        <v>221659021</v>
      </c>
      <c r="G843" s="7" t="s">
        <v>330</v>
      </c>
      <c r="H843" s="24" t="s">
        <v>109</v>
      </c>
      <c r="I843" s="32" t="s">
        <v>152</v>
      </c>
    </row>
    <row r="844" spans="1:9" x14ac:dyDescent="0.35">
      <c r="A844" s="19">
        <v>45775</v>
      </c>
      <c r="B844" s="20"/>
      <c r="C844" s="20"/>
      <c r="D844" s="20">
        <v>25000</v>
      </c>
      <c r="E844" s="99" t="s">
        <v>559</v>
      </c>
      <c r="F844" s="20">
        <f t="shared" si="13"/>
        <v>221684021</v>
      </c>
      <c r="G844" s="7" t="s">
        <v>330</v>
      </c>
      <c r="H844" s="24" t="s">
        <v>109</v>
      </c>
      <c r="I844" s="32" t="s">
        <v>152</v>
      </c>
    </row>
    <row r="845" spans="1:9" x14ac:dyDescent="0.35">
      <c r="A845" s="19">
        <v>45775</v>
      </c>
      <c r="B845" s="20">
        <v>1500000</v>
      </c>
      <c r="C845" s="20"/>
      <c r="D845" s="20"/>
      <c r="E845" s="99" t="s">
        <v>559</v>
      </c>
      <c r="F845" s="20">
        <f t="shared" si="13"/>
        <v>220184021</v>
      </c>
      <c r="G845" s="7" t="s">
        <v>564</v>
      </c>
      <c r="H845" s="24" t="s">
        <v>325</v>
      </c>
      <c r="I845" s="32" t="s">
        <v>152</v>
      </c>
    </row>
    <row r="846" spans="1:9" x14ac:dyDescent="0.35">
      <c r="A846" s="19">
        <v>45775</v>
      </c>
      <c r="B846" s="20">
        <v>6500</v>
      </c>
      <c r="C846" s="20"/>
      <c r="D846" s="20"/>
      <c r="E846" s="99" t="s">
        <v>559</v>
      </c>
      <c r="F846" s="20">
        <f t="shared" si="13"/>
        <v>220177521</v>
      </c>
      <c r="G846" s="7" t="s">
        <v>565</v>
      </c>
      <c r="H846" s="24" t="s">
        <v>325</v>
      </c>
      <c r="I846" s="32" t="s">
        <v>152</v>
      </c>
    </row>
    <row r="847" spans="1:9" x14ac:dyDescent="0.35">
      <c r="A847" s="19">
        <v>45775</v>
      </c>
      <c r="B847" s="20">
        <v>2000000</v>
      </c>
      <c r="C847" s="20"/>
      <c r="D847" s="20"/>
      <c r="E847" s="99" t="s">
        <v>559</v>
      </c>
      <c r="F847" s="20">
        <f t="shared" si="13"/>
        <v>218177521</v>
      </c>
      <c r="G847" s="7" t="s">
        <v>566</v>
      </c>
      <c r="H847" s="24" t="s">
        <v>325</v>
      </c>
      <c r="I847" s="32" t="s">
        <v>152</v>
      </c>
    </row>
    <row r="848" spans="1:9" x14ac:dyDescent="0.35">
      <c r="A848" s="19">
        <v>45775</v>
      </c>
      <c r="B848" s="20">
        <v>6500</v>
      </c>
      <c r="C848" s="20"/>
      <c r="D848" s="20"/>
      <c r="E848" s="99" t="s">
        <v>559</v>
      </c>
      <c r="F848" s="20">
        <f t="shared" si="13"/>
        <v>218171021</v>
      </c>
      <c r="G848" s="7" t="s">
        <v>567</v>
      </c>
      <c r="H848" s="24" t="s">
        <v>325</v>
      </c>
      <c r="I848" s="32" t="s">
        <v>152</v>
      </c>
    </row>
    <row r="849" spans="1:9" x14ac:dyDescent="0.35">
      <c r="A849" s="19">
        <v>45775</v>
      </c>
      <c r="B849" s="20">
        <v>2000000</v>
      </c>
      <c r="C849" s="20"/>
      <c r="D849" s="20"/>
      <c r="E849" s="99" t="s">
        <v>559</v>
      </c>
      <c r="F849" s="20">
        <f t="shared" si="13"/>
        <v>216171021</v>
      </c>
      <c r="G849" s="7" t="s">
        <v>568</v>
      </c>
      <c r="H849" s="24" t="s">
        <v>325</v>
      </c>
      <c r="I849" s="32" t="s">
        <v>152</v>
      </c>
    </row>
    <row r="850" spans="1:9" x14ac:dyDescent="0.35">
      <c r="A850" s="19">
        <v>45775</v>
      </c>
      <c r="B850" s="20">
        <v>6500</v>
      </c>
      <c r="C850" s="20"/>
      <c r="D850" s="20"/>
      <c r="E850" s="99" t="s">
        <v>559</v>
      </c>
      <c r="F850" s="20">
        <f t="shared" si="13"/>
        <v>216164521</v>
      </c>
      <c r="G850" s="7" t="s">
        <v>569</v>
      </c>
      <c r="H850" s="24" t="s">
        <v>325</v>
      </c>
      <c r="I850" s="32" t="s">
        <v>152</v>
      </c>
    </row>
    <row r="851" spans="1:9" x14ac:dyDescent="0.35">
      <c r="A851" s="19">
        <v>45775</v>
      </c>
      <c r="B851" s="20">
        <v>3250000</v>
      </c>
      <c r="C851" s="20"/>
      <c r="D851" s="20"/>
      <c r="E851" s="99" t="s">
        <v>559</v>
      </c>
      <c r="F851" s="20">
        <f t="shared" si="13"/>
        <v>212914521</v>
      </c>
      <c r="G851" s="7" t="s">
        <v>570</v>
      </c>
      <c r="H851" s="24" t="s">
        <v>325</v>
      </c>
      <c r="I851" s="32" t="s">
        <v>152</v>
      </c>
    </row>
    <row r="852" spans="1:9" x14ac:dyDescent="0.35">
      <c r="A852" s="19">
        <v>45775</v>
      </c>
      <c r="B852" s="20">
        <v>6500</v>
      </c>
      <c r="C852" s="20"/>
      <c r="D852" s="20"/>
      <c r="E852" s="99" t="s">
        <v>559</v>
      </c>
      <c r="F852" s="20">
        <f t="shared" si="13"/>
        <v>212908021</v>
      </c>
      <c r="G852" s="7" t="s">
        <v>571</v>
      </c>
      <c r="H852" s="24" t="s">
        <v>325</v>
      </c>
      <c r="I852" s="32" t="s">
        <v>152</v>
      </c>
    </row>
    <row r="853" spans="1:9" x14ac:dyDescent="0.35">
      <c r="A853" s="19">
        <v>45775</v>
      </c>
      <c r="B853" s="20">
        <v>2700000</v>
      </c>
      <c r="C853" s="20"/>
      <c r="D853" s="20"/>
      <c r="E853" s="99" t="s">
        <v>559</v>
      </c>
      <c r="F853" s="20">
        <f t="shared" si="13"/>
        <v>210208021</v>
      </c>
      <c r="G853" s="7" t="s">
        <v>572</v>
      </c>
      <c r="H853" s="24" t="s">
        <v>201</v>
      </c>
      <c r="I853" s="32" t="s">
        <v>152</v>
      </c>
    </row>
    <row r="854" spans="1:9" x14ac:dyDescent="0.35">
      <c r="A854" s="19">
        <v>45775</v>
      </c>
      <c r="B854" s="20">
        <v>6500</v>
      </c>
      <c r="C854" s="20"/>
      <c r="D854" s="20"/>
      <c r="E854" s="99" t="s">
        <v>559</v>
      </c>
      <c r="F854" s="20">
        <f t="shared" si="13"/>
        <v>210201521</v>
      </c>
      <c r="G854" s="7" t="s">
        <v>573</v>
      </c>
      <c r="H854" s="24" t="s">
        <v>201</v>
      </c>
      <c r="I854" s="32" t="s">
        <v>152</v>
      </c>
    </row>
    <row r="855" spans="1:9" x14ac:dyDescent="0.35">
      <c r="A855" s="19">
        <v>45775</v>
      </c>
      <c r="B855" s="20">
        <v>2500000</v>
      </c>
      <c r="C855" s="20"/>
      <c r="D855" s="20"/>
      <c r="E855" s="99" t="s">
        <v>559</v>
      </c>
      <c r="F855" s="20">
        <f t="shared" si="13"/>
        <v>207701521</v>
      </c>
      <c r="G855" s="7" t="s">
        <v>181</v>
      </c>
      <c r="H855" s="24" t="s">
        <v>325</v>
      </c>
      <c r="I855" s="32" t="s">
        <v>152</v>
      </c>
    </row>
    <row r="856" spans="1:9" x14ac:dyDescent="0.35">
      <c r="A856" s="19">
        <v>45775</v>
      </c>
      <c r="B856" s="20">
        <v>1000000</v>
      </c>
      <c r="C856" s="20"/>
      <c r="D856" s="20"/>
      <c r="E856" s="99" t="s">
        <v>559</v>
      </c>
      <c r="F856" s="20">
        <f t="shared" si="13"/>
        <v>206701521</v>
      </c>
      <c r="G856" s="7" t="s">
        <v>574</v>
      </c>
      <c r="H856" s="24" t="s">
        <v>323</v>
      </c>
      <c r="I856" s="32" t="s">
        <v>152</v>
      </c>
    </row>
    <row r="857" spans="1:9" x14ac:dyDescent="0.35">
      <c r="A857" s="19">
        <v>45775</v>
      </c>
      <c r="B857" s="20">
        <v>4000000</v>
      </c>
      <c r="C857" s="20"/>
      <c r="D857" s="20"/>
      <c r="E857" s="99" t="s">
        <v>559</v>
      </c>
      <c r="F857" s="20">
        <f t="shared" si="13"/>
        <v>202701521</v>
      </c>
      <c r="G857" s="7" t="s">
        <v>575</v>
      </c>
      <c r="H857" s="24" t="s">
        <v>201</v>
      </c>
      <c r="I857" s="32" t="s">
        <v>152</v>
      </c>
    </row>
    <row r="858" spans="1:9" x14ac:dyDescent="0.35">
      <c r="A858" s="19">
        <v>45775</v>
      </c>
      <c r="B858" s="20">
        <v>6500</v>
      </c>
      <c r="C858" s="20"/>
      <c r="D858" s="20"/>
      <c r="E858" s="99" t="s">
        <v>559</v>
      </c>
      <c r="F858" s="20">
        <f t="shared" si="13"/>
        <v>202695021</v>
      </c>
      <c r="G858" s="7" t="s">
        <v>576</v>
      </c>
      <c r="H858" s="24" t="s">
        <v>201</v>
      </c>
      <c r="I858" s="32" t="s">
        <v>152</v>
      </c>
    </row>
    <row r="859" spans="1:9" x14ac:dyDescent="0.35">
      <c r="A859" s="19">
        <v>45775</v>
      </c>
      <c r="B859" s="20"/>
      <c r="C859" s="20"/>
      <c r="D859" s="20">
        <v>600000</v>
      </c>
      <c r="E859" s="99" t="s">
        <v>559</v>
      </c>
      <c r="F859" s="20">
        <f t="shared" si="13"/>
        <v>203295021</v>
      </c>
      <c r="G859" s="7" t="s">
        <v>290</v>
      </c>
      <c r="H859" s="24" t="s">
        <v>140</v>
      </c>
      <c r="I859" s="32" t="s">
        <v>152</v>
      </c>
    </row>
    <row r="860" spans="1:9" x14ac:dyDescent="0.35">
      <c r="A860" s="19">
        <v>45775</v>
      </c>
      <c r="B860" s="20"/>
      <c r="C860" s="20"/>
      <c r="D860" s="20">
        <v>300000</v>
      </c>
      <c r="E860" s="99" t="s">
        <v>559</v>
      </c>
      <c r="F860" s="20">
        <f t="shared" si="13"/>
        <v>203595021</v>
      </c>
      <c r="G860" s="7" t="s">
        <v>577</v>
      </c>
      <c r="H860" s="24" t="s">
        <v>109</v>
      </c>
      <c r="I860" s="32" t="s">
        <v>152</v>
      </c>
    </row>
    <row r="861" spans="1:9" x14ac:dyDescent="0.35">
      <c r="A861" s="19">
        <v>45776</v>
      </c>
      <c r="B861" s="20"/>
      <c r="C861" s="20"/>
      <c r="D861" s="20">
        <v>50000</v>
      </c>
      <c r="E861" s="99" t="s">
        <v>559</v>
      </c>
      <c r="F861" s="20">
        <f t="shared" si="13"/>
        <v>203645021</v>
      </c>
      <c r="G861" s="7" t="s">
        <v>330</v>
      </c>
      <c r="H861" s="24" t="s">
        <v>109</v>
      </c>
      <c r="I861" s="32" t="s">
        <v>152</v>
      </c>
    </row>
    <row r="862" spans="1:9" x14ac:dyDescent="0.35">
      <c r="A862" s="19">
        <v>45776</v>
      </c>
      <c r="B862" s="20"/>
      <c r="C862" s="20"/>
      <c r="D862" s="20">
        <v>50000</v>
      </c>
      <c r="E862" s="99" t="s">
        <v>559</v>
      </c>
      <c r="F862" s="20">
        <f t="shared" si="13"/>
        <v>203695021</v>
      </c>
      <c r="G862" s="7" t="s">
        <v>330</v>
      </c>
      <c r="H862" s="24" t="s">
        <v>109</v>
      </c>
      <c r="I862" s="32" t="s">
        <v>152</v>
      </c>
    </row>
    <row r="863" spans="1:9" x14ac:dyDescent="0.35">
      <c r="A863" s="19">
        <v>45776</v>
      </c>
      <c r="B863" s="20"/>
      <c r="C863" s="20"/>
      <c r="D863" s="20">
        <v>2477000</v>
      </c>
      <c r="E863" s="99" t="s">
        <v>559</v>
      </c>
      <c r="F863" s="20">
        <f t="shared" si="13"/>
        <v>206172021</v>
      </c>
      <c r="G863" s="7" t="s">
        <v>581</v>
      </c>
      <c r="H863" s="24" t="s">
        <v>580</v>
      </c>
      <c r="I863" s="32" t="s">
        <v>152</v>
      </c>
    </row>
    <row r="864" spans="1:9" x14ac:dyDescent="0.35">
      <c r="A864" s="19">
        <v>45776</v>
      </c>
      <c r="B864" s="20"/>
      <c r="C864" s="20"/>
      <c r="D864" s="23">
        <v>3667000</v>
      </c>
      <c r="E864" s="99" t="s">
        <v>559</v>
      </c>
      <c r="F864" s="20">
        <f t="shared" si="13"/>
        <v>209839021</v>
      </c>
      <c r="G864" s="24"/>
      <c r="H864" s="24" t="s">
        <v>107</v>
      </c>
      <c r="I864" s="32" t="s">
        <v>152</v>
      </c>
    </row>
    <row r="865" spans="1:9" x14ac:dyDescent="0.35">
      <c r="A865" s="19">
        <v>45776</v>
      </c>
      <c r="B865" s="20"/>
      <c r="C865" s="20"/>
      <c r="D865" s="23">
        <v>5927000</v>
      </c>
      <c r="E865" s="99" t="s">
        <v>559</v>
      </c>
      <c r="F865" s="20">
        <f t="shared" si="13"/>
        <v>215766021</v>
      </c>
      <c r="G865" s="24"/>
      <c r="H865" s="24" t="s">
        <v>109</v>
      </c>
      <c r="I865" s="32" t="s">
        <v>152</v>
      </c>
    </row>
    <row r="866" spans="1:9" x14ac:dyDescent="0.35">
      <c r="A866" s="19"/>
      <c r="B866" s="20"/>
      <c r="C866" s="20">
        <v>9594000</v>
      </c>
      <c r="D866" s="20"/>
      <c r="E866" s="99"/>
      <c r="F866" s="20">
        <f t="shared" si="13"/>
        <v>215766021</v>
      </c>
      <c r="G866" s="7" t="s">
        <v>305</v>
      </c>
      <c r="H866" s="24"/>
      <c r="I866" s="32"/>
    </row>
    <row r="867" spans="1:9" x14ac:dyDescent="0.35">
      <c r="A867" s="19">
        <v>45777</v>
      </c>
      <c r="B867" s="20"/>
      <c r="C867" s="20"/>
      <c r="D867" s="20">
        <v>50000</v>
      </c>
      <c r="E867" s="99" t="s">
        <v>559</v>
      </c>
      <c r="F867" s="20">
        <f t="shared" si="13"/>
        <v>215816021</v>
      </c>
      <c r="G867" s="7" t="s">
        <v>330</v>
      </c>
      <c r="H867" s="24" t="s">
        <v>109</v>
      </c>
      <c r="I867" s="32" t="s">
        <v>152</v>
      </c>
    </row>
    <row r="868" spans="1:9" x14ac:dyDescent="0.35">
      <c r="A868" s="19">
        <v>45777</v>
      </c>
      <c r="B868" s="20"/>
      <c r="C868" s="20"/>
      <c r="D868" s="20">
        <v>10000</v>
      </c>
      <c r="E868" s="99" t="s">
        <v>559</v>
      </c>
      <c r="F868" s="20">
        <f t="shared" si="13"/>
        <v>215826021</v>
      </c>
      <c r="G868" s="7" t="s">
        <v>330</v>
      </c>
      <c r="H868" s="24" t="s">
        <v>109</v>
      </c>
      <c r="I868" s="32" t="s">
        <v>152</v>
      </c>
    </row>
    <row r="869" spans="1:9" x14ac:dyDescent="0.35">
      <c r="A869" s="19">
        <v>45778</v>
      </c>
      <c r="B869" s="20"/>
      <c r="C869" s="20"/>
      <c r="D869" s="20">
        <v>10000</v>
      </c>
      <c r="E869" s="99" t="s">
        <v>588</v>
      </c>
      <c r="F869" s="20">
        <f t="shared" si="13"/>
        <v>215836021</v>
      </c>
      <c r="G869" s="7" t="s">
        <v>330</v>
      </c>
      <c r="H869" s="24" t="s">
        <v>109</v>
      </c>
      <c r="I869" s="32" t="s">
        <v>152</v>
      </c>
    </row>
    <row r="870" spans="1:9" x14ac:dyDescent="0.35">
      <c r="A870" s="19">
        <v>45778</v>
      </c>
      <c r="B870" s="20"/>
      <c r="C870" s="20"/>
      <c r="D870" s="20">
        <v>200000</v>
      </c>
      <c r="E870" s="99" t="s">
        <v>588</v>
      </c>
      <c r="F870" s="20">
        <f t="shared" si="13"/>
        <v>216036021</v>
      </c>
      <c r="G870" s="7" t="s">
        <v>578</v>
      </c>
      <c r="H870" s="24" t="s">
        <v>109</v>
      </c>
      <c r="I870" s="32" t="s">
        <v>152</v>
      </c>
    </row>
    <row r="871" spans="1:9" x14ac:dyDescent="0.35">
      <c r="A871" s="19">
        <v>45778</v>
      </c>
      <c r="B871" s="20"/>
      <c r="C871" s="20"/>
      <c r="D871" s="20">
        <v>500000</v>
      </c>
      <c r="E871" s="99" t="s">
        <v>588</v>
      </c>
      <c r="F871" s="20">
        <f t="shared" si="13"/>
        <v>216536021</v>
      </c>
      <c r="G871" s="7" t="s">
        <v>579</v>
      </c>
      <c r="H871" s="24" t="s">
        <v>109</v>
      </c>
      <c r="I871" s="32" t="s">
        <v>152</v>
      </c>
    </row>
    <row r="872" spans="1:9" x14ac:dyDescent="0.35">
      <c r="A872" s="19">
        <v>45779</v>
      </c>
      <c r="B872" s="20"/>
      <c r="C872" s="20"/>
      <c r="D872" s="20">
        <v>50000</v>
      </c>
      <c r="E872" s="99" t="s">
        <v>588</v>
      </c>
      <c r="F872" s="20">
        <f t="shared" si="13"/>
        <v>216586021</v>
      </c>
      <c r="G872" s="7" t="s">
        <v>330</v>
      </c>
      <c r="H872" s="24" t="s">
        <v>109</v>
      </c>
      <c r="I872" s="32" t="s">
        <v>152</v>
      </c>
    </row>
    <row r="873" spans="1:9" x14ac:dyDescent="0.35">
      <c r="A873" s="19">
        <v>45779</v>
      </c>
      <c r="B873" s="20"/>
      <c r="C873" s="20"/>
      <c r="D873" s="20">
        <v>10000</v>
      </c>
      <c r="E873" s="99" t="s">
        <v>588</v>
      </c>
      <c r="F873" s="20">
        <f t="shared" si="13"/>
        <v>216596021</v>
      </c>
      <c r="G873" s="7" t="s">
        <v>330</v>
      </c>
      <c r="H873" s="24" t="s">
        <v>109</v>
      </c>
      <c r="I873" s="32" t="s">
        <v>152</v>
      </c>
    </row>
    <row r="874" spans="1:9" x14ac:dyDescent="0.35">
      <c r="A874" s="19">
        <v>45779</v>
      </c>
      <c r="B874" s="20"/>
      <c r="C874" s="20"/>
      <c r="D874" s="20">
        <v>2000000</v>
      </c>
      <c r="E874" s="99" t="s">
        <v>588</v>
      </c>
      <c r="F874" s="20">
        <f t="shared" si="13"/>
        <v>218596021</v>
      </c>
      <c r="G874" s="7" t="s">
        <v>522</v>
      </c>
      <c r="H874" s="24" t="s">
        <v>109</v>
      </c>
      <c r="I874" s="32" t="s">
        <v>152</v>
      </c>
    </row>
    <row r="875" spans="1:9" x14ac:dyDescent="0.35">
      <c r="A875" s="19">
        <v>45780</v>
      </c>
      <c r="B875" s="20"/>
      <c r="C875" s="20"/>
      <c r="D875" s="20">
        <v>200000</v>
      </c>
      <c r="E875" s="99" t="s">
        <v>588</v>
      </c>
      <c r="F875" s="20">
        <f t="shared" si="13"/>
        <v>218796021</v>
      </c>
      <c r="G875" s="7" t="s">
        <v>592</v>
      </c>
      <c r="H875" s="24" t="s">
        <v>109</v>
      </c>
      <c r="I875" s="32" t="s">
        <v>152</v>
      </c>
    </row>
    <row r="876" spans="1:9" x14ac:dyDescent="0.35">
      <c r="A876" s="19">
        <v>45780</v>
      </c>
      <c r="B876" s="20">
        <v>4500000</v>
      </c>
      <c r="C876" s="20"/>
      <c r="D876" s="20"/>
      <c r="E876" s="99" t="s">
        <v>588</v>
      </c>
      <c r="F876" s="20">
        <f t="shared" si="13"/>
        <v>214296021</v>
      </c>
      <c r="G876" s="7" t="s">
        <v>593</v>
      </c>
      <c r="H876" s="24" t="s">
        <v>325</v>
      </c>
      <c r="I876" s="32" t="s">
        <v>152</v>
      </c>
    </row>
    <row r="877" spans="1:9" x14ac:dyDescent="0.35">
      <c r="A877" s="19">
        <v>45780</v>
      </c>
      <c r="B877" s="20">
        <v>6500</v>
      </c>
      <c r="C877" s="20"/>
      <c r="D877" s="20"/>
      <c r="E877" s="99" t="s">
        <v>588</v>
      </c>
      <c r="F877" s="20">
        <f t="shared" si="13"/>
        <v>214289521</v>
      </c>
      <c r="G877" s="7" t="s">
        <v>594</v>
      </c>
      <c r="H877" s="24" t="s">
        <v>325</v>
      </c>
      <c r="I877" s="32" t="s">
        <v>152</v>
      </c>
    </row>
    <row r="878" spans="1:9" x14ac:dyDescent="0.35">
      <c r="A878" s="19">
        <v>45780</v>
      </c>
      <c r="B878" s="20">
        <v>2500000</v>
      </c>
      <c r="C878" s="20"/>
      <c r="D878" s="20"/>
      <c r="E878" s="99" t="s">
        <v>588</v>
      </c>
      <c r="F878" s="20">
        <f t="shared" si="13"/>
        <v>211789521</v>
      </c>
      <c r="G878" s="7" t="s">
        <v>459</v>
      </c>
      <c r="H878" s="24" t="s">
        <v>325</v>
      </c>
      <c r="I878" s="32" t="s">
        <v>152</v>
      </c>
    </row>
    <row r="879" spans="1:9" x14ac:dyDescent="0.35">
      <c r="A879" s="19">
        <v>45780</v>
      </c>
      <c r="B879" s="20">
        <v>6500</v>
      </c>
      <c r="C879" s="20"/>
      <c r="D879" s="20"/>
      <c r="E879" s="99" t="s">
        <v>588</v>
      </c>
      <c r="F879" s="20">
        <f t="shared" si="13"/>
        <v>211783021</v>
      </c>
      <c r="G879" s="7" t="s">
        <v>595</v>
      </c>
      <c r="H879" s="24" t="s">
        <v>325</v>
      </c>
      <c r="I879" s="32" t="s">
        <v>152</v>
      </c>
    </row>
    <row r="880" spans="1:9" x14ac:dyDescent="0.35">
      <c r="A880" s="19">
        <v>45780</v>
      </c>
      <c r="B880" s="20"/>
      <c r="C880" s="20"/>
      <c r="D880" s="20">
        <v>50000</v>
      </c>
      <c r="E880" s="99" t="s">
        <v>588</v>
      </c>
      <c r="F880" s="20">
        <f t="shared" si="13"/>
        <v>211833021</v>
      </c>
      <c r="G880" s="7" t="s">
        <v>330</v>
      </c>
      <c r="H880" s="24" t="s">
        <v>109</v>
      </c>
      <c r="I880" s="32" t="s">
        <v>152</v>
      </c>
    </row>
    <row r="881" spans="1:9" x14ac:dyDescent="0.35">
      <c r="A881" s="19">
        <v>45780</v>
      </c>
      <c r="B881" s="20"/>
      <c r="C881" s="20"/>
      <c r="D881" s="20">
        <v>50000</v>
      </c>
      <c r="E881" s="99" t="s">
        <v>588</v>
      </c>
      <c r="F881" s="20">
        <f t="shared" si="13"/>
        <v>211883021</v>
      </c>
      <c r="G881" s="7" t="s">
        <v>330</v>
      </c>
      <c r="H881" s="24" t="s">
        <v>109</v>
      </c>
      <c r="I881" s="32" t="s">
        <v>152</v>
      </c>
    </row>
    <row r="882" spans="1:9" x14ac:dyDescent="0.35">
      <c r="A882" s="19">
        <v>45780</v>
      </c>
      <c r="B882" s="20"/>
      <c r="C882" s="20"/>
      <c r="D882" s="20">
        <v>25000</v>
      </c>
      <c r="E882" s="99" t="s">
        <v>588</v>
      </c>
      <c r="F882" s="20">
        <f t="shared" si="13"/>
        <v>211908021</v>
      </c>
      <c r="G882" s="7" t="s">
        <v>330</v>
      </c>
      <c r="H882" s="24" t="s">
        <v>109</v>
      </c>
      <c r="I882" s="32" t="s">
        <v>152</v>
      </c>
    </row>
    <row r="883" spans="1:9" x14ac:dyDescent="0.35">
      <c r="A883" s="19">
        <v>45780</v>
      </c>
      <c r="B883" s="20"/>
      <c r="C883" s="20"/>
      <c r="D883" s="20">
        <v>10000</v>
      </c>
      <c r="E883" s="99" t="s">
        <v>588</v>
      </c>
      <c r="F883" s="20">
        <f t="shared" si="13"/>
        <v>211918021</v>
      </c>
      <c r="G883" s="7" t="s">
        <v>330</v>
      </c>
      <c r="H883" s="24" t="s">
        <v>109</v>
      </c>
      <c r="I883" s="32" t="s">
        <v>152</v>
      </c>
    </row>
    <row r="884" spans="1:9" x14ac:dyDescent="0.35">
      <c r="A884" s="19">
        <v>45780</v>
      </c>
      <c r="B884" s="20"/>
      <c r="C884" s="20"/>
      <c r="D884" s="20">
        <v>10000</v>
      </c>
      <c r="E884" s="99" t="s">
        <v>588</v>
      </c>
      <c r="F884" s="20">
        <f t="shared" si="13"/>
        <v>211928021</v>
      </c>
      <c r="G884" s="7" t="s">
        <v>330</v>
      </c>
      <c r="H884" s="24" t="s">
        <v>109</v>
      </c>
      <c r="I884" s="32" t="s">
        <v>152</v>
      </c>
    </row>
    <row r="885" spans="1:9" x14ac:dyDescent="0.35">
      <c r="A885" s="19">
        <v>45780</v>
      </c>
      <c r="B885" s="20">
        <v>750000</v>
      </c>
      <c r="C885" s="20"/>
      <c r="D885" s="20"/>
      <c r="E885" s="99" t="s">
        <v>588</v>
      </c>
      <c r="F885" s="20">
        <f t="shared" si="13"/>
        <v>211178021</v>
      </c>
      <c r="G885" s="7" t="s">
        <v>596</v>
      </c>
      <c r="H885" s="24" t="s">
        <v>323</v>
      </c>
      <c r="I885" s="32" t="s">
        <v>152</v>
      </c>
    </row>
    <row r="886" spans="1:9" x14ac:dyDescent="0.35">
      <c r="A886" s="19">
        <v>45780</v>
      </c>
      <c r="B886" s="20">
        <v>6500</v>
      </c>
      <c r="C886" s="20"/>
      <c r="D886" s="20"/>
      <c r="E886" s="99" t="s">
        <v>588</v>
      </c>
      <c r="F886" s="20">
        <f t="shared" si="13"/>
        <v>211171521</v>
      </c>
      <c r="G886" s="7" t="s">
        <v>597</v>
      </c>
      <c r="H886" s="24" t="s">
        <v>323</v>
      </c>
      <c r="I886" s="32" t="s">
        <v>152</v>
      </c>
    </row>
    <row r="887" spans="1:9" x14ac:dyDescent="0.35">
      <c r="A887" s="19">
        <v>45781</v>
      </c>
      <c r="B887" s="20">
        <v>750000</v>
      </c>
      <c r="C887" s="20"/>
      <c r="D887" s="20"/>
      <c r="E887" s="99" t="s">
        <v>588</v>
      </c>
      <c r="F887" s="20">
        <f t="shared" si="13"/>
        <v>210421521</v>
      </c>
      <c r="G887" s="7" t="s">
        <v>598</v>
      </c>
      <c r="H887" s="24" t="s">
        <v>323</v>
      </c>
      <c r="I887" s="32" t="s">
        <v>152</v>
      </c>
    </row>
    <row r="888" spans="1:9" x14ac:dyDescent="0.35">
      <c r="A888" s="19">
        <v>45781</v>
      </c>
      <c r="B888" s="20">
        <v>6500</v>
      </c>
      <c r="C888" s="20"/>
      <c r="D888" s="20"/>
      <c r="E888" s="99" t="s">
        <v>588</v>
      </c>
      <c r="F888" s="20">
        <f t="shared" si="13"/>
        <v>210415021</v>
      </c>
      <c r="G888" s="7" t="s">
        <v>599</v>
      </c>
      <c r="H888" s="24" t="s">
        <v>323</v>
      </c>
      <c r="I888" s="32" t="s">
        <v>152</v>
      </c>
    </row>
    <row r="889" spans="1:9" x14ac:dyDescent="0.35">
      <c r="A889" s="19">
        <v>45781</v>
      </c>
      <c r="B889" s="20"/>
      <c r="C889" s="20"/>
      <c r="D889" s="20">
        <v>5000</v>
      </c>
      <c r="E889" s="99" t="s">
        <v>588</v>
      </c>
      <c r="F889" s="20">
        <f t="shared" si="13"/>
        <v>210420021</v>
      </c>
      <c r="G889" s="7" t="s">
        <v>330</v>
      </c>
      <c r="H889" s="24" t="s">
        <v>109</v>
      </c>
      <c r="I889" s="32" t="s">
        <v>152</v>
      </c>
    </row>
    <row r="890" spans="1:9" x14ac:dyDescent="0.35">
      <c r="A890" s="19">
        <v>45781</v>
      </c>
      <c r="B890" s="20"/>
      <c r="C890" s="20"/>
      <c r="D890" s="20">
        <v>10000</v>
      </c>
      <c r="E890" s="99" t="s">
        <v>588</v>
      </c>
      <c r="F890" s="20">
        <f t="shared" si="13"/>
        <v>210430021</v>
      </c>
      <c r="G890" s="7" t="s">
        <v>330</v>
      </c>
      <c r="H890" s="24" t="s">
        <v>109</v>
      </c>
      <c r="I890" s="32" t="s">
        <v>152</v>
      </c>
    </row>
    <row r="891" spans="1:9" x14ac:dyDescent="0.35">
      <c r="A891" s="19">
        <v>45781</v>
      </c>
      <c r="B891" s="20"/>
      <c r="C891" s="20"/>
      <c r="D891" s="20">
        <v>400000</v>
      </c>
      <c r="E891" s="99" t="s">
        <v>588</v>
      </c>
      <c r="F891" s="20">
        <f t="shared" si="13"/>
        <v>210830021</v>
      </c>
      <c r="G891" s="7" t="s">
        <v>600</v>
      </c>
      <c r="H891" s="24" t="s">
        <v>109</v>
      </c>
      <c r="I891" s="32" t="s">
        <v>152</v>
      </c>
    </row>
    <row r="892" spans="1:9" x14ac:dyDescent="0.35">
      <c r="A892" s="19">
        <v>45781</v>
      </c>
      <c r="B892" s="20">
        <v>75000</v>
      </c>
      <c r="C892" s="20"/>
      <c r="D892" s="20"/>
      <c r="E892" s="99" t="s">
        <v>588</v>
      </c>
      <c r="F892" s="20">
        <f t="shared" si="13"/>
        <v>210755021</v>
      </c>
      <c r="G892" s="7" t="s">
        <v>601</v>
      </c>
      <c r="H892" s="24" t="s">
        <v>320</v>
      </c>
      <c r="I892" s="32" t="s">
        <v>152</v>
      </c>
    </row>
    <row r="893" spans="1:9" x14ac:dyDescent="0.35">
      <c r="A893" s="19">
        <v>45781</v>
      </c>
      <c r="B893" s="20">
        <v>6500</v>
      </c>
      <c r="C893" s="20"/>
      <c r="D893" s="20"/>
      <c r="E893" s="99" t="s">
        <v>588</v>
      </c>
      <c r="F893" s="20">
        <f t="shared" si="13"/>
        <v>210748521</v>
      </c>
      <c r="G893" s="7" t="s">
        <v>602</v>
      </c>
      <c r="H893" s="24" t="s">
        <v>320</v>
      </c>
      <c r="I893" s="32" t="s">
        <v>152</v>
      </c>
    </row>
    <row r="894" spans="1:9" x14ac:dyDescent="0.35">
      <c r="A894" s="19">
        <v>45781</v>
      </c>
      <c r="B894" s="20"/>
      <c r="C894" s="20"/>
      <c r="D894" s="20">
        <v>150000</v>
      </c>
      <c r="E894" s="99" t="s">
        <v>588</v>
      </c>
      <c r="F894" s="20">
        <f t="shared" si="13"/>
        <v>210898521</v>
      </c>
      <c r="G894" s="7" t="s">
        <v>603</v>
      </c>
      <c r="H894" s="24" t="s">
        <v>109</v>
      </c>
      <c r="I894" s="32" t="s">
        <v>152</v>
      </c>
    </row>
    <row r="895" spans="1:9" x14ac:dyDescent="0.35">
      <c r="A895" s="19">
        <v>45781</v>
      </c>
      <c r="B895" s="20"/>
      <c r="C895" s="20"/>
      <c r="D895" s="20">
        <v>100000</v>
      </c>
      <c r="E895" s="99" t="s">
        <v>588</v>
      </c>
      <c r="F895" s="20">
        <f t="shared" si="13"/>
        <v>210998521</v>
      </c>
      <c r="G895" s="7" t="s">
        <v>330</v>
      </c>
      <c r="H895" s="24" t="s">
        <v>109</v>
      </c>
      <c r="I895" s="32" t="s">
        <v>152</v>
      </c>
    </row>
    <row r="896" spans="1:9" x14ac:dyDescent="0.35">
      <c r="A896" s="19">
        <v>45781</v>
      </c>
      <c r="B896" s="20"/>
      <c r="C896" s="20"/>
      <c r="D896" s="20">
        <v>5000000</v>
      </c>
      <c r="E896" s="99" t="s">
        <v>588</v>
      </c>
      <c r="F896" s="20">
        <f t="shared" si="13"/>
        <v>215998521</v>
      </c>
      <c r="G896" s="7" t="s">
        <v>604</v>
      </c>
      <c r="H896" s="24" t="s">
        <v>613</v>
      </c>
      <c r="I896" s="32" t="s">
        <v>152</v>
      </c>
    </row>
    <row r="897" spans="1:9" x14ac:dyDescent="0.35">
      <c r="A897" s="19">
        <v>45782</v>
      </c>
      <c r="B897" s="20"/>
      <c r="C897" s="20"/>
      <c r="D897" s="20">
        <v>50000</v>
      </c>
      <c r="E897" s="99" t="s">
        <v>588</v>
      </c>
      <c r="F897" s="20">
        <f t="shared" si="13"/>
        <v>216048521</v>
      </c>
      <c r="G897" s="7" t="s">
        <v>330</v>
      </c>
      <c r="H897" s="24" t="s">
        <v>109</v>
      </c>
      <c r="I897" s="32" t="s">
        <v>152</v>
      </c>
    </row>
    <row r="898" spans="1:9" x14ac:dyDescent="0.35">
      <c r="A898" s="19">
        <v>45782</v>
      </c>
      <c r="B898" s="20"/>
      <c r="C898" s="20"/>
      <c r="D898" s="20">
        <v>25000</v>
      </c>
      <c r="E898" s="99" t="s">
        <v>588</v>
      </c>
      <c r="F898" s="20">
        <f t="shared" si="13"/>
        <v>216073521</v>
      </c>
      <c r="G898" s="7" t="s">
        <v>330</v>
      </c>
      <c r="H898" s="24" t="s">
        <v>109</v>
      </c>
      <c r="I898" s="32" t="s">
        <v>152</v>
      </c>
    </row>
    <row r="899" spans="1:9" x14ac:dyDescent="0.35">
      <c r="A899" s="19">
        <v>45783</v>
      </c>
      <c r="B899" s="20"/>
      <c r="C899" s="20"/>
      <c r="D899" s="20">
        <v>10000</v>
      </c>
      <c r="E899" s="99" t="s">
        <v>588</v>
      </c>
      <c r="F899" s="20">
        <f t="shared" si="13"/>
        <v>216083521</v>
      </c>
      <c r="G899" s="7" t="s">
        <v>330</v>
      </c>
      <c r="H899" s="24" t="s">
        <v>109</v>
      </c>
      <c r="I899" s="32" t="s">
        <v>152</v>
      </c>
    </row>
    <row r="900" spans="1:9" x14ac:dyDescent="0.35">
      <c r="A900" s="19">
        <v>45783</v>
      </c>
      <c r="B900" s="20"/>
      <c r="C900" s="20"/>
      <c r="D900" s="20">
        <v>2</v>
      </c>
      <c r="E900" s="99" t="s">
        <v>588</v>
      </c>
      <c r="F900" s="20">
        <f t="shared" si="13"/>
        <v>216083523</v>
      </c>
      <c r="G900" s="7" t="s">
        <v>330</v>
      </c>
      <c r="H900" s="24" t="s">
        <v>109</v>
      </c>
      <c r="I900" s="32" t="s">
        <v>152</v>
      </c>
    </row>
    <row r="901" spans="1:9" x14ac:dyDescent="0.35">
      <c r="A901" s="19">
        <v>45783</v>
      </c>
      <c r="B901" s="20"/>
      <c r="C901" s="20"/>
      <c r="D901" s="195">
        <v>3203000</v>
      </c>
      <c r="E901" s="99" t="s">
        <v>588</v>
      </c>
      <c r="F901" s="20">
        <f t="shared" ref="F901:F964" si="14">+F900+D901-B901</f>
        <v>219286523</v>
      </c>
      <c r="G901" s="24"/>
      <c r="H901" s="24" t="s">
        <v>107</v>
      </c>
      <c r="I901" s="32" t="s">
        <v>152</v>
      </c>
    </row>
    <row r="902" spans="1:9" x14ac:dyDescent="0.35">
      <c r="A902" s="19">
        <v>45783</v>
      </c>
      <c r="B902" s="20"/>
      <c r="C902" s="20"/>
      <c r="D902" s="195">
        <v>1683000</v>
      </c>
      <c r="E902" s="99" t="s">
        <v>588</v>
      </c>
      <c r="F902" s="20">
        <f t="shared" si="14"/>
        <v>220969523</v>
      </c>
      <c r="G902" s="24"/>
      <c r="H902" s="24" t="s">
        <v>109</v>
      </c>
      <c r="I902" s="32" t="s">
        <v>152</v>
      </c>
    </row>
    <row r="903" spans="1:9" x14ac:dyDescent="0.35">
      <c r="A903" s="19"/>
      <c r="B903" s="20"/>
      <c r="C903" s="20">
        <v>4886000</v>
      </c>
      <c r="D903" s="20"/>
      <c r="E903" s="99" t="s">
        <v>588</v>
      </c>
      <c r="F903" s="20">
        <f t="shared" si="14"/>
        <v>220969523</v>
      </c>
      <c r="G903" s="7" t="s">
        <v>305</v>
      </c>
      <c r="H903" s="24"/>
      <c r="I903" s="32"/>
    </row>
    <row r="904" spans="1:9" x14ac:dyDescent="0.35">
      <c r="A904" s="19">
        <v>45783</v>
      </c>
      <c r="B904" s="20"/>
      <c r="C904" s="20"/>
      <c r="D904" s="20">
        <v>3500000</v>
      </c>
      <c r="E904" s="99" t="s">
        <v>588</v>
      </c>
      <c r="F904" s="20">
        <f t="shared" si="14"/>
        <v>224469523</v>
      </c>
      <c r="G904" s="7" t="s">
        <v>605</v>
      </c>
      <c r="H904" s="24" t="s">
        <v>613</v>
      </c>
      <c r="I904" s="32" t="s">
        <v>152</v>
      </c>
    </row>
    <row r="905" spans="1:9" x14ac:dyDescent="0.35">
      <c r="A905" s="19">
        <v>45783</v>
      </c>
      <c r="B905" s="20"/>
      <c r="C905" s="20"/>
      <c r="D905" s="20">
        <v>600000</v>
      </c>
      <c r="E905" s="99" t="s">
        <v>588</v>
      </c>
      <c r="F905" s="20">
        <f t="shared" si="14"/>
        <v>225069523</v>
      </c>
      <c r="G905" s="7" t="s">
        <v>606</v>
      </c>
      <c r="H905" s="24" t="s">
        <v>109</v>
      </c>
      <c r="I905" s="32" t="s">
        <v>152</v>
      </c>
    </row>
    <row r="906" spans="1:9" x14ac:dyDescent="0.35">
      <c r="A906" s="19">
        <v>45783</v>
      </c>
      <c r="B906" s="20">
        <v>2000000</v>
      </c>
      <c r="C906" s="20"/>
      <c r="D906" s="20"/>
      <c r="E906" s="99" t="s">
        <v>588</v>
      </c>
      <c r="F906" s="20">
        <f t="shared" si="14"/>
        <v>223069523</v>
      </c>
      <c r="G906" s="7" t="s">
        <v>607</v>
      </c>
      <c r="H906" s="24" t="s">
        <v>323</v>
      </c>
      <c r="I906" s="32" t="s">
        <v>152</v>
      </c>
    </row>
    <row r="907" spans="1:9" x14ac:dyDescent="0.35">
      <c r="A907" s="19">
        <v>45783</v>
      </c>
      <c r="B907" s="20">
        <v>6500</v>
      </c>
      <c r="C907" s="20"/>
      <c r="D907" s="20"/>
      <c r="E907" s="99" t="s">
        <v>588</v>
      </c>
      <c r="F907" s="20">
        <f t="shared" si="14"/>
        <v>223063023</v>
      </c>
      <c r="G907" s="7" t="s">
        <v>608</v>
      </c>
      <c r="H907" s="24" t="s">
        <v>323</v>
      </c>
      <c r="I907" s="32" t="s">
        <v>152</v>
      </c>
    </row>
    <row r="908" spans="1:9" x14ac:dyDescent="0.35">
      <c r="A908" s="19">
        <v>45784</v>
      </c>
      <c r="B908" s="20"/>
      <c r="C908" s="20"/>
      <c r="D908" s="20">
        <v>200000</v>
      </c>
      <c r="E908" s="99" t="s">
        <v>588</v>
      </c>
      <c r="F908" s="20">
        <f t="shared" si="14"/>
        <v>223263023</v>
      </c>
      <c r="G908" s="7" t="s">
        <v>531</v>
      </c>
      <c r="H908" s="24" t="s">
        <v>109</v>
      </c>
      <c r="I908" s="32" t="s">
        <v>152</v>
      </c>
    </row>
    <row r="909" spans="1:9" x14ac:dyDescent="0.35">
      <c r="A909" s="19">
        <v>45784</v>
      </c>
      <c r="B909" s="20"/>
      <c r="C909" s="20"/>
      <c r="D909" s="20">
        <v>10000</v>
      </c>
      <c r="E909" s="99" t="s">
        <v>588</v>
      </c>
      <c r="F909" s="20">
        <f t="shared" si="14"/>
        <v>223273023</v>
      </c>
      <c r="G909" s="7" t="s">
        <v>330</v>
      </c>
      <c r="H909" s="24" t="s">
        <v>109</v>
      </c>
      <c r="I909" s="32" t="s">
        <v>152</v>
      </c>
    </row>
    <row r="910" spans="1:9" x14ac:dyDescent="0.35">
      <c r="A910" s="19">
        <v>45784</v>
      </c>
      <c r="B910" s="20"/>
      <c r="C910" s="20"/>
      <c r="D910" s="20">
        <v>1000000</v>
      </c>
      <c r="E910" s="99" t="s">
        <v>588</v>
      </c>
      <c r="F910" s="20">
        <f t="shared" si="14"/>
        <v>224273023</v>
      </c>
      <c r="G910" s="7" t="s">
        <v>609</v>
      </c>
      <c r="H910" s="24" t="s">
        <v>109</v>
      </c>
      <c r="I910" s="32" t="s">
        <v>152</v>
      </c>
    </row>
    <row r="911" spans="1:9" x14ac:dyDescent="0.35">
      <c r="A911" s="19">
        <v>45784</v>
      </c>
      <c r="B911" s="20"/>
      <c r="C911" s="20"/>
      <c r="D911" s="20">
        <v>800000</v>
      </c>
      <c r="E911" s="99" t="s">
        <v>588</v>
      </c>
      <c r="F911" s="20">
        <f t="shared" si="14"/>
        <v>225073023</v>
      </c>
      <c r="G911" s="7" t="s">
        <v>610</v>
      </c>
      <c r="H911" s="24" t="s">
        <v>109</v>
      </c>
      <c r="I911" s="32" t="s">
        <v>152</v>
      </c>
    </row>
    <row r="912" spans="1:9" x14ac:dyDescent="0.35">
      <c r="A912" s="19">
        <v>45785</v>
      </c>
      <c r="B912" s="20"/>
      <c r="C912" s="20"/>
      <c r="D912" s="20">
        <v>4000000</v>
      </c>
      <c r="E912" s="99" t="s">
        <v>588</v>
      </c>
      <c r="F912" s="20">
        <f t="shared" si="14"/>
        <v>229073023</v>
      </c>
      <c r="G912" s="7" t="s">
        <v>611</v>
      </c>
      <c r="H912" s="24" t="s">
        <v>613</v>
      </c>
      <c r="I912" s="32" t="s">
        <v>152</v>
      </c>
    </row>
    <row r="913" spans="1:12" x14ac:dyDescent="0.35">
      <c r="A913" s="19">
        <v>45785</v>
      </c>
      <c r="B913" s="20"/>
      <c r="C913" s="20"/>
      <c r="D913" s="20">
        <v>4000000</v>
      </c>
      <c r="E913" s="99" t="s">
        <v>588</v>
      </c>
      <c r="F913" s="20">
        <f t="shared" si="14"/>
        <v>233073023</v>
      </c>
      <c r="G913" s="7" t="s">
        <v>612</v>
      </c>
      <c r="H913" s="24" t="s">
        <v>613</v>
      </c>
      <c r="I913" s="32" t="s">
        <v>152</v>
      </c>
    </row>
    <row r="914" spans="1:12" x14ac:dyDescent="0.35">
      <c r="A914" s="19">
        <v>45785</v>
      </c>
      <c r="B914" s="20"/>
      <c r="C914" s="20"/>
      <c r="D914" s="20">
        <v>10000</v>
      </c>
      <c r="E914" s="99" t="s">
        <v>588</v>
      </c>
      <c r="F914" s="20">
        <f t="shared" si="14"/>
        <v>233083023</v>
      </c>
      <c r="G914" s="7" t="s">
        <v>330</v>
      </c>
      <c r="H914" s="24" t="s">
        <v>109</v>
      </c>
      <c r="I914" s="32" t="s">
        <v>152</v>
      </c>
    </row>
    <row r="915" spans="1:12" x14ac:dyDescent="0.35">
      <c r="A915" s="19">
        <v>45786</v>
      </c>
      <c r="B915" s="20"/>
      <c r="C915" s="20"/>
      <c r="D915" s="20">
        <v>50000</v>
      </c>
      <c r="E915" s="99" t="s">
        <v>588</v>
      </c>
      <c r="F915" s="20">
        <f t="shared" si="14"/>
        <v>233133023</v>
      </c>
      <c r="G915" s="7" t="s">
        <v>330</v>
      </c>
      <c r="H915" s="24" t="s">
        <v>109</v>
      </c>
      <c r="I915" s="32" t="s">
        <v>152</v>
      </c>
      <c r="K915" s="181"/>
      <c r="L915" s="181"/>
    </row>
    <row r="916" spans="1:12" x14ac:dyDescent="0.35">
      <c r="A916" s="19">
        <v>45786</v>
      </c>
      <c r="B916" s="20"/>
      <c r="C916" s="20"/>
      <c r="D916" s="20">
        <v>10000</v>
      </c>
      <c r="E916" s="99" t="s">
        <v>588</v>
      </c>
      <c r="F916" s="20">
        <f t="shared" si="14"/>
        <v>233143023</v>
      </c>
      <c r="G916" s="7" t="s">
        <v>330</v>
      </c>
      <c r="H916" s="24" t="s">
        <v>109</v>
      </c>
      <c r="I916" s="32" t="s">
        <v>152</v>
      </c>
      <c r="K916" s="181"/>
      <c r="L916" s="181"/>
    </row>
    <row r="917" spans="1:12" x14ac:dyDescent="0.35">
      <c r="A917" s="19">
        <v>45786</v>
      </c>
      <c r="B917" s="20"/>
      <c r="C917" s="20"/>
      <c r="D917" s="20">
        <v>10000000</v>
      </c>
      <c r="E917" s="99" t="s">
        <v>588</v>
      </c>
      <c r="F917" s="20">
        <f t="shared" si="14"/>
        <v>243143023</v>
      </c>
      <c r="G917" s="7" t="s">
        <v>618</v>
      </c>
      <c r="H917" s="24" t="s">
        <v>619</v>
      </c>
      <c r="I917" s="32" t="s">
        <v>152</v>
      </c>
      <c r="K917" s="181"/>
      <c r="L917" s="181"/>
    </row>
    <row r="918" spans="1:12" x14ac:dyDescent="0.35">
      <c r="A918" s="19">
        <v>45787</v>
      </c>
      <c r="B918" s="20">
        <v>750000</v>
      </c>
      <c r="C918" s="20"/>
      <c r="D918" s="20"/>
      <c r="E918" s="99" t="s">
        <v>588</v>
      </c>
      <c r="F918" s="20">
        <f t="shared" si="14"/>
        <v>242393023</v>
      </c>
      <c r="G918" s="7" t="s">
        <v>620</v>
      </c>
      <c r="H918" s="24" t="s">
        <v>323</v>
      </c>
      <c r="I918" s="32" t="s">
        <v>152</v>
      </c>
      <c r="K918" s="181"/>
      <c r="L918" s="181"/>
    </row>
    <row r="919" spans="1:12" x14ac:dyDescent="0.35">
      <c r="A919" s="19">
        <v>45787</v>
      </c>
      <c r="B919" s="20">
        <v>6500</v>
      </c>
      <c r="C919" s="20"/>
      <c r="D919" s="20"/>
      <c r="E919" s="99" t="s">
        <v>588</v>
      </c>
      <c r="F919" s="20">
        <f t="shared" si="14"/>
        <v>242386523</v>
      </c>
      <c r="G919" s="7" t="s">
        <v>621</v>
      </c>
      <c r="H919" s="24" t="s">
        <v>323</v>
      </c>
      <c r="I919" s="32" t="s">
        <v>152</v>
      </c>
      <c r="K919" s="181"/>
      <c r="L919" s="181"/>
    </row>
    <row r="920" spans="1:12" x14ac:dyDescent="0.35">
      <c r="A920" s="19">
        <v>45787</v>
      </c>
      <c r="B920" s="20"/>
      <c r="C920" s="20"/>
      <c r="D920" s="20">
        <v>25000</v>
      </c>
      <c r="E920" s="99" t="s">
        <v>588</v>
      </c>
      <c r="F920" s="20">
        <f t="shared" si="14"/>
        <v>242411523</v>
      </c>
      <c r="G920" s="7" t="s">
        <v>330</v>
      </c>
      <c r="H920" s="24" t="s">
        <v>109</v>
      </c>
      <c r="I920" s="32" t="s">
        <v>152</v>
      </c>
      <c r="K920" s="181"/>
      <c r="L920" s="181"/>
    </row>
    <row r="921" spans="1:12" x14ac:dyDescent="0.35">
      <c r="A921" s="19">
        <v>45787</v>
      </c>
      <c r="B921" s="20"/>
      <c r="C921" s="20"/>
      <c r="D921" s="20">
        <v>10000</v>
      </c>
      <c r="E921" s="99" t="s">
        <v>588</v>
      </c>
      <c r="F921" s="20">
        <f t="shared" si="14"/>
        <v>242421523</v>
      </c>
      <c r="G921" s="7" t="s">
        <v>330</v>
      </c>
      <c r="H921" s="24" t="s">
        <v>109</v>
      </c>
      <c r="I921" s="32" t="s">
        <v>152</v>
      </c>
      <c r="K921" s="181"/>
      <c r="L921" s="181"/>
    </row>
    <row r="922" spans="1:12" x14ac:dyDescent="0.35">
      <c r="A922" s="19">
        <v>45787</v>
      </c>
      <c r="B922" s="20"/>
      <c r="C922" s="20"/>
      <c r="D922" s="20">
        <v>100000</v>
      </c>
      <c r="E922" s="99" t="s">
        <v>588</v>
      </c>
      <c r="F922" s="20">
        <f t="shared" si="14"/>
        <v>242521523</v>
      </c>
      <c r="G922" s="7" t="s">
        <v>330</v>
      </c>
      <c r="H922" s="24" t="s">
        <v>109</v>
      </c>
      <c r="I922" s="32" t="s">
        <v>152</v>
      </c>
      <c r="K922" s="181"/>
      <c r="L922" s="181"/>
    </row>
    <row r="923" spans="1:12" x14ac:dyDescent="0.35">
      <c r="A923" s="19">
        <v>45787</v>
      </c>
      <c r="B923" s="20"/>
      <c r="C923" s="20"/>
      <c r="D923" s="20">
        <v>10000</v>
      </c>
      <c r="E923" s="99" t="s">
        <v>588</v>
      </c>
      <c r="F923" s="20">
        <f t="shared" si="14"/>
        <v>242531523</v>
      </c>
      <c r="G923" s="7" t="s">
        <v>330</v>
      </c>
      <c r="H923" s="24" t="s">
        <v>109</v>
      </c>
      <c r="I923" s="32" t="s">
        <v>152</v>
      </c>
      <c r="K923" s="181"/>
      <c r="L923" s="181"/>
    </row>
    <row r="924" spans="1:12" x14ac:dyDescent="0.35">
      <c r="A924" s="19">
        <v>45787</v>
      </c>
      <c r="B924" s="20"/>
      <c r="C924" s="20"/>
      <c r="D924" s="20">
        <v>50000</v>
      </c>
      <c r="E924" s="99" t="s">
        <v>588</v>
      </c>
      <c r="F924" s="20">
        <f t="shared" si="14"/>
        <v>242581523</v>
      </c>
      <c r="G924" s="7" t="s">
        <v>330</v>
      </c>
      <c r="H924" s="24" t="s">
        <v>109</v>
      </c>
      <c r="I924" s="32" t="s">
        <v>152</v>
      </c>
      <c r="K924" s="181"/>
      <c r="L924" s="181"/>
    </row>
    <row r="925" spans="1:12" x14ac:dyDescent="0.35">
      <c r="A925" s="19">
        <v>45787</v>
      </c>
      <c r="B925" s="20"/>
      <c r="C925" s="20"/>
      <c r="D925" s="20">
        <v>40000</v>
      </c>
      <c r="E925" s="99" t="s">
        <v>588</v>
      </c>
      <c r="F925" s="20">
        <f t="shared" si="14"/>
        <v>242621523</v>
      </c>
      <c r="G925" s="7" t="s">
        <v>330</v>
      </c>
      <c r="H925" s="24" t="s">
        <v>109</v>
      </c>
      <c r="I925" s="32" t="s">
        <v>152</v>
      </c>
      <c r="K925" s="181"/>
      <c r="L925" s="181"/>
    </row>
    <row r="926" spans="1:12" x14ac:dyDescent="0.35">
      <c r="A926" s="19">
        <v>45787</v>
      </c>
      <c r="B926" s="20"/>
      <c r="C926" s="20"/>
      <c r="D926" s="20">
        <v>250000</v>
      </c>
      <c r="E926" s="99" t="s">
        <v>588</v>
      </c>
      <c r="F926" s="20">
        <f t="shared" si="14"/>
        <v>242871523</v>
      </c>
      <c r="G926" s="7" t="s">
        <v>330</v>
      </c>
      <c r="H926" s="24" t="s">
        <v>109</v>
      </c>
      <c r="I926" s="32" t="s">
        <v>152</v>
      </c>
      <c r="K926" s="181"/>
      <c r="L926" s="181"/>
    </row>
    <row r="927" spans="1:12" x14ac:dyDescent="0.35">
      <c r="A927" s="19">
        <v>45787</v>
      </c>
      <c r="B927" s="20"/>
      <c r="C927" s="20"/>
      <c r="D927" s="20">
        <v>5000000</v>
      </c>
      <c r="E927" s="99" t="s">
        <v>588</v>
      </c>
      <c r="F927" s="20">
        <f t="shared" si="14"/>
        <v>247871523</v>
      </c>
      <c r="G927" s="7" t="s">
        <v>618</v>
      </c>
      <c r="H927" s="24" t="s">
        <v>619</v>
      </c>
      <c r="I927" s="32" t="s">
        <v>152</v>
      </c>
      <c r="K927" s="181"/>
      <c r="L927" s="181"/>
    </row>
    <row r="928" spans="1:12" x14ac:dyDescent="0.35">
      <c r="A928" s="19">
        <v>45787</v>
      </c>
      <c r="B928" s="20">
        <v>1000000</v>
      </c>
      <c r="C928" s="20"/>
      <c r="D928" s="20"/>
      <c r="E928" s="99" t="s">
        <v>588</v>
      </c>
      <c r="F928" s="20">
        <f t="shared" si="14"/>
        <v>246871523</v>
      </c>
      <c r="G928" s="7" t="s">
        <v>622</v>
      </c>
      <c r="H928" s="24" t="s">
        <v>323</v>
      </c>
      <c r="I928" s="32" t="s">
        <v>152</v>
      </c>
      <c r="K928" s="181"/>
      <c r="L928" s="181"/>
    </row>
    <row r="929" spans="1:12" x14ac:dyDescent="0.35">
      <c r="A929" s="19">
        <v>45787</v>
      </c>
      <c r="B929" s="20">
        <v>6500</v>
      </c>
      <c r="C929" s="20"/>
      <c r="D929" s="20"/>
      <c r="E929" s="99" t="s">
        <v>588</v>
      </c>
      <c r="F929" s="20">
        <f t="shared" si="14"/>
        <v>246865023</v>
      </c>
      <c r="G929" s="7" t="s">
        <v>623</v>
      </c>
      <c r="H929" s="24" t="s">
        <v>323</v>
      </c>
      <c r="I929" s="32" t="s">
        <v>152</v>
      </c>
      <c r="K929" s="181"/>
      <c r="L929" s="181"/>
    </row>
    <row r="930" spans="1:12" x14ac:dyDescent="0.35">
      <c r="A930" s="19">
        <v>45787</v>
      </c>
      <c r="B930" s="20">
        <v>1003000</v>
      </c>
      <c r="C930" s="20"/>
      <c r="D930" s="20"/>
      <c r="E930" s="99" t="s">
        <v>588</v>
      </c>
      <c r="F930" s="20">
        <f t="shared" si="14"/>
        <v>245862023</v>
      </c>
      <c r="G930" s="7" t="s">
        <v>622</v>
      </c>
      <c r="H930" s="24" t="s">
        <v>323</v>
      </c>
      <c r="I930" s="32" t="s">
        <v>152</v>
      </c>
      <c r="K930" s="181"/>
      <c r="L930" s="181"/>
    </row>
    <row r="931" spans="1:12" x14ac:dyDescent="0.35">
      <c r="A931" s="19">
        <v>45787</v>
      </c>
      <c r="B931" s="20">
        <v>6500</v>
      </c>
      <c r="C931" s="20"/>
      <c r="D931" s="20"/>
      <c r="E931" s="99" t="s">
        <v>588</v>
      </c>
      <c r="F931" s="20">
        <f t="shared" si="14"/>
        <v>245855523</v>
      </c>
      <c r="G931" s="7" t="s">
        <v>623</v>
      </c>
      <c r="H931" s="24" t="s">
        <v>323</v>
      </c>
      <c r="I931" s="32" t="s">
        <v>152</v>
      </c>
      <c r="K931" s="181"/>
      <c r="L931" s="181"/>
    </row>
    <row r="932" spans="1:12" x14ac:dyDescent="0.35">
      <c r="A932" s="19">
        <v>45787</v>
      </c>
      <c r="B932" s="20">
        <v>750000</v>
      </c>
      <c r="C932" s="20"/>
      <c r="D932" s="20"/>
      <c r="E932" s="99" t="s">
        <v>588</v>
      </c>
      <c r="F932" s="20">
        <f t="shared" si="14"/>
        <v>245105523</v>
      </c>
      <c r="G932" s="7" t="s">
        <v>622</v>
      </c>
      <c r="H932" s="24" t="s">
        <v>323</v>
      </c>
      <c r="I932" s="32" t="s">
        <v>152</v>
      </c>
      <c r="K932" s="181"/>
      <c r="L932" s="181"/>
    </row>
    <row r="933" spans="1:12" x14ac:dyDescent="0.35">
      <c r="A933" s="19">
        <v>45787</v>
      </c>
      <c r="B933" s="20">
        <v>6500</v>
      </c>
      <c r="C933" s="20"/>
      <c r="D933" s="20"/>
      <c r="E933" s="99" t="s">
        <v>588</v>
      </c>
      <c r="F933" s="20">
        <f t="shared" si="14"/>
        <v>245099023</v>
      </c>
      <c r="G933" s="7" t="s">
        <v>623</v>
      </c>
      <c r="H933" s="24" t="s">
        <v>323</v>
      </c>
      <c r="I933" s="32" t="s">
        <v>152</v>
      </c>
      <c r="K933" s="181"/>
      <c r="L933" s="181"/>
    </row>
    <row r="934" spans="1:12" x14ac:dyDescent="0.35">
      <c r="A934" s="19">
        <v>45787</v>
      </c>
      <c r="B934" s="20">
        <v>750000</v>
      </c>
      <c r="C934" s="20"/>
      <c r="D934" s="20"/>
      <c r="E934" s="99" t="s">
        <v>588</v>
      </c>
      <c r="F934" s="20">
        <f t="shared" si="14"/>
        <v>244349023</v>
      </c>
      <c r="G934" s="7" t="s">
        <v>622</v>
      </c>
      <c r="H934" s="24" t="s">
        <v>323</v>
      </c>
      <c r="I934" s="32" t="s">
        <v>152</v>
      </c>
      <c r="K934" s="181"/>
      <c r="L934" s="181"/>
    </row>
    <row r="935" spans="1:12" x14ac:dyDescent="0.35">
      <c r="A935" s="19">
        <v>45787</v>
      </c>
      <c r="B935" s="20">
        <v>6500</v>
      </c>
      <c r="C935" s="20"/>
      <c r="D935" s="20"/>
      <c r="E935" s="99" t="s">
        <v>588</v>
      </c>
      <c r="F935" s="20">
        <f t="shared" si="14"/>
        <v>244342523</v>
      </c>
      <c r="G935" s="7" t="s">
        <v>623</v>
      </c>
      <c r="H935" s="24" t="s">
        <v>323</v>
      </c>
      <c r="I935" s="32" t="s">
        <v>152</v>
      </c>
      <c r="K935" s="181"/>
      <c r="L935" s="181"/>
    </row>
    <row r="936" spans="1:12" x14ac:dyDescent="0.35">
      <c r="A936" s="19">
        <v>45787</v>
      </c>
      <c r="B936" s="20"/>
      <c r="C936" s="20"/>
      <c r="D936" s="20">
        <v>5000000</v>
      </c>
      <c r="E936" s="99" t="s">
        <v>588</v>
      </c>
      <c r="F936" s="20">
        <f t="shared" si="14"/>
        <v>249342523</v>
      </c>
      <c r="G936" s="7" t="s">
        <v>618</v>
      </c>
      <c r="H936" s="24" t="s">
        <v>619</v>
      </c>
      <c r="I936" s="32" t="s">
        <v>152</v>
      </c>
      <c r="K936" s="181"/>
      <c r="L936" s="181"/>
    </row>
    <row r="937" spans="1:12" x14ac:dyDescent="0.35">
      <c r="A937" s="19">
        <v>45787</v>
      </c>
      <c r="B937" s="20"/>
      <c r="C937" s="20"/>
      <c r="D937" s="20">
        <v>5000000</v>
      </c>
      <c r="E937" s="99" t="s">
        <v>588</v>
      </c>
      <c r="F937" s="20">
        <f t="shared" si="14"/>
        <v>254342523</v>
      </c>
      <c r="G937" s="7" t="s">
        <v>618</v>
      </c>
      <c r="H937" s="24" t="s">
        <v>619</v>
      </c>
      <c r="I937" s="32" t="s">
        <v>152</v>
      </c>
      <c r="K937" s="181"/>
      <c r="L937" s="181"/>
    </row>
    <row r="938" spans="1:12" x14ac:dyDescent="0.35">
      <c r="A938" s="19">
        <v>45787</v>
      </c>
      <c r="B938" s="20"/>
      <c r="C938" s="20"/>
      <c r="D938" s="20">
        <v>5000000</v>
      </c>
      <c r="E938" s="99" t="s">
        <v>588</v>
      </c>
      <c r="F938" s="20">
        <f t="shared" si="14"/>
        <v>259342523</v>
      </c>
      <c r="G938" s="7" t="s">
        <v>618</v>
      </c>
      <c r="H938" s="24" t="s">
        <v>619</v>
      </c>
      <c r="I938" s="32" t="s">
        <v>152</v>
      </c>
      <c r="K938" s="181"/>
      <c r="L938" s="181"/>
    </row>
    <row r="939" spans="1:12" x14ac:dyDescent="0.35">
      <c r="A939" s="19">
        <v>45787</v>
      </c>
      <c r="B939" s="20"/>
      <c r="C939" s="20"/>
      <c r="D939" s="20">
        <v>5000000</v>
      </c>
      <c r="E939" s="99" t="s">
        <v>588</v>
      </c>
      <c r="F939" s="20">
        <f t="shared" si="14"/>
        <v>264342523</v>
      </c>
      <c r="G939" s="7" t="s">
        <v>618</v>
      </c>
      <c r="H939" s="24" t="s">
        <v>619</v>
      </c>
      <c r="I939" s="32" t="s">
        <v>152</v>
      </c>
      <c r="K939" s="181"/>
      <c r="L939" s="181"/>
    </row>
    <row r="940" spans="1:12" x14ac:dyDescent="0.35">
      <c r="A940" s="19">
        <v>45788</v>
      </c>
      <c r="B940" s="20">
        <v>750000</v>
      </c>
      <c r="C940" s="20"/>
      <c r="D940" s="20"/>
      <c r="E940" s="99" t="s">
        <v>588</v>
      </c>
      <c r="F940" s="20">
        <f t="shared" si="14"/>
        <v>263592523</v>
      </c>
      <c r="G940" s="7" t="s">
        <v>624</v>
      </c>
      <c r="H940" s="24" t="s">
        <v>323</v>
      </c>
      <c r="I940" s="32" t="s">
        <v>152</v>
      </c>
      <c r="K940" s="181"/>
      <c r="L940" s="181"/>
    </row>
    <row r="941" spans="1:12" x14ac:dyDescent="0.35">
      <c r="A941" s="19">
        <v>45788</v>
      </c>
      <c r="B941" s="20"/>
      <c r="C941" s="20"/>
      <c r="D941" s="20">
        <v>10000</v>
      </c>
      <c r="E941" s="99" t="s">
        <v>588</v>
      </c>
      <c r="F941" s="20">
        <f t="shared" si="14"/>
        <v>263602523</v>
      </c>
      <c r="G941" s="7" t="s">
        <v>330</v>
      </c>
      <c r="H941" s="24" t="s">
        <v>109</v>
      </c>
      <c r="I941" s="32" t="s">
        <v>152</v>
      </c>
      <c r="K941" s="181"/>
      <c r="L941" s="181"/>
    </row>
    <row r="942" spans="1:12" x14ac:dyDescent="0.35">
      <c r="A942" s="19">
        <v>45788</v>
      </c>
      <c r="B942" s="20"/>
      <c r="C942" s="20"/>
      <c r="D942" s="20">
        <v>10000</v>
      </c>
      <c r="E942" s="99" t="s">
        <v>588</v>
      </c>
      <c r="F942" s="20">
        <f t="shared" si="14"/>
        <v>263612523</v>
      </c>
      <c r="G942" s="7" t="s">
        <v>330</v>
      </c>
      <c r="H942" s="24" t="s">
        <v>109</v>
      </c>
      <c r="I942" s="32" t="s">
        <v>152</v>
      </c>
      <c r="K942" s="181"/>
      <c r="L942" s="181"/>
    </row>
    <row r="943" spans="1:12" x14ac:dyDescent="0.35">
      <c r="A943" s="19">
        <v>45788</v>
      </c>
      <c r="B943" s="20"/>
      <c r="C943" s="20"/>
      <c r="D943" s="20">
        <v>20000</v>
      </c>
      <c r="E943" s="99" t="s">
        <v>588</v>
      </c>
      <c r="F943" s="20">
        <f t="shared" si="14"/>
        <v>263632523</v>
      </c>
      <c r="G943" s="7" t="s">
        <v>330</v>
      </c>
      <c r="H943" s="24" t="s">
        <v>109</v>
      </c>
      <c r="I943" s="32" t="s">
        <v>152</v>
      </c>
      <c r="K943" s="181"/>
      <c r="L943" s="181"/>
    </row>
    <row r="944" spans="1:12" x14ac:dyDescent="0.35">
      <c r="A944" s="19">
        <v>45788</v>
      </c>
      <c r="B944" s="20"/>
      <c r="C944" s="20"/>
      <c r="D944" s="20">
        <v>4500000</v>
      </c>
      <c r="E944" s="99" t="s">
        <v>588</v>
      </c>
      <c r="F944" s="20">
        <f t="shared" si="14"/>
        <v>268132523</v>
      </c>
      <c r="G944" s="7" t="s">
        <v>618</v>
      </c>
      <c r="H944" s="24" t="s">
        <v>619</v>
      </c>
      <c r="I944" s="32" t="s">
        <v>152</v>
      </c>
      <c r="K944" s="181"/>
      <c r="L944" s="181"/>
    </row>
    <row r="945" spans="1:12" x14ac:dyDescent="0.35">
      <c r="A945" s="19">
        <v>45788</v>
      </c>
      <c r="B945" s="20"/>
      <c r="C945" s="20"/>
      <c r="D945" s="20">
        <v>20000000</v>
      </c>
      <c r="E945" s="99" t="s">
        <v>588</v>
      </c>
      <c r="F945" s="20">
        <f t="shared" si="14"/>
        <v>288132523</v>
      </c>
      <c r="G945" s="7" t="s">
        <v>618</v>
      </c>
      <c r="H945" s="24" t="s">
        <v>619</v>
      </c>
      <c r="I945" s="32" t="s">
        <v>152</v>
      </c>
      <c r="K945" s="181"/>
      <c r="L945" s="181"/>
    </row>
    <row r="946" spans="1:12" x14ac:dyDescent="0.35">
      <c r="A946" s="19">
        <v>45788</v>
      </c>
      <c r="B946" s="20"/>
      <c r="C946" s="20"/>
      <c r="D946" s="20">
        <v>8500000</v>
      </c>
      <c r="E946" s="99" t="s">
        <v>588</v>
      </c>
      <c r="F946" s="20">
        <f t="shared" si="14"/>
        <v>296632523</v>
      </c>
      <c r="G946" s="7" t="s">
        <v>618</v>
      </c>
      <c r="H946" s="24" t="s">
        <v>619</v>
      </c>
      <c r="I946" s="32" t="s">
        <v>152</v>
      </c>
      <c r="K946" s="181"/>
      <c r="L946" s="181"/>
    </row>
    <row r="947" spans="1:12" x14ac:dyDescent="0.35">
      <c r="A947" s="19">
        <v>45788</v>
      </c>
      <c r="B947" s="20"/>
      <c r="C947" s="20"/>
      <c r="D947" s="20">
        <v>5000000</v>
      </c>
      <c r="E947" s="99" t="s">
        <v>588</v>
      </c>
      <c r="F947" s="20">
        <f t="shared" si="14"/>
        <v>301632523</v>
      </c>
      <c r="G947" s="7" t="s">
        <v>618</v>
      </c>
      <c r="H947" s="24" t="s">
        <v>619</v>
      </c>
      <c r="I947" s="32" t="s">
        <v>152</v>
      </c>
      <c r="K947" s="181"/>
      <c r="L947" s="181"/>
    </row>
    <row r="948" spans="1:12" x14ac:dyDescent="0.35">
      <c r="A948" s="19">
        <v>45789</v>
      </c>
      <c r="B948" s="20"/>
      <c r="C948" s="20"/>
      <c r="D948" s="20">
        <v>5000000</v>
      </c>
      <c r="E948" s="99" t="s">
        <v>588</v>
      </c>
      <c r="F948" s="20">
        <f t="shared" si="14"/>
        <v>306632523</v>
      </c>
      <c r="G948" s="7" t="s">
        <v>618</v>
      </c>
      <c r="H948" s="24" t="s">
        <v>619</v>
      </c>
      <c r="I948" s="32" t="s">
        <v>152</v>
      </c>
      <c r="K948" s="181"/>
      <c r="L948" s="181"/>
    </row>
    <row r="949" spans="1:12" x14ac:dyDescent="0.35">
      <c r="A949" s="19">
        <v>45789</v>
      </c>
      <c r="B949" s="20"/>
      <c r="C949" s="20"/>
      <c r="D949" s="20">
        <v>25000</v>
      </c>
      <c r="E949" s="99" t="s">
        <v>588</v>
      </c>
      <c r="F949" s="20">
        <f t="shared" si="14"/>
        <v>306657523</v>
      </c>
      <c r="G949" s="7" t="s">
        <v>330</v>
      </c>
      <c r="H949" s="24" t="s">
        <v>109</v>
      </c>
      <c r="I949" s="32" t="s">
        <v>152</v>
      </c>
      <c r="K949" s="181"/>
      <c r="L949" s="181"/>
    </row>
    <row r="950" spans="1:12" x14ac:dyDescent="0.35">
      <c r="A950" s="19">
        <v>45789</v>
      </c>
      <c r="B950" s="20"/>
      <c r="C950" s="20"/>
      <c r="D950" s="20">
        <v>5000000</v>
      </c>
      <c r="E950" s="99" t="s">
        <v>588</v>
      </c>
      <c r="F950" s="20">
        <f t="shared" si="14"/>
        <v>311657523</v>
      </c>
      <c r="G950" s="7" t="s">
        <v>618</v>
      </c>
      <c r="H950" s="24" t="s">
        <v>619</v>
      </c>
      <c r="I950" s="32" t="s">
        <v>152</v>
      </c>
      <c r="K950" s="181"/>
      <c r="L950" s="181"/>
    </row>
    <row r="951" spans="1:12" x14ac:dyDescent="0.35">
      <c r="A951" s="19">
        <v>45789</v>
      </c>
      <c r="B951" s="20"/>
      <c r="C951" s="20"/>
      <c r="D951" s="20">
        <v>1750000</v>
      </c>
      <c r="E951" s="99" t="s">
        <v>588</v>
      </c>
      <c r="F951" s="20">
        <f t="shared" si="14"/>
        <v>313407523</v>
      </c>
      <c r="G951" s="7" t="s">
        <v>618</v>
      </c>
      <c r="H951" s="24" t="s">
        <v>619</v>
      </c>
      <c r="I951" s="32" t="s">
        <v>152</v>
      </c>
      <c r="K951" s="181"/>
      <c r="L951" s="181"/>
    </row>
    <row r="952" spans="1:12" x14ac:dyDescent="0.35">
      <c r="A952" s="19">
        <v>45789</v>
      </c>
      <c r="B952" s="20"/>
      <c r="C952" s="20"/>
      <c r="D952" s="20">
        <v>10500000</v>
      </c>
      <c r="E952" s="99" t="s">
        <v>588</v>
      </c>
      <c r="F952" s="20">
        <f t="shared" si="14"/>
        <v>323907523</v>
      </c>
      <c r="G952" s="7" t="s">
        <v>618</v>
      </c>
      <c r="H952" s="24" t="s">
        <v>619</v>
      </c>
      <c r="I952" s="32" t="s">
        <v>152</v>
      </c>
      <c r="K952" s="181"/>
      <c r="L952" s="181"/>
    </row>
    <row r="953" spans="1:12" x14ac:dyDescent="0.35">
      <c r="A953" s="19">
        <v>45789</v>
      </c>
      <c r="B953" s="20"/>
      <c r="C953" s="20"/>
      <c r="D953" s="20">
        <v>5000000</v>
      </c>
      <c r="E953" s="99" t="s">
        <v>588</v>
      </c>
      <c r="F953" s="20">
        <f t="shared" si="14"/>
        <v>328907523</v>
      </c>
      <c r="G953" s="7" t="s">
        <v>618</v>
      </c>
      <c r="H953" s="24" t="s">
        <v>619</v>
      </c>
      <c r="I953" s="32" t="s">
        <v>152</v>
      </c>
      <c r="K953" s="181"/>
      <c r="L953" s="181"/>
    </row>
    <row r="954" spans="1:12" x14ac:dyDescent="0.35">
      <c r="A954" s="19">
        <v>45790</v>
      </c>
      <c r="B954" s="20"/>
      <c r="C954" s="20"/>
      <c r="D954" s="20">
        <v>500000</v>
      </c>
      <c r="E954" s="99" t="s">
        <v>588</v>
      </c>
      <c r="F954" s="20">
        <f t="shared" si="14"/>
        <v>329407523</v>
      </c>
      <c r="G954" s="7" t="s">
        <v>330</v>
      </c>
      <c r="H954" s="24" t="s">
        <v>109</v>
      </c>
      <c r="I954" s="32" t="s">
        <v>152</v>
      </c>
      <c r="K954" s="181"/>
      <c r="L954" s="181"/>
    </row>
    <row r="955" spans="1:12" x14ac:dyDescent="0.35">
      <c r="A955" s="19">
        <v>45790</v>
      </c>
      <c r="B955" s="20"/>
      <c r="C955" s="20"/>
      <c r="D955" s="20">
        <v>3500000</v>
      </c>
      <c r="E955" s="99" t="s">
        <v>588</v>
      </c>
      <c r="F955" s="20">
        <f t="shared" si="14"/>
        <v>332907523</v>
      </c>
      <c r="G955" s="7" t="s">
        <v>618</v>
      </c>
      <c r="H955" s="24" t="s">
        <v>619</v>
      </c>
      <c r="I955" s="32" t="s">
        <v>152</v>
      </c>
      <c r="K955" s="181"/>
      <c r="L955" s="181"/>
    </row>
    <row r="956" spans="1:12" x14ac:dyDescent="0.35">
      <c r="A956" s="19">
        <v>45790</v>
      </c>
      <c r="B956" s="20"/>
      <c r="C956" s="20"/>
      <c r="D956" s="20">
        <v>5000000</v>
      </c>
      <c r="E956" s="99" t="s">
        <v>588</v>
      </c>
      <c r="F956" s="20">
        <f t="shared" si="14"/>
        <v>337907523</v>
      </c>
      <c r="G956" s="7" t="s">
        <v>618</v>
      </c>
      <c r="H956" s="24" t="s">
        <v>619</v>
      </c>
      <c r="I956" s="32" t="s">
        <v>152</v>
      </c>
      <c r="K956" s="181"/>
      <c r="L956" s="181"/>
    </row>
    <row r="957" spans="1:12" x14ac:dyDescent="0.35">
      <c r="A957" s="19">
        <v>45790</v>
      </c>
      <c r="B957" s="20"/>
      <c r="C957" s="20"/>
      <c r="D957" s="20">
        <v>4000000</v>
      </c>
      <c r="E957" s="99" t="s">
        <v>588</v>
      </c>
      <c r="F957" s="20">
        <f t="shared" si="14"/>
        <v>341907523</v>
      </c>
      <c r="G957" s="7" t="s">
        <v>618</v>
      </c>
      <c r="H957" s="24" t="s">
        <v>619</v>
      </c>
      <c r="I957" s="32" t="s">
        <v>152</v>
      </c>
      <c r="K957" s="181"/>
      <c r="L957" s="181"/>
    </row>
    <row r="958" spans="1:12" x14ac:dyDescent="0.35">
      <c r="A958" s="19">
        <v>45791</v>
      </c>
      <c r="B958" s="20"/>
      <c r="C958" s="20"/>
      <c r="D958" s="20">
        <v>4500000</v>
      </c>
      <c r="E958" s="99" t="s">
        <v>588</v>
      </c>
      <c r="F958" s="20">
        <f t="shared" si="14"/>
        <v>346407523</v>
      </c>
      <c r="G958" s="7" t="s">
        <v>618</v>
      </c>
      <c r="H958" s="24" t="s">
        <v>619</v>
      </c>
      <c r="I958" s="32" t="s">
        <v>152</v>
      </c>
      <c r="K958" s="181"/>
      <c r="L958" s="181"/>
    </row>
    <row r="959" spans="1:12" x14ac:dyDescent="0.35">
      <c r="A959" s="19">
        <v>45791</v>
      </c>
      <c r="B959" s="20"/>
      <c r="C959" s="20"/>
      <c r="D959" s="20">
        <v>350000</v>
      </c>
      <c r="E959" s="99" t="s">
        <v>588</v>
      </c>
      <c r="F959" s="20">
        <f t="shared" si="14"/>
        <v>346757523</v>
      </c>
      <c r="G959" s="7" t="s">
        <v>330</v>
      </c>
      <c r="H959" s="24" t="s">
        <v>109</v>
      </c>
      <c r="I959" s="32" t="s">
        <v>152</v>
      </c>
      <c r="K959" s="181"/>
      <c r="L959" s="181"/>
    </row>
    <row r="960" spans="1:12" x14ac:dyDescent="0.35">
      <c r="A960" s="19">
        <v>45791</v>
      </c>
      <c r="B960" s="20"/>
      <c r="C960" s="20"/>
      <c r="D960" s="20">
        <v>28000000</v>
      </c>
      <c r="E960" s="99" t="s">
        <v>588</v>
      </c>
      <c r="F960" s="20">
        <f t="shared" si="14"/>
        <v>374757523</v>
      </c>
      <c r="G960" s="7" t="s">
        <v>618</v>
      </c>
      <c r="H960" s="24" t="s">
        <v>619</v>
      </c>
      <c r="I960" s="32" t="s">
        <v>152</v>
      </c>
      <c r="K960" s="181"/>
      <c r="L960" s="181"/>
    </row>
    <row r="961" spans="1:12" x14ac:dyDescent="0.35">
      <c r="A961" s="19">
        <v>45791</v>
      </c>
      <c r="B961" s="20"/>
      <c r="C961" s="20"/>
      <c r="D961" s="23">
        <v>3162000</v>
      </c>
      <c r="E961" s="99" t="s">
        <v>588</v>
      </c>
      <c r="F961" s="20">
        <f t="shared" si="14"/>
        <v>377919523</v>
      </c>
      <c r="G961" s="24"/>
      <c r="H961" s="24" t="s">
        <v>107</v>
      </c>
      <c r="I961" s="32" t="s">
        <v>152</v>
      </c>
      <c r="K961" s="181"/>
      <c r="L961" s="181"/>
    </row>
    <row r="962" spans="1:12" x14ac:dyDescent="0.35">
      <c r="A962" s="19">
        <v>45791</v>
      </c>
      <c r="B962" s="20"/>
      <c r="C962" s="20"/>
      <c r="D962" s="23">
        <v>569000</v>
      </c>
      <c r="E962" s="99" t="s">
        <v>588</v>
      </c>
      <c r="F962" s="20">
        <f t="shared" si="14"/>
        <v>378488523</v>
      </c>
      <c r="G962" s="24"/>
      <c r="H962" s="24" t="s">
        <v>109</v>
      </c>
      <c r="I962" s="32" t="s">
        <v>152</v>
      </c>
      <c r="K962" s="181"/>
      <c r="L962" s="181"/>
    </row>
    <row r="963" spans="1:12" x14ac:dyDescent="0.35">
      <c r="A963" s="19"/>
      <c r="B963" s="20"/>
      <c r="C963" s="20">
        <v>3731000</v>
      </c>
      <c r="D963" s="20"/>
      <c r="E963" s="99"/>
      <c r="F963" s="20">
        <f t="shared" si="14"/>
        <v>378488523</v>
      </c>
      <c r="G963" s="7" t="s">
        <v>625</v>
      </c>
      <c r="H963" s="24"/>
      <c r="I963" s="32"/>
      <c r="K963" s="181"/>
      <c r="L963" s="181"/>
    </row>
    <row r="964" spans="1:12" x14ac:dyDescent="0.35">
      <c r="A964" s="19">
        <v>45791</v>
      </c>
      <c r="B964" s="20"/>
      <c r="C964" s="20"/>
      <c r="D964" s="20">
        <v>4500000</v>
      </c>
      <c r="E964" s="99" t="s">
        <v>588</v>
      </c>
      <c r="F964" s="20">
        <f t="shared" si="14"/>
        <v>382988523</v>
      </c>
      <c r="G964" s="7" t="s">
        <v>618</v>
      </c>
      <c r="H964" s="24" t="s">
        <v>619</v>
      </c>
      <c r="I964" s="32" t="s">
        <v>152</v>
      </c>
      <c r="K964" s="181"/>
      <c r="L964" s="181"/>
    </row>
    <row r="965" spans="1:12" x14ac:dyDescent="0.35">
      <c r="A965" s="19">
        <v>45791</v>
      </c>
      <c r="B965" s="20"/>
      <c r="C965" s="20"/>
      <c r="D965" s="20">
        <v>4000000</v>
      </c>
      <c r="E965" s="99" t="s">
        <v>588</v>
      </c>
      <c r="F965" s="20">
        <f t="shared" ref="F965:F1028" si="15">+F964+D965-B965</f>
        <v>386988523</v>
      </c>
      <c r="G965" s="7" t="s">
        <v>618</v>
      </c>
      <c r="H965" s="24" t="s">
        <v>619</v>
      </c>
      <c r="I965" s="32" t="s">
        <v>152</v>
      </c>
      <c r="K965" s="181"/>
      <c r="L965" s="181"/>
    </row>
    <row r="966" spans="1:12" x14ac:dyDescent="0.35">
      <c r="A966" s="19">
        <v>45791</v>
      </c>
      <c r="B966" s="20"/>
      <c r="C966" s="20"/>
      <c r="D966" s="20">
        <v>3500000</v>
      </c>
      <c r="E966" s="99" t="s">
        <v>588</v>
      </c>
      <c r="F966" s="20">
        <f t="shared" si="15"/>
        <v>390488523</v>
      </c>
      <c r="G966" s="7" t="s">
        <v>618</v>
      </c>
      <c r="H966" s="24" t="s">
        <v>619</v>
      </c>
      <c r="I966" s="32" t="s">
        <v>152</v>
      </c>
      <c r="K966" s="181"/>
      <c r="L966" s="181"/>
    </row>
    <row r="967" spans="1:12" x14ac:dyDescent="0.35">
      <c r="A967" s="19">
        <v>45791</v>
      </c>
      <c r="B967" s="20"/>
      <c r="C967" s="20"/>
      <c r="D967" s="20">
        <v>4000000</v>
      </c>
      <c r="E967" s="99" t="s">
        <v>588</v>
      </c>
      <c r="F967" s="20">
        <f t="shared" si="15"/>
        <v>394488523</v>
      </c>
      <c r="G967" s="7" t="s">
        <v>618</v>
      </c>
      <c r="H967" s="24" t="s">
        <v>619</v>
      </c>
      <c r="I967" s="32" t="s">
        <v>152</v>
      </c>
      <c r="K967" s="181"/>
      <c r="L967" s="181"/>
    </row>
    <row r="968" spans="1:12" x14ac:dyDescent="0.35">
      <c r="A968" s="19">
        <v>45792</v>
      </c>
      <c r="B968" s="20"/>
      <c r="C968" s="20"/>
      <c r="D968" s="20">
        <v>50000</v>
      </c>
      <c r="E968" s="99" t="s">
        <v>588</v>
      </c>
      <c r="F968" s="20">
        <f t="shared" si="15"/>
        <v>394538523</v>
      </c>
      <c r="G968" s="7" t="s">
        <v>330</v>
      </c>
      <c r="H968" s="24" t="s">
        <v>109</v>
      </c>
      <c r="I968" s="32" t="s">
        <v>152</v>
      </c>
      <c r="K968" s="181"/>
      <c r="L968" s="181"/>
    </row>
    <row r="969" spans="1:12" x14ac:dyDescent="0.35">
      <c r="A969" s="19">
        <v>45792</v>
      </c>
      <c r="B969" s="20"/>
      <c r="C969" s="20"/>
      <c r="D969" s="20">
        <v>10000</v>
      </c>
      <c r="E969" s="99" t="s">
        <v>588</v>
      </c>
      <c r="F969" s="20">
        <f t="shared" si="15"/>
        <v>394548523</v>
      </c>
      <c r="G969" s="7" t="s">
        <v>330</v>
      </c>
      <c r="H969" s="24" t="s">
        <v>109</v>
      </c>
      <c r="I969" s="32" t="s">
        <v>152</v>
      </c>
      <c r="K969" s="181"/>
      <c r="L969" s="181"/>
    </row>
    <row r="970" spans="1:12" x14ac:dyDescent="0.35">
      <c r="A970" s="19">
        <v>45792</v>
      </c>
      <c r="B970" s="20"/>
      <c r="C970" s="20"/>
      <c r="D970" s="20">
        <v>10000</v>
      </c>
      <c r="E970" s="99" t="s">
        <v>588</v>
      </c>
      <c r="F970" s="20">
        <f t="shared" si="15"/>
        <v>394558523</v>
      </c>
      <c r="G970" s="7" t="s">
        <v>330</v>
      </c>
      <c r="H970" s="24" t="s">
        <v>109</v>
      </c>
      <c r="I970" s="32" t="s">
        <v>152</v>
      </c>
      <c r="K970" s="181"/>
      <c r="L970" s="181"/>
    </row>
    <row r="971" spans="1:12" x14ac:dyDescent="0.35">
      <c r="A971" s="19">
        <v>45792</v>
      </c>
      <c r="B971" s="20"/>
      <c r="C971" s="20"/>
      <c r="D971" s="20">
        <v>4000000</v>
      </c>
      <c r="E971" s="99" t="s">
        <v>588</v>
      </c>
      <c r="F971" s="20">
        <f t="shared" si="15"/>
        <v>398558523</v>
      </c>
      <c r="G971" s="7" t="s">
        <v>618</v>
      </c>
      <c r="H971" s="24" t="s">
        <v>619</v>
      </c>
      <c r="I971" s="32" t="s">
        <v>152</v>
      </c>
      <c r="K971" s="181"/>
      <c r="L971" s="181"/>
    </row>
    <row r="972" spans="1:12" x14ac:dyDescent="0.35">
      <c r="A972" s="19">
        <v>45792</v>
      </c>
      <c r="B972" s="20"/>
      <c r="C972" s="20"/>
      <c r="D972" s="20">
        <v>8500000</v>
      </c>
      <c r="E972" s="99" t="s">
        <v>588</v>
      </c>
      <c r="F972" s="20">
        <f t="shared" si="15"/>
        <v>407058523</v>
      </c>
      <c r="G972" s="7" t="s">
        <v>618</v>
      </c>
      <c r="H972" s="24" t="s">
        <v>619</v>
      </c>
      <c r="I972" s="32" t="s">
        <v>152</v>
      </c>
      <c r="K972" s="181"/>
      <c r="L972" s="181"/>
    </row>
    <row r="973" spans="1:12" x14ac:dyDescent="0.35">
      <c r="A973" s="19">
        <v>45793</v>
      </c>
      <c r="B973" s="20"/>
      <c r="C973" s="20"/>
      <c r="D973" s="20">
        <v>10000</v>
      </c>
      <c r="E973" s="99" t="s">
        <v>588</v>
      </c>
      <c r="F973" s="20">
        <f t="shared" si="15"/>
        <v>407068523</v>
      </c>
      <c r="G973" s="7" t="s">
        <v>330</v>
      </c>
      <c r="H973" s="24" t="s">
        <v>109</v>
      </c>
      <c r="I973" s="32" t="s">
        <v>152</v>
      </c>
      <c r="K973" s="181"/>
      <c r="L973" s="181"/>
    </row>
    <row r="974" spans="1:12" x14ac:dyDescent="0.35">
      <c r="A974" s="19">
        <v>45793</v>
      </c>
      <c r="B974" s="20"/>
      <c r="C974" s="20"/>
      <c r="D974" s="20">
        <v>10000</v>
      </c>
      <c r="E974" s="99" t="s">
        <v>588</v>
      </c>
      <c r="F974" s="20">
        <f t="shared" si="15"/>
        <v>407078523</v>
      </c>
      <c r="G974" s="7" t="s">
        <v>330</v>
      </c>
      <c r="H974" s="24" t="s">
        <v>109</v>
      </c>
      <c r="I974" s="32" t="s">
        <v>152</v>
      </c>
      <c r="K974" s="181"/>
      <c r="L974" s="181"/>
    </row>
    <row r="975" spans="1:12" x14ac:dyDescent="0.35">
      <c r="A975" s="19">
        <v>45793</v>
      </c>
      <c r="B975" s="20"/>
      <c r="C975" s="20"/>
      <c r="D975" s="20">
        <v>35000</v>
      </c>
      <c r="E975" s="99" t="s">
        <v>588</v>
      </c>
      <c r="F975" s="20">
        <f t="shared" si="15"/>
        <v>407113523</v>
      </c>
      <c r="G975" s="7" t="s">
        <v>330</v>
      </c>
      <c r="H975" s="24" t="s">
        <v>109</v>
      </c>
      <c r="I975" s="32" t="s">
        <v>152</v>
      </c>
      <c r="K975" s="181"/>
      <c r="L975" s="181"/>
    </row>
    <row r="976" spans="1:12" x14ac:dyDescent="0.35">
      <c r="A976" s="19">
        <v>45793</v>
      </c>
      <c r="B976" s="20">
        <v>30000000</v>
      </c>
      <c r="C976" s="20"/>
      <c r="D976" s="20"/>
      <c r="E976" s="99" t="s">
        <v>588</v>
      </c>
      <c r="F976" s="20">
        <f t="shared" si="15"/>
        <v>377113523</v>
      </c>
      <c r="G976" s="7" t="s">
        <v>627</v>
      </c>
      <c r="H976" s="24" t="s">
        <v>614</v>
      </c>
      <c r="I976" s="32" t="s">
        <v>152</v>
      </c>
      <c r="K976" s="181"/>
      <c r="L976" s="181"/>
    </row>
    <row r="977" spans="1:12" x14ac:dyDescent="0.35">
      <c r="A977" s="19">
        <v>45793</v>
      </c>
      <c r="B977" s="20">
        <v>2900</v>
      </c>
      <c r="C977" s="20"/>
      <c r="D977" s="20"/>
      <c r="E977" s="99" t="s">
        <v>588</v>
      </c>
      <c r="F977" s="20">
        <f t="shared" si="15"/>
        <v>377110623</v>
      </c>
      <c r="G977" s="7" t="s">
        <v>628</v>
      </c>
      <c r="H977" s="24" t="s">
        <v>614</v>
      </c>
      <c r="I977" s="32" t="s">
        <v>152</v>
      </c>
      <c r="K977" s="181"/>
      <c r="L977" s="181"/>
    </row>
    <row r="978" spans="1:12" x14ac:dyDescent="0.35">
      <c r="A978" s="19">
        <v>45793</v>
      </c>
      <c r="B978" s="20">
        <v>6000</v>
      </c>
      <c r="C978" s="20"/>
      <c r="D978" s="20"/>
      <c r="E978" s="99" t="s">
        <v>588</v>
      </c>
      <c r="F978" s="20">
        <f t="shared" si="15"/>
        <v>377104623</v>
      </c>
      <c r="G978" s="7" t="s">
        <v>629</v>
      </c>
      <c r="H978" s="24" t="s">
        <v>320</v>
      </c>
      <c r="I978" s="32" t="s">
        <v>152</v>
      </c>
      <c r="K978" s="181"/>
      <c r="L978" s="181"/>
    </row>
    <row r="979" spans="1:12" x14ac:dyDescent="0.35">
      <c r="A979" s="19">
        <v>45793</v>
      </c>
      <c r="B979" s="20"/>
      <c r="C979" s="20"/>
      <c r="D979" s="20">
        <v>5000000</v>
      </c>
      <c r="E979" s="99" t="s">
        <v>588</v>
      </c>
      <c r="F979" s="20">
        <f t="shared" si="15"/>
        <v>382104623</v>
      </c>
      <c r="G979" s="7" t="s">
        <v>630</v>
      </c>
      <c r="H979" s="24" t="s">
        <v>619</v>
      </c>
      <c r="I979" s="32" t="s">
        <v>152</v>
      </c>
      <c r="K979" s="181"/>
      <c r="L979" s="181"/>
    </row>
    <row r="980" spans="1:12" x14ac:dyDescent="0.35">
      <c r="A980" s="19">
        <v>45794</v>
      </c>
      <c r="B980" s="20">
        <v>750000</v>
      </c>
      <c r="C980" s="20"/>
      <c r="D980" s="20"/>
      <c r="E980" s="99" t="s">
        <v>588</v>
      </c>
      <c r="F980" s="20">
        <f t="shared" si="15"/>
        <v>381354623</v>
      </c>
      <c r="G980" s="7" t="s">
        <v>631</v>
      </c>
      <c r="H980" s="24" t="s">
        <v>323</v>
      </c>
      <c r="I980" s="32" t="s">
        <v>152</v>
      </c>
      <c r="K980" s="181"/>
      <c r="L980" s="181"/>
    </row>
    <row r="981" spans="1:12" x14ac:dyDescent="0.35">
      <c r="A981" s="19">
        <v>45794</v>
      </c>
      <c r="B981" s="20"/>
      <c r="C981" s="20"/>
      <c r="D981" s="20">
        <v>7500000</v>
      </c>
      <c r="E981" s="99" t="s">
        <v>588</v>
      </c>
      <c r="F981" s="20">
        <f t="shared" si="15"/>
        <v>388854623</v>
      </c>
      <c r="G981" s="7" t="s">
        <v>630</v>
      </c>
      <c r="H981" s="24" t="s">
        <v>619</v>
      </c>
      <c r="I981" s="32" t="s">
        <v>152</v>
      </c>
      <c r="K981" s="181"/>
      <c r="L981" s="181"/>
    </row>
    <row r="982" spans="1:12" x14ac:dyDescent="0.35">
      <c r="A982" s="19">
        <v>45794</v>
      </c>
      <c r="B982" s="20"/>
      <c r="C982" s="20"/>
      <c r="D982" s="20">
        <v>100000</v>
      </c>
      <c r="E982" s="99" t="s">
        <v>588</v>
      </c>
      <c r="F982" s="20">
        <f t="shared" si="15"/>
        <v>388954623</v>
      </c>
      <c r="G982" s="7" t="s">
        <v>330</v>
      </c>
      <c r="H982" s="24" t="s">
        <v>109</v>
      </c>
      <c r="I982" s="32" t="s">
        <v>152</v>
      </c>
      <c r="K982" s="181"/>
      <c r="L982" s="181"/>
    </row>
    <row r="983" spans="1:12" x14ac:dyDescent="0.35">
      <c r="A983" s="19">
        <v>45794</v>
      </c>
      <c r="B983" s="20"/>
      <c r="C983" s="20"/>
      <c r="D983" s="20">
        <v>25000</v>
      </c>
      <c r="E983" s="99" t="s">
        <v>588</v>
      </c>
      <c r="F983" s="20">
        <f t="shared" si="15"/>
        <v>388979623</v>
      </c>
      <c r="G983" s="7" t="s">
        <v>330</v>
      </c>
      <c r="H983" s="24" t="s">
        <v>109</v>
      </c>
      <c r="I983" s="32" t="s">
        <v>152</v>
      </c>
      <c r="K983" s="181"/>
      <c r="L983" s="181"/>
    </row>
    <row r="984" spans="1:12" x14ac:dyDescent="0.35">
      <c r="A984" s="19">
        <v>45794</v>
      </c>
      <c r="B984" s="20"/>
      <c r="C984" s="20"/>
      <c r="D984" s="20">
        <v>10000</v>
      </c>
      <c r="E984" s="99" t="s">
        <v>588</v>
      </c>
      <c r="F984" s="20">
        <f t="shared" si="15"/>
        <v>388989623</v>
      </c>
      <c r="G984" s="7" t="s">
        <v>330</v>
      </c>
      <c r="H984" s="24" t="s">
        <v>109</v>
      </c>
      <c r="I984" s="32" t="s">
        <v>152</v>
      </c>
      <c r="K984" s="181"/>
      <c r="L984" s="181"/>
    </row>
    <row r="985" spans="1:12" x14ac:dyDescent="0.35">
      <c r="A985" s="19">
        <v>45794</v>
      </c>
      <c r="B985" s="20"/>
      <c r="C985" s="20"/>
      <c r="D985" s="20">
        <v>5000</v>
      </c>
      <c r="E985" s="99" t="s">
        <v>588</v>
      </c>
      <c r="F985" s="20">
        <f t="shared" si="15"/>
        <v>388994623</v>
      </c>
      <c r="G985" s="7" t="s">
        <v>330</v>
      </c>
      <c r="H985" s="24" t="s">
        <v>109</v>
      </c>
      <c r="I985" s="32" t="s">
        <v>152</v>
      </c>
      <c r="K985" s="181"/>
      <c r="L985" s="181"/>
    </row>
    <row r="986" spans="1:12" x14ac:dyDescent="0.35">
      <c r="A986" s="19">
        <v>45794</v>
      </c>
      <c r="B986" s="20"/>
      <c r="C986" s="20"/>
      <c r="D986" s="20">
        <v>20000</v>
      </c>
      <c r="E986" s="99" t="s">
        <v>588</v>
      </c>
      <c r="F986" s="20">
        <f t="shared" si="15"/>
        <v>389014623</v>
      </c>
      <c r="G986" s="7" t="s">
        <v>330</v>
      </c>
      <c r="H986" s="24" t="s">
        <v>109</v>
      </c>
      <c r="I986" s="32" t="s">
        <v>152</v>
      </c>
      <c r="K986" s="181"/>
      <c r="L986" s="181"/>
    </row>
    <row r="987" spans="1:12" x14ac:dyDescent="0.35">
      <c r="A987" s="19">
        <v>45794</v>
      </c>
      <c r="B987" s="20"/>
      <c r="C987" s="20"/>
      <c r="D987" s="20">
        <v>2000</v>
      </c>
      <c r="E987" s="99" t="s">
        <v>588</v>
      </c>
      <c r="F987" s="20">
        <f t="shared" si="15"/>
        <v>389016623</v>
      </c>
      <c r="G987" s="7" t="s">
        <v>330</v>
      </c>
      <c r="H987" s="24" t="s">
        <v>109</v>
      </c>
      <c r="I987" s="32" t="s">
        <v>152</v>
      </c>
      <c r="K987" s="181"/>
      <c r="L987" s="181"/>
    </row>
    <row r="988" spans="1:12" x14ac:dyDescent="0.35">
      <c r="A988" s="19">
        <v>45794</v>
      </c>
      <c r="B988" s="20"/>
      <c r="C988" s="20"/>
      <c r="D988" s="20">
        <v>4000000</v>
      </c>
      <c r="E988" s="99" t="s">
        <v>588</v>
      </c>
      <c r="F988" s="20">
        <f t="shared" si="15"/>
        <v>393016623</v>
      </c>
      <c r="G988" s="7" t="s">
        <v>630</v>
      </c>
      <c r="H988" s="24" t="s">
        <v>619</v>
      </c>
      <c r="I988" s="32" t="s">
        <v>152</v>
      </c>
      <c r="K988" s="181"/>
      <c r="L988" s="181"/>
    </row>
    <row r="989" spans="1:12" x14ac:dyDescent="0.35">
      <c r="A989" s="19">
        <v>45794</v>
      </c>
      <c r="B989" s="20"/>
      <c r="C989" s="20"/>
      <c r="D989" s="20">
        <v>3500000</v>
      </c>
      <c r="E989" s="99" t="s">
        <v>588</v>
      </c>
      <c r="F989" s="20">
        <f t="shared" si="15"/>
        <v>396516623</v>
      </c>
      <c r="G989" s="7" t="s">
        <v>630</v>
      </c>
      <c r="H989" s="24" t="s">
        <v>619</v>
      </c>
      <c r="I989" s="32" t="s">
        <v>152</v>
      </c>
      <c r="K989" s="181"/>
      <c r="L989" s="181"/>
    </row>
    <row r="990" spans="1:12" x14ac:dyDescent="0.35">
      <c r="A990" s="19">
        <v>45795</v>
      </c>
      <c r="B990" s="20">
        <v>750000</v>
      </c>
      <c r="C990" s="20"/>
      <c r="D990" s="20"/>
      <c r="E990" s="99" t="s">
        <v>588</v>
      </c>
      <c r="F990" s="20">
        <f t="shared" si="15"/>
        <v>395766623</v>
      </c>
      <c r="G990" s="7" t="s">
        <v>632</v>
      </c>
      <c r="H990" s="24" t="s">
        <v>323</v>
      </c>
      <c r="I990" s="32" t="s">
        <v>152</v>
      </c>
      <c r="K990" s="181"/>
      <c r="L990" s="181"/>
    </row>
    <row r="991" spans="1:12" x14ac:dyDescent="0.35">
      <c r="A991" s="19">
        <v>45795</v>
      </c>
      <c r="B991" s="20">
        <v>6500</v>
      </c>
      <c r="C991" s="20"/>
      <c r="D991" s="20"/>
      <c r="E991" s="99" t="s">
        <v>588</v>
      </c>
      <c r="F991" s="20">
        <f t="shared" si="15"/>
        <v>395760123</v>
      </c>
      <c r="G991" s="7" t="s">
        <v>633</v>
      </c>
      <c r="H991" s="24" t="s">
        <v>323</v>
      </c>
      <c r="I991" s="32" t="s">
        <v>152</v>
      </c>
      <c r="K991" s="181"/>
      <c r="L991" s="181"/>
    </row>
    <row r="992" spans="1:12" x14ac:dyDescent="0.35">
      <c r="A992" s="19">
        <v>45795</v>
      </c>
      <c r="B992" s="20"/>
      <c r="C992" s="20"/>
      <c r="D992" s="20">
        <v>10000</v>
      </c>
      <c r="E992" s="99" t="s">
        <v>588</v>
      </c>
      <c r="F992" s="20">
        <f t="shared" si="15"/>
        <v>395770123</v>
      </c>
      <c r="G992" s="7" t="s">
        <v>330</v>
      </c>
      <c r="H992" s="24" t="s">
        <v>109</v>
      </c>
      <c r="I992" s="32" t="s">
        <v>152</v>
      </c>
      <c r="K992" s="181"/>
      <c r="L992" s="181"/>
    </row>
    <row r="993" spans="1:12" x14ac:dyDescent="0.35">
      <c r="A993" s="19">
        <v>45795</v>
      </c>
      <c r="B993" s="20"/>
      <c r="C993" s="20"/>
      <c r="D993" s="20">
        <v>10000</v>
      </c>
      <c r="E993" s="99" t="s">
        <v>588</v>
      </c>
      <c r="F993" s="20">
        <f t="shared" si="15"/>
        <v>395780123</v>
      </c>
      <c r="G993" s="7" t="s">
        <v>330</v>
      </c>
      <c r="H993" s="24" t="s">
        <v>109</v>
      </c>
      <c r="I993" s="32" t="s">
        <v>152</v>
      </c>
      <c r="K993" s="181"/>
      <c r="L993" s="181"/>
    </row>
    <row r="994" spans="1:12" ht="15" customHeight="1" x14ac:dyDescent="0.35">
      <c r="A994" s="19">
        <v>45795</v>
      </c>
      <c r="B994" s="20">
        <v>5000000</v>
      </c>
      <c r="C994" s="20"/>
      <c r="D994" s="20"/>
      <c r="E994" s="99" t="s">
        <v>588</v>
      </c>
      <c r="F994" s="20">
        <f t="shared" si="15"/>
        <v>390780123</v>
      </c>
      <c r="G994" s="7" t="s">
        <v>634</v>
      </c>
      <c r="H994" s="24" t="s">
        <v>323</v>
      </c>
      <c r="I994" s="32" t="s">
        <v>152</v>
      </c>
      <c r="K994" s="181"/>
      <c r="L994" s="181"/>
    </row>
    <row r="995" spans="1:12" x14ac:dyDescent="0.35">
      <c r="A995" s="19">
        <v>45795</v>
      </c>
      <c r="B995" s="20">
        <v>6500</v>
      </c>
      <c r="C995" s="20"/>
      <c r="D995" s="20"/>
      <c r="E995" s="99" t="s">
        <v>588</v>
      </c>
      <c r="F995" s="20">
        <f t="shared" si="15"/>
        <v>390773623</v>
      </c>
      <c r="G995" s="7" t="s">
        <v>635</v>
      </c>
      <c r="H995" s="24" t="s">
        <v>323</v>
      </c>
      <c r="I995" s="32" t="s">
        <v>152</v>
      </c>
      <c r="K995" s="181"/>
      <c r="L995" s="181"/>
    </row>
    <row r="996" spans="1:12" x14ac:dyDescent="0.35">
      <c r="A996" s="19">
        <v>45795</v>
      </c>
      <c r="B996" s="20"/>
      <c r="C996" s="20"/>
      <c r="D996" s="20">
        <v>3500000</v>
      </c>
      <c r="E996" s="99" t="s">
        <v>588</v>
      </c>
      <c r="F996" s="20">
        <f t="shared" si="15"/>
        <v>394273623</v>
      </c>
      <c r="G996" s="7" t="s">
        <v>630</v>
      </c>
      <c r="H996" s="24" t="s">
        <v>619</v>
      </c>
      <c r="I996" s="32" t="s">
        <v>152</v>
      </c>
      <c r="K996" s="181"/>
      <c r="L996" s="181"/>
    </row>
    <row r="997" spans="1:12" x14ac:dyDescent="0.35">
      <c r="A997" s="19">
        <v>45795</v>
      </c>
      <c r="B997" s="20"/>
      <c r="C997" s="20"/>
      <c r="D997" s="20">
        <v>7500000</v>
      </c>
      <c r="E997" s="99" t="s">
        <v>588</v>
      </c>
      <c r="F997" s="20">
        <f t="shared" si="15"/>
        <v>401773623</v>
      </c>
      <c r="G997" s="7" t="s">
        <v>630</v>
      </c>
      <c r="H997" s="24" t="s">
        <v>619</v>
      </c>
      <c r="I997" s="32" t="s">
        <v>152</v>
      </c>
      <c r="K997" s="181"/>
      <c r="L997" s="181"/>
    </row>
    <row r="998" spans="1:12" x14ac:dyDescent="0.35">
      <c r="A998" s="19">
        <v>45795</v>
      </c>
      <c r="B998" s="20"/>
      <c r="C998" s="20"/>
      <c r="D998" s="20">
        <v>4000000</v>
      </c>
      <c r="E998" s="99" t="s">
        <v>588</v>
      </c>
      <c r="F998" s="20">
        <f t="shared" si="15"/>
        <v>405773623</v>
      </c>
      <c r="G998" s="7" t="s">
        <v>630</v>
      </c>
      <c r="H998" s="24" t="s">
        <v>619</v>
      </c>
      <c r="I998" s="32" t="s">
        <v>152</v>
      </c>
      <c r="K998" s="181"/>
      <c r="L998" s="181"/>
    </row>
    <row r="999" spans="1:12" x14ac:dyDescent="0.35">
      <c r="A999" s="19">
        <v>45795</v>
      </c>
      <c r="B999" s="20"/>
      <c r="C999" s="20"/>
      <c r="D999" s="20">
        <v>7000000</v>
      </c>
      <c r="E999" s="99" t="s">
        <v>588</v>
      </c>
      <c r="F999" s="20">
        <f t="shared" si="15"/>
        <v>412773623</v>
      </c>
      <c r="G999" s="7" t="s">
        <v>630</v>
      </c>
      <c r="H999" s="24" t="s">
        <v>619</v>
      </c>
      <c r="I999" s="32" t="s">
        <v>152</v>
      </c>
      <c r="K999" s="181"/>
      <c r="L999" s="181"/>
    </row>
    <row r="1000" spans="1:12" x14ac:dyDescent="0.35">
      <c r="A1000" s="19">
        <v>45796</v>
      </c>
      <c r="B1000" s="20"/>
      <c r="C1000" s="20"/>
      <c r="D1000" s="196">
        <v>3633000</v>
      </c>
      <c r="E1000" s="99" t="s">
        <v>588</v>
      </c>
      <c r="F1000" s="20">
        <f t="shared" si="15"/>
        <v>416406623</v>
      </c>
      <c r="G1000" s="7"/>
      <c r="H1000" s="24" t="s">
        <v>107</v>
      </c>
      <c r="I1000" s="32" t="s">
        <v>152</v>
      </c>
      <c r="K1000" s="181"/>
      <c r="L1000" s="181"/>
    </row>
    <row r="1001" spans="1:12" x14ac:dyDescent="0.35">
      <c r="A1001" s="19">
        <v>45796</v>
      </c>
      <c r="B1001" s="20"/>
      <c r="C1001" s="20"/>
      <c r="D1001" s="196">
        <v>3637000</v>
      </c>
      <c r="E1001" s="99" t="s">
        <v>588</v>
      </c>
      <c r="F1001" s="20">
        <f t="shared" si="15"/>
        <v>420043623</v>
      </c>
      <c r="G1001" s="7"/>
      <c r="H1001" s="24" t="s">
        <v>109</v>
      </c>
      <c r="I1001" s="32" t="s">
        <v>152</v>
      </c>
      <c r="K1001" s="181"/>
      <c r="L1001" s="181"/>
    </row>
    <row r="1002" spans="1:12" x14ac:dyDescent="0.35">
      <c r="A1002" s="19"/>
      <c r="B1002" s="20"/>
      <c r="C1002" s="20">
        <v>7270000</v>
      </c>
      <c r="D1002" s="20"/>
      <c r="E1002" s="99"/>
      <c r="F1002" s="20">
        <f t="shared" si="15"/>
        <v>420043623</v>
      </c>
      <c r="G1002" s="7" t="s">
        <v>636</v>
      </c>
      <c r="H1002" s="24"/>
      <c r="I1002" s="32"/>
      <c r="K1002" s="181"/>
      <c r="L1002" s="181"/>
    </row>
    <row r="1003" spans="1:12" x14ac:dyDescent="0.35">
      <c r="A1003" s="19">
        <v>45796</v>
      </c>
      <c r="B1003" s="20"/>
      <c r="C1003" s="20"/>
      <c r="D1003" s="20">
        <v>4000000</v>
      </c>
      <c r="E1003" s="99" t="s">
        <v>588</v>
      </c>
      <c r="F1003" s="20">
        <f t="shared" si="15"/>
        <v>424043623</v>
      </c>
      <c r="G1003" s="7" t="s">
        <v>630</v>
      </c>
      <c r="H1003" s="24" t="s">
        <v>619</v>
      </c>
      <c r="I1003" s="32" t="s">
        <v>152</v>
      </c>
      <c r="K1003" s="181"/>
      <c r="L1003" s="181"/>
    </row>
    <row r="1004" spans="1:12" x14ac:dyDescent="0.35">
      <c r="A1004" s="19">
        <v>45796</v>
      </c>
      <c r="B1004" s="20"/>
      <c r="C1004" s="20"/>
      <c r="D1004" s="20">
        <v>11000000</v>
      </c>
      <c r="E1004" s="99" t="s">
        <v>588</v>
      </c>
      <c r="F1004" s="20">
        <f t="shared" si="15"/>
        <v>435043623</v>
      </c>
      <c r="G1004" s="7" t="s">
        <v>630</v>
      </c>
      <c r="H1004" s="24" t="s">
        <v>619</v>
      </c>
      <c r="I1004" s="32" t="s">
        <v>152</v>
      </c>
      <c r="K1004" s="181"/>
      <c r="L1004" s="181"/>
    </row>
    <row r="1005" spans="1:12" x14ac:dyDescent="0.35">
      <c r="A1005" s="19">
        <v>45796</v>
      </c>
      <c r="B1005" s="20"/>
      <c r="C1005" s="20"/>
      <c r="D1005" s="20">
        <v>4000000</v>
      </c>
      <c r="E1005" s="99" t="s">
        <v>588</v>
      </c>
      <c r="F1005" s="20">
        <f t="shared" si="15"/>
        <v>439043623</v>
      </c>
      <c r="G1005" s="7" t="s">
        <v>630</v>
      </c>
      <c r="H1005" s="24" t="s">
        <v>619</v>
      </c>
      <c r="I1005" s="32" t="s">
        <v>152</v>
      </c>
      <c r="K1005" s="181"/>
      <c r="L1005" s="181"/>
    </row>
    <row r="1006" spans="1:12" x14ac:dyDescent="0.35">
      <c r="A1006" s="19">
        <v>45796</v>
      </c>
      <c r="B1006" s="20"/>
      <c r="C1006" s="20"/>
      <c r="D1006" s="20">
        <v>4000000</v>
      </c>
      <c r="E1006" s="99" t="s">
        <v>588</v>
      </c>
      <c r="F1006" s="20">
        <f t="shared" si="15"/>
        <v>443043623</v>
      </c>
      <c r="G1006" s="7" t="s">
        <v>630</v>
      </c>
      <c r="H1006" s="24" t="s">
        <v>619</v>
      </c>
      <c r="I1006" s="32" t="s">
        <v>152</v>
      </c>
      <c r="K1006" s="181"/>
      <c r="L1006" s="181"/>
    </row>
    <row r="1007" spans="1:12" x14ac:dyDescent="0.35">
      <c r="A1007" s="19">
        <v>45797</v>
      </c>
      <c r="B1007" s="20"/>
      <c r="C1007" s="20"/>
      <c r="D1007" s="20">
        <v>3500000</v>
      </c>
      <c r="E1007" s="99" t="s">
        <v>588</v>
      </c>
      <c r="F1007" s="20">
        <f t="shared" si="15"/>
        <v>446543623</v>
      </c>
      <c r="G1007" s="7" t="s">
        <v>630</v>
      </c>
      <c r="H1007" s="24" t="s">
        <v>619</v>
      </c>
      <c r="I1007" s="32" t="s">
        <v>152</v>
      </c>
      <c r="K1007" s="181"/>
      <c r="L1007" s="181"/>
    </row>
    <row r="1008" spans="1:12" x14ac:dyDescent="0.35">
      <c r="A1008" s="19">
        <v>45797</v>
      </c>
      <c r="B1008" s="20"/>
      <c r="C1008" s="20"/>
      <c r="D1008" s="20">
        <v>10000</v>
      </c>
      <c r="E1008" s="99" t="s">
        <v>588</v>
      </c>
      <c r="F1008" s="20">
        <f t="shared" si="15"/>
        <v>446553623</v>
      </c>
      <c r="G1008" s="7" t="s">
        <v>330</v>
      </c>
      <c r="H1008" s="24" t="s">
        <v>109</v>
      </c>
      <c r="I1008" s="32" t="s">
        <v>152</v>
      </c>
      <c r="K1008" s="181"/>
      <c r="L1008" s="181"/>
    </row>
    <row r="1009" spans="1:12" x14ac:dyDescent="0.35">
      <c r="A1009" s="19">
        <v>45797</v>
      </c>
      <c r="B1009" s="20"/>
      <c r="C1009" s="20"/>
      <c r="D1009" s="20">
        <v>3500000</v>
      </c>
      <c r="E1009" s="99" t="s">
        <v>588</v>
      </c>
      <c r="F1009" s="20">
        <f t="shared" si="15"/>
        <v>450053623</v>
      </c>
      <c r="G1009" s="7" t="s">
        <v>630</v>
      </c>
      <c r="H1009" s="24" t="s">
        <v>619</v>
      </c>
      <c r="I1009" s="32" t="s">
        <v>152</v>
      </c>
      <c r="K1009" s="181"/>
      <c r="L1009" s="181"/>
    </row>
    <row r="1010" spans="1:12" x14ac:dyDescent="0.35">
      <c r="A1010" s="19">
        <v>45798</v>
      </c>
      <c r="B1010" s="20"/>
      <c r="C1010" s="20"/>
      <c r="D1010" s="20">
        <v>5000000</v>
      </c>
      <c r="E1010" s="99" t="s">
        <v>588</v>
      </c>
      <c r="F1010" s="20">
        <f t="shared" si="15"/>
        <v>455053623</v>
      </c>
      <c r="G1010" s="7" t="s">
        <v>630</v>
      </c>
      <c r="H1010" s="24" t="s">
        <v>619</v>
      </c>
      <c r="I1010" s="32" t="s">
        <v>152</v>
      </c>
      <c r="K1010" s="181"/>
      <c r="L1010" s="181"/>
    </row>
    <row r="1011" spans="1:12" x14ac:dyDescent="0.35">
      <c r="A1011" s="19">
        <v>45798</v>
      </c>
      <c r="B1011" s="20"/>
      <c r="C1011" s="20"/>
      <c r="D1011" s="20">
        <v>10000</v>
      </c>
      <c r="E1011" s="99" t="s">
        <v>588</v>
      </c>
      <c r="F1011" s="20">
        <f t="shared" si="15"/>
        <v>455063623</v>
      </c>
      <c r="G1011" s="7" t="s">
        <v>330</v>
      </c>
      <c r="H1011" s="24" t="s">
        <v>109</v>
      </c>
      <c r="I1011" s="32" t="s">
        <v>152</v>
      </c>
      <c r="K1011" s="181"/>
      <c r="L1011" s="181"/>
    </row>
    <row r="1012" spans="1:12" x14ac:dyDescent="0.35">
      <c r="A1012" s="19">
        <v>45798</v>
      </c>
      <c r="B1012" s="20"/>
      <c r="C1012" s="20"/>
      <c r="D1012" s="20">
        <v>4500000</v>
      </c>
      <c r="E1012" s="99" t="s">
        <v>588</v>
      </c>
      <c r="F1012" s="20">
        <f t="shared" si="15"/>
        <v>459563623</v>
      </c>
      <c r="G1012" s="7" t="s">
        <v>630</v>
      </c>
      <c r="H1012" s="24" t="s">
        <v>619</v>
      </c>
      <c r="I1012" s="32" t="s">
        <v>152</v>
      </c>
      <c r="K1012" s="181"/>
      <c r="L1012" s="181"/>
    </row>
    <row r="1013" spans="1:12" x14ac:dyDescent="0.35">
      <c r="A1013" s="19">
        <v>45799</v>
      </c>
      <c r="B1013" s="20"/>
      <c r="C1013" s="20"/>
      <c r="D1013" s="20">
        <v>4500000</v>
      </c>
      <c r="E1013" s="99" t="s">
        <v>588</v>
      </c>
      <c r="F1013" s="20">
        <f t="shared" si="15"/>
        <v>464063623</v>
      </c>
      <c r="G1013" s="7" t="s">
        <v>630</v>
      </c>
      <c r="H1013" s="24" t="s">
        <v>619</v>
      </c>
      <c r="I1013" s="32" t="s">
        <v>152</v>
      </c>
      <c r="K1013" s="181"/>
      <c r="L1013" s="181"/>
    </row>
    <row r="1014" spans="1:12" x14ac:dyDescent="0.35">
      <c r="A1014" s="19">
        <v>45799</v>
      </c>
      <c r="B1014" s="20"/>
      <c r="C1014" s="20"/>
      <c r="D1014" s="20">
        <v>4500000</v>
      </c>
      <c r="E1014" s="99" t="s">
        <v>588</v>
      </c>
      <c r="F1014" s="20">
        <f t="shared" si="15"/>
        <v>468563623</v>
      </c>
      <c r="G1014" s="7" t="s">
        <v>630</v>
      </c>
      <c r="H1014" s="24" t="s">
        <v>619</v>
      </c>
      <c r="I1014" s="32" t="s">
        <v>152</v>
      </c>
      <c r="K1014" s="181"/>
      <c r="L1014" s="181"/>
    </row>
    <row r="1015" spans="1:12" x14ac:dyDescent="0.35">
      <c r="A1015" s="19">
        <v>45799</v>
      </c>
      <c r="B1015" s="20"/>
      <c r="C1015" s="20"/>
      <c r="D1015" s="20">
        <v>50000</v>
      </c>
      <c r="E1015" s="99" t="s">
        <v>588</v>
      </c>
      <c r="F1015" s="20">
        <f t="shared" si="15"/>
        <v>468613623</v>
      </c>
      <c r="G1015" s="7" t="s">
        <v>330</v>
      </c>
      <c r="H1015" s="24" t="s">
        <v>109</v>
      </c>
      <c r="I1015" s="32" t="s">
        <v>152</v>
      </c>
      <c r="K1015" s="181"/>
      <c r="L1015" s="181"/>
    </row>
    <row r="1016" spans="1:12" x14ac:dyDescent="0.35">
      <c r="A1016" s="19">
        <v>45799</v>
      </c>
      <c r="B1016" s="20"/>
      <c r="C1016" s="20"/>
      <c r="D1016" s="20">
        <v>100000</v>
      </c>
      <c r="E1016" s="99" t="s">
        <v>588</v>
      </c>
      <c r="F1016" s="20">
        <f t="shared" si="15"/>
        <v>468713623</v>
      </c>
      <c r="G1016" s="7" t="s">
        <v>330</v>
      </c>
      <c r="H1016" s="24" t="s">
        <v>109</v>
      </c>
      <c r="I1016" s="32" t="s">
        <v>152</v>
      </c>
      <c r="K1016" s="181"/>
      <c r="L1016" s="181"/>
    </row>
    <row r="1017" spans="1:12" x14ac:dyDescent="0.35">
      <c r="A1017" s="19">
        <v>45799</v>
      </c>
      <c r="B1017" s="20"/>
      <c r="C1017" s="20"/>
      <c r="D1017" s="20">
        <v>10000</v>
      </c>
      <c r="E1017" s="99" t="s">
        <v>588</v>
      </c>
      <c r="F1017" s="20">
        <f t="shared" si="15"/>
        <v>468723623</v>
      </c>
      <c r="G1017" s="7" t="s">
        <v>330</v>
      </c>
      <c r="H1017" s="24" t="s">
        <v>109</v>
      </c>
      <c r="I1017" s="32" t="s">
        <v>152</v>
      </c>
      <c r="K1017" s="181"/>
      <c r="L1017" s="181"/>
    </row>
    <row r="1018" spans="1:12" x14ac:dyDescent="0.35">
      <c r="A1018" s="19">
        <v>45799</v>
      </c>
      <c r="B1018" s="20"/>
      <c r="C1018" s="20"/>
      <c r="D1018" s="20">
        <v>3735000</v>
      </c>
      <c r="E1018" s="99" t="s">
        <v>588</v>
      </c>
      <c r="F1018" s="20">
        <f t="shared" si="15"/>
        <v>472458623</v>
      </c>
      <c r="G1018" s="7" t="s">
        <v>630</v>
      </c>
      <c r="H1018" s="24" t="s">
        <v>619</v>
      </c>
      <c r="I1018" s="32" t="s">
        <v>152</v>
      </c>
      <c r="K1018" s="181"/>
      <c r="L1018" s="181"/>
    </row>
    <row r="1019" spans="1:12" x14ac:dyDescent="0.35">
      <c r="A1019" s="19">
        <v>45800</v>
      </c>
      <c r="B1019" s="20"/>
      <c r="C1019" s="20"/>
      <c r="D1019" s="20">
        <v>11500000</v>
      </c>
      <c r="E1019" s="99" t="s">
        <v>588</v>
      </c>
      <c r="F1019" s="20">
        <f t="shared" si="15"/>
        <v>483958623</v>
      </c>
      <c r="G1019" s="7" t="s">
        <v>630</v>
      </c>
      <c r="H1019" s="24" t="s">
        <v>619</v>
      </c>
      <c r="I1019" s="32" t="s">
        <v>152</v>
      </c>
      <c r="K1019" s="181"/>
      <c r="L1019" s="181"/>
    </row>
    <row r="1020" spans="1:12" x14ac:dyDescent="0.35">
      <c r="A1020" s="19">
        <v>45800</v>
      </c>
      <c r="B1020" s="20"/>
      <c r="C1020" s="20"/>
      <c r="D1020" s="20">
        <v>8500000</v>
      </c>
      <c r="E1020" s="99" t="s">
        <v>588</v>
      </c>
      <c r="F1020" s="20">
        <f t="shared" si="15"/>
        <v>492458623</v>
      </c>
      <c r="G1020" s="7" t="s">
        <v>630</v>
      </c>
      <c r="H1020" s="24" t="s">
        <v>619</v>
      </c>
      <c r="I1020" s="32" t="s">
        <v>152</v>
      </c>
      <c r="K1020" s="181"/>
      <c r="L1020" s="181"/>
    </row>
    <row r="1021" spans="1:12" x14ac:dyDescent="0.35">
      <c r="A1021" s="19">
        <v>45800</v>
      </c>
      <c r="B1021" s="20"/>
      <c r="C1021" s="20"/>
      <c r="D1021" s="20">
        <v>50000</v>
      </c>
      <c r="E1021" s="99" t="s">
        <v>588</v>
      </c>
      <c r="F1021" s="20">
        <f t="shared" si="15"/>
        <v>492508623</v>
      </c>
      <c r="G1021" s="7" t="s">
        <v>330</v>
      </c>
      <c r="H1021" s="24" t="s">
        <v>109</v>
      </c>
      <c r="I1021" s="32" t="s">
        <v>152</v>
      </c>
      <c r="K1021" s="181"/>
      <c r="L1021" s="181"/>
    </row>
    <row r="1022" spans="1:12" x14ac:dyDescent="0.35">
      <c r="A1022" s="19">
        <v>45800</v>
      </c>
      <c r="B1022" s="20"/>
      <c r="C1022" s="20"/>
      <c r="D1022" s="20">
        <v>50000</v>
      </c>
      <c r="E1022" s="99" t="s">
        <v>588</v>
      </c>
      <c r="F1022" s="20">
        <f t="shared" si="15"/>
        <v>492558623</v>
      </c>
      <c r="G1022" s="7" t="s">
        <v>330</v>
      </c>
      <c r="H1022" s="24" t="s">
        <v>109</v>
      </c>
      <c r="I1022" s="32" t="s">
        <v>152</v>
      </c>
      <c r="K1022" s="181"/>
      <c r="L1022" s="181"/>
    </row>
    <row r="1023" spans="1:12" x14ac:dyDescent="0.35">
      <c r="A1023" s="19">
        <v>45800</v>
      </c>
      <c r="B1023" s="20"/>
      <c r="C1023" s="20"/>
      <c r="D1023" s="20">
        <v>100000</v>
      </c>
      <c r="E1023" s="99" t="s">
        <v>588</v>
      </c>
      <c r="F1023" s="20">
        <f t="shared" si="15"/>
        <v>492658623</v>
      </c>
      <c r="G1023" s="7" t="s">
        <v>330</v>
      </c>
      <c r="H1023" s="24" t="s">
        <v>109</v>
      </c>
      <c r="I1023" s="32" t="s">
        <v>152</v>
      </c>
      <c r="K1023" s="181"/>
      <c r="L1023" s="181"/>
    </row>
    <row r="1024" spans="1:12" x14ac:dyDescent="0.35">
      <c r="A1024" s="19">
        <v>45800</v>
      </c>
      <c r="B1024" s="20"/>
      <c r="C1024" s="20"/>
      <c r="D1024" s="20">
        <v>20000</v>
      </c>
      <c r="E1024" s="99" t="s">
        <v>588</v>
      </c>
      <c r="F1024" s="20">
        <f t="shared" si="15"/>
        <v>492678623</v>
      </c>
      <c r="G1024" s="7" t="s">
        <v>330</v>
      </c>
      <c r="H1024" s="24" t="s">
        <v>109</v>
      </c>
      <c r="I1024" s="32" t="s">
        <v>152</v>
      </c>
      <c r="K1024" s="181"/>
      <c r="L1024" s="181"/>
    </row>
    <row r="1025" spans="1:12" x14ac:dyDescent="0.35">
      <c r="A1025" s="19">
        <v>45800</v>
      </c>
      <c r="B1025" s="20"/>
      <c r="C1025" s="20"/>
      <c r="D1025" s="20">
        <v>100000</v>
      </c>
      <c r="E1025" s="99" t="s">
        <v>588</v>
      </c>
      <c r="F1025" s="20">
        <f t="shared" si="15"/>
        <v>492778623</v>
      </c>
      <c r="G1025" s="7" t="s">
        <v>330</v>
      </c>
      <c r="H1025" s="24" t="s">
        <v>109</v>
      </c>
      <c r="I1025" s="32" t="s">
        <v>152</v>
      </c>
      <c r="K1025" s="181"/>
      <c r="L1025" s="181"/>
    </row>
    <row r="1026" spans="1:12" x14ac:dyDescent="0.35">
      <c r="A1026" s="19">
        <v>45800</v>
      </c>
      <c r="B1026" s="20"/>
      <c r="C1026" s="20"/>
      <c r="D1026" s="20">
        <v>50000</v>
      </c>
      <c r="E1026" s="99" t="s">
        <v>588</v>
      </c>
      <c r="F1026" s="20">
        <f t="shared" si="15"/>
        <v>492828623</v>
      </c>
      <c r="G1026" s="7" t="s">
        <v>330</v>
      </c>
      <c r="H1026" s="24" t="s">
        <v>109</v>
      </c>
      <c r="I1026" s="32" t="s">
        <v>152</v>
      </c>
      <c r="K1026" s="181"/>
      <c r="L1026" s="181"/>
    </row>
    <row r="1027" spans="1:12" x14ac:dyDescent="0.35">
      <c r="A1027" s="19">
        <v>45800</v>
      </c>
      <c r="B1027" s="20"/>
      <c r="C1027" s="20"/>
      <c r="D1027" s="20">
        <v>100000</v>
      </c>
      <c r="E1027" s="99" t="s">
        <v>588</v>
      </c>
      <c r="F1027" s="20">
        <f t="shared" si="15"/>
        <v>492928623</v>
      </c>
      <c r="G1027" s="7" t="s">
        <v>330</v>
      </c>
      <c r="H1027" s="24" t="s">
        <v>109</v>
      </c>
      <c r="I1027" s="32" t="s">
        <v>152</v>
      </c>
      <c r="K1027" s="181"/>
      <c r="L1027" s="181"/>
    </row>
    <row r="1028" spans="1:12" x14ac:dyDescent="0.35">
      <c r="A1028" s="19">
        <v>45800</v>
      </c>
      <c r="B1028" s="20"/>
      <c r="C1028" s="20"/>
      <c r="D1028" s="20">
        <v>50000</v>
      </c>
      <c r="E1028" s="99" t="s">
        <v>588</v>
      </c>
      <c r="F1028" s="20">
        <f t="shared" si="15"/>
        <v>492978623</v>
      </c>
      <c r="G1028" s="7" t="s">
        <v>330</v>
      </c>
      <c r="H1028" s="24" t="s">
        <v>109</v>
      </c>
      <c r="I1028" s="32" t="s">
        <v>152</v>
      </c>
      <c r="K1028" s="181"/>
      <c r="L1028" s="181"/>
    </row>
    <row r="1029" spans="1:12" x14ac:dyDescent="0.35">
      <c r="A1029" s="19">
        <v>45800</v>
      </c>
      <c r="B1029" s="20"/>
      <c r="C1029" s="20"/>
      <c r="D1029" s="20">
        <v>20000</v>
      </c>
      <c r="E1029" s="99" t="s">
        <v>588</v>
      </c>
      <c r="F1029" s="20">
        <f t="shared" ref="F1029:F1092" si="16">+F1028+D1029-B1029</f>
        <v>492998623</v>
      </c>
      <c r="G1029" s="7" t="s">
        <v>330</v>
      </c>
      <c r="H1029" s="24" t="s">
        <v>109</v>
      </c>
      <c r="I1029" s="32" t="s">
        <v>152</v>
      </c>
      <c r="K1029" s="181"/>
      <c r="L1029" s="181"/>
    </row>
    <row r="1030" spans="1:12" x14ac:dyDescent="0.35">
      <c r="A1030" s="19">
        <v>45800</v>
      </c>
      <c r="B1030" s="20"/>
      <c r="C1030" s="20"/>
      <c r="D1030" s="20">
        <v>10000</v>
      </c>
      <c r="E1030" s="99" t="s">
        <v>588</v>
      </c>
      <c r="F1030" s="20">
        <f t="shared" si="16"/>
        <v>493008623</v>
      </c>
      <c r="G1030" s="7" t="s">
        <v>330</v>
      </c>
      <c r="H1030" s="24" t="s">
        <v>109</v>
      </c>
      <c r="I1030" s="32" t="s">
        <v>152</v>
      </c>
      <c r="K1030" s="181"/>
      <c r="L1030" s="181"/>
    </row>
    <row r="1031" spans="1:12" x14ac:dyDescent="0.35">
      <c r="A1031" s="19">
        <v>45800</v>
      </c>
      <c r="B1031" s="20"/>
      <c r="C1031" s="20"/>
      <c r="D1031" s="20">
        <v>4000000</v>
      </c>
      <c r="E1031" s="99" t="s">
        <v>588</v>
      </c>
      <c r="F1031" s="20">
        <f t="shared" si="16"/>
        <v>497008623</v>
      </c>
      <c r="G1031" s="7" t="s">
        <v>630</v>
      </c>
      <c r="H1031" s="24" t="s">
        <v>619</v>
      </c>
      <c r="I1031" s="32" t="s">
        <v>152</v>
      </c>
      <c r="K1031" s="181"/>
      <c r="L1031" s="181"/>
    </row>
    <row r="1032" spans="1:12" x14ac:dyDescent="0.35">
      <c r="A1032" s="19">
        <v>45800</v>
      </c>
      <c r="B1032" s="20"/>
      <c r="C1032" s="20"/>
      <c r="D1032" s="20">
        <v>50000</v>
      </c>
      <c r="E1032" s="99" t="s">
        <v>588</v>
      </c>
      <c r="F1032" s="20">
        <f t="shared" si="16"/>
        <v>497058623</v>
      </c>
      <c r="G1032" s="7" t="s">
        <v>330</v>
      </c>
      <c r="H1032" s="24" t="s">
        <v>109</v>
      </c>
      <c r="I1032" s="32" t="s">
        <v>152</v>
      </c>
      <c r="K1032" s="181"/>
      <c r="L1032" s="181"/>
    </row>
    <row r="1033" spans="1:12" x14ac:dyDescent="0.35">
      <c r="A1033" s="19">
        <v>45800</v>
      </c>
      <c r="B1033" s="20"/>
      <c r="C1033" s="20"/>
      <c r="D1033" s="20">
        <v>1000</v>
      </c>
      <c r="E1033" s="99" t="s">
        <v>588</v>
      </c>
      <c r="F1033" s="20">
        <f t="shared" si="16"/>
        <v>497059623</v>
      </c>
      <c r="G1033" s="7" t="s">
        <v>330</v>
      </c>
      <c r="H1033" s="24" t="s">
        <v>109</v>
      </c>
      <c r="I1033" s="32" t="s">
        <v>152</v>
      </c>
      <c r="K1033" s="181"/>
      <c r="L1033" s="181"/>
    </row>
    <row r="1034" spans="1:12" x14ac:dyDescent="0.35">
      <c r="A1034" s="19">
        <v>45800</v>
      </c>
      <c r="B1034" s="20"/>
      <c r="C1034" s="20"/>
      <c r="D1034" s="20">
        <v>2000000</v>
      </c>
      <c r="E1034" s="99" t="s">
        <v>588</v>
      </c>
      <c r="F1034" s="20">
        <f t="shared" si="16"/>
        <v>499059623</v>
      </c>
      <c r="G1034" s="7" t="s">
        <v>609</v>
      </c>
      <c r="H1034" s="24" t="s">
        <v>109</v>
      </c>
      <c r="I1034" s="32" t="s">
        <v>152</v>
      </c>
      <c r="K1034" s="181"/>
      <c r="L1034" s="181"/>
    </row>
    <row r="1035" spans="1:12" x14ac:dyDescent="0.35">
      <c r="A1035" s="19">
        <v>45800</v>
      </c>
      <c r="B1035" s="20"/>
      <c r="C1035" s="20"/>
      <c r="D1035" s="20">
        <v>4000000</v>
      </c>
      <c r="E1035" s="99" t="s">
        <v>588</v>
      </c>
      <c r="F1035" s="20">
        <f t="shared" si="16"/>
        <v>503059623</v>
      </c>
      <c r="G1035" s="7" t="s">
        <v>630</v>
      </c>
      <c r="H1035" s="24" t="s">
        <v>619</v>
      </c>
      <c r="I1035" s="32" t="s">
        <v>152</v>
      </c>
      <c r="K1035" s="181"/>
      <c r="L1035" s="181"/>
    </row>
    <row r="1036" spans="1:12" x14ac:dyDescent="0.35">
      <c r="A1036" s="19">
        <v>45801</v>
      </c>
      <c r="B1036" s="20"/>
      <c r="C1036" s="20"/>
      <c r="D1036" s="20">
        <v>100000</v>
      </c>
      <c r="E1036" s="99" t="s">
        <v>588</v>
      </c>
      <c r="F1036" s="20">
        <f t="shared" si="16"/>
        <v>503159623</v>
      </c>
      <c r="G1036" s="7" t="s">
        <v>330</v>
      </c>
      <c r="H1036" s="24" t="s">
        <v>109</v>
      </c>
      <c r="I1036" s="32" t="s">
        <v>152</v>
      </c>
      <c r="K1036" s="181"/>
      <c r="L1036" s="181"/>
    </row>
    <row r="1037" spans="1:12" x14ac:dyDescent="0.35">
      <c r="A1037" s="19">
        <v>45801</v>
      </c>
      <c r="B1037" s="20"/>
      <c r="C1037" s="20"/>
      <c r="D1037" s="20">
        <v>25000</v>
      </c>
      <c r="E1037" s="99" t="s">
        <v>588</v>
      </c>
      <c r="F1037" s="20">
        <f t="shared" si="16"/>
        <v>503184623</v>
      </c>
      <c r="G1037" s="7" t="s">
        <v>330</v>
      </c>
      <c r="H1037" s="24" t="s">
        <v>109</v>
      </c>
      <c r="I1037" s="32" t="s">
        <v>152</v>
      </c>
      <c r="K1037" s="181"/>
      <c r="L1037" s="181"/>
    </row>
    <row r="1038" spans="1:12" x14ac:dyDescent="0.35">
      <c r="A1038" s="19">
        <v>45801</v>
      </c>
      <c r="B1038" s="20"/>
      <c r="C1038" s="20"/>
      <c r="D1038" s="20">
        <v>50000</v>
      </c>
      <c r="E1038" s="99" t="s">
        <v>588</v>
      </c>
      <c r="F1038" s="20">
        <f t="shared" si="16"/>
        <v>503234623</v>
      </c>
      <c r="G1038" s="7" t="s">
        <v>330</v>
      </c>
      <c r="H1038" s="24" t="s">
        <v>109</v>
      </c>
      <c r="I1038" s="32" t="s">
        <v>152</v>
      </c>
      <c r="K1038" s="181"/>
      <c r="L1038" s="181"/>
    </row>
    <row r="1039" spans="1:12" x14ac:dyDescent="0.35">
      <c r="A1039" s="19">
        <v>45801</v>
      </c>
      <c r="B1039" s="20"/>
      <c r="C1039" s="20"/>
      <c r="D1039" s="20">
        <v>50000</v>
      </c>
      <c r="E1039" s="99" t="s">
        <v>588</v>
      </c>
      <c r="F1039" s="20">
        <f t="shared" si="16"/>
        <v>503284623</v>
      </c>
      <c r="G1039" s="7" t="s">
        <v>330</v>
      </c>
      <c r="H1039" s="24" t="s">
        <v>109</v>
      </c>
      <c r="I1039" s="32" t="s">
        <v>152</v>
      </c>
      <c r="K1039" s="181"/>
      <c r="L1039" s="181"/>
    </row>
    <row r="1040" spans="1:12" x14ac:dyDescent="0.35">
      <c r="A1040" s="19">
        <v>45801</v>
      </c>
      <c r="B1040" s="20"/>
      <c r="C1040" s="20"/>
      <c r="D1040" s="20">
        <v>10000</v>
      </c>
      <c r="E1040" s="99" t="s">
        <v>588</v>
      </c>
      <c r="F1040" s="20">
        <f t="shared" si="16"/>
        <v>503294623</v>
      </c>
      <c r="G1040" s="7" t="s">
        <v>330</v>
      </c>
      <c r="H1040" s="24" t="s">
        <v>109</v>
      </c>
      <c r="I1040" s="32" t="s">
        <v>152</v>
      </c>
      <c r="K1040" s="181"/>
      <c r="L1040" s="181"/>
    </row>
    <row r="1041" spans="1:12" x14ac:dyDescent="0.35">
      <c r="A1041" s="19">
        <v>45801</v>
      </c>
      <c r="B1041" s="20"/>
      <c r="C1041" s="20"/>
      <c r="D1041" s="20">
        <v>20000</v>
      </c>
      <c r="E1041" s="99" t="s">
        <v>588</v>
      </c>
      <c r="F1041" s="20">
        <f t="shared" si="16"/>
        <v>503314623</v>
      </c>
      <c r="G1041" s="7" t="s">
        <v>330</v>
      </c>
      <c r="H1041" s="24" t="s">
        <v>109</v>
      </c>
      <c r="I1041" s="32" t="s">
        <v>152</v>
      </c>
      <c r="K1041" s="181"/>
      <c r="L1041" s="181"/>
    </row>
    <row r="1042" spans="1:12" x14ac:dyDescent="0.35">
      <c r="A1042" s="19">
        <v>45801</v>
      </c>
      <c r="B1042" s="20"/>
      <c r="C1042" s="20"/>
      <c r="D1042" s="20">
        <v>50000</v>
      </c>
      <c r="E1042" s="99" t="s">
        <v>588</v>
      </c>
      <c r="F1042" s="20">
        <f t="shared" si="16"/>
        <v>503364623</v>
      </c>
      <c r="G1042" s="7" t="s">
        <v>330</v>
      </c>
      <c r="H1042" s="24" t="s">
        <v>109</v>
      </c>
      <c r="I1042" s="32" t="s">
        <v>152</v>
      </c>
      <c r="K1042" s="181"/>
      <c r="L1042" s="181"/>
    </row>
    <row r="1043" spans="1:12" x14ac:dyDescent="0.35">
      <c r="A1043" s="19">
        <v>45801</v>
      </c>
      <c r="B1043" s="20"/>
      <c r="C1043" s="20"/>
      <c r="D1043" s="20">
        <v>10000</v>
      </c>
      <c r="E1043" s="99" t="s">
        <v>588</v>
      </c>
      <c r="F1043" s="20">
        <f t="shared" si="16"/>
        <v>503374623</v>
      </c>
      <c r="G1043" s="7" t="s">
        <v>330</v>
      </c>
      <c r="H1043" s="24" t="s">
        <v>109</v>
      </c>
      <c r="I1043" s="32" t="s">
        <v>152</v>
      </c>
      <c r="K1043" s="181"/>
      <c r="L1043" s="181"/>
    </row>
    <row r="1044" spans="1:12" x14ac:dyDescent="0.35">
      <c r="A1044" s="19">
        <v>45801</v>
      </c>
      <c r="B1044" s="20"/>
      <c r="C1044" s="20"/>
      <c r="D1044" s="20">
        <v>1750000</v>
      </c>
      <c r="E1044" s="99" t="s">
        <v>588</v>
      </c>
      <c r="F1044" s="20">
        <f t="shared" si="16"/>
        <v>505124623</v>
      </c>
      <c r="G1044" s="7" t="s">
        <v>630</v>
      </c>
      <c r="H1044" s="24" t="s">
        <v>619</v>
      </c>
      <c r="I1044" s="32" t="s">
        <v>152</v>
      </c>
      <c r="K1044" s="181"/>
      <c r="L1044" s="181"/>
    </row>
    <row r="1045" spans="1:12" x14ac:dyDescent="0.35">
      <c r="A1045" s="19">
        <v>45802</v>
      </c>
      <c r="B1045" s="20"/>
      <c r="C1045" s="20"/>
      <c r="D1045" s="20">
        <v>7000000</v>
      </c>
      <c r="E1045" s="99" t="s">
        <v>588</v>
      </c>
      <c r="F1045" s="20">
        <f t="shared" si="16"/>
        <v>512124623</v>
      </c>
      <c r="G1045" s="7" t="s">
        <v>630</v>
      </c>
      <c r="H1045" s="24" t="s">
        <v>619</v>
      </c>
      <c r="I1045" s="32" t="s">
        <v>152</v>
      </c>
      <c r="K1045" s="181"/>
      <c r="L1045" s="181"/>
    </row>
    <row r="1046" spans="1:12" x14ac:dyDescent="0.35">
      <c r="A1046" s="19">
        <v>45802</v>
      </c>
      <c r="B1046" s="20"/>
      <c r="C1046" s="20"/>
      <c r="D1046" s="20">
        <v>3500000</v>
      </c>
      <c r="E1046" s="99" t="s">
        <v>588</v>
      </c>
      <c r="F1046" s="20">
        <f t="shared" si="16"/>
        <v>515624623</v>
      </c>
      <c r="G1046" s="7" t="s">
        <v>630</v>
      </c>
      <c r="H1046" s="24" t="s">
        <v>619</v>
      </c>
      <c r="I1046" s="32" t="s">
        <v>152</v>
      </c>
      <c r="K1046" s="181"/>
      <c r="L1046" s="181"/>
    </row>
    <row r="1047" spans="1:12" x14ac:dyDescent="0.35">
      <c r="A1047" s="19">
        <v>45802</v>
      </c>
      <c r="B1047" s="20">
        <v>750000</v>
      </c>
      <c r="C1047" s="20"/>
      <c r="D1047" s="20"/>
      <c r="E1047" s="99" t="s">
        <v>588</v>
      </c>
      <c r="F1047" s="20">
        <f t="shared" si="16"/>
        <v>514874623</v>
      </c>
      <c r="G1047" s="7" t="s">
        <v>645</v>
      </c>
      <c r="H1047" s="24" t="s">
        <v>323</v>
      </c>
      <c r="I1047" s="32" t="s">
        <v>152</v>
      </c>
      <c r="K1047" s="181"/>
      <c r="L1047" s="181"/>
    </row>
    <row r="1048" spans="1:12" x14ac:dyDescent="0.35">
      <c r="A1048" s="19">
        <v>45802</v>
      </c>
      <c r="B1048" s="20">
        <v>6500</v>
      </c>
      <c r="C1048" s="20"/>
      <c r="D1048" s="20"/>
      <c r="E1048" s="99" t="s">
        <v>588</v>
      </c>
      <c r="F1048" s="20">
        <f t="shared" si="16"/>
        <v>514868123</v>
      </c>
      <c r="G1048" s="7" t="s">
        <v>646</v>
      </c>
      <c r="H1048" s="24" t="s">
        <v>323</v>
      </c>
      <c r="I1048" s="32" t="s">
        <v>152</v>
      </c>
      <c r="K1048" s="181"/>
      <c r="L1048" s="181"/>
    </row>
    <row r="1049" spans="1:12" x14ac:dyDescent="0.35">
      <c r="A1049" s="19">
        <v>45802</v>
      </c>
      <c r="B1049" s="20"/>
      <c r="C1049" s="20"/>
      <c r="D1049" s="20">
        <v>5000000</v>
      </c>
      <c r="E1049" s="99" t="s">
        <v>588</v>
      </c>
      <c r="F1049" s="20">
        <f t="shared" si="16"/>
        <v>519868123</v>
      </c>
      <c r="G1049" s="7" t="s">
        <v>630</v>
      </c>
      <c r="H1049" s="24" t="s">
        <v>619</v>
      </c>
      <c r="I1049" s="32" t="s">
        <v>152</v>
      </c>
      <c r="K1049" s="181"/>
      <c r="L1049" s="181"/>
    </row>
    <row r="1050" spans="1:12" x14ac:dyDescent="0.35">
      <c r="A1050" s="19">
        <v>45802</v>
      </c>
      <c r="B1050" s="20"/>
      <c r="C1050" s="20"/>
      <c r="D1050" s="20">
        <v>8000000</v>
      </c>
      <c r="E1050" s="99" t="s">
        <v>588</v>
      </c>
      <c r="F1050" s="20">
        <f t="shared" si="16"/>
        <v>527868123</v>
      </c>
      <c r="G1050" s="7" t="s">
        <v>630</v>
      </c>
      <c r="H1050" s="24" t="s">
        <v>619</v>
      </c>
      <c r="I1050" s="32" t="s">
        <v>152</v>
      </c>
      <c r="K1050" s="181"/>
      <c r="L1050" s="181"/>
    </row>
    <row r="1051" spans="1:12" x14ac:dyDescent="0.35">
      <c r="A1051" s="19">
        <v>45802</v>
      </c>
      <c r="B1051" s="20"/>
      <c r="C1051" s="20"/>
      <c r="D1051" s="20">
        <v>24500000</v>
      </c>
      <c r="E1051" s="99" t="s">
        <v>588</v>
      </c>
      <c r="F1051" s="20">
        <f t="shared" si="16"/>
        <v>552368123</v>
      </c>
      <c r="G1051" s="7" t="s">
        <v>630</v>
      </c>
      <c r="H1051" s="24" t="s">
        <v>619</v>
      </c>
      <c r="I1051" s="32" t="s">
        <v>152</v>
      </c>
      <c r="K1051" s="181"/>
      <c r="L1051" s="181"/>
    </row>
    <row r="1052" spans="1:12" x14ac:dyDescent="0.35">
      <c r="A1052" s="19">
        <v>45802</v>
      </c>
      <c r="B1052" s="20"/>
      <c r="C1052" s="20"/>
      <c r="D1052" s="20">
        <v>24500000</v>
      </c>
      <c r="E1052" s="99" t="s">
        <v>588</v>
      </c>
      <c r="F1052" s="20">
        <f t="shared" si="16"/>
        <v>576868123</v>
      </c>
      <c r="G1052" s="7" t="s">
        <v>630</v>
      </c>
      <c r="H1052" s="24" t="s">
        <v>619</v>
      </c>
      <c r="I1052" s="32" t="s">
        <v>152</v>
      </c>
      <c r="K1052" s="181"/>
      <c r="L1052" s="181"/>
    </row>
    <row r="1053" spans="1:12" x14ac:dyDescent="0.35">
      <c r="A1053" s="19">
        <v>45803</v>
      </c>
      <c r="B1053" s="20"/>
      <c r="C1053" s="20"/>
      <c r="D1053" s="20">
        <v>200000</v>
      </c>
      <c r="E1053" s="99" t="s">
        <v>588</v>
      </c>
      <c r="F1053" s="20">
        <f t="shared" si="16"/>
        <v>577068123</v>
      </c>
      <c r="G1053" s="7" t="s">
        <v>306</v>
      </c>
      <c r="H1053" s="24" t="s">
        <v>140</v>
      </c>
      <c r="I1053" s="32" t="s">
        <v>152</v>
      </c>
      <c r="K1053" s="181"/>
      <c r="L1053" s="181"/>
    </row>
    <row r="1054" spans="1:12" x14ac:dyDescent="0.35">
      <c r="A1054" s="19">
        <v>45803</v>
      </c>
      <c r="B1054" s="20"/>
      <c r="C1054" s="20"/>
      <c r="D1054" s="20">
        <v>4000000</v>
      </c>
      <c r="E1054" s="99" t="s">
        <v>588</v>
      </c>
      <c r="F1054" s="20">
        <f t="shared" si="16"/>
        <v>581068123</v>
      </c>
      <c r="G1054" s="7" t="s">
        <v>630</v>
      </c>
      <c r="H1054" s="24" t="s">
        <v>619</v>
      </c>
      <c r="I1054" s="32" t="s">
        <v>152</v>
      </c>
      <c r="K1054" s="181"/>
      <c r="L1054" s="181"/>
    </row>
    <row r="1055" spans="1:12" x14ac:dyDescent="0.35">
      <c r="A1055" s="19">
        <v>45803</v>
      </c>
      <c r="B1055" s="20"/>
      <c r="C1055" s="20"/>
      <c r="D1055" s="20">
        <v>10000</v>
      </c>
      <c r="E1055" s="99" t="s">
        <v>588</v>
      </c>
      <c r="F1055" s="20">
        <f t="shared" si="16"/>
        <v>581078123</v>
      </c>
      <c r="G1055" s="7" t="s">
        <v>330</v>
      </c>
      <c r="H1055" s="24" t="s">
        <v>109</v>
      </c>
      <c r="I1055" s="32" t="s">
        <v>152</v>
      </c>
      <c r="K1055" s="181"/>
      <c r="L1055" s="181"/>
    </row>
    <row r="1056" spans="1:12" x14ac:dyDescent="0.35">
      <c r="A1056" s="19">
        <v>45803</v>
      </c>
      <c r="B1056" s="20"/>
      <c r="C1056" s="20"/>
      <c r="D1056" s="20">
        <v>20000</v>
      </c>
      <c r="E1056" s="99" t="s">
        <v>588</v>
      </c>
      <c r="F1056" s="20">
        <f t="shared" si="16"/>
        <v>581098123</v>
      </c>
      <c r="G1056" s="7" t="s">
        <v>330</v>
      </c>
      <c r="H1056" s="24" t="s">
        <v>109</v>
      </c>
      <c r="I1056" s="32" t="s">
        <v>152</v>
      </c>
      <c r="K1056" s="181"/>
      <c r="L1056" s="181"/>
    </row>
    <row r="1057" spans="1:12" x14ac:dyDescent="0.35">
      <c r="A1057" s="19">
        <v>45803</v>
      </c>
      <c r="B1057" s="20"/>
      <c r="C1057" s="20"/>
      <c r="D1057" s="197">
        <v>3709000</v>
      </c>
      <c r="E1057" s="99" t="s">
        <v>588</v>
      </c>
      <c r="F1057" s="20">
        <f t="shared" si="16"/>
        <v>584807123</v>
      </c>
      <c r="G1057" s="7"/>
      <c r="H1057" s="24" t="s">
        <v>107</v>
      </c>
      <c r="I1057" s="32" t="s">
        <v>152</v>
      </c>
      <c r="K1057" s="181"/>
      <c r="L1057" s="181"/>
    </row>
    <row r="1058" spans="1:12" x14ac:dyDescent="0.35">
      <c r="A1058" s="19">
        <v>45803</v>
      </c>
      <c r="B1058" s="20"/>
      <c r="C1058" s="20"/>
      <c r="D1058" s="197">
        <v>2039000</v>
      </c>
      <c r="E1058" s="99" t="s">
        <v>588</v>
      </c>
      <c r="F1058" s="20">
        <f t="shared" si="16"/>
        <v>586846123</v>
      </c>
      <c r="G1058" s="7"/>
      <c r="H1058" s="24" t="s">
        <v>109</v>
      </c>
      <c r="I1058" s="32" t="s">
        <v>152</v>
      </c>
      <c r="K1058" s="181"/>
      <c r="L1058" s="181"/>
    </row>
    <row r="1059" spans="1:12" x14ac:dyDescent="0.35">
      <c r="A1059" s="19"/>
      <c r="B1059" s="20"/>
      <c r="C1059" s="20">
        <v>5748000</v>
      </c>
      <c r="D1059" s="20"/>
      <c r="E1059" s="99"/>
      <c r="F1059" s="20">
        <f t="shared" si="16"/>
        <v>586846123</v>
      </c>
      <c r="G1059" s="7" t="s">
        <v>305</v>
      </c>
      <c r="H1059" s="24"/>
      <c r="I1059" s="32"/>
      <c r="K1059" s="181"/>
      <c r="L1059" s="181"/>
    </row>
    <row r="1060" spans="1:12" x14ac:dyDescent="0.35">
      <c r="A1060" s="19">
        <v>45803</v>
      </c>
      <c r="B1060" s="20"/>
      <c r="C1060" s="20"/>
      <c r="D1060" s="20">
        <v>4000000</v>
      </c>
      <c r="E1060" s="99" t="s">
        <v>588</v>
      </c>
      <c r="F1060" s="20">
        <f t="shared" si="16"/>
        <v>590846123</v>
      </c>
      <c r="G1060" s="7" t="s">
        <v>630</v>
      </c>
      <c r="H1060" s="24" t="s">
        <v>619</v>
      </c>
      <c r="I1060" s="32" t="s">
        <v>152</v>
      </c>
      <c r="K1060" s="181"/>
      <c r="L1060" s="181"/>
    </row>
    <row r="1061" spans="1:12" x14ac:dyDescent="0.35">
      <c r="A1061" s="19">
        <v>45804</v>
      </c>
      <c r="B1061" s="20">
        <v>2000000</v>
      </c>
      <c r="C1061" s="20"/>
      <c r="D1061" s="20"/>
      <c r="E1061" s="99" t="s">
        <v>588</v>
      </c>
      <c r="F1061" s="20">
        <f t="shared" si="16"/>
        <v>588846123</v>
      </c>
      <c r="G1061" s="7" t="s">
        <v>647</v>
      </c>
      <c r="H1061" s="24" t="s">
        <v>321</v>
      </c>
      <c r="I1061" s="32" t="s">
        <v>152</v>
      </c>
      <c r="K1061" s="181"/>
      <c r="L1061" s="181"/>
    </row>
    <row r="1062" spans="1:12" x14ac:dyDescent="0.35">
      <c r="A1062" s="19">
        <v>45804</v>
      </c>
      <c r="B1062" s="20">
        <v>6500</v>
      </c>
      <c r="C1062" s="20"/>
      <c r="D1062" s="20"/>
      <c r="E1062" s="99" t="s">
        <v>588</v>
      </c>
      <c r="F1062" s="20">
        <f t="shared" si="16"/>
        <v>588839623</v>
      </c>
      <c r="G1062" s="7" t="s">
        <v>648</v>
      </c>
      <c r="H1062" s="24" t="s">
        <v>321</v>
      </c>
      <c r="I1062" s="32" t="s">
        <v>152</v>
      </c>
      <c r="K1062" s="181"/>
      <c r="L1062" s="181"/>
    </row>
    <row r="1063" spans="1:12" x14ac:dyDescent="0.35">
      <c r="A1063" s="19">
        <v>45804</v>
      </c>
      <c r="B1063" s="20"/>
      <c r="C1063" s="20"/>
      <c r="D1063" s="20">
        <v>50000</v>
      </c>
      <c r="E1063" s="99" t="s">
        <v>588</v>
      </c>
      <c r="F1063" s="20">
        <f t="shared" si="16"/>
        <v>588889623</v>
      </c>
      <c r="G1063" s="7" t="s">
        <v>330</v>
      </c>
      <c r="H1063" s="24" t="s">
        <v>109</v>
      </c>
      <c r="I1063" s="32" t="s">
        <v>152</v>
      </c>
      <c r="K1063" s="181"/>
      <c r="L1063" s="181"/>
    </row>
    <row r="1064" spans="1:12" x14ac:dyDescent="0.35">
      <c r="A1064" s="19">
        <v>45804</v>
      </c>
      <c r="B1064" s="20"/>
      <c r="C1064" s="20"/>
      <c r="D1064" s="20">
        <v>10000</v>
      </c>
      <c r="E1064" s="99" t="s">
        <v>588</v>
      </c>
      <c r="F1064" s="20">
        <f t="shared" si="16"/>
        <v>588899623</v>
      </c>
      <c r="G1064" s="7" t="s">
        <v>330</v>
      </c>
      <c r="H1064" s="24" t="s">
        <v>109</v>
      </c>
      <c r="I1064" s="32" t="s">
        <v>152</v>
      </c>
      <c r="K1064" s="181"/>
      <c r="L1064" s="181"/>
    </row>
    <row r="1065" spans="1:12" x14ac:dyDescent="0.35">
      <c r="A1065" s="19">
        <v>45804</v>
      </c>
      <c r="B1065" s="20"/>
      <c r="C1065" s="20"/>
      <c r="D1065" s="20">
        <v>50000</v>
      </c>
      <c r="E1065" s="99" t="s">
        <v>588</v>
      </c>
      <c r="F1065" s="20">
        <f t="shared" si="16"/>
        <v>588949623</v>
      </c>
      <c r="G1065" s="7" t="s">
        <v>330</v>
      </c>
      <c r="H1065" s="24" t="s">
        <v>109</v>
      </c>
      <c r="I1065" s="32" t="s">
        <v>152</v>
      </c>
      <c r="K1065" s="181"/>
      <c r="L1065" s="181"/>
    </row>
    <row r="1066" spans="1:12" x14ac:dyDescent="0.35">
      <c r="A1066" s="19">
        <v>45804</v>
      </c>
      <c r="B1066" s="20">
        <v>2500000</v>
      </c>
      <c r="C1066" s="20"/>
      <c r="D1066" s="20"/>
      <c r="E1066" s="99" t="s">
        <v>588</v>
      </c>
      <c r="F1066" s="20">
        <f t="shared" si="16"/>
        <v>586449623</v>
      </c>
      <c r="G1066" s="7" t="s">
        <v>649</v>
      </c>
      <c r="H1066" s="24" t="s">
        <v>325</v>
      </c>
      <c r="I1066" s="32" t="s">
        <v>152</v>
      </c>
      <c r="K1066" s="181"/>
      <c r="L1066" s="181"/>
    </row>
    <row r="1067" spans="1:12" x14ac:dyDescent="0.35">
      <c r="A1067" s="19">
        <v>45804</v>
      </c>
      <c r="B1067" s="20">
        <v>6500</v>
      </c>
      <c r="C1067" s="20"/>
      <c r="D1067" s="20"/>
      <c r="E1067" s="99" t="s">
        <v>588</v>
      </c>
      <c r="F1067" s="20">
        <f t="shared" si="16"/>
        <v>586443123</v>
      </c>
      <c r="G1067" s="7" t="s">
        <v>649</v>
      </c>
      <c r="H1067" s="24" t="s">
        <v>325</v>
      </c>
      <c r="I1067" s="32" t="s">
        <v>152</v>
      </c>
      <c r="K1067" s="181"/>
      <c r="L1067" s="181"/>
    </row>
    <row r="1068" spans="1:12" x14ac:dyDescent="0.35">
      <c r="A1068" s="19">
        <v>45804</v>
      </c>
      <c r="B1068" s="20">
        <v>1000000</v>
      </c>
      <c r="C1068" s="20"/>
      <c r="D1068" s="20"/>
      <c r="E1068" s="99" t="s">
        <v>588</v>
      </c>
      <c r="F1068" s="20">
        <f t="shared" si="16"/>
        <v>585443123</v>
      </c>
      <c r="G1068" s="7" t="s">
        <v>649</v>
      </c>
      <c r="H1068" s="24" t="s">
        <v>325</v>
      </c>
      <c r="I1068" s="32" t="s">
        <v>152</v>
      </c>
      <c r="K1068" s="181"/>
      <c r="L1068" s="181"/>
    </row>
    <row r="1069" spans="1:12" x14ac:dyDescent="0.35">
      <c r="A1069" s="19">
        <v>45804</v>
      </c>
      <c r="B1069" s="20">
        <v>6500</v>
      </c>
      <c r="C1069" s="20"/>
      <c r="D1069" s="20"/>
      <c r="E1069" s="99" t="s">
        <v>588</v>
      </c>
      <c r="F1069" s="20">
        <f t="shared" si="16"/>
        <v>585436623</v>
      </c>
      <c r="G1069" s="7" t="s">
        <v>649</v>
      </c>
      <c r="H1069" s="24" t="s">
        <v>325</v>
      </c>
      <c r="I1069" s="32" t="s">
        <v>152</v>
      </c>
      <c r="K1069" s="181"/>
      <c r="L1069" s="181"/>
    </row>
    <row r="1070" spans="1:12" x14ac:dyDescent="0.35">
      <c r="A1070" s="19">
        <v>45804</v>
      </c>
      <c r="B1070" s="20">
        <v>2700000</v>
      </c>
      <c r="C1070" s="20"/>
      <c r="D1070" s="20"/>
      <c r="E1070" s="99" t="s">
        <v>588</v>
      </c>
      <c r="F1070" s="20">
        <f t="shared" si="16"/>
        <v>582736623</v>
      </c>
      <c r="G1070" s="7" t="s">
        <v>650</v>
      </c>
      <c r="H1070" s="24" t="s">
        <v>201</v>
      </c>
      <c r="I1070" s="32" t="s">
        <v>152</v>
      </c>
      <c r="K1070" s="181"/>
      <c r="L1070" s="181"/>
    </row>
    <row r="1071" spans="1:12" x14ac:dyDescent="0.35">
      <c r="A1071" s="19">
        <v>45804</v>
      </c>
      <c r="B1071" s="20">
        <v>6500</v>
      </c>
      <c r="C1071" s="20"/>
      <c r="D1071" s="20"/>
      <c r="E1071" s="99" t="s">
        <v>588</v>
      </c>
      <c r="F1071" s="20">
        <f t="shared" si="16"/>
        <v>582730123</v>
      </c>
      <c r="G1071" s="7" t="s">
        <v>651</v>
      </c>
      <c r="H1071" s="24" t="s">
        <v>201</v>
      </c>
      <c r="I1071" s="32" t="s">
        <v>152</v>
      </c>
      <c r="K1071" s="181"/>
      <c r="L1071" s="181"/>
    </row>
    <row r="1072" spans="1:12" x14ac:dyDescent="0.35">
      <c r="A1072" s="19">
        <v>45804</v>
      </c>
      <c r="B1072" s="20">
        <v>550000</v>
      </c>
      <c r="C1072" s="20"/>
      <c r="D1072" s="20"/>
      <c r="E1072" s="99" t="s">
        <v>588</v>
      </c>
      <c r="F1072" s="20">
        <f t="shared" si="16"/>
        <v>582180123</v>
      </c>
      <c r="G1072" s="7" t="s">
        <v>649</v>
      </c>
      <c r="H1072" s="24" t="s">
        <v>325</v>
      </c>
      <c r="I1072" s="32" t="s">
        <v>152</v>
      </c>
      <c r="K1072" s="181"/>
      <c r="L1072" s="181"/>
    </row>
    <row r="1073" spans="1:12" x14ac:dyDescent="0.35">
      <c r="A1073" s="19">
        <v>45804</v>
      </c>
      <c r="B1073" s="20">
        <v>6500</v>
      </c>
      <c r="C1073" s="20"/>
      <c r="D1073" s="20"/>
      <c r="E1073" s="99" t="s">
        <v>588</v>
      </c>
      <c r="F1073" s="20">
        <f t="shared" si="16"/>
        <v>582173623</v>
      </c>
      <c r="G1073" s="7" t="s">
        <v>649</v>
      </c>
      <c r="H1073" s="24" t="s">
        <v>325</v>
      </c>
      <c r="I1073" s="32" t="s">
        <v>152</v>
      </c>
      <c r="K1073" s="181"/>
      <c r="L1073" s="181"/>
    </row>
    <row r="1074" spans="1:12" x14ac:dyDescent="0.35">
      <c r="A1074" s="19">
        <v>45804</v>
      </c>
      <c r="B1074" s="20">
        <v>3500000</v>
      </c>
      <c r="C1074" s="20"/>
      <c r="D1074" s="20"/>
      <c r="E1074" s="99" t="s">
        <v>588</v>
      </c>
      <c r="F1074" s="20">
        <f t="shared" si="16"/>
        <v>578673623</v>
      </c>
      <c r="G1074" s="7" t="s">
        <v>649</v>
      </c>
      <c r="H1074" s="24" t="s">
        <v>325</v>
      </c>
      <c r="I1074" s="32" t="s">
        <v>152</v>
      </c>
      <c r="K1074" s="181"/>
      <c r="L1074" s="181"/>
    </row>
    <row r="1075" spans="1:12" x14ac:dyDescent="0.35">
      <c r="A1075" s="19">
        <v>45804</v>
      </c>
      <c r="B1075" s="20">
        <v>6500</v>
      </c>
      <c r="C1075" s="20"/>
      <c r="D1075" s="20"/>
      <c r="E1075" s="99" t="s">
        <v>588</v>
      </c>
      <c r="F1075" s="20">
        <f t="shared" si="16"/>
        <v>578667123</v>
      </c>
      <c r="G1075" s="7" t="s">
        <v>649</v>
      </c>
      <c r="H1075" s="24" t="s">
        <v>325</v>
      </c>
      <c r="I1075" s="32" t="s">
        <v>152</v>
      </c>
      <c r="K1075" s="181"/>
      <c r="L1075" s="181"/>
    </row>
    <row r="1076" spans="1:12" x14ac:dyDescent="0.35">
      <c r="A1076" s="19">
        <v>45804</v>
      </c>
      <c r="B1076" s="20">
        <v>4000000</v>
      </c>
      <c r="C1076" s="20"/>
      <c r="D1076" s="20"/>
      <c r="E1076" s="99" t="s">
        <v>588</v>
      </c>
      <c r="F1076" s="20">
        <f t="shared" si="16"/>
        <v>574667123</v>
      </c>
      <c r="G1076" s="7" t="s">
        <v>652</v>
      </c>
      <c r="H1076" s="24" t="s">
        <v>201</v>
      </c>
      <c r="I1076" s="32" t="s">
        <v>152</v>
      </c>
      <c r="K1076" s="181"/>
      <c r="L1076" s="181"/>
    </row>
    <row r="1077" spans="1:12" x14ac:dyDescent="0.35">
      <c r="A1077" s="19">
        <v>45804</v>
      </c>
      <c r="B1077" s="20">
        <v>6500</v>
      </c>
      <c r="C1077" s="20"/>
      <c r="D1077" s="20"/>
      <c r="E1077" s="99" t="s">
        <v>588</v>
      </c>
      <c r="F1077" s="20">
        <f t="shared" si="16"/>
        <v>574660623</v>
      </c>
      <c r="G1077" s="7" t="s">
        <v>653</v>
      </c>
      <c r="H1077" s="24" t="s">
        <v>201</v>
      </c>
      <c r="I1077" s="32" t="s">
        <v>152</v>
      </c>
      <c r="K1077" s="181"/>
      <c r="L1077" s="181"/>
    </row>
    <row r="1078" spans="1:12" x14ac:dyDescent="0.35">
      <c r="A1078" s="19">
        <v>45804</v>
      </c>
      <c r="B1078" s="20">
        <v>2250000</v>
      </c>
      <c r="C1078" s="20"/>
      <c r="D1078" s="20"/>
      <c r="E1078" s="99" t="s">
        <v>588</v>
      </c>
      <c r="F1078" s="20">
        <f t="shared" si="16"/>
        <v>572410623</v>
      </c>
      <c r="G1078" s="7" t="s">
        <v>649</v>
      </c>
      <c r="H1078" s="24" t="s">
        <v>325</v>
      </c>
      <c r="I1078" s="32" t="s">
        <v>152</v>
      </c>
      <c r="K1078" s="181"/>
      <c r="L1078" s="181"/>
    </row>
    <row r="1079" spans="1:12" x14ac:dyDescent="0.35">
      <c r="A1079" s="19">
        <v>45804</v>
      </c>
      <c r="B1079" s="20">
        <v>6500</v>
      </c>
      <c r="C1079" s="20"/>
      <c r="D1079" s="20"/>
      <c r="E1079" s="99" t="s">
        <v>588</v>
      </c>
      <c r="F1079" s="20">
        <f t="shared" si="16"/>
        <v>572404123</v>
      </c>
      <c r="G1079" s="7" t="s">
        <v>649</v>
      </c>
      <c r="H1079" s="24" t="s">
        <v>325</v>
      </c>
      <c r="I1079" s="32" t="s">
        <v>152</v>
      </c>
      <c r="K1079" s="181"/>
      <c r="L1079" s="181"/>
    </row>
    <row r="1080" spans="1:12" x14ac:dyDescent="0.35">
      <c r="A1080" s="19">
        <v>45804</v>
      </c>
      <c r="B1080" s="20">
        <v>2750000</v>
      </c>
      <c r="C1080" s="20"/>
      <c r="D1080" s="20"/>
      <c r="E1080" s="99" t="s">
        <v>588</v>
      </c>
      <c r="F1080" s="20">
        <f t="shared" si="16"/>
        <v>569654123</v>
      </c>
      <c r="G1080" s="7" t="s">
        <v>649</v>
      </c>
      <c r="H1080" s="24" t="s">
        <v>325</v>
      </c>
      <c r="I1080" s="32" t="s">
        <v>152</v>
      </c>
      <c r="K1080" s="181"/>
      <c r="L1080" s="181"/>
    </row>
    <row r="1081" spans="1:12" x14ac:dyDescent="0.35">
      <c r="A1081" s="19">
        <v>45804</v>
      </c>
      <c r="B1081" s="20"/>
      <c r="C1081" s="20"/>
      <c r="D1081" s="20">
        <v>3500000</v>
      </c>
      <c r="E1081" s="99" t="s">
        <v>588</v>
      </c>
      <c r="F1081" s="20">
        <f t="shared" si="16"/>
        <v>573154123</v>
      </c>
      <c r="G1081" s="7" t="s">
        <v>630</v>
      </c>
      <c r="H1081" s="24" t="s">
        <v>619</v>
      </c>
      <c r="I1081" s="32" t="s">
        <v>152</v>
      </c>
      <c r="K1081" s="181"/>
      <c r="L1081" s="181"/>
    </row>
    <row r="1082" spans="1:12" x14ac:dyDescent="0.35">
      <c r="A1082" s="19">
        <v>45804</v>
      </c>
      <c r="B1082" s="20"/>
      <c r="C1082" s="20"/>
      <c r="D1082" s="20">
        <v>1750000</v>
      </c>
      <c r="E1082" s="99" t="s">
        <v>588</v>
      </c>
      <c r="F1082" s="20">
        <f t="shared" si="16"/>
        <v>574904123</v>
      </c>
      <c r="G1082" s="7" t="s">
        <v>630</v>
      </c>
      <c r="H1082" s="24" t="s">
        <v>619</v>
      </c>
      <c r="I1082" s="32" t="s">
        <v>152</v>
      </c>
      <c r="K1082" s="181"/>
      <c r="L1082" s="181"/>
    </row>
    <row r="1083" spans="1:12" x14ac:dyDescent="0.35">
      <c r="A1083" s="19">
        <v>45804</v>
      </c>
      <c r="B1083" s="20"/>
      <c r="C1083" s="20"/>
      <c r="D1083" s="20">
        <v>4000000</v>
      </c>
      <c r="E1083" s="99" t="s">
        <v>588</v>
      </c>
      <c r="F1083" s="20">
        <f t="shared" si="16"/>
        <v>578904123</v>
      </c>
      <c r="G1083" s="7" t="s">
        <v>630</v>
      </c>
      <c r="H1083" s="24" t="s">
        <v>619</v>
      </c>
      <c r="I1083" s="32" t="s">
        <v>152</v>
      </c>
      <c r="K1083" s="181"/>
      <c r="L1083" s="181"/>
    </row>
    <row r="1084" spans="1:12" x14ac:dyDescent="0.35">
      <c r="A1084" s="19">
        <v>45805</v>
      </c>
      <c r="B1084" s="20"/>
      <c r="C1084" s="20"/>
      <c r="D1084" s="20">
        <v>31500000</v>
      </c>
      <c r="E1084" s="99" t="s">
        <v>588</v>
      </c>
      <c r="F1084" s="20">
        <f t="shared" si="16"/>
        <v>610404123</v>
      </c>
      <c r="G1084" s="7" t="s">
        <v>630</v>
      </c>
      <c r="H1084" s="24" t="s">
        <v>619</v>
      </c>
      <c r="I1084" s="32" t="s">
        <v>152</v>
      </c>
      <c r="K1084" s="181"/>
      <c r="L1084" s="181"/>
    </row>
    <row r="1085" spans="1:12" x14ac:dyDescent="0.35">
      <c r="A1085" s="19">
        <v>45805</v>
      </c>
      <c r="B1085" s="20"/>
      <c r="C1085" s="20"/>
      <c r="D1085" s="20">
        <v>10000</v>
      </c>
      <c r="E1085" s="99" t="s">
        <v>588</v>
      </c>
      <c r="F1085" s="20">
        <f t="shared" si="16"/>
        <v>610414123</v>
      </c>
      <c r="G1085" s="7" t="s">
        <v>330</v>
      </c>
      <c r="H1085" s="24" t="s">
        <v>109</v>
      </c>
      <c r="I1085" s="32" t="s">
        <v>152</v>
      </c>
      <c r="K1085" s="181"/>
      <c r="L1085" s="181"/>
    </row>
    <row r="1086" spans="1:12" x14ac:dyDescent="0.35">
      <c r="A1086" s="19">
        <v>45805</v>
      </c>
      <c r="B1086" s="20"/>
      <c r="C1086" s="20"/>
      <c r="D1086" s="20">
        <v>4000000</v>
      </c>
      <c r="E1086" s="99" t="s">
        <v>588</v>
      </c>
      <c r="F1086" s="20">
        <f t="shared" si="16"/>
        <v>614414123</v>
      </c>
      <c r="G1086" s="7" t="s">
        <v>630</v>
      </c>
      <c r="H1086" s="24" t="s">
        <v>619</v>
      </c>
      <c r="I1086" s="32" t="s">
        <v>152</v>
      </c>
      <c r="K1086" s="181"/>
      <c r="L1086" s="181"/>
    </row>
    <row r="1087" spans="1:12" x14ac:dyDescent="0.35">
      <c r="A1087" s="19">
        <v>45805</v>
      </c>
      <c r="B1087" s="20"/>
      <c r="C1087" s="20"/>
      <c r="D1087" s="20">
        <v>3500000</v>
      </c>
      <c r="E1087" s="99" t="s">
        <v>588</v>
      </c>
      <c r="F1087" s="20">
        <f t="shared" si="16"/>
        <v>617914123</v>
      </c>
      <c r="G1087" s="7" t="s">
        <v>630</v>
      </c>
      <c r="H1087" s="24" t="s">
        <v>619</v>
      </c>
      <c r="I1087" s="32" t="s">
        <v>152</v>
      </c>
      <c r="K1087" s="181"/>
      <c r="L1087" s="181"/>
    </row>
    <row r="1088" spans="1:12" x14ac:dyDescent="0.35">
      <c r="A1088" s="19">
        <v>45805</v>
      </c>
      <c r="B1088" s="20">
        <v>30000000</v>
      </c>
      <c r="C1088" s="20"/>
      <c r="D1088" s="20"/>
      <c r="E1088" s="99" t="s">
        <v>588</v>
      </c>
      <c r="F1088" s="20">
        <f t="shared" si="16"/>
        <v>587914123</v>
      </c>
      <c r="G1088" s="7" t="s">
        <v>654</v>
      </c>
      <c r="H1088" s="24" t="s">
        <v>614</v>
      </c>
      <c r="I1088" s="32" t="s">
        <v>152</v>
      </c>
      <c r="K1088" s="181"/>
      <c r="L1088" s="181"/>
    </row>
    <row r="1089" spans="1:12" x14ac:dyDescent="0.35">
      <c r="A1089" s="19">
        <v>45805</v>
      </c>
      <c r="B1089" s="20">
        <v>6500</v>
      </c>
      <c r="C1089" s="20"/>
      <c r="D1089" s="20"/>
      <c r="E1089" s="99" t="s">
        <v>588</v>
      </c>
      <c r="F1089" s="20">
        <f t="shared" si="16"/>
        <v>587907623</v>
      </c>
      <c r="G1089" s="7" t="s">
        <v>655</v>
      </c>
      <c r="H1089" s="24" t="s">
        <v>614</v>
      </c>
      <c r="I1089" s="32" t="s">
        <v>152</v>
      </c>
      <c r="K1089" s="181"/>
      <c r="L1089" s="181"/>
    </row>
    <row r="1090" spans="1:12" x14ac:dyDescent="0.35">
      <c r="A1090" s="19">
        <v>45805</v>
      </c>
      <c r="B1090" s="20">
        <v>20000000</v>
      </c>
      <c r="C1090" s="20"/>
      <c r="D1090" s="20"/>
      <c r="E1090" s="99" t="s">
        <v>588</v>
      </c>
      <c r="F1090" s="20">
        <f t="shared" si="16"/>
        <v>567907623</v>
      </c>
      <c r="G1090" s="7" t="s">
        <v>654</v>
      </c>
      <c r="H1090" s="24" t="s">
        <v>614</v>
      </c>
      <c r="I1090" s="32" t="s">
        <v>152</v>
      </c>
      <c r="K1090" s="181"/>
      <c r="L1090" s="181"/>
    </row>
    <row r="1091" spans="1:12" x14ac:dyDescent="0.35">
      <c r="A1091" s="19">
        <v>45805</v>
      </c>
      <c r="B1091" s="20">
        <v>45000000</v>
      </c>
      <c r="C1091" s="20"/>
      <c r="D1091" s="20"/>
      <c r="E1091" s="99" t="s">
        <v>588</v>
      </c>
      <c r="F1091" s="20">
        <f t="shared" si="16"/>
        <v>522907623</v>
      </c>
      <c r="G1091" s="7" t="s">
        <v>654</v>
      </c>
      <c r="H1091" s="24" t="s">
        <v>614</v>
      </c>
      <c r="I1091" s="32" t="s">
        <v>152</v>
      </c>
      <c r="K1091" s="181"/>
      <c r="L1091" s="181"/>
    </row>
    <row r="1092" spans="1:12" x14ac:dyDescent="0.35">
      <c r="A1092" s="19">
        <v>45805</v>
      </c>
      <c r="B1092" s="20"/>
      <c r="C1092" s="20"/>
      <c r="D1092" s="20">
        <v>7500000</v>
      </c>
      <c r="E1092" s="99" t="s">
        <v>588</v>
      </c>
      <c r="F1092" s="20">
        <f t="shared" si="16"/>
        <v>530407623</v>
      </c>
      <c r="G1092" s="7" t="s">
        <v>630</v>
      </c>
      <c r="H1092" s="24" t="s">
        <v>619</v>
      </c>
      <c r="I1092" s="32" t="s">
        <v>152</v>
      </c>
      <c r="K1092" s="181"/>
      <c r="L1092" s="181"/>
    </row>
    <row r="1093" spans="1:12" x14ac:dyDescent="0.35">
      <c r="A1093" s="19">
        <v>45805</v>
      </c>
      <c r="B1093" s="20"/>
      <c r="C1093" s="20"/>
      <c r="D1093" s="20">
        <v>3500000</v>
      </c>
      <c r="E1093" s="99" t="s">
        <v>588</v>
      </c>
      <c r="F1093" s="20">
        <f t="shared" ref="F1093:F1156" si="17">+F1092+D1093-B1093</f>
        <v>533907623</v>
      </c>
      <c r="G1093" s="7" t="s">
        <v>630</v>
      </c>
      <c r="H1093" s="24" t="s">
        <v>619</v>
      </c>
      <c r="I1093" s="32" t="s">
        <v>152</v>
      </c>
      <c r="K1093" s="181"/>
      <c r="L1093" s="181"/>
    </row>
    <row r="1094" spans="1:12" x14ac:dyDescent="0.35">
      <c r="A1094" s="19">
        <v>45805</v>
      </c>
      <c r="B1094" s="20"/>
      <c r="C1094" s="20"/>
      <c r="D1094" s="20">
        <v>250000</v>
      </c>
      <c r="E1094" s="99" t="s">
        <v>588</v>
      </c>
      <c r="F1094" s="20">
        <f t="shared" si="17"/>
        <v>534157623</v>
      </c>
      <c r="G1094" s="7" t="s">
        <v>630</v>
      </c>
      <c r="H1094" s="24" t="s">
        <v>619</v>
      </c>
      <c r="I1094" s="32" t="s">
        <v>152</v>
      </c>
      <c r="K1094" s="181"/>
      <c r="L1094" s="181"/>
    </row>
    <row r="1095" spans="1:12" x14ac:dyDescent="0.35">
      <c r="A1095" s="19">
        <v>45805</v>
      </c>
      <c r="B1095" s="20"/>
      <c r="C1095" s="20"/>
      <c r="D1095" s="20">
        <v>4000000</v>
      </c>
      <c r="E1095" s="99" t="s">
        <v>588</v>
      </c>
      <c r="F1095" s="20">
        <f t="shared" si="17"/>
        <v>538157623</v>
      </c>
      <c r="G1095" s="7" t="s">
        <v>630</v>
      </c>
      <c r="H1095" s="24" t="s">
        <v>619</v>
      </c>
      <c r="I1095" s="32" t="s">
        <v>152</v>
      </c>
      <c r="K1095" s="181"/>
      <c r="L1095" s="181"/>
    </row>
    <row r="1096" spans="1:12" x14ac:dyDescent="0.35">
      <c r="A1096" s="19">
        <v>45805</v>
      </c>
      <c r="B1096" s="20"/>
      <c r="C1096" s="20"/>
      <c r="D1096" s="20">
        <v>300000</v>
      </c>
      <c r="E1096" s="99" t="s">
        <v>588</v>
      </c>
      <c r="F1096" s="20">
        <f t="shared" si="17"/>
        <v>538457623</v>
      </c>
      <c r="G1096" s="7" t="s">
        <v>577</v>
      </c>
      <c r="H1096" s="24" t="s">
        <v>109</v>
      </c>
      <c r="I1096" s="32" t="s">
        <v>152</v>
      </c>
      <c r="K1096" s="181"/>
      <c r="L1096" s="181"/>
    </row>
    <row r="1097" spans="1:12" x14ac:dyDescent="0.35">
      <c r="A1097" s="19">
        <v>45805</v>
      </c>
      <c r="B1097" s="20">
        <v>500000</v>
      </c>
      <c r="C1097" s="20"/>
      <c r="D1097" s="20"/>
      <c r="E1097" s="99" t="s">
        <v>588</v>
      </c>
      <c r="F1097" s="20">
        <f t="shared" si="17"/>
        <v>537957623</v>
      </c>
      <c r="G1097" s="7" t="s">
        <v>656</v>
      </c>
      <c r="H1097" s="24" t="s">
        <v>614</v>
      </c>
      <c r="I1097" s="32" t="s">
        <v>152</v>
      </c>
      <c r="K1097" s="181"/>
      <c r="L1097" s="181"/>
    </row>
    <row r="1098" spans="1:12" x14ac:dyDescent="0.35">
      <c r="A1098" s="19">
        <v>45805</v>
      </c>
      <c r="B1098" s="20">
        <v>6500</v>
      </c>
      <c r="C1098" s="20"/>
      <c r="D1098" s="20"/>
      <c r="E1098" s="99" t="s">
        <v>588</v>
      </c>
      <c r="F1098" s="20">
        <f t="shared" si="17"/>
        <v>537951123</v>
      </c>
      <c r="G1098" s="7" t="s">
        <v>657</v>
      </c>
      <c r="H1098" s="24" t="s">
        <v>614</v>
      </c>
      <c r="I1098" s="32" t="s">
        <v>152</v>
      </c>
      <c r="K1098" s="181"/>
      <c r="L1098" s="181"/>
    </row>
    <row r="1099" spans="1:12" x14ac:dyDescent="0.35">
      <c r="A1099" s="19">
        <v>45805</v>
      </c>
      <c r="B1099" s="20"/>
      <c r="C1099" s="20"/>
      <c r="D1099" s="20">
        <v>5000000</v>
      </c>
      <c r="E1099" s="99" t="s">
        <v>588</v>
      </c>
      <c r="F1099" s="20">
        <f t="shared" si="17"/>
        <v>542951123</v>
      </c>
      <c r="G1099" s="7" t="s">
        <v>630</v>
      </c>
      <c r="H1099" s="24" t="s">
        <v>619</v>
      </c>
      <c r="I1099" s="32" t="s">
        <v>152</v>
      </c>
      <c r="K1099" s="181"/>
      <c r="L1099" s="181"/>
    </row>
    <row r="1100" spans="1:12" x14ac:dyDescent="0.35">
      <c r="A1100" s="19">
        <v>45805</v>
      </c>
      <c r="B1100" s="20">
        <v>15000000</v>
      </c>
      <c r="C1100" s="20"/>
      <c r="D1100" s="20"/>
      <c r="E1100" s="99" t="s">
        <v>588</v>
      </c>
      <c r="F1100" s="20">
        <f t="shared" si="17"/>
        <v>527951123</v>
      </c>
      <c r="G1100" s="7" t="s">
        <v>654</v>
      </c>
      <c r="H1100" s="24" t="s">
        <v>614</v>
      </c>
      <c r="I1100" s="32" t="s">
        <v>152</v>
      </c>
      <c r="K1100" s="181"/>
      <c r="L1100" s="181"/>
    </row>
    <row r="1101" spans="1:12" x14ac:dyDescent="0.35">
      <c r="A1101" s="19">
        <v>45805</v>
      </c>
      <c r="B1101" s="20">
        <v>6500</v>
      </c>
      <c r="C1101" s="20"/>
      <c r="D1101" s="20"/>
      <c r="E1101" s="99" t="s">
        <v>588</v>
      </c>
      <c r="F1101" s="20">
        <f t="shared" si="17"/>
        <v>527944623</v>
      </c>
      <c r="G1101" s="7" t="s">
        <v>655</v>
      </c>
      <c r="H1101" s="24" t="s">
        <v>614</v>
      </c>
      <c r="I1101" s="32" t="s">
        <v>152</v>
      </c>
      <c r="K1101" s="181"/>
      <c r="L1101" s="181"/>
    </row>
    <row r="1102" spans="1:12" x14ac:dyDescent="0.35">
      <c r="A1102" s="19">
        <v>45806</v>
      </c>
      <c r="B1102" s="20"/>
      <c r="C1102" s="20"/>
      <c r="D1102" s="20">
        <v>10000</v>
      </c>
      <c r="E1102" s="99" t="s">
        <v>588</v>
      </c>
      <c r="F1102" s="20">
        <f t="shared" si="17"/>
        <v>527954623</v>
      </c>
      <c r="G1102" s="7" t="s">
        <v>330</v>
      </c>
      <c r="H1102" s="24" t="s">
        <v>109</v>
      </c>
      <c r="I1102" s="32" t="s">
        <v>152</v>
      </c>
      <c r="K1102" s="181"/>
      <c r="L1102" s="181"/>
    </row>
    <row r="1103" spans="1:12" x14ac:dyDescent="0.35">
      <c r="A1103" s="19">
        <v>45805</v>
      </c>
      <c r="B1103" s="20"/>
      <c r="C1103" s="20"/>
      <c r="D1103" s="20">
        <v>3500000</v>
      </c>
      <c r="E1103" s="99" t="s">
        <v>588</v>
      </c>
      <c r="F1103" s="20">
        <f t="shared" si="17"/>
        <v>531454623</v>
      </c>
      <c r="G1103" s="7" t="s">
        <v>630</v>
      </c>
      <c r="H1103" s="24" t="s">
        <v>619</v>
      </c>
      <c r="I1103" s="32" t="s">
        <v>152</v>
      </c>
      <c r="K1103" s="181"/>
      <c r="L1103" s="181"/>
    </row>
    <row r="1104" spans="1:12" x14ac:dyDescent="0.35">
      <c r="A1104" s="19">
        <v>45805</v>
      </c>
      <c r="B1104" s="20"/>
      <c r="C1104" s="20"/>
      <c r="D1104" s="20">
        <v>3500000</v>
      </c>
      <c r="E1104" s="99" t="s">
        <v>588</v>
      </c>
      <c r="F1104" s="20">
        <f t="shared" si="17"/>
        <v>534954623</v>
      </c>
      <c r="G1104" s="7" t="s">
        <v>630</v>
      </c>
      <c r="H1104" s="24" t="s">
        <v>619</v>
      </c>
      <c r="I1104" s="32" t="s">
        <v>152</v>
      </c>
      <c r="K1104" s="181"/>
      <c r="L1104" s="181"/>
    </row>
    <row r="1105" spans="1:12" x14ac:dyDescent="0.35">
      <c r="A1105" s="19">
        <v>45805</v>
      </c>
      <c r="B1105" s="20"/>
      <c r="C1105" s="20"/>
      <c r="D1105" s="20">
        <v>4000000</v>
      </c>
      <c r="E1105" s="99" t="s">
        <v>588</v>
      </c>
      <c r="F1105" s="20">
        <f t="shared" si="17"/>
        <v>538954623</v>
      </c>
      <c r="G1105" s="7" t="s">
        <v>630</v>
      </c>
      <c r="H1105" s="24" t="s">
        <v>619</v>
      </c>
      <c r="I1105" s="32" t="s">
        <v>152</v>
      </c>
      <c r="K1105" s="181"/>
      <c r="L1105" s="181"/>
    </row>
    <row r="1106" spans="1:12" x14ac:dyDescent="0.35">
      <c r="A1106" s="19">
        <v>45805</v>
      </c>
      <c r="B1106" s="20"/>
      <c r="C1106" s="20"/>
      <c r="D1106" s="20">
        <v>100000</v>
      </c>
      <c r="E1106" s="99" t="s">
        <v>588</v>
      </c>
      <c r="F1106" s="20">
        <f t="shared" si="17"/>
        <v>539054623</v>
      </c>
      <c r="G1106" s="7" t="s">
        <v>424</v>
      </c>
      <c r="H1106" s="24" t="s">
        <v>109</v>
      </c>
      <c r="I1106" s="32" t="s">
        <v>152</v>
      </c>
      <c r="K1106" s="181"/>
      <c r="L1106" s="181"/>
    </row>
    <row r="1107" spans="1:12" x14ac:dyDescent="0.35">
      <c r="A1107" s="19">
        <v>45805</v>
      </c>
      <c r="B1107" s="20"/>
      <c r="C1107" s="20"/>
      <c r="D1107" s="20">
        <v>5000000</v>
      </c>
      <c r="E1107" s="99" t="s">
        <v>588</v>
      </c>
      <c r="F1107" s="20">
        <f t="shared" si="17"/>
        <v>544054623</v>
      </c>
      <c r="G1107" s="7" t="s">
        <v>630</v>
      </c>
      <c r="H1107" s="24" t="s">
        <v>619</v>
      </c>
      <c r="I1107" s="32" t="s">
        <v>152</v>
      </c>
      <c r="K1107" s="181"/>
      <c r="L1107" s="181"/>
    </row>
    <row r="1108" spans="1:12" x14ac:dyDescent="0.35">
      <c r="A1108" s="19">
        <v>45805</v>
      </c>
      <c r="B1108" s="20">
        <v>15000000</v>
      </c>
      <c r="C1108" s="20"/>
      <c r="D1108" s="20"/>
      <c r="E1108" s="99" t="s">
        <v>588</v>
      </c>
      <c r="F1108" s="20">
        <f t="shared" si="17"/>
        <v>529054623</v>
      </c>
      <c r="G1108" s="7" t="s">
        <v>661</v>
      </c>
      <c r="H1108" s="24" t="s">
        <v>614</v>
      </c>
      <c r="I1108" s="32" t="s">
        <v>152</v>
      </c>
      <c r="K1108" s="181"/>
      <c r="L1108" s="181"/>
    </row>
    <row r="1109" spans="1:12" x14ac:dyDescent="0.35">
      <c r="A1109" s="19">
        <v>45805</v>
      </c>
      <c r="B1109" s="20">
        <v>6500</v>
      </c>
      <c r="C1109" s="20"/>
      <c r="D1109" s="20"/>
      <c r="E1109" s="99" t="s">
        <v>588</v>
      </c>
      <c r="F1109" s="20">
        <f t="shared" si="17"/>
        <v>529048123</v>
      </c>
      <c r="G1109" s="7" t="s">
        <v>662</v>
      </c>
      <c r="H1109" s="24" t="s">
        <v>614</v>
      </c>
      <c r="I1109" s="32" t="s">
        <v>152</v>
      </c>
      <c r="K1109" s="181"/>
      <c r="L1109" s="181"/>
    </row>
    <row r="1110" spans="1:12" x14ac:dyDescent="0.35">
      <c r="A1110" s="19">
        <v>45807</v>
      </c>
      <c r="B1110" s="20"/>
      <c r="C1110" s="20"/>
      <c r="D1110" s="20">
        <v>10000</v>
      </c>
      <c r="E1110" s="99" t="s">
        <v>588</v>
      </c>
      <c r="F1110" s="20">
        <f t="shared" si="17"/>
        <v>529058123</v>
      </c>
      <c r="G1110" s="7" t="s">
        <v>330</v>
      </c>
      <c r="H1110" s="24" t="s">
        <v>109</v>
      </c>
      <c r="I1110" s="32" t="s">
        <v>152</v>
      </c>
      <c r="K1110" s="181"/>
      <c r="L1110" s="181"/>
    </row>
    <row r="1111" spans="1:12" x14ac:dyDescent="0.35">
      <c r="A1111" s="19">
        <v>45805</v>
      </c>
      <c r="B1111" s="20"/>
      <c r="C1111" s="20"/>
      <c r="D1111" s="20">
        <v>3500000</v>
      </c>
      <c r="E1111" s="99" t="s">
        <v>588</v>
      </c>
      <c r="F1111" s="20">
        <f t="shared" si="17"/>
        <v>532558123</v>
      </c>
      <c r="G1111" s="7" t="s">
        <v>630</v>
      </c>
      <c r="H1111" s="24" t="s">
        <v>619</v>
      </c>
      <c r="I1111" s="32" t="s">
        <v>152</v>
      </c>
      <c r="K1111" s="181"/>
      <c r="L1111" s="181"/>
    </row>
    <row r="1112" spans="1:12" x14ac:dyDescent="0.35">
      <c r="A1112" s="19">
        <v>45805</v>
      </c>
      <c r="B1112" s="20"/>
      <c r="C1112" s="20"/>
      <c r="D1112" s="20">
        <v>3500000</v>
      </c>
      <c r="E1112" s="99" t="s">
        <v>588</v>
      </c>
      <c r="F1112" s="20">
        <f t="shared" si="17"/>
        <v>536058123</v>
      </c>
      <c r="G1112" s="7" t="s">
        <v>630</v>
      </c>
      <c r="H1112" s="24" t="s">
        <v>619</v>
      </c>
      <c r="I1112" s="32" t="s">
        <v>152</v>
      </c>
      <c r="K1112" s="181"/>
      <c r="L1112" s="181"/>
    </row>
    <row r="1113" spans="1:12" x14ac:dyDescent="0.35">
      <c r="A1113" s="19">
        <v>45805</v>
      </c>
      <c r="B1113" s="20"/>
      <c r="C1113" s="20"/>
      <c r="D1113" s="20">
        <v>11500000</v>
      </c>
      <c r="E1113" s="99" t="s">
        <v>588</v>
      </c>
      <c r="F1113" s="20">
        <f t="shared" si="17"/>
        <v>547558123</v>
      </c>
      <c r="G1113" s="7" t="s">
        <v>630</v>
      </c>
      <c r="H1113" s="24" t="s">
        <v>619</v>
      </c>
      <c r="I1113" s="32" t="s">
        <v>152</v>
      </c>
      <c r="K1113" s="181"/>
      <c r="L1113" s="181"/>
    </row>
    <row r="1114" spans="1:12" x14ac:dyDescent="0.35">
      <c r="A1114" s="19">
        <v>45805</v>
      </c>
      <c r="B1114" s="20"/>
      <c r="C1114" s="20"/>
      <c r="D1114" s="20">
        <v>3500000</v>
      </c>
      <c r="E1114" s="99" t="s">
        <v>588</v>
      </c>
      <c r="F1114" s="20">
        <f t="shared" si="17"/>
        <v>551058123</v>
      </c>
      <c r="G1114" s="7" t="s">
        <v>630</v>
      </c>
      <c r="H1114" s="24" t="s">
        <v>619</v>
      </c>
      <c r="I1114" s="32" t="s">
        <v>152</v>
      </c>
      <c r="K1114" s="181"/>
      <c r="L1114" s="181"/>
    </row>
    <row r="1115" spans="1:12" x14ac:dyDescent="0.35">
      <c r="A1115" s="19">
        <v>45805</v>
      </c>
      <c r="B1115" s="20"/>
      <c r="C1115" s="20"/>
      <c r="D1115" s="20">
        <v>24500000</v>
      </c>
      <c r="E1115" s="99" t="s">
        <v>588</v>
      </c>
      <c r="F1115" s="20">
        <f t="shared" si="17"/>
        <v>575558123</v>
      </c>
      <c r="G1115" s="7" t="s">
        <v>630</v>
      </c>
      <c r="H1115" s="24" t="s">
        <v>619</v>
      </c>
      <c r="I1115" s="32" t="s">
        <v>152</v>
      </c>
      <c r="K1115" s="181"/>
      <c r="L1115" s="181"/>
    </row>
    <row r="1116" spans="1:12" x14ac:dyDescent="0.35">
      <c r="A1116" s="19">
        <v>45805</v>
      </c>
      <c r="B1116" s="20"/>
      <c r="C1116" s="20"/>
      <c r="D1116" s="20">
        <v>7000000</v>
      </c>
      <c r="E1116" s="99" t="s">
        <v>588</v>
      </c>
      <c r="F1116" s="20">
        <f t="shared" si="17"/>
        <v>582558123</v>
      </c>
      <c r="G1116" s="7" t="s">
        <v>630</v>
      </c>
      <c r="H1116" s="24" t="s">
        <v>619</v>
      </c>
      <c r="I1116" s="32" t="s">
        <v>152</v>
      </c>
      <c r="K1116" s="181"/>
      <c r="L1116" s="181"/>
    </row>
    <row r="1117" spans="1:12" x14ac:dyDescent="0.35">
      <c r="A1117" s="19">
        <v>45808</v>
      </c>
      <c r="B1117" s="20"/>
      <c r="C1117" s="20"/>
      <c r="D1117" s="20">
        <v>50000</v>
      </c>
      <c r="E1117" s="99" t="s">
        <v>588</v>
      </c>
      <c r="F1117" s="20">
        <f t="shared" si="17"/>
        <v>582608123</v>
      </c>
      <c r="G1117" s="7" t="s">
        <v>330</v>
      </c>
      <c r="H1117" s="24" t="s">
        <v>109</v>
      </c>
      <c r="I1117" s="32" t="s">
        <v>152</v>
      </c>
      <c r="K1117" s="181"/>
      <c r="L1117" s="181"/>
    </row>
    <row r="1118" spans="1:12" x14ac:dyDescent="0.35">
      <c r="A1118" s="19">
        <v>45808</v>
      </c>
      <c r="B1118" s="20"/>
      <c r="C1118" s="20"/>
      <c r="D1118" s="20">
        <v>100000</v>
      </c>
      <c r="E1118" s="99" t="s">
        <v>588</v>
      </c>
      <c r="F1118" s="20">
        <f t="shared" si="17"/>
        <v>582708123</v>
      </c>
      <c r="G1118" s="7" t="s">
        <v>330</v>
      </c>
      <c r="H1118" s="24" t="s">
        <v>109</v>
      </c>
      <c r="I1118" s="32" t="s">
        <v>152</v>
      </c>
      <c r="K1118" s="181"/>
      <c r="L1118" s="181"/>
    </row>
    <row r="1119" spans="1:12" x14ac:dyDescent="0.35">
      <c r="A1119" s="19">
        <v>45808</v>
      </c>
      <c r="B1119" s="20"/>
      <c r="C1119" s="20"/>
      <c r="D1119" s="20">
        <v>50000</v>
      </c>
      <c r="E1119" s="99" t="s">
        <v>588</v>
      </c>
      <c r="F1119" s="20">
        <f t="shared" si="17"/>
        <v>582758123</v>
      </c>
      <c r="G1119" s="7" t="s">
        <v>330</v>
      </c>
      <c r="H1119" s="24" t="s">
        <v>109</v>
      </c>
      <c r="I1119" s="32" t="s">
        <v>152</v>
      </c>
      <c r="K1119" s="181"/>
      <c r="L1119" s="181"/>
    </row>
    <row r="1120" spans="1:12" x14ac:dyDescent="0.35">
      <c r="A1120" s="19">
        <v>45808</v>
      </c>
      <c r="B1120" s="20"/>
      <c r="C1120" s="20"/>
      <c r="D1120" s="20">
        <v>50000</v>
      </c>
      <c r="E1120" s="99" t="s">
        <v>588</v>
      </c>
      <c r="F1120" s="20">
        <f t="shared" si="17"/>
        <v>582808123</v>
      </c>
      <c r="G1120" s="7" t="s">
        <v>330</v>
      </c>
      <c r="H1120" s="24" t="s">
        <v>109</v>
      </c>
      <c r="I1120" s="32" t="s">
        <v>152</v>
      </c>
      <c r="K1120" s="181"/>
      <c r="L1120" s="181"/>
    </row>
    <row r="1121" spans="1:12" x14ac:dyDescent="0.35">
      <c r="A1121" s="19">
        <v>45808</v>
      </c>
      <c r="B1121" s="20"/>
      <c r="C1121" s="20"/>
      <c r="D1121" s="20">
        <v>50000</v>
      </c>
      <c r="E1121" s="99" t="s">
        <v>588</v>
      </c>
      <c r="F1121" s="20">
        <f t="shared" si="17"/>
        <v>582858123</v>
      </c>
      <c r="G1121" s="7" t="s">
        <v>330</v>
      </c>
      <c r="H1121" s="24" t="s">
        <v>109</v>
      </c>
      <c r="I1121" s="32" t="s">
        <v>152</v>
      </c>
      <c r="K1121" s="181"/>
      <c r="L1121" s="181"/>
    </row>
    <row r="1122" spans="1:12" x14ac:dyDescent="0.35">
      <c r="A1122" s="19">
        <v>45808</v>
      </c>
      <c r="B1122" s="20"/>
      <c r="C1122" s="20"/>
      <c r="D1122" s="20">
        <v>20000</v>
      </c>
      <c r="E1122" s="99" t="s">
        <v>588</v>
      </c>
      <c r="F1122" s="20">
        <f t="shared" si="17"/>
        <v>582878123</v>
      </c>
      <c r="G1122" s="7" t="s">
        <v>330</v>
      </c>
      <c r="H1122" s="24" t="s">
        <v>109</v>
      </c>
      <c r="I1122" s="32" t="s">
        <v>152</v>
      </c>
      <c r="K1122" s="181"/>
      <c r="L1122" s="181"/>
    </row>
    <row r="1123" spans="1:12" x14ac:dyDescent="0.35">
      <c r="A1123" s="19">
        <v>45808</v>
      </c>
      <c r="B1123" s="20"/>
      <c r="C1123" s="20"/>
      <c r="D1123" s="20">
        <v>50000</v>
      </c>
      <c r="E1123" s="99" t="s">
        <v>588</v>
      </c>
      <c r="F1123" s="20">
        <f t="shared" si="17"/>
        <v>582928123</v>
      </c>
      <c r="G1123" s="7" t="s">
        <v>330</v>
      </c>
      <c r="H1123" s="24" t="s">
        <v>109</v>
      </c>
      <c r="I1123" s="32" t="s">
        <v>152</v>
      </c>
      <c r="K1123" s="181"/>
      <c r="L1123" s="181"/>
    </row>
    <row r="1124" spans="1:12" x14ac:dyDescent="0.35">
      <c r="A1124" s="19">
        <v>45808</v>
      </c>
      <c r="B1124" s="20"/>
      <c r="C1124" s="20"/>
      <c r="D1124" s="20">
        <v>10000</v>
      </c>
      <c r="E1124" s="99" t="s">
        <v>588</v>
      </c>
      <c r="F1124" s="20">
        <f t="shared" si="17"/>
        <v>582938123</v>
      </c>
      <c r="G1124" s="7" t="s">
        <v>330</v>
      </c>
      <c r="H1124" s="24" t="s">
        <v>109</v>
      </c>
      <c r="I1124" s="32" t="s">
        <v>152</v>
      </c>
      <c r="K1124" s="181"/>
      <c r="L1124" s="181"/>
    </row>
    <row r="1125" spans="1:12" x14ac:dyDescent="0.35">
      <c r="A1125" s="19">
        <v>45808</v>
      </c>
      <c r="B1125" s="20"/>
      <c r="C1125" s="20"/>
      <c r="D1125" s="20">
        <v>50000</v>
      </c>
      <c r="E1125" s="99" t="s">
        <v>588</v>
      </c>
      <c r="F1125" s="20">
        <f t="shared" si="17"/>
        <v>582988123</v>
      </c>
      <c r="G1125" s="7" t="s">
        <v>330</v>
      </c>
      <c r="H1125" s="24" t="s">
        <v>109</v>
      </c>
      <c r="I1125" s="32" t="s">
        <v>152</v>
      </c>
      <c r="K1125" s="181"/>
      <c r="L1125" s="181"/>
    </row>
    <row r="1126" spans="1:12" x14ac:dyDescent="0.35">
      <c r="A1126" s="19">
        <v>45808</v>
      </c>
      <c r="B1126" s="20"/>
      <c r="C1126" s="20"/>
      <c r="D1126" s="20">
        <v>43000</v>
      </c>
      <c r="E1126" s="99" t="s">
        <v>588</v>
      </c>
      <c r="F1126" s="20">
        <f t="shared" si="17"/>
        <v>583031123</v>
      </c>
      <c r="G1126" s="7" t="s">
        <v>330</v>
      </c>
      <c r="H1126" s="24" t="s">
        <v>109</v>
      </c>
      <c r="I1126" s="32" t="s">
        <v>152</v>
      </c>
      <c r="K1126" s="181"/>
      <c r="L1126" s="181"/>
    </row>
    <row r="1127" spans="1:12" x14ac:dyDescent="0.35">
      <c r="A1127" s="19">
        <v>45808</v>
      </c>
      <c r="B1127" s="20"/>
      <c r="C1127" s="20"/>
      <c r="D1127" s="20">
        <v>50000</v>
      </c>
      <c r="E1127" s="99" t="s">
        <v>588</v>
      </c>
      <c r="F1127" s="20">
        <f t="shared" si="17"/>
        <v>583081123</v>
      </c>
      <c r="G1127" s="7" t="s">
        <v>330</v>
      </c>
      <c r="H1127" s="24" t="s">
        <v>109</v>
      </c>
      <c r="I1127" s="32" t="s">
        <v>152</v>
      </c>
      <c r="K1127" s="181"/>
      <c r="L1127" s="181"/>
    </row>
    <row r="1128" spans="1:12" x14ac:dyDescent="0.35">
      <c r="A1128" s="19">
        <v>45808</v>
      </c>
      <c r="B1128" s="20"/>
      <c r="C1128" s="20"/>
      <c r="D1128" s="20">
        <v>50000</v>
      </c>
      <c r="E1128" s="99" t="s">
        <v>588</v>
      </c>
      <c r="F1128" s="20">
        <f t="shared" si="17"/>
        <v>583131123</v>
      </c>
      <c r="G1128" s="7" t="s">
        <v>330</v>
      </c>
      <c r="H1128" s="24" t="s">
        <v>109</v>
      </c>
      <c r="I1128" s="32" t="s">
        <v>152</v>
      </c>
      <c r="K1128" s="181"/>
      <c r="L1128" s="181"/>
    </row>
    <row r="1129" spans="1:12" x14ac:dyDescent="0.35">
      <c r="A1129" s="19">
        <v>45808</v>
      </c>
      <c r="B1129" s="20"/>
      <c r="C1129" s="20"/>
      <c r="D1129" s="20">
        <v>5011</v>
      </c>
      <c r="E1129" s="99" t="s">
        <v>588</v>
      </c>
      <c r="F1129" s="20">
        <f t="shared" si="17"/>
        <v>583136134</v>
      </c>
      <c r="G1129" s="7" t="s">
        <v>330</v>
      </c>
      <c r="H1129" s="24" t="s">
        <v>109</v>
      </c>
      <c r="I1129" s="32" t="s">
        <v>152</v>
      </c>
      <c r="K1129" s="181"/>
      <c r="L1129" s="181"/>
    </row>
    <row r="1130" spans="1:12" x14ac:dyDescent="0.35">
      <c r="A1130" s="19">
        <v>45808</v>
      </c>
      <c r="B1130" s="20"/>
      <c r="C1130" s="20"/>
      <c r="D1130" s="20">
        <v>10000</v>
      </c>
      <c r="E1130" s="99" t="s">
        <v>588</v>
      </c>
      <c r="F1130" s="20">
        <f t="shared" si="17"/>
        <v>583146134</v>
      </c>
      <c r="G1130" s="7" t="s">
        <v>330</v>
      </c>
      <c r="H1130" s="24" t="s">
        <v>109</v>
      </c>
      <c r="I1130" s="32" t="s">
        <v>152</v>
      </c>
      <c r="K1130" s="181"/>
      <c r="L1130" s="181"/>
    </row>
    <row r="1131" spans="1:12" x14ac:dyDescent="0.35">
      <c r="A1131" s="19">
        <v>45808</v>
      </c>
      <c r="B1131" s="20"/>
      <c r="C1131" s="20"/>
      <c r="D1131" s="20">
        <v>5000</v>
      </c>
      <c r="E1131" s="99" t="s">
        <v>588</v>
      </c>
      <c r="F1131" s="20">
        <f t="shared" si="17"/>
        <v>583151134</v>
      </c>
      <c r="G1131" s="7" t="s">
        <v>330</v>
      </c>
      <c r="H1131" s="24" t="s">
        <v>109</v>
      </c>
      <c r="I1131" s="32" t="s">
        <v>152</v>
      </c>
      <c r="K1131" s="181"/>
      <c r="L1131" s="181"/>
    </row>
    <row r="1132" spans="1:12" x14ac:dyDescent="0.35">
      <c r="A1132" s="19">
        <v>45808</v>
      </c>
      <c r="B1132" s="20"/>
      <c r="C1132" s="20"/>
      <c r="D1132" s="20">
        <v>100000</v>
      </c>
      <c r="E1132" s="99" t="s">
        <v>588</v>
      </c>
      <c r="F1132" s="20">
        <f t="shared" si="17"/>
        <v>583251134</v>
      </c>
      <c r="G1132" s="7" t="s">
        <v>330</v>
      </c>
      <c r="H1132" s="24" t="s">
        <v>109</v>
      </c>
      <c r="I1132" s="32" t="s">
        <v>152</v>
      </c>
      <c r="K1132" s="181"/>
      <c r="L1132" s="181"/>
    </row>
    <row r="1133" spans="1:12" x14ac:dyDescent="0.35">
      <c r="A1133" s="19">
        <v>45805</v>
      </c>
      <c r="B1133" s="20">
        <v>730000</v>
      </c>
      <c r="C1133" s="20"/>
      <c r="D1133" s="20"/>
      <c r="E1133" s="99" t="s">
        <v>588</v>
      </c>
      <c r="F1133" s="20">
        <f t="shared" si="17"/>
        <v>582521134</v>
      </c>
      <c r="G1133" s="7" t="s">
        <v>663</v>
      </c>
      <c r="H1133" s="24" t="s">
        <v>614</v>
      </c>
      <c r="I1133" s="32" t="s">
        <v>152</v>
      </c>
      <c r="K1133" s="181"/>
      <c r="L1133" s="181"/>
    </row>
    <row r="1134" spans="1:12" x14ac:dyDescent="0.35">
      <c r="A1134" s="19">
        <v>45805</v>
      </c>
      <c r="B1134" s="20">
        <v>6500</v>
      </c>
      <c r="C1134" s="20"/>
      <c r="D1134" s="20"/>
      <c r="E1134" s="99" t="s">
        <v>588</v>
      </c>
      <c r="F1134" s="20">
        <f t="shared" si="17"/>
        <v>582514634</v>
      </c>
      <c r="G1134" s="7" t="s">
        <v>663</v>
      </c>
      <c r="H1134" s="24" t="s">
        <v>614</v>
      </c>
      <c r="I1134" s="32" t="s">
        <v>152</v>
      </c>
      <c r="K1134" s="181"/>
      <c r="L1134" s="181"/>
    </row>
    <row r="1135" spans="1:12" x14ac:dyDescent="0.35">
      <c r="A1135" s="19">
        <v>45805</v>
      </c>
      <c r="B1135" s="20">
        <v>750000</v>
      </c>
      <c r="C1135" s="20"/>
      <c r="D1135" s="20"/>
      <c r="E1135" s="99" t="s">
        <v>588</v>
      </c>
      <c r="F1135" s="20">
        <f t="shared" si="17"/>
        <v>581764634</v>
      </c>
      <c r="G1135" s="7" t="s">
        <v>664</v>
      </c>
      <c r="H1135" s="24" t="s">
        <v>323</v>
      </c>
      <c r="I1135" s="32" t="s">
        <v>152</v>
      </c>
      <c r="K1135" s="181"/>
      <c r="L1135" s="181"/>
    </row>
    <row r="1136" spans="1:12" x14ac:dyDescent="0.35">
      <c r="A1136" s="19">
        <v>45805</v>
      </c>
      <c r="B1136" s="20">
        <v>6500</v>
      </c>
      <c r="C1136" s="20"/>
      <c r="D1136" s="20"/>
      <c r="E1136" s="99" t="s">
        <v>588</v>
      </c>
      <c r="F1136" s="20">
        <f t="shared" si="17"/>
        <v>581758134</v>
      </c>
      <c r="G1136" s="7" t="s">
        <v>664</v>
      </c>
      <c r="H1136" s="24" t="s">
        <v>323</v>
      </c>
      <c r="I1136" s="32" t="s">
        <v>152</v>
      </c>
      <c r="K1136" s="181"/>
      <c r="L1136" s="181"/>
    </row>
    <row r="1137" spans="1:12" x14ac:dyDescent="0.35">
      <c r="A1137" s="19">
        <v>45805</v>
      </c>
      <c r="B1137" s="20"/>
      <c r="C1137" s="20"/>
      <c r="D1137" s="20">
        <v>1750000</v>
      </c>
      <c r="E1137" s="99" t="s">
        <v>588</v>
      </c>
      <c r="F1137" s="20">
        <f t="shared" si="17"/>
        <v>583508134</v>
      </c>
      <c r="G1137" s="7" t="s">
        <v>630</v>
      </c>
      <c r="H1137" s="24" t="s">
        <v>619</v>
      </c>
      <c r="I1137" s="32" t="s">
        <v>152</v>
      </c>
      <c r="K1137" s="181"/>
      <c r="L1137" s="181"/>
    </row>
    <row r="1138" spans="1:12" x14ac:dyDescent="0.35">
      <c r="A1138" s="19">
        <v>45805</v>
      </c>
      <c r="B1138" s="20"/>
      <c r="C1138" s="20"/>
      <c r="D1138" s="20">
        <v>3500000</v>
      </c>
      <c r="E1138" s="99" t="s">
        <v>588</v>
      </c>
      <c r="F1138" s="20">
        <f t="shared" si="17"/>
        <v>587008134</v>
      </c>
      <c r="G1138" s="7" t="s">
        <v>630</v>
      </c>
      <c r="H1138" s="24" t="s">
        <v>619</v>
      </c>
      <c r="I1138" s="32" t="s">
        <v>152</v>
      </c>
      <c r="K1138" s="181"/>
      <c r="L1138" s="181"/>
    </row>
    <row r="1139" spans="1:12" x14ac:dyDescent="0.35">
      <c r="A1139" s="19">
        <v>45805</v>
      </c>
      <c r="B1139" s="20">
        <v>500000</v>
      </c>
      <c r="C1139" s="20"/>
      <c r="D1139" s="20"/>
      <c r="E1139" s="99" t="s">
        <v>588</v>
      </c>
      <c r="F1139" s="20">
        <f t="shared" si="17"/>
        <v>586508134</v>
      </c>
      <c r="G1139" s="7" t="s">
        <v>665</v>
      </c>
      <c r="H1139" s="24" t="s">
        <v>614</v>
      </c>
      <c r="I1139" s="32" t="s">
        <v>152</v>
      </c>
      <c r="K1139" s="181"/>
      <c r="L1139" s="181"/>
    </row>
    <row r="1140" spans="1:12" x14ac:dyDescent="0.35">
      <c r="A1140" s="19">
        <v>45805</v>
      </c>
      <c r="B1140" s="20">
        <v>6500</v>
      </c>
      <c r="C1140" s="20"/>
      <c r="D1140" s="20"/>
      <c r="E1140" s="99" t="s">
        <v>588</v>
      </c>
      <c r="F1140" s="20">
        <f t="shared" si="17"/>
        <v>586501634</v>
      </c>
      <c r="G1140" s="7" t="s">
        <v>666</v>
      </c>
      <c r="H1140" s="24" t="s">
        <v>614</v>
      </c>
      <c r="I1140" s="32" t="s">
        <v>152</v>
      </c>
      <c r="K1140" s="181"/>
      <c r="L1140" s="181"/>
    </row>
    <row r="1141" spans="1:12" x14ac:dyDescent="0.35">
      <c r="A1141" s="19">
        <v>45805</v>
      </c>
      <c r="B1141" s="20"/>
      <c r="C1141" s="20"/>
      <c r="D1141" s="20">
        <v>3500000</v>
      </c>
      <c r="E1141" s="99" t="s">
        <v>588</v>
      </c>
      <c r="F1141" s="20">
        <f t="shared" si="17"/>
        <v>590001634</v>
      </c>
      <c r="G1141" s="7" t="s">
        <v>630</v>
      </c>
      <c r="H1141" s="24" t="s">
        <v>619</v>
      </c>
      <c r="I1141" s="32" t="s">
        <v>152</v>
      </c>
      <c r="K1141" s="181"/>
      <c r="L1141" s="181"/>
    </row>
    <row r="1142" spans="1:12" x14ac:dyDescent="0.35">
      <c r="A1142" s="19">
        <v>45805</v>
      </c>
      <c r="B1142" s="20"/>
      <c r="C1142" s="20"/>
      <c r="D1142" s="20">
        <v>3500000</v>
      </c>
      <c r="E1142" s="99" t="s">
        <v>732</v>
      </c>
      <c r="F1142" s="20">
        <f t="shared" si="17"/>
        <v>593501634</v>
      </c>
      <c r="G1142" s="7" t="s">
        <v>630</v>
      </c>
      <c r="H1142" s="24" t="s">
        <v>619</v>
      </c>
      <c r="I1142" s="32" t="s">
        <v>152</v>
      </c>
      <c r="K1142" s="181"/>
      <c r="L1142" s="181"/>
    </row>
    <row r="1143" spans="1:12" x14ac:dyDescent="0.35">
      <c r="A1143" s="19">
        <v>45809</v>
      </c>
      <c r="B1143" s="20">
        <v>750000</v>
      </c>
      <c r="C1143" s="20"/>
      <c r="D1143" s="20"/>
      <c r="E1143" s="99" t="s">
        <v>732</v>
      </c>
      <c r="F1143" s="20">
        <f t="shared" si="17"/>
        <v>592751634</v>
      </c>
      <c r="G1143" s="7" t="s">
        <v>672</v>
      </c>
      <c r="H1143" s="24" t="s">
        <v>323</v>
      </c>
      <c r="I1143" s="32" t="s">
        <v>152</v>
      </c>
      <c r="K1143" s="181"/>
      <c r="L1143" s="181"/>
    </row>
    <row r="1144" spans="1:12" x14ac:dyDescent="0.35">
      <c r="A1144" s="19">
        <v>45809</v>
      </c>
      <c r="B1144" s="20">
        <v>6500</v>
      </c>
      <c r="C1144" s="20"/>
      <c r="D1144" s="20"/>
      <c r="E1144" s="99" t="s">
        <v>732</v>
      </c>
      <c r="F1144" s="20">
        <f t="shared" si="17"/>
        <v>592745134</v>
      </c>
      <c r="G1144" s="7" t="s">
        <v>673</v>
      </c>
      <c r="H1144" s="24" t="s">
        <v>323</v>
      </c>
      <c r="I1144" s="32" t="s">
        <v>152</v>
      </c>
      <c r="K1144" s="181"/>
      <c r="L1144" s="181"/>
    </row>
    <row r="1145" spans="1:12" x14ac:dyDescent="0.35">
      <c r="A1145" s="19">
        <v>45809</v>
      </c>
      <c r="B1145" s="20"/>
      <c r="C1145" s="20"/>
      <c r="D1145" s="20">
        <v>3500000</v>
      </c>
      <c r="E1145" s="99" t="s">
        <v>732</v>
      </c>
      <c r="F1145" s="20">
        <f t="shared" si="17"/>
        <v>596245134</v>
      </c>
      <c r="G1145" s="7" t="s">
        <v>630</v>
      </c>
      <c r="H1145" s="24" t="s">
        <v>619</v>
      </c>
      <c r="I1145" s="32" t="s">
        <v>152</v>
      </c>
      <c r="K1145" s="181"/>
      <c r="L1145" s="181"/>
    </row>
    <row r="1146" spans="1:12" x14ac:dyDescent="0.35">
      <c r="A1146" s="19">
        <v>45809</v>
      </c>
      <c r="B1146" s="20"/>
      <c r="C1146" s="20"/>
      <c r="D1146" s="20">
        <v>50000</v>
      </c>
      <c r="E1146" s="99" t="s">
        <v>732</v>
      </c>
      <c r="F1146" s="20">
        <f t="shared" si="17"/>
        <v>596295134</v>
      </c>
      <c r="G1146" s="7" t="s">
        <v>330</v>
      </c>
      <c r="H1146" s="24" t="s">
        <v>109</v>
      </c>
      <c r="I1146" s="32" t="s">
        <v>152</v>
      </c>
      <c r="K1146" s="181"/>
      <c r="L1146" s="181"/>
    </row>
    <row r="1147" spans="1:12" x14ac:dyDescent="0.35">
      <c r="A1147" s="19">
        <v>45809</v>
      </c>
      <c r="B1147" s="20"/>
      <c r="C1147" s="20"/>
      <c r="D1147" s="20">
        <v>10000</v>
      </c>
      <c r="E1147" s="99" t="s">
        <v>732</v>
      </c>
      <c r="F1147" s="20">
        <f t="shared" si="17"/>
        <v>596305134</v>
      </c>
      <c r="G1147" s="7" t="s">
        <v>330</v>
      </c>
      <c r="H1147" s="24" t="s">
        <v>109</v>
      </c>
      <c r="I1147" s="32" t="s">
        <v>152</v>
      </c>
      <c r="K1147" s="181"/>
      <c r="L1147" s="181"/>
    </row>
    <row r="1148" spans="1:12" x14ac:dyDescent="0.35">
      <c r="A1148" s="19">
        <v>45809</v>
      </c>
      <c r="B1148" s="20">
        <v>30000000</v>
      </c>
      <c r="C1148" s="20"/>
      <c r="D1148" s="20"/>
      <c r="E1148" s="99" t="s">
        <v>732</v>
      </c>
      <c r="F1148" s="20">
        <f t="shared" si="17"/>
        <v>566305134</v>
      </c>
      <c r="G1148" s="7" t="s">
        <v>654</v>
      </c>
      <c r="H1148" s="24" t="s">
        <v>614</v>
      </c>
      <c r="I1148" s="32" t="s">
        <v>152</v>
      </c>
      <c r="K1148" s="181"/>
      <c r="L1148" s="181"/>
    </row>
    <row r="1149" spans="1:12" x14ac:dyDescent="0.35">
      <c r="A1149" s="19">
        <v>45809</v>
      </c>
      <c r="B1149" s="20">
        <v>6500</v>
      </c>
      <c r="C1149" s="20"/>
      <c r="D1149" s="20"/>
      <c r="E1149" s="99" t="s">
        <v>732</v>
      </c>
      <c r="F1149" s="20">
        <f t="shared" si="17"/>
        <v>566298634</v>
      </c>
      <c r="G1149" s="7" t="s">
        <v>655</v>
      </c>
      <c r="H1149" s="24" t="s">
        <v>614</v>
      </c>
      <c r="I1149" s="32" t="s">
        <v>152</v>
      </c>
      <c r="K1149" s="181"/>
      <c r="L1149" s="181"/>
    </row>
    <row r="1150" spans="1:12" x14ac:dyDescent="0.35">
      <c r="A1150" s="19">
        <v>45809</v>
      </c>
      <c r="B1150" s="20"/>
      <c r="C1150" s="20"/>
      <c r="D1150" s="20">
        <v>200000</v>
      </c>
      <c r="E1150" s="99" t="s">
        <v>732</v>
      </c>
      <c r="F1150" s="20">
        <f t="shared" si="17"/>
        <v>566498634</v>
      </c>
      <c r="G1150" s="7" t="s">
        <v>674</v>
      </c>
      <c r="H1150" s="24" t="s">
        <v>109</v>
      </c>
      <c r="I1150" s="32" t="s">
        <v>152</v>
      </c>
      <c r="K1150" s="181"/>
      <c r="L1150" s="181"/>
    </row>
    <row r="1151" spans="1:12" x14ac:dyDescent="0.35">
      <c r="A1151" s="19">
        <v>45809</v>
      </c>
      <c r="B1151" s="20"/>
      <c r="C1151" s="20"/>
      <c r="D1151" s="20">
        <v>4000000</v>
      </c>
      <c r="E1151" s="99" t="s">
        <v>732</v>
      </c>
      <c r="F1151" s="20">
        <f t="shared" si="17"/>
        <v>570498634</v>
      </c>
      <c r="G1151" s="7" t="s">
        <v>630</v>
      </c>
      <c r="H1151" s="24" t="s">
        <v>619</v>
      </c>
      <c r="I1151" s="32" t="s">
        <v>152</v>
      </c>
      <c r="K1151" s="181"/>
      <c r="L1151" s="181"/>
    </row>
    <row r="1152" spans="1:12" x14ac:dyDescent="0.35">
      <c r="A1152" s="19">
        <v>45809</v>
      </c>
      <c r="B1152" s="20"/>
      <c r="C1152" s="20"/>
      <c r="D1152" s="20">
        <v>3500000</v>
      </c>
      <c r="E1152" s="99" t="s">
        <v>732</v>
      </c>
      <c r="F1152" s="20">
        <f t="shared" si="17"/>
        <v>573998634</v>
      </c>
      <c r="G1152" s="7" t="s">
        <v>630</v>
      </c>
      <c r="H1152" s="24" t="s">
        <v>619</v>
      </c>
      <c r="I1152" s="32" t="s">
        <v>152</v>
      </c>
      <c r="K1152" s="181"/>
      <c r="L1152" s="181"/>
    </row>
    <row r="1153" spans="1:12" x14ac:dyDescent="0.35">
      <c r="A1153" s="19">
        <v>45809</v>
      </c>
      <c r="B1153" s="20"/>
      <c r="C1153" s="20"/>
      <c r="D1153" s="20">
        <v>4000000</v>
      </c>
      <c r="E1153" s="99" t="s">
        <v>732</v>
      </c>
      <c r="F1153" s="20">
        <f t="shared" si="17"/>
        <v>577998634</v>
      </c>
      <c r="G1153" s="7" t="s">
        <v>630</v>
      </c>
      <c r="H1153" s="24" t="s">
        <v>619</v>
      </c>
      <c r="I1153" s="32" t="s">
        <v>152</v>
      </c>
      <c r="K1153" s="181"/>
      <c r="L1153" s="181"/>
    </row>
    <row r="1154" spans="1:12" x14ac:dyDescent="0.35">
      <c r="A1154" s="19">
        <v>45809</v>
      </c>
      <c r="B1154" s="20"/>
      <c r="C1154" s="20"/>
      <c r="D1154" s="20">
        <v>3500000</v>
      </c>
      <c r="E1154" s="99" t="s">
        <v>732</v>
      </c>
      <c r="F1154" s="20">
        <f t="shared" si="17"/>
        <v>581498634</v>
      </c>
      <c r="G1154" s="7" t="s">
        <v>630</v>
      </c>
      <c r="H1154" s="24" t="s">
        <v>619</v>
      </c>
      <c r="I1154" s="32" t="s">
        <v>152</v>
      </c>
      <c r="K1154" s="181"/>
      <c r="L1154" s="181"/>
    </row>
    <row r="1155" spans="1:12" x14ac:dyDescent="0.35">
      <c r="A1155" s="19">
        <v>45809</v>
      </c>
      <c r="B1155" s="20"/>
      <c r="C1155" s="20"/>
      <c r="D1155" s="20">
        <v>500000</v>
      </c>
      <c r="E1155" s="99" t="s">
        <v>732</v>
      </c>
      <c r="F1155" s="20">
        <f t="shared" si="17"/>
        <v>581998634</v>
      </c>
      <c r="G1155" s="7" t="s">
        <v>675</v>
      </c>
      <c r="H1155" s="24" t="s">
        <v>109</v>
      </c>
      <c r="I1155" s="32" t="s">
        <v>152</v>
      </c>
      <c r="K1155" s="181"/>
      <c r="L1155" s="181"/>
    </row>
    <row r="1156" spans="1:12" x14ac:dyDescent="0.35">
      <c r="A1156" s="19">
        <v>45810</v>
      </c>
      <c r="B1156" s="20"/>
      <c r="C1156" s="20"/>
      <c r="D1156" s="20">
        <v>10000</v>
      </c>
      <c r="E1156" s="99" t="s">
        <v>732</v>
      </c>
      <c r="F1156" s="20">
        <f t="shared" si="17"/>
        <v>582008634</v>
      </c>
      <c r="G1156" s="7" t="s">
        <v>676</v>
      </c>
      <c r="H1156" s="24" t="s">
        <v>109</v>
      </c>
      <c r="I1156" s="32" t="s">
        <v>152</v>
      </c>
      <c r="K1156" s="181"/>
      <c r="L1156" s="181"/>
    </row>
    <row r="1157" spans="1:12" x14ac:dyDescent="0.35">
      <c r="A1157" s="19">
        <v>45810</v>
      </c>
      <c r="B1157" s="20"/>
      <c r="C1157" s="20"/>
      <c r="D1157" s="20">
        <v>5000</v>
      </c>
      <c r="E1157" s="99" t="s">
        <v>732</v>
      </c>
      <c r="F1157" s="20">
        <f t="shared" ref="F1157:F1221" si="18">+F1156+D1157-B1157</f>
        <v>582013634</v>
      </c>
      <c r="G1157" s="7" t="s">
        <v>676</v>
      </c>
      <c r="H1157" s="24" t="s">
        <v>109</v>
      </c>
      <c r="I1157" s="32" t="s">
        <v>152</v>
      </c>
      <c r="K1157" s="181"/>
      <c r="L1157" s="181"/>
    </row>
    <row r="1158" spans="1:12" x14ac:dyDescent="0.35">
      <c r="A1158" s="19">
        <v>45810</v>
      </c>
      <c r="B1158" s="20"/>
      <c r="C1158" s="20"/>
      <c r="D1158" s="20">
        <v>5000</v>
      </c>
      <c r="E1158" s="99" t="s">
        <v>732</v>
      </c>
      <c r="F1158" s="20">
        <f t="shared" si="18"/>
        <v>582018634</v>
      </c>
      <c r="G1158" s="7" t="s">
        <v>676</v>
      </c>
      <c r="H1158" s="24" t="s">
        <v>109</v>
      </c>
      <c r="I1158" s="32" t="s">
        <v>152</v>
      </c>
      <c r="K1158" s="181"/>
      <c r="L1158" s="181"/>
    </row>
    <row r="1159" spans="1:12" x14ac:dyDescent="0.35">
      <c r="A1159" s="19">
        <v>45810</v>
      </c>
      <c r="B1159" s="20">
        <v>75000000</v>
      </c>
      <c r="C1159" s="20"/>
      <c r="D1159" s="20"/>
      <c r="E1159" s="99" t="s">
        <v>732</v>
      </c>
      <c r="F1159" s="20">
        <f t="shared" si="18"/>
        <v>507018634</v>
      </c>
      <c r="G1159" s="7" t="s">
        <v>654</v>
      </c>
      <c r="H1159" s="24" t="s">
        <v>614</v>
      </c>
      <c r="I1159" s="32" t="s">
        <v>152</v>
      </c>
      <c r="K1159" s="181"/>
      <c r="L1159" s="181"/>
    </row>
    <row r="1160" spans="1:12" x14ac:dyDescent="0.35">
      <c r="A1160" s="19">
        <v>45810</v>
      </c>
      <c r="B1160" s="20">
        <v>2900</v>
      </c>
      <c r="C1160" s="20"/>
      <c r="D1160" s="20"/>
      <c r="E1160" s="99" t="s">
        <v>732</v>
      </c>
      <c r="F1160" s="20">
        <f t="shared" si="18"/>
        <v>507015734</v>
      </c>
      <c r="G1160" s="7" t="s">
        <v>655</v>
      </c>
      <c r="H1160" s="24" t="s">
        <v>614</v>
      </c>
      <c r="I1160" s="32" t="s">
        <v>152</v>
      </c>
      <c r="K1160" s="181"/>
      <c r="L1160" s="181"/>
    </row>
    <row r="1161" spans="1:12" x14ac:dyDescent="0.35">
      <c r="A1161" s="19">
        <v>45810</v>
      </c>
      <c r="B1161" s="20"/>
      <c r="C1161" s="20"/>
      <c r="D1161" s="20">
        <v>7000000</v>
      </c>
      <c r="E1161" s="99" t="s">
        <v>732</v>
      </c>
      <c r="F1161" s="20">
        <f t="shared" si="18"/>
        <v>514015734</v>
      </c>
      <c r="G1161" s="7" t="s">
        <v>630</v>
      </c>
      <c r="H1161" s="24" t="s">
        <v>619</v>
      </c>
      <c r="I1161" s="32" t="s">
        <v>152</v>
      </c>
      <c r="K1161" s="181"/>
      <c r="L1161" s="181"/>
    </row>
    <row r="1162" spans="1:12" x14ac:dyDescent="0.35">
      <c r="A1162" s="19">
        <v>45810</v>
      </c>
      <c r="B1162" s="20"/>
      <c r="C1162" s="20"/>
      <c r="D1162" s="20">
        <v>500000</v>
      </c>
      <c r="E1162" s="99" t="s">
        <v>732</v>
      </c>
      <c r="F1162" s="20">
        <f t="shared" si="18"/>
        <v>514515734</v>
      </c>
      <c r="G1162" s="7" t="s">
        <v>579</v>
      </c>
      <c r="H1162" s="24" t="s">
        <v>109</v>
      </c>
      <c r="I1162" s="32" t="s">
        <v>152</v>
      </c>
      <c r="K1162" s="181"/>
      <c r="L1162" s="181"/>
    </row>
    <row r="1163" spans="1:12" x14ac:dyDescent="0.35">
      <c r="A1163" s="19">
        <v>45810</v>
      </c>
      <c r="B1163" s="20"/>
      <c r="C1163" s="20"/>
      <c r="D1163" s="20">
        <v>250000</v>
      </c>
      <c r="E1163" s="99" t="s">
        <v>732</v>
      </c>
      <c r="F1163" s="20">
        <f t="shared" si="18"/>
        <v>514765734</v>
      </c>
      <c r="G1163" s="202" t="s">
        <v>698</v>
      </c>
      <c r="H1163" s="24" t="s">
        <v>619</v>
      </c>
      <c r="I1163" s="32" t="s">
        <v>152</v>
      </c>
      <c r="K1163" s="181"/>
      <c r="L1163" s="181"/>
    </row>
    <row r="1164" spans="1:12" x14ac:dyDescent="0.35">
      <c r="A1164" s="19">
        <v>45810</v>
      </c>
      <c r="B1164" s="20"/>
      <c r="C1164" s="20"/>
      <c r="D1164" s="20">
        <v>35000000</v>
      </c>
      <c r="E1164" s="99" t="s">
        <v>732</v>
      </c>
      <c r="F1164" s="20">
        <f t="shared" si="18"/>
        <v>549765734</v>
      </c>
      <c r="G1164" s="7" t="s">
        <v>630</v>
      </c>
      <c r="H1164" s="24" t="s">
        <v>619</v>
      </c>
      <c r="I1164" s="32" t="s">
        <v>152</v>
      </c>
      <c r="K1164" s="181"/>
      <c r="L1164" s="181"/>
    </row>
    <row r="1165" spans="1:12" x14ac:dyDescent="0.35">
      <c r="A1165" s="19">
        <v>45811</v>
      </c>
      <c r="B1165" s="20"/>
      <c r="C1165" s="20"/>
      <c r="D1165" s="20">
        <v>200000</v>
      </c>
      <c r="E1165" s="99" t="s">
        <v>732</v>
      </c>
      <c r="F1165" s="20">
        <f t="shared" si="18"/>
        <v>549965734</v>
      </c>
      <c r="G1165" s="7" t="s">
        <v>333</v>
      </c>
      <c r="H1165" s="24" t="s">
        <v>109</v>
      </c>
      <c r="I1165" s="32" t="s">
        <v>152</v>
      </c>
      <c r="K1165" s="181"/>
      <c r="L1165" s="181"/>
    </row>
    <row r="1166" spans="1:12" x14ac:dyDescent="0.35">
      <c r="A1166" s="19">
        <v>45811</v>
      </c>
      <c r="B1166" s="20">
        <v>45000000</v>
      </c>
      <c r="C1166" s="20"/>
      <c r="D1166" s="20"/>
      <c r="E1166" s="99" t="s">
        <v>732</v>
      </c>
      <c r="F1166" s="20">
        <f t="shared" si="18"/>
        <v>504965734</v>
      </c>
      <c r="G1166" s="7" t="s">
        <v>654</v>
      </c>
      <c r="H1166" s="24" t="s">
        <v>614</v>
      </c>
      <c r="I1166" s="32" t="s">
        <v>152</v>
      </c>
      <c r="K1166" s="181"/>
      <c r="L1166" s="181"/>
    </row>
    <row r="1167" spans="1:12" x14ac:dyDescent="0.35">
      <c r="A1167" s="19">
        <v>45811</v>
      </c>
      <c r="B1167" s="20">
        <v>6500</v>
      </c>
      <c r="C1167" s="20"/>
      <c r="D1167" s="20"/>
      <c r="E1167" s="99" t="s">
        <v>732</v>
      </c>
      <c r="F1167" s="20">
        <f t="shared" si="18"/>
        <v>504959234</v>
      </c>
      <c r="G1167" s="7" t="s">
        <v>655</v>
      </c>
      <c r="H1167" s="24" t="s">
        <v>614</v>
      </c>
      <c r="I1167" s="32" t="s">
        <v>152</v>
      </c>
      <c r="K1167" s="181"/>
      <c r="L1167" s="181"/>
    </row>
    <row r="1168" spans="1:12" x14ac:dyDescent="0.35">
      <c r="A1168" s="19">
        <v>45811</v>
      </c>
      <c r="B1168" s="20"/>
      <c r="C1168" s="20"/>
      <c r="D1168" s="20">
        <v>250000</v>
      </c>
      <c r="E1168" s="99" t="s">
        <v>732</v>
      </c>
      <c r="F1168" s="20">
        <f t="shared" si="18"/>
        <v>505209234</v>
      </c>
      <c r="G1168" s="202" t="s">
        <v>699</v>
      </c>
      <c r="H1168" s="24" t="s">
        <v>619</v>
      </c>
      <c r="I1168" s="32" t="s">
        <v>152</v>
      </c>
      <c r="K1168" s="181"/>
      <c r="L1168" s="181"/>
    </row>
    <row r="1169" spans="1:12" x14ac:dyDescent="0.35">
      <c r="A1169" s="19">
        <v>45811</v>
      </c>
      <c r="B1169" s="20"/>
      <c r="C1169" s="20"/>
      <c r="D1169" s="20">
        <v>10000</v>
      </c>
      <c r="E1169" s="99" t="s">
        <v>732</v>
      </c>
      <c r="F1169" s="20">
        <f t="shared" si="18"/>
        <v>505219234</v>
      </c>
      <c r="G1169" s="7" t="s">
        <v>330</v>
      </c>
      <c r="H1169" s="24" t="s">
        <v>109</v>
      </c>
      <c r="I1169" s="32" t="s">
        <v>152</v>
      </c>
      <c r="K1169" s="181"/>
      <c r="L1169" s="181"/>
    </row>
    <row r="1170" spans="1:12" x14ac:dyDescent="0.35">
      <c r="A1170" s="19">
        <v>45811</v>
      </c>
      <c r="B1170" s="20"/>
      <c r="C1170" s="20"/>
      <c r="D1170" s="20">
        <v>25000</v>
      </c>
      <c r="E1170" s="99" t="s">
        <v>732</v>
      </c>
      <c r="F1170" s="20">
        <f t="shared" si="18"/>
        <v>505244234</v>
      </c>
      <c r="G1170" s="7" t="s">
        <v>330</v>
      </c>
      <c r="H1170" s="24" t="s">
        <v>109</v>
      </c>
      <c r="I1170" s="32" t="s">
        <v>152</v>
      </c>
      <c r="K1170" s="181"/>
      <c r="L1170" s="181"/>
    </row>
    <row r="1171" spans="1:12" x14ac:dyDescent="0.35">
      <c r="A1171" s="19">
        <v>45811</v>
      </c>
      <c r="B1171" s="20">
        <v>24000000</v>
      </c>
      <c r="C1171" s="20"/>
      <c r="D1171" s="20"/>
      <c r="E1171" s="99" t="s">
        <v>732</v>
      </c>
      <c r="F1171" s="20">
        <f t="shared" si="18"/>
        <v>481244234</v>
      </c>
      <c r="G1171" s="7" t="s">
        <v>677</v>
      </c>
      <c r="H1171" s="24" t="s">
        <v>614</v>
      </c>
      <c r="I1171" s="32" t="s">
        <v>152</v>
      </c>
      <c r="K1171" s="181"/>
      <c r="L1171" s="181"/>
    </row>
    <row r="1172" spans="1:12" x14ac:dyDescent="0.35">
      <c r="A1172" s="19">
        <v>45811</v>
      </c>
      <c r="B1172" s="20">
        <v>2900</v>
      </c>
      <c r="C1172" s="20"/>
      <c r="D1172" s="20"/>
      <c r="E1172" s="99" t="s">
        <v>732</v>
      </c>
      <c r="F1172" s="20">
        <f t="shared" si="18"/>
        <v>481241334</v>
      </c>
      <c r="G1172" s="7" t="s">
        <v>678</v>
      </c>
      <c r="H1172" s="24" t="s">
        <v>614</v>
      </c>
      <c r="I1172" s="32" t="s">
        <v>152</v>
      </c>
      <c r="K1172" s="181"/>
      <c r="L1172" s="181"/>
    </row>
    <row r="1173" spans="1:12" x14ac:dyDescent="0.35">
      <c r="A1173" s="19">
        <v>45811</v>
      </c>
      <c r="B1173" s="20"/>
      <c r="C1173" s="20"/>
      <c r="D1173" s="20">
        <v>3695000</v>
      </c>
      <c r="E1173" s="99" t="s">
        <v>732</v>
      </c>
      <c r="F1173" s="20">
        <f t="shared" si="18"/>
        <v>484936334</v>
      </c>
      <c r="G1173" s="7"/>
      <c r="H1173" s="24" t="s">
        <v>107</v>
      </c>
      <c r="I1173" s="32" t="s">
        <v>152</v>
      </c>
      <c r="K1173" s="181"/>
      <c r="L1173" s="181"/>
    </row>
    <row r="1174" spans="1:12" x14ac:dyDescent="0.35">
      <c r="A1174" s="19">
        <v>45811</v>
      </c>
      <c r="B1174" s="20"/>
      <c r="C1174" s="20"/>
      <c r="D1174" s="20">
        <v>1962000</v>
      </c>
      <c r="E1174" s="99" t="s">
        <v>732</v>
      </c>
      <c r="F1174" s="20">
        <f t="shared" si="18"/>
        <v>486898334</v>
      </c>
      <c r="G1174" s="7"/>
      <c r="H1174" s="24" t="s">
        <v>109</v>
      </c>
      <c r="I1174" s="32" t="s">
        <v>152</v>
      </c>
      <c r="K1174" s="181"/>
      <c r="L1174" s="181"/>
    </row>
    <row r="1175" spans="1:12" x14ac:dyDescent="0.35">
      <c r="A1175" s="19">
        <v>45811</v>
      </c>
      <c r="B1175" s="20"/>
      <c r="C1175" s="20"/>
      <c r="D1175" s="20">
        <v>1080000</v>
      </c>
      <c r="E1175" s="99" t="s">
        <v>732</v>
      </c>
      <c r="F1175" s="20">
        <f t="shared" si="18"/>
        <v>487978334</v>
      </c>
      <c r="G1175" s="7" t="s">
        <v>686</v>
      </c>
      <c r="H1175" s="24" t="s">
        <v>109</v>
      </c>
      <c r="I1175" s="32" t="s">
        <v>152</v>
      </c>
      <c r="K1175" s="181"/>
      <c r="L1175" s="181"/>
    </row>
    <row r="1176" spans="1:12" x14ac:dyDescent="0.35">
      <c r="A1176" s="19"/>
      <c r="B1176" s="20"/>
      <c r="C1176" s="20">
        <v>6737000</v>
      </c>
      <c r="D1176" s="20"/>
      <c r="E1176" s="99"/>
      <c r="F1176" s="20">
        <f t="shared" si="18"/>
        <v>487978334</v>
      </c>
      <c r="G1176" s="7" t="s">
        <v>305</v>
      </c>
      <c r="H1176" s="24"/>
      <c r="I1176" s="32"/>
      <c r="K1176" s="181"/>
      <c r="L1176" s="181"/>
    </row>
    <row r="1177" spans="1:12" x14ac:dyDescent="0.35">
      <c r="A1177" s="19">
        <v>45811</v>
      </c>
      <c r="B1177" s="20"/>
      <c r="C1177" s="20"/>
      <c r="D1177" s="20">
        <v>1750000</v>
      </c>
      <c r="E1177" s="99" t="s">
        <v>732</v>
      </c>
      <c r="F1177" s="20">
        <f t="shared" si="18"/>
        <v>489728334</v>
      </c>
      <c r="G1177" s="7" t="s">
        <v>630</v>
      </c>
      <c r="H1177" s="24" t="s">
        <v>619</v>
      </c>
      <c r="I1177" s="32" t="s">
        <v>152</v>
      </c>
      <c r="K1177" s="181"/>
      <c r="L1177" s="181"/>
    </row>
    <row r="1178" spans="1:12" x14ac:dyDescent="0.35">
      <c r="A1178" s="19">
        <v>45811</v>
      </c>
      <c r="B1178" s="20"/>
      <c r="C1178" s="20"/>
      <c r="D1178" s="20">
        <v>500000</v>
      </c>
      <c r="E1178" s="99" t="s">
        <v>732</v>
      </c>
      <c r="F1178" s="20">
        <f t="shared" si="18"/>
        <v>490228334</v>
      </c>
      <c r="G1178" s="7" t="s">
        <v>630</v>
      </c>
      <c r="H1178" s="24" t="s">
        <v>619</v>
      </c>
      <c r="I1178" s="32" t="s">
        <v>152</v>
      </c>
      <c r="K1178" s="181"/>
      <c r="L1178" s="181"/>
    </row>
    <row r="1179" spans="1:12" x14ac:dyDescent="0.35">
      <c r="A1179" s="19">
        <v>45811</v>
      </c>
      <c r="B1179" s="20"/>
      <c r="C1179" s="20"/>
      <c r="D1179" s="20">
        <v>500000</v>
      </c>
      <c r="E1179" s="99" t="s">
        <v>732</v>
      </c>
      <c r="F1179" s="20">
        <f t="shared" si="18"/>
        <v>490728334</v>
      </c>
      <c r="G1179" s="7" t="s">
        <v>679</v>
      </c>
      <c r="H1179" s="24" t="s">
        <v>109</v>
      </c>
      <c r="I1179" s="32" t="s">
        <v>152</v>
      </c>
      <c r="K1179" s="181"/>
      <c r="L1179" s="181"/>
    </row>
    <row r="1180" spans="1:12" x14ac:dyDescent="0.35">
      <c r="A1180" s="19">
        <v>45811</v>
      </c>
      <c r="B1180" s="20"/>
      <c r="C1180" s="20"/>
      <c r="D1180" s="20">
        <v>400000</v>
      </c>
      <c r="E1180" s="99" t="s">
        <v>732</v>
      </c>
      <c r="F1180" s="20">
        <f t="shared" si="18"/>
        <v>491128334</v>
      </c>
      <c r="G1180" s="7" t="s">
        <v>600</v>
      </c>
      <c r="H1180" s="24" t="s">
        <v>109</v>
      </c>
      <c r="I1180" s="32" t="s">
        <v>152</v>
      </c>
      <c r="K1180" s="181"/>
      <c r="L1180" s="181"/>
    </row>
    <row r="1181" spans="1:12" x14ac:dyDescent="0.35">
      <c r="A1181" s="19">
        <v>45812</v>
      </c>
      <c r="B1181" s="20"/>
      <c r="C1181" s="20"/>
      <c r="D1181" s="20">
        <v>5000</v>
      </c>
      <c r="E1181" s="99" t="s">
        <v>732</v>
      </c>
      <c r="F1181" s="20">
        <f t="shared" si="18"/>
        <v>491133334</v>
      </c>
      <c r="G1181" s="7" t="s">
        <v>330</v>
      </c>
      <c r="H1181" s="24" t="s">
        <v>109</v>
      </c>
      <c r="I1181" s="32" t="s">
        <v>152</v>
      </c>
      <c r="K1181" s="181"/>
      <c r="L1181" s="181"/>
    </row>
    <row r="1182" spans="1:12" x14ac:dyDescent="0.35">
      <c r="A1182" s="19">
        <v>45812</v>
      </c>
      <c r="B1182" s="20">
        <v>13000000</v>
      </c>
      <c r="C1182" s="20"/>
      <c r="D1182" s="20"/>
      <c r="E1182" s="99" t="s">
        <v>732</v>
      </c>
      <c r="F1182" s="20">
        <f t="shared" si="18"/>
        <v>478133334</v>
      </c>
      <c r="G1182" s="7" t="s">
        <v>654</v>
      </c>
      <c r="H1182" s="24" t="s">
        <v>614</v>
      </c>
      <c r="I1182" s="32" t="s">
        <v>152</v>
      </c>
      <c r="K1182" s="181"/>
      <c r="L1182" s="181"/>
    </row>
    <row r="1183" spans="1:12" x14ac:dyDescent="0.35">
      <c r="A1183" s="19">
        <v>45812</v>
      </c>
      <c r="B1183" s="20">
        <v>2900</v>
      </c>
      <c r="C1183" s="20"/>
      <c r="D1183" s="20"/>
      <c r="E1183" s="99" t="s">
        <v>732</v>
      </c>
      <c r="F1183" s="20">
        <f t="shared" si="18"/>
        <v>478130434</v>
      </c>
      <c r="G1183" s="7" t="s">
        <v>655</v>
      </c>
      <c r="H1183" s="24" t="s">
        <v>614</v>
      </c>
      <c r="I1183" s="32" t="s">
        <v>152</v>
      </c>
      <c r="K1183" s="181"/>
      <c r="L1183" s="181"/>
    </row>
    <row r="1184" spans="1:12" x14ac:dyDescent="0.35">
      <c r="A1184" s="19">
        <v>45812</v>
      </c>
      <c r="B1184" s="20">
        <v>30000000</v>
      </c>
      <c r="C1184" s="20"/>
      <c r="D1184" s="20"/>
      <c r="E1184" s="99" t="s">
        <v>732</v>
      </c>
      <c r="F1184" s="20">
        <f t="shared" si="18"/>
        <v>448130434</v>
      </c>
      <c r="G1184" s="7" t="s">
        <v>654</v>
      </c>
      <c r="H1184" s="24" t="s">
        <v>614</v>
      </c>
      <c r="I1184" s="32" t="s">
        <v>152</v>
      </c>
      <c r="K1184" s="181"/>
      <c r="L1184" s="181"/>
    </row>
    <row r="1185" spans="1:12" x14ac:dyDescent="0.35">
      <c r="A1185" s="19">
        <v>45812</v>
      </c>
      <c r="B1185" s="20">
        <v>2900</v>
      </c>
      <c r="C1185" s="20"/>
      <c r="D1185" s="20"/>
      <c r="E1185" s="99" t="s">
        <v>732</v>
      </c>
      <c r="F1185" s="20">
        <f t="shared" si="18"/>
        <v>448127534</v>
      </c>
      <c r="G1185" s="7" t="s">
        <v>655</v>
      </c>
      <c r="H1185" s="24" t="s">
        <v>614</v>
      </c>
      <c r="I1185" s="32" t="s">
        <v>152</v>
      </c>
      <c r="K1185" s="181"/>
      <c r="L1185" s="181"/>
    </row>
    <row r="1186" spans="1:12" x14ac:dyDescent="0.35">
      <c r="A1186" s="19">
        <v>45812</v>
      </c>
      <c r="B1186" s="20">
        <v>7196500</v>
      </c>
      <c r="C1186" s="20"/>
      <c r="D1186" s="20"/>
      <c r="E1186" s="99" t="s">
        <v>732</v>
      </c>
      <c r="F1186" s="20">
        <f t="shared" si="18"/>
        <v>440931034</v>
      </c>
      <c r="G1186" s="7" t="s">
        <v>680</v>
      </c>
      <c r="H1186" s="24" t="s">
        <v>614</v>
      </c>
      <c r="I1186" s="32" t="s">
        <v>152</v>
      </c>
      <c r="K1186" s="181"/>
      <c r="L1186" s="181"/>
    </row>
    <row r="1187" spans="1:12" x14ac:dyDescent="0.35">
      <c r="A1187" s="19">
        <v>45812</v>
      </c>
      <c r="B1187" s="20">
        <v>2900</v>
      </c>
      <c r="C1187" s="20"/>
      <c r="D1187" s="20"/>
      <c r="E1187" s="99" t="s">
        <v>732</v>
      </c>
      <c r="F1187" s="20">
        <f t="shared" si="18"/>
        <v>440928134</v>
      </c>
      <c r="G1187" s="7" t="s">
        <v>681</v>
      </c>
      <c r="H1187" s="24" t="s">
        <v>614</v>
      </c>
      <c r="I1187" s="32" t="s">
        <v>152</v>
      </c>
      <c r="K1187" s="181"/>
      <c r="L1187" s="181"/>
    </row>
    <row r="1188" spans="1:12" x14ac:dyDescent="0.35">
      <c r="A1188" s="19">
        <v>45812</v>
      </c>
      <c r="B1188" s="20"/>
      <c r="C1188" s="20"/>
      <c r="D1188" s="203">
        <v>4000000</v>
      </c>
      <c r="E1188" s="99" t="s">
        <v>732</v>
      </c>
      <c r="F1188" s="20">
        <f t="shared" si="18"/>
        <v>444928134</v>
      </c>
      <c r="G1188" s="202" t="s">
        <v>703</v>
      </c>
      <c r="H1188" s="24" t="s">
        <v>619</v>
      </c>
      <c r="I1188" s="32" t="s">
        <v>152</v>
      </c>
      <c r="K1188" s="181"/>
      <c r="L1188" s="181"/>
    </row>
    <row r="1189" spans="1:12" x14ac:dyDescent="0.35">
      <c r="A1189" s="19">
        <v>45812</v>
      </c>
      <c r="B1189" s="20"/>
      <c r="C1189" s="20"/>
      <c r="D1189" s="203">
        <v>250000</v>
      </c>
      <c r="E1189" s="99" t="s">
        <v>732</v>
      </c>
      <c r="F1189" s="20">
        <f t="shared" si="18"/>
        <v>445178134</v>
      </c>
      <c r="G1189" s="202" t="s">
        <v>704</v>
      </c>
      <c r="H1189" s="24" t="s">
        <v>109</v>
      </c>
      <c r="I1189" s="32" t="s">
        <v>152</v>
      </c>
      <c r="K1189" s="181"/>
      <c r="L1189" s="181"/>
    </row>
    <row r="1190" spans="1:12" x14ac:dyDescent="0.35">
      <c r="A1190" s="19">
        <v>45812</v>
      </c>
      <c r="B1190" s="20">
        <v>2000000</v>
      </c>
      <c r="C1190" s="20"/>
      <c r="D1190" s="20"/>
      <c r="E1190" s="99" t="s">
        <v>732</v>
      </c>
      <c r="F1190" s="20">
        <f t="shared" si="18"/>
        <v>443178134</v>
      </c>
      <c r="G1190" s="7" t="s">
        <v>607</v>
      </c>
      <c r="H1190" s="24" t="s">
        <v>323</v>
      </c>
      <c r="I1190" s="32" t="s">
        <v>152</v>
      </c>
      <c r="K1190" s="181"/>
      <c r="L1190" s="181"/>
    </row>
    <row r="1191" spans="1:12" x14ac:dyDescent="0.35">
      <c r="A1191" s="19">
        <v>45812</v>
      </c>
      <c r="B1191" s="20">
        <v>6500</v>
      </c>
      <c r="C1191" s="20"/>
      <c r="D1191" s="20"/>
      <c r="E1191" s="99" t="s">
        <v>732</v>
      </c>
      <c r="F1191" s="20">
        <f t="shared" si="18"/>
        <v>443171634</v>
      </c>
      <c r="G1191" s="7" t="s">
        <v>608</v>
      </c>
      <c r="H1191" s="24" t="s">
        <v>323</v>
      </c>
      <c r="I1191" s="32" t="s">
        <v>152</v>
      </c>
      <c r="K1191" s="181"/>
      <c r="L1191" s="181"/>
    </row>
    <row r="1192" spans="1:12" x14ac:dyDescent="0.35">
      <c r="A1192" s="19">
        <v>45812</v>
      </c>
      <c r="B1192" s="20"/>
      <c r="C1192" s="20"/>
      <c r="D1192" s="20">
        <v>3500000</v>
      </c>
      <c r="E1192" s="99" t="s">
        <v>732</v>
      </c>
      <c r="F1192" s="20">
        <f t="shared" si="18"/>
        <v>446671634</v>
      </c>
      <c r="G1192" s="7" t="s">
        <v>630</v>
      </c>
      <c r="H1192" s="24" t="s">
        <v>619</v>
      </c>
      <c r="I1192" s="32" t="s">
        <v>152</v>
      </c>
      <c r="K1192" s="181"/>
      <c r="L1192" s="181"/>
    </row>
    <row r="1193" spans="1:12" x14ac:dyDescent="0.35">
      <c r="A1193" s="19">
        <v>45813</v>
      </c>
      <c r="B1193" s="20">
        <v>1500000</v>
      </c>
      <c r="C1193" s="20"/>
      <c r="D1193" s="20"/>
      <c r="E1193" s="99" t="s">
        <v>732</v>
      </c>
      <c r="F1193" s="20">
        <f t="shared" si="18"/>
        <v>445171634</v>
      </c>
      <c r="G1193" s="7" t="s">
        <v>682</v>
      </c>
      <c r="H1193" s="24" t="s">
        <v>614</v>
      </c>
      <c r="I1193" s="32" t="s">
        <v>152</v>
      </c>
      <c r="K1193" s="181"/>
      <c r="L1193" s="181"/>
    </row>
    <row r="1194" spans="1:12" x14ac:dyDescent="0.35">
      <c r="A1194" s="19">
        <v>45813</v>
      </c>
      <c r="B1194" s="20">
        <v>6500</v>
      </c>
      <c r="C1194" s="20"/>
      <c r="D1194" s="20"/>
      <c r="E1194" s="99" t="s">
        <v>732</v>
      </c>
      <c r="F1194" s="20">
        <f t="shared" si="18"/>
        <v>445165134</v>
      </c>
      <c r="G1194" s="7" t="s">
        <v>683</v>
      </c>
      <c r="H1194" s="24" t="s">
        <v>614</v>
      </c>
      <c r="I1194" s="32" t="s">
        <v>152</v>
      </c>
      <c r="K1194" s="181"/>
      <c r="L1194" s="181"/>
    </row>
    <row r="1195" spans="1:12" x14ac:dyDescent="0.35">
      <c r="A1195" s="19">
        <v>45813</v>
      </c>
      <c r="B1195" s="20">
        <v>3750000</v>
      </c>
      <c r="C1195" s="20"/>
      <c r="D1195" s="20"/>
      <c r="E1195" s="99" t="s">
        <v>732</v>
      </c>
      <c r="F1195" s="20">
        <f t="shared" si="18"/>
        <v>441415134</v>
      </c>
      <c r="G1195" s="7" t="s">
        <v>654</v>
      </c>
      <c r="H1195" s="24" t="s">
        <v>614</v>
      </c>
      <c r="I1195" s="32" t="s">
        <v>152</v>
      </c>
      <c r="K1195" s="181"/>
      <c r="L1195" s="181"/>
    </row>
    <row r="1196" spans="1:12" x14ac:dyDescent="0.35">
      <c r="A1196" s="19">
        <v>45813</v>
      </c>
      <c r="B1196" s="20">
        <v>6500</v>
      </c>
      <c r="C1196" s="20"/>
      <c r="D1196" s="20"/>
      <c r="E1196" s="99" t="s">
        <v>732</v>
      </c>
      <c r="F1196" s="20">
        <f t="shared" si="18"/>
        <v>441408634</v>
      </c>
      <c r="G1196" s="7" t="s">
        <v>684</v>
      </c>
      <c r="H1196" s="24" t="s">
        <v>614</v>
      </c>
      <c r="I1196" s="32" t="s">
        <v>152</v>
      </c>
      <c r="K1196" s="181"/>
      <c r="L1196" s="181"/>
    </row>
    <row r="1197" spans="1:12" x14ac:dyDescent="0.35">
      <c r="A1197" s="19">
        <v>45813</v>
      </c>
      <c r="B1197" s="20"/>
      <c r="C1197" s="20"/>
      <c r="D1197" s="20">
        <v>10000</v>
      </c>
      <c r="E1197" s="99" t="s">
        <v>732</v>
      </c>
      <c r="F1197" s="20">
        <f t="shared" si="18"/>
        <v>441418634</v>
      </c>
      <c r="G1197" s="7" t="s">
        <v>330</v>
      </c>
      <c r="H1197" s="24" t="s">
        <v>109</v>
      </c>
      <c r="I1197" s="32" t="s">
        <v>152</v>
      </c>
      <c r="K1197" s="181"/>
      <c r="L1197" s="181"/>
    </row>
    <row r="1198" spans="1:12" x14ac:dyDescent="0.35">
      <c r="A1198" s="19">
        <v>45813</v>
      </c>
      <c r="B1198" s="20"/>
      <c r="C1198" s="20"/>
      <c r="D1198" s="20">
        <v>10000</v>
      </c>
      <c r="E1198" s="99" t="s">
        <v>732</v>
      </c>
      <c r="F1198" s="20">
        <f t="shared" si="18"/>
        <v>441428634</v>
      </c>
      <c r="G1198" s="7" t="s">
        <v>330</v>
      </c>
      <c r="H1198" s="24" t="s">
        <v>109</v>
      </c>
      <c r="I1198" s="32" t="s">
        <v>152</v>
      </c>
      <c r="K1198" s="181"/>
      <c r="L1198" s="181"/>
    </row>
    <row r="1199" spans="1:12" x14ac:dyDescent="0.35">
      <c r="A1199" s="19">
        <v>45813</v>
      </c>
      <c r="B1199" s="20"/>
      <c r="C1199" s="20"/>
      <c r="D1199" s="20">
        <v>1750000</v>
      </c>
      <c r="E1199" s="99" t="s">
        <v>732</v>
      </c>
      <c r="F1199" s="20">
        <f t="shared" si="18"/>
        <v>443178634</v>
      </c>
      <c r="G1199" s="7" t="s">
        <v>630</v>
      </c>
      <c r="H1199" s="24" t="s">
        <v>619</v>
      </c>
      <c r="I1199" s="32" t="s">
        <v>152</v>
      </c>
      <c r="K1199" s="181"/>
      <c r="L1199" s="181"/>
    </row>
    <row r="1200" spans="1:12" x14ac:dyDescent="0.35">
      <c r="A1200" s="19">
        <v>45813</v>
      </c>
      <c r="B1200" s="20">
        <v>61250000</v>
      </c>
      <c r="C1200" s="20"/>
      <c r="D1200" s="20"/>
      <c r="E1200" s="99" t="s">
        <v>732</v>
      </c>
      <c r="F1200" s="20">
        <f t="shared" si="18"/>
        <v>381928634</v>
      </c>
      <c r="G1200" s="7" t="s">
        <v>654</v>
      </c>
      <c r="H1200" s="24" t="s">
        <v>614</v>
      </c>
      <c r="I1200" s="32" t="s">
        <v>152</v>
      </c>
      <c r="K1200" s="181"/>
      <c r="L1200" s="181"/>
    </row>
    <row r="1201" spans="1:12" x14ac:dyDescent="0.35">
      <c r="A1201" s="19">
        <v>45813</v>
      </c>
      <c r="B1201" s="20">
        <v>2900</v>
      </c>
      <c r="C1201" s="20"/>
      <c r="D1201" s="20"/>
      <c r="E1201" s="99" t="s">
        <v>732</v>
      </c>
      <c r="F1201" s="20">
        <f t="shared" si="18"/>
        <v>381925734</v>
      </c>
      <c r="G1201" s="7" t="s">
        <v>655</v>
      </c>
      <c r="H1201" s="24" t="s">
        <v>614</v>
      </c>
      <c r="I1201" s="32" t="s">
        <v>152</v>
      </c>
      <c r="K1201" s="181"/>
      <c r="L1201" s="181"/>
    </row>
    <row r="1202" spans="1:12" x14ac:dyDescent="0.35">
      <c r="A1202" s="19">
        <v>45813</v>
      </c>
      <c r="B1202" s="20">
        <v>104750000</v>
      </c>
      <c r="C1202" s="20"/>
      <c r="D1202" s="20"/>
      <c r="E1202" s="99" t="s">
        <v>732</v>
      </c>
      <c r="F1202" s="20">
        <f t="shared" si="18"/>
        <v>277175734</v>
      </c>
      <c r="G1202" s="7" t="s">
        <v>654</v>
      </c>
      <c r="H1202" s="24" t="s">
        <v>614</v>
      </c>
      <c r="I1202" s="32" t="s">
        <v>152</v>
      </c>
      <c r="K1202" s="181"/>
      <c r="L1202" s="181"/>
    </row>
    <row r="1203" spans="1:12" x14ac:dyDescent="0.35">
      <c r="A1203" s="19">
        <v>45813</v>
      </c>
      <c r="B1203" s="20">
        <v>2900</v>
      </c>
      <c r="C1203" s="20"/>
      <c r="D1203" s="20"/>
      <c r="E1203" s="99" t="s">
        <v>732</v>
      </c>
      <c r="F1203" s="20">
        <f t="shared" si="18"/>
        <v>277172834</v>
      </c>
      <c r="G1203" s="7" t="s">
        <v>655</v>
      </c>
      <c r="H1203" s="24" t="s">
        <v>614</v>
      </c>
      <c r="I1203" s="32" t="s">
        <v>152</v>
      </c>
      <c r="K1203" s="181"/>
      <c r="L1203" s="181"/>
    </row>
    <row r="1204" spans="1:12" x14ac:dyDescent="0.35">
      <c r="A1204" s="19">
        <v>45813</v>
      </c>
      <c r="B1204" s="20"/>
      <c r="C1204" s="20"/>
      <c r="D1204" s="20">
        <v>250000</v>
      </c>
      <c r="E1204" s="99" t="s">
        <v>732</v>
      </c>
      <c r="F1204" s="20">
        <f t="shared" si="18"/>
        <v>277422834</v>
      </c>
      <c r="G1204" s="7" t="s">
        <v>685</v>
      </c>
      <c r="H1204" s="24" t="s">
        <v>619</v>
      </c>
      <c r="I1204" s="32" t="s">
        <v>152</v>
      </c>
      <c r="K1204" s="181"/>
      <c r="L1204" s="181"/>
    </row>
    <row r="1205" spans="1:12" x14ac:dyDescent="0.35">
      <c r="A1205" s="19">
        <v>45813</v>
      </c>
      <c r="B1205" s="20"/>
      <c r="C1205" s="20"/>
      <c r="D1205" s="20">
        <v>500000</v>
      </c>
      <c r="E1205" s="99" t="s">
        <v>732</v>
      </c>
      <c r="F1205" s="20">
        <f t="shared" si="18"/>
        <v>277922834</v>
      </c>
      <c r="G1205" s="7" t="s">
        <v>693</v>
      </c>
      <c r="H1205" s="24" t="s">
        <v>619</v>
      </c>
      <c r="I1205" s="32" t="s">
        <v>152</v>
      </c>
      <c r="K1205" s="181"/>
      <c r="L1205" s="181"/>
    </row>
    <row r="1206" spans="1:12" x14ac:dyDescent="0.35">
      <c r="A1206" s="19">
        <v>45813</v>
      </c>
      <c r="B1206" s="20">
        <v>75000000</v>
      </c>
      <c r="C1206" s="20"/>
      <c r="D1206" s="20"/>
      <c r="E1206" s="99" t="s">
        <v>732</v>
      </c>
      <c r="F1206" s="20">
        <f t="shared" si="18"/>
        <v>202922834</v>
      </c>
      <c r="G1206" s="7" t="s">
        <v>694</v>
      </c>
      <c r="H1206" s="24" t="s">
        <v>614</v>
      </c>
      <c r="I1206" s="32" t="s">
        <v>152</v>
      </c>
      <c r="K1206" s="181"/>
      <c r="L1206" s="181"/>
    </row>
    <row r="1207" spans="1:12" x14ac:dyDescent="0.35">
      <c r="A1207" s="19">
        <v>45814</v>
      </c>
      <c r="B1207" s="20"/>
      <c r="C1207" s="20"/>
      <c r="D1207" s="20">
        <v>100000</v>
      </c>
      <c r="E1207" s="99" t="s">
        <v>732</v>
      </c>
      <c r="F1207" s="20">
        <f t="shared" si="18"/>
        <v>203022834</v>
      </c>
      <c r="G1207" s="7" t="s">
        <v>330</v>
      </c>
      <c r="H1207" s="24" t="s">
        <v>109</v>
      </c>
      <c r="I1207" s="32" t="s">
        <v>152</v>
      </c>
      <c r="K1207" s="181"/>
      <c r="L1207" s="181"/>
    </row>
    <row r="1208" spans="1:12" x14ac:dyDescent="0.35">
      <c r="A1208" s="19">
        <v>45814</v>
      </c>
      <c r="B1208" s="20"/>
      <c r="C1208" s="20"/>
      <c r="D1208" s="20">
        <v>10000</v>
      </c>
      <c r="E1208" s="99" t="s">
        <v>732</v>
      </c>
      <c r="F1208" s="20">
        <f t="shared" si="18"/>
        <v>203032834</v>
      </c>
      <c r="G1208" s="7" t="s">
        <v>330</v>
      </c>
      <c r="H1208" s="24" t="s">
        <v>109</v>
      </c>
      <c r="I1208" s="32" t="s">
        <v>152</v>
      </c>
      <c r="K1208" s="181"/>
      <c r="L1208" s="181"/>
    </row>
    <row r="1209" spans="1:12" x14ac:dyDescent="0.35">
      <c r="A1209" s="19">
        <v>45814</v>
      </c>
      <c r="B1209" s="20"/>
      <c r="C1209" s="20"/>
      <c r="D1209" s="20">
        <v>10000</v>
      </c>
      <c r="E1209" s="99" t="s">
        <v>732</v>
      </c>
      <c r="F1209" s="20">
        <f t="shared" si="18"/>
        <v>203042834</v>
      </c>
      <c r="G1209" s="7" t="s">
        <v>330</v>
      </c>
      <c r="H1209" s="24" t="s">
        <v>109</v>
      </c>
      <c r="I1209" s="32" t="s">
        <v>152</v>
      </c>
      <c r="K1209" s="181"/>
      <c r="L1209" s="181"/>
    </row>
    <row r="1210" spans="1:12" x14ac:dyDescent="0.35">
      <c r="A1210" s="19">
        <v>45814</v>
      </c>
      <c r="B1210" s="20"/>
      <c r="C1210" s="20"/>
      <c r="D1210" s="20">
        <v>5000</v>
      </c>
      <c r="E1210" s="99" t="s">
        <v>732</v>
      </c>
      <c r="F1210" s="20">
        <f t="shared" si="18"/>
        <v>203047834</v>
      </c>
      <c r="G1210" s="7" t="s">
        <v>330</v>
      </c>
      <c r="H1210" s="24" t="s">
        <v>109</v>
      </c>
      <c r="I1210" s="32" t="s">
        <v>152</v>
      </c>
      <c r="K1210" s="181"/>
      <c r="L1210" s="181"/>
    </row>
    <row r="1211" spans="1:12" x14ac:dyDescent="0.35">
      <c r="A1211" s="19">
        <v>45814</v>
      </c>
      <c r="B1211" s="20"/>
      <c r="C1211" s="20"/>
      <c r="D1211" s="20">
        <v>1000000</v>
      </c>
      <c r="E1211" s="99" t="s">
        <v>732</v>
      </c>
      <c r="F1211" s="20">
        <f t="shared" si="18"/>
        <v>204047834</v>
      </c>
      <c r="G1211" s="7" t="s">
        <v>561</v>
      </c>
      <c r="H1211" s="24" t="s">
        <v>109</v>
      </c>
      <c r="I1211" s="32" t="s">
        <v>152</v>
      </c>
      <c r="K1211" s="181"/>
      <c r="L1211" s="181"/>
    </row>
    <row r="1212" spans="1:12" x14ac:dyDescent="0.35">
      <c r="A1212" s="19">
        <v>45815</v>
      </c>
      <c r="B1212" s="20">
        <v>750000</v>
      </c>
      <c r="C1212" s="20"/>
      <c r="D1212" s="20"/>
      <c r="E1212" s="99" t="s">
        <v>732</v>
      </c>
      <c r="F1212" s="20">
        <f t="shared" si="18"/>
        <v>203297834</v>
      </c>
      <c r="G1212" s="7" t="s">
        <v>695</v>
      </c>
      <c r="H1212" s="24" t="s">
        <v>323</v>
      </c>
      <c r="I1212" s="32" t="s">
        <v>152</v>
      </c>
      <c r="K1212" s="181"/>
      <c r="L1212" s="181"/>
    </row>
    <row r="1213" spans="1:12" x14ac:dyDescent="0.35">
      <c r="A1213" s="19">
        <v>45815</v>
      </c>
      <c r="B1213" s="20">
        <v>6500</v>
      </c>
      <c r="C1213" s="20"/>
      <c r="D1213" s="20"/>
      <c r="E1213" s="99" t="s">
        <v>732</v>
      </c>
      <c r="F1213" s="20">
        <f t="shared" si="18"/>
        <v>203291334</v>
      </c>
      <c r="G1213" s="7" t="s">
        <v>696</v>
      </c>
      <c r="H1213" s="24" t="s">
        <v>323</v>
      </c>
      <c r="I1213" s="32" t="s">
        <v>152</v>
      </c>
      <c r="K1213" s="181"/>
      <c r="L1213" s="181"/>
    </row>
    <row r="1214" spans="1:12" x14ac:dyDescent="0.35">
      <c r="A1214" s="19">
        <v>45815</v>
      </c>
      <c r="B1214" s="20"/>
      <c r="C1214" s="20"/>
      <c r="D1214" s="20">
        <v>50000</v>
      </c>
      <c r="E1214" s="99" t="s">
        <v>732</v>
      </c>
      <c r="F1214" s="20">
        <f t="shared" si="18"/>
        <v>203341334</v>
      </c>
      <c r="G1214" s="7" t="s">
        <v>330</v>
      </c>
      <c r="H1214" s="24" t="s">
        <v>109</v>
      </c>
      <c r="I1214" s="32" t="s">
        <v>152</v>
      </c>
      <c r="K1214" s="181"/>
      <c r="L1214" s="181"/>
    </row>
    <row r="1215" spans="1:12" x14ac:dyDescent="0.35">
      <c r="A1215" s="19">
        <v>45815</v>
      </c>
      <c r="B1215" s="20"/>
      <c r="C1215" s="20"/>
      <c r="D1215" s="20">
        <v>10000</v>
      </c>
      <c r="E1215" s="99" t="s">
        <v>732</v>
      </c>
      <c r="F1215" s="20">
        <f t="shared" si="18"/>
        <v>203351334</v>
      </c>
      <c r="G1215" s="7" t="s">
        <v>330</v>
      </c>
      <c r="H1215" s="24" t="s">
        <v>109</v>
      </c>
      <c r="I1215" s="32" t="s">
        <v>152</v>
      </c>
      <c r="K1215" s="181"/>
      <c r="L1215" s="181"/>
    </row>
    <row r="1216" spans="1:12" x14ac:dyDescent="0.35">
      <c r="A1216" s="19">
        <v>45815</v>
      </c>
      <c r="B1216" s="20"/>
      <c r="C1216" s="20"/>
      <c r="D1216" s="20">
        <v>50000</v>
      </c>
      <c r="E1216" s="99" t="s">
        <v>732</v>
      </c>
      <c r="F1216" s="20">
        <f t="shared" si="18"/>
        <v>203401334</v>
      </c>
      <c r="G1216" s="7" t="s">
        <v>330</v>
      </c>
      <c r="H1216" s="24" t="s">
        <v>109</v>
      </c>
      <c r="I1216" s="32" t="s">
        <v>152</v>
      </c>
      <c r="K1216" s="181"/>
      <c r="L1216" s="181"/>
    </row>
    <row r="1217" spans="1:12" x14ac:dyDescent="0.35">
      <c r="A1217" s="19">
        <v>45815</v>
      </c>
      <c r="B1217" s="20"/>
      <c r="C1217" s="20"/>
      <c r="D1217" s="20">
        <v>100000</v>
      </c>
      <c r="E1217" s="99" t="s">
        <v>732</v>
      </c>
      <c r="F1217" s="20">
        <f t="shared" si="18"/>
        <v>203501334</v>
      </c>
      <c r="G1217" s="7" t="s">
        <v>330</v>
      </c>
      <c r="H1217" s="24" t="s">
        <v>109</v>
      </c>
      <c r="I1217" s="32" t="s">
        <v>152</v>
      </c>
      <c r="K1217" s="181"/>
      <c r="L1217" s="181"/>
    </row>
    <row r="1218" spans="1:12" x14ac:dyDescent="0.35">
      <c r="A1218" s="19">
        <v>45815</v>
      </c>
      <c r="B1218" s="20"/>
      <c r="C1218" s="20"/>
      <c r="D1218" s="20">
        <v>10000</v>
      </c>
      <c r="E1218" s="99" t="s">
        <v>732</v>
      </c>
      <c r="F1218" s="20">
        <f t="shared" si="18"/>
        <v>203511334</v>
      </c>
      <c r="G1218" s="7" t="s">
        <v>330</v>
      </c>
      <c r="H1218" s="24" t="s">
        <v>109</v>
      </c>
      <c r="I1218" s="32" t="s">
        <v>152</v>
      </c>
      <c r="K1218" s="181"/>
      <c r="L1218" s="181"/>
    </row>
    <row r="1219" spans="1:12" x14ac:dyDescent="0.35">
      <c r="A1219" s="19">
        <v>45815</v>
      </c>
      <c r="B1219" s="20"/>
      <c r="C1219" s="20"/>
      <c r="D1219" s="20">
        <v>110000</v>
      </c>
      <c r="E1219" s="99" t="s">
        <v>732</v>
      </c>
      <c r="F1219" s="20">
        <f t="shared" si="18"/>
        <v>203621334</v>
      </c>
      <c r="G1219" s="7" t="s">
        <v>330</v>
      </c>
      <c r="H1219" s="24" t="s">
        <v>109</v>
      </c>
      <c r="I1219" s="32" t="s">
        <v>152</v>
      </c>
      <c r="K1219" s="181"/>
      <c r="L1219" s="181"/>
    </row>
    <row r="1220" spans="1:12" x14ac:dyDescent="0.35">
      <c r="A1220" s="19">
        <v>45815</v>
      </c>
      <c r="B1220" s="20"/>
      <c r="C1220" s="20"/>
      <c r="D1220" s="20">
        <v>10000</v>
      </c>
      <c r="E1220" s="99" t="s">
        <v>732</v>
      </c>
      <c r="F1220" s="20">
        <f t="shared" si="18"/>
        <v>203631334</v>
      </c>
      <c r="G1220" s="7" t="s">
        <v>330</v>
      </c>
      <c r="H1220" s="24" t="s">
        <v>109</v>
      </c>
      <c r="I1220" s="32" t="s">
        <v>152</v>
      </c>
      <c r="K1220" s="181"/>
      <c r="L1220" s="181"/>
    </row>
    <row r="1221" spans="1:12" x14ac:dyDescent="0.35">
      <c r="A1221" s="19">
        <v>45815</v>
      </c>
      <c r="B1221" s="20"/>
      <c r="C1221" s="20"/>
      <c r="D1221" s="20">
        <v>4250000</v>
      </c>
      <c r="E1221" s="99" t="s">
        <v>732</v>
      </c>
      <c r="F1221" s="20">
        <f t="shared" si="18"/>
        <v>207881334</v>
      </c>
      <c r="G1221" s="7" t="s">
        <v>697</v>
      </c>
      <c r="H1221" s="24" t="s">
        <v>619</v>
      </c>
      <c r="I1221" s="32" t="s">
        <v>152</v>
      </c>
      <c r="K1221" s="181"/>
      <c r="L1221" s="181"/>
    </row>
    <row r="1222" spans="1:12" x14ac:dyDescent="0.35">
      <c r="A1222" s="19">
        <v>45816</v>
      </c>
      <c r="B1222" s="20">
        <v>750000</v>
      </c>
      <c r="C1222" s="20"/>
      <c r="D1222" s="20"/>
      <c r="E1222" s="99" t="s">
        <v>732</v>
      </c>
      <c r="F1222" s="20">
        <f t="shared" ref="F1222:F1287" si="19">+F1221+D1222-B1222</f>
        <v>207131334</v>
      </c>
      <c r="G1222" s="7" t="s">
        <v>276</v>
      </c>
      <c r="H1222" s="24" t="s">
        <v>323</v>
      </c>
      <c r="I1222" s="32" t="s">
        <v>152</v>
      </c>
      <c r="K1222" s="181"/>
      <c r="L1222" s="181"/>
    </row>
    <row r="1223" spans="1:12" x14ac:dyDescent="0.35">
      <c r="A1223" s="19">
        <v>45816</v>
      </c>
      <c r="B1223" s="20"/>
      <c r="C1223" s="20"/>
      <c r="D1223" s="20">
        <v>200000</v>
      </c>
      <c r="E1223" s="99" t="s">
        <v>732</v>
      </c>
      <c r="F1223" s="20">
        <f t="shared" si="19"/>
        <v>207331334</v>
      </c>
      <c r="G1223" s="7" t="s">
        <v>531</v>
      </c>
      <c r="H1223" s="24" t="s">
        <v>109</v>
      </c>
      <c r="I1223" s="32" t="s">
        <v>152</v>
      </c>
      <c r="K1223" s="181"/>
      <c r="L1223" s="181"/>
    </row>
    <row r="1224" spans="1:12" x14ac:dyDescent="0.35">
      <c r="A1224" s="19">
        <v>45816</v>
      </c>
      <c r="B1224" s="20"/>
      <c r="C1224" s="20"/>
      <c r="D1224" s="20">
        <v>10000</v>
      </c>
      <c r="E1224" s="99" t="s">
        <v>732</v>
      </c>
      <c r="F1224" s="20">
        <f t="shared" si="19"/>
        <v>207341334</v>
      </c>
      <c r="G1224" s="7" t="s">
        <v>330</v>
      </c>
      <c r="H1224" s="24" t="s">
        <v>109</v>
      </c>
      <c r="I1224" s="32" t="s">
        <v>152</v>
      </c>
      <c r="K1224" s="181"/>
      <c r="L1224" s="181"/>
    </row>
    <row r="1225" spans="1:12" x14ac:dyDescent="0.35">
      <c r="A1225" s="19">
        <v>45816</v>
      </c>
      <c r="B1225" s="20"/>
      <c r="C1225" s="20"/>
      <c r="D1225" s="20">
        <v>25000</v>
      </c>
      <c r="E1225" s="99" t="s">
        <v>732</v>
      </c>
      <c r="F1225" s="20">
        <f t="shared" si="19"/>
        <v>207366334</v>
      </c>
      <c r="G1225" s="7" t="s">
        <v>330</v>
      </c>
      <c r="H1225" s="24" t="s">
        <v>109</v>
      </c>
      <c r="I1225" s="32" t="s">
        <v>152</v>
      </c>
      <c r="K1225" s="181"/>
      <c r="L1225" s="181"/>
    </row>
    <row r="1226" spans="1:12" x14ac:dyDescent="0.35">
      <c r="A1226" s="19">
        <v>45817</v>
      </c>
      <c r="B1226" s="20"/>
      <c r="C1226" s="20"/>
      <c r="D1226" s="20">
        <v>10000</v>
      </c>
      <c r="E1226" s="99" t="s">
        <v>732</v>
      </c>
      <c r="F1226" s="20">
        <f t="shared" si="19"/>
        <v>207376334</v>
      </c>
      <c r="G1226" s="7" t="s">
        <v>330</v>
      </c>
      <c r="H1226" s="24" t="s">
        <v>109</v>
      </c>
      <c r="I1226" s="32" t="s">
        <v>152</v>
      </c>
      <c r="K1226" s="181"/>
      <c r="L1226" s="181"/>
    </row>
    <row r="1227" spans="1:12" x14ac:dyDescent="0.35">
      <c r="A1227" s="19">
        <v>45817</v>
      </c>
      <c r="B1227" s="20"/>
      <c r="C1227" s="20"/>
      <c r="D1227" s="20">
        <v>25000</v>
      </c>
      <c r="E1227" s="99" t="s">
        <v>732</v>
      </c>
      <c r="F1227" s="20">
        <f t="shared" si="19"/>
        <v>207401334</v>
      </c>
      <c r="G1227" s="7" t="s">
        <v>330</v>
      </c>
      <c r="H1227" s="24" t="s">
        <v>109</v>
      </c>
      <c r="I1227" s="32" t="s">
        <v>152</v>
      </c>
      <c r="K1227" s="181"/>
      <c r="L1227" s="181"/>
    </row>
    <row r="1228" spans="1:12" x14ac:dyDescent="0.35">
      <c r="A1228" s="19"/>
      <c r="B1228" s="20"/>
      <c r="C1228" s="20"/>
      <c r="D1228" s="214">
        <v>7900900</v>
      </c>
      <c r="E1228" s="99" t="s">
        <v>732</v>
      </c>
      <c r="F1228" s="20">
        <f t="shared" si="19"/>
        <v>215302234</v>
      </c>
      <c r="G1228" s="7" t="s">
        <v>705</v>
      </c>
      <c r="H1228" s="24" t="s">
        <v>109</v>
      </c>
      <c r="I1228" s="32" t="s">
        <v>152</v>
      </c>
      <c r="K1228" s="181"/>
      <c r="L1228" s="181"/>
    </row>
    <row r="1229" spans="1:12" x14ac:dyDescent="0.35">
      <c r="A1229" s="19"/>
      <c r="B1229" s="20"/>
      <c r="C1229" s="20"/>
      <c r="D1229" s="214">
        <f>C1230-D1228</f>
        <v>4645100</v>
      </c>
      <c r="E1229" s="99" t="s">
        <v>732</v>
      </c>
      <c r="F1229" s="20">
        <f t="shared" si="19"/>
        <v>219947334</v>
      </c>
      <c r="G1229" s="7" t="s">
        <v>705</v>
      </c>
      <c r="H1229" s="24" t="s">
        <v>619</v>
      </c>
      <c r="I1229" s="32" t="s">
        <v>152</v>
      </c>
      <c r="K1229" s="181"/>
      <c r="L1229" s="181"/>
    </row>
    <row r="1230" spans="1:12" x14ac:dyDescent="0.35">
      <c r="A1230" s="19">
        <v>45817</v>
      </c>
      <c r="B1230" s="20"/>
      <c r="C1230" s="20">
        <v>12546000</v>
      </c>
      <c r="D1230" s="20"/>
      <c r="E1230" s="99"/>
      <c r="F1230" s="20">
        <f t="shared" si="19"/>
        <v>219947334</v>
      </c>
      <c r="G1230" s="7" t="s">
        <v>705</v>
      </c>
      <c r="H1230" s="24"/>
      <c r="I1230" s="32"/>
      <c r="K1230" s="181"/>
      <c r="L1230" s="181"/>
    </row>
    <row r="1231" spans="1:12" x14ac:dyDescent="0.35">
      <c r="A1231" s="19">
        <v>45818</v>
      </c>
      <c r="B1231" s="20"/>
      <c r="C1231" s="20"/>
      <c r="D1231" s="20">
        <v>10000</v>
      </c>
      <c r="E1231" s="99" t="s">
        <v>732</v>
      </c>
      <c r="F1231" s="20">
        <f t="shared" si="19"/>
        <v>219957334</v>
      </c>
      <c r="G1231" s="7" t="s">
        <v>330</v>
      </c>
      <c r="H1231" s="24" t="s">
        <v>109</v>
      </c>
      <c r="I1231" s="32" t="s">
        <v>152</v>
      </c>
      <c r="K1231" s="181"/>
      <c r="L1231" s="181"/>
    </row>
    <row r="1232" spans="1:12" x14ac:dyDescent="0.35">
      <c r="A1232" s="19">
        <v>45818</v>
      </c>
      <c r="B1232" s="20"/>
      <c r="C1232" s="20"/>
      <c r="D1232" s="20">
        <v>10000</v>
      </c>
      <c r="E1232" s="99" t="s">
        <v>732</v>
      </c>
      <c r="F1232" s="20">
        <f t="shared" si="19"/>
        <v>219967334</v>
      </c>
      <c r="G1232" s="7" t="s">
        <v>330</v>
      </c>
      <c r="H1232" s="24" t="s">
        <v>109</v>
      </c>
      <c r="I1232" s="32" t="s">
        <v>152</v>
      </c>
      <c r="K1232" s="181"/>
      <c r="L1232" s="181"/>
    </row>
    <row r="1233" spans="1:12" x14ac:dyDescent="0.35">
      <c r="A1233" s="19">
        <v>45819</v>
      </c>
      <c r="B1233" s="20"/>
      <c r="C1233" s="20"/>
      <c r="D1233" s="20">
        <v>10000</v>
      </c>
      <c r="E1233" s="99" t="s">
        <v>732</v>
      </c>
      <c r="F1233" s="20">
        <f t="shared" si="19"/>
        <v>219977334</v>
      </c>
      <c r="G1233" s="7" t="s">
        <v>330</v>
      </c>
      <c r="H1233" s="24" t="s">
        <v>109</v>
      </c>
      <c r="I1233" s="32" t="s">
        <v>152</v>
      </c>
      <c r="K1233" s="181"/>
      <c r="L1233" s="181"/>
    </row>
    <row r="1234" spans="1:12" x14ac:dyDescent="0.35">
      <c r="A1234" s="19">
        <v>45819</v>
      </c>
      <c r="B1234" s="20">
        <v>4150000</v>
      </c>
      <c r="C1234" s="20"/>
      <c r="D1234" s="20"/>
      <c r="E1234" s="99" t="s">
        <v>732</v>
      </c>
      <c r="F1234" s="20">
        <f t="shared" si="19"/>
        <v>215827334</v>
      </c>
      <c r="G1234" s="7" t="s">
        <v>706</v>
      </c>
      <c r="H1234" s="24" t="s">
        <v>499</v>
      </c>
      <c r="I1234" s="32" t="s">
        <v>152</v>
      </c>
      <c r="K1234" s="181"/>
      <c r="L1234" s="181"/>
    </row>
    <row r="1235" spans="1:12" x14ac:dyDescent="0.35">
      <c r="A1235" s="19">
        <v>45819</v>
      </c>
      <c r="B1235" s="20">
        <v>2900</v>
      </c>
      <c r="C1235" s="20"/>
      <c r="D1235" s="20"/>
      <c r="E1235" s="99" t="s">
        <v>732</v>
      </c>
      <c r="F1235" s="20">
        <f t="shared" si="19"/>
        <v>215824434</v>
      </c>
      <c r="G1235" s="7" t="s">
        <v>707</v>
      </c>
      <c r="H1235" s="24" t="s">
        <v>499</v>
      </c>
      <c r="I1235" s="32" t="s">
        <v>152</v>
      </c>
      <c r="K1235" s="181"/>
      <c r="L1235" s="181"/>
    </row>
    <row r="1236" spans="1:12" x14ac:dyDescent="0.35">
      <c r="A1236" s="19">
        <v>45819</v>
      </c>
      <c r="B1236" s="20"/>
      <c r="C1236" s="20"/>
      <c r="D1236" s="20">
        <v>4215000</v>
      </c>
      <c r="E1236" s="99" t="s">
        <v>732</v>
      </c>
      <c r="F1236" s="20">
        <f t="shared" si="19"/>
        <v>220039434</v>
      </c>
      <c r="G1236" s="7" t="s">
        <v>708</v>
      </c>
      <c r="H1236" s="24" t="s">
        <v>107</v>
      </c>
      <c r="I1236" s="32" t="s">
        <v>152</v>
      </c>
      <c r="K1236" s="181"/>
      <c r="L1236" s="181"/>
    </row>
    <row r="1237" spans="1:12" x14ac:dyDescent="0.35">
      <c r="A1237" s="19">
        <v>45819</v>
      </c>
      <c r="B1237" s="20"/>
      <c r="C1237" s="20"/>
      <c r="D1237" s="20">
        <v>720000</v>
      </c>
      <c r="E1237" s="99" t="s">
        <v>732</v>
      </c>
      <c r="F1237" s="20">
        <f t="shared" si="19"/>
        <v>220759434</v>
      </c>
      <c r="G1237" s="7" t="s">
        <v>709</v>
      </c>
      <c r="H1237" s="24" t="s">
        <v>109</v>
      </c>
      <c r="I1237" s="32" t="s">
        <v>152</v>
      </c>
      <c r="K1237" s="181"/>
      <c r="L1237" s="181"/>
    </row>
    <row r="1238" spans="1:12" x14ac:dyDescent="0.35">
      <c r="A1238" s="19"/>
      <c r="B1238" s="20"/>
      <c r="C1238" s="20">
        <v>4935000</v>
      </c>
      <c r="D1238" s="20"/>
      <c r="E1238" s="99"/>
      <c r="F1238" s="20">
        <f t="shared" si="19"/>
        <v>220759434</v>
      </c>
      <c r="G1238" s="7" t="s">
        <v>305</v>
      </c>
      <c r="H1238" s="24"/>
      <c r="I1238" s="32"/>
      <c r="K1238" s="181"/>
      <c r="L1238" s="181"/>
    </row>
    <row r="1239" spans="1:12" x14ac:dyDescent="0.35">
      <c r="A1239" s="19">
        <v>45819</v>
      </c>
      <c r="B1239" s="20"/>
      <c r="C1239" s="20"/>
      <c r="D1239" s="20">
        <v>150000</v>
      </c>
      <c r="E1239" s="99" t="s">
        <v>732</v>
      </c>
      <c r="F1239" s="20">
        <f t="shared" si="19"/>
        <v>220909434</v>
      </c>
      <c r="G1239" s="7" t="s">
        <v>603</v>
      </c>
      <c r="H1239" s="24" t="s">
        <v>109</v>
      </c>
      <c r="I1239" s="32" t="s">
        <v>152</v>
      </c>
      <c r="K1239" s="181"/>
      <c r="L1239" s="181"/>
    </row>
    <row r="1240" spans="1:12" x14ac:dyDescent="0.35">
      <c r="A1240" s="19">
        <v>45819</v>
      </c>
      <c r="B1240" s="20">
        <v>2000000</v>
      </c>
      <c r="C1240" s="20"/>
      <c r="D1240" s="20"/>
      <c r="E1240" s="99" t="s">
        <v>732</v>
      </c>
      <c r="F1240" s="20">
        <f t="shared" si="19"/>
        <v>218909434</v>
      </c>
      <c r="G1240" s="7" t="s">
        <v>712</v>
      </c>
      <c r="H1240" s="24" t="s">
        <v>322</v>
      </c>
      <c r="I1240" s="32" t="s">
        <v>152</v>
      </c>
      <c r="K1240" s="181"/>
      <c r="L1240" s="181"/>
    </row>
    <row r="1241" spans="1:12" x14ac:dyDescent="0.35">
      <c r="A1241" s="19">
        <v>45819</v>
      </c>
      <c r="B1241" s="20">
        <v>6500</v>
      </c>
      <c r="C1241" s="20"/>
      <c r="D1241" s="20"/>
      <c r="E1241" s="99" t="s">
        <v>732</v>
      </c>
      <c r="F1241" s="20">
        <f t="shared" si="19"/>
        <v>218902934</v>
      </c>
      <c r="G1241" s="7" t="s">
        <v>713</v>
      </c>
      <c r="H1241" s="24" t="s">
        <v>322</v>
      </c>
      <c r="I1241" s="32" t="s">
        <v>152</v>
      </c>
      <c r="K1241" s="181"/>
      <c r="L1241" s="181"/>
    </row>
    <row r="1242" spans="1:12" x14ac:dyDescent="0.35">
      <c r="A1242" s="19">
        <v>45820</v>
      </c>
      <c r="B1242" s="20"/>
      <c r="C1242" s="20"/>
      <c r="D1242" s="20">
        <v>10000</v>
      </c>
      <c r="E1242" s="99" t="s">
        <v>732</v>
      </c>
      <c r="F1242" s="20">
        <f t="shared" si="19"/>
        <v>218912934</v>
      </c>
      <c r="G1242" s="7" t="s">
        <v>330</v>
      </c>
      <c r="H1242" s="24" t="s">
        <v>109</v>
      </c>
      <c r="I1242" s="32" t="s">
        <v>152</v>
      </c>
      <c r="K1242" s="181"/>
      <c r="L1242" s="181"/>
    </row>
    <row r="1243" spans="1:12" x14ac:dyDescent="0.35">
      <c r="A1243" s="19">
        <v>45820</v>
      </c>
      <c r="B1243" s="20"/>
      <c r="C1243" s="20"/>
      <c r="D1243" s="20">
        <v>1184200</v>
      </c>
      <c r="E1243" s="99" t="s">
        <v>732</v>
      </c>
      <c r="F1243" s="20">
        <f t="shared" si="19"/>
        <v>220097134</v>
      </c>
      <c r="G1243" s="7" t="s">
        <v>710</v>
      </c>
      <c r="H1243" s="24" t="s">
        <v>613</v>
      </c>
      <c r="I1243" s="32" t="s">
        <v>152</v>
      </c>
      <c r="K1243" s="181"/>
      <c r="L1243" s="181"/>
    </row>
    <row r="1244" spans="1:12" x14ac:dyDescent="0.35">
      <c r="A1244" s="19">
        <v>45820</v>
      </c>
      <c r="B1244" s="20"/>
      <c r="C1244" s="20"/>
      <c r="D1244" s="20">
        <v>500000</v>
      </c>
      <c r="E1244" s="99" t="s">
        <v>732</v>
      </c>
      <c r="F1244" s="20">
        <f t="shared" si="19"/>
        <v>220597134</v>
      </c>
      <c r="G1244" s="7" t="s">
        <v>711</v>
      </c>
      <c r="H1244" s="24" t="s">
        <v>613</v>
      </c>
      <c r="I1244" s="32" t="s">
        <v>152</v>
      </c>
      <c r="K1244" s="181"/>
      <c r="L1244" s="181"/>
    </row>
    <row r="1245" spans="1:12" x14ac:dyDescent="0.35">
      <c r="A1245" s="19">
        <v>45821</v>
      </c>
      <c r="B1245" s="20"/>
      <c r="C1245" s="20"/>
      <c r="D1245" s="20">
        <v>2000000</v>
      </c>
      <c r="E1245" s="99" t="s">
        <v>732</v>
      </c>
      <c r="F1245" s="20">
        <f t="shared" si="19"/>
        <v>222597134</v>
      </c>
      <c r="G1245" s="7" t="s">
        <v>350</v>
      </c>
      <c r="H1245" s="24" t="s">
        <v>109</v>
      </c>
      <c r="I1245" s="32" t="s">
        <v>152</v>
      </c>
      <c r="K1245" s="181"/>
      <c r="L1245" s="181"/>
    </row>
    <row r="1246" spans="1:12" x14ac:dyDescent="0.35">
      <c r="A1246" s="19">
        <v>45821</v>
      </c>
      <c r="B1246" s="20"/>
      <c r="C1246" s="20"/>
      <c r="D1246" s="20">
        <v>5000</v>
      </c>
      <c r="E1246" s="99" t="s">
        <v>732</v>
      </c>
      <c r="F1246" s="20">
        <f t="shared" si="19"/>
        <v>222602134</v>
      </c>
      <c r="G1246" s="7" t="s">
        <v>330</v>
      </c>
      <c r="H1246" s="24" t="s">
        <v>109</v>
      </c>
      <c r="I1246" s="32" t="s">
        <v>152</v>
      </c>
      <c r="K1246" s="181"/>
      <c r="L1246" s="181"/>
    </row>
    <row r="1247" spans="1:12" x14ac:dyDescent="0.35">
      <c r="A1247" s="19">
        <v>45821</v>
      </c>
      <c r="B1247" s="20"/>
      <c r="C1247" s="20"/>
      <c r="D1247" s="20">
        <v>10000</v>
      </c>
      <c r="E1247" s="99" t="s">
        <v>732</v>
      </c>
      <c r="F1247" s="20">
        <f t="shared" si="19"/>
        <v>222612134</v>
      </c>
      <c r="G1247" s="7" t="s">
        <v>330</v>
      </c>
      <c r="H1247" s="24" t="s">
        <v>109</v>
      </c>
      <c r="I1247" s="32" t="s">
        <v>152</v>
      </c>
      <c r="K1247" s="181"/>
      <c r="L1247" s="181"/>
    </row>
    <row r="1248" spans="1:12" x14ac:dyDescent="0.35">
      <c r="A1248" s="19">
        <v>45822</v>
      </c>
      <c r="B1248" s="20">
        <v>750000</v>
      </c>
      <c r="C1248" s="20"/>
      <c r="D1248" s="20"/>
      <c r="E1248" s="99" t="s">
        <v>732</v>
      </c>
      <c r="F1248" s="20">
        <f t="shared" si="19"/>
        <v>221862134</v>
      </c>
      <c r="G1248" s="7" t="s">
        <v>620</v>
      </c>
      <c r="H1248" s="24" t="s">
        <v>323</v>
      </c>
      <c r="I1248" s="32" t="s">
        <v>152</v>
      </c>
      <c r="K1248" s="181"/>
      <c r="L1248" s="181"/>
    </row>
    <row r="1249" spans="1:12" x14ac:dyDescent="0.35">
      <c r="A1249" s="19">
        <v>45822</v>
      </c>
      <c r="B1249" s="20">
        <v>6500</v>
      </c>
      <c r="C1249" s="20"/>
      <c r="D1249" s="20"/>
      <c r="E1249" s="99" t="s">
        <v>732</v>
      </c>
      <c r="F1249" s="20">
        <f t="shared" si="19"/>
        <v>221855634</v>
      </c>
      <c r="G1249" s="7" t="s">
        <v>621</v>
      </c>
      <c r="H1249" s="24" t="s">
        <v>323</v>
      </c>
      <c r="I1249" s="32" t="s">
        <v>152</v>
      </c>
      <c r="K1249" s="181"/>
      <c r="L1249" s="181"/>
    </row>
    <row r="1250" spans="1:12" x14ac:dyDescent="0.35">
      <c r="A1250" s="19">
        <v>45822</v>
      </c>
      <c r="B1250" s="20"/>
      <c r="C1250" s="20"/>
      <c r="D1250" s="20">
        <v>50000</v>
      </c>
      <c r="E1250" s="99" t="s">
        <v>732</v>
      </c>
      <c r="F1250" s="20">
        <f t="shared" si="19"/>
        <v>221905634</v>
      </c>
      <c r="G1250" s="7" t="s">
        <v>330</v>
      </c>
      <c r="H1250" s="24" t="s">
        <v>109</v>
      </c>
      <c r="I1250" s="32" t="s">
        <v>152</v>
      </c>
      <c r="K1250" s="181"/>
      <c r="L1250" s="181"/>
    </row>
    <row r="1251" spans="1:12" x14ac:dyDescent="0.35">
      <c r="A1251" s="19">
        <v>45822</v>
      </c>
      <c r="B1251" s="20"/>
      <c r="C1251" s="20"/>
      <c r="D1251" s="20">
        <v>50000</v>
      </c>
      <c r="E1251" s="99" t="s">
        <v>732</v>
      </c>
      <c r="F1251" s="20">
        <f t="shared" si="19"/>
        <v>221955634</v>
      </c>
      <c r="G1251" s="7" t="s">
        <v>330</v>
      </c>
      <c r="H1251" s="24" t="s">
        <v>109</v>
      </c>
      <c r="I1251" s="32" t="s">
        <v>152</v>
      </c>
      <c r="K1251" s="181"/>
      <c r="L1251" s="181"/>
    </row>
    <row r="1252" spans="1:12" x14ac:dyDescent="0.35">
      <c r="A1252" s="19">
        <v>45822</v>
      </c>
      <c r="B1252" s="20"/>
      <c r="C1252" s="20"/>
      <c r="D1252" s="20">
        <v>25000</v>
      </c>
      <c r="E1252" s="99" t="s">
        <v>732</v>
      </c>
      <c r="F1252" s="20">
        <f t="shared" si="19"/>
        <v>221980634</v>
      </c>
      <c r="G1252" s="7" t="s">
        <v>330</v>
      </c>
      <c r="H1252" s="24" t="s">
        <v>109</v>
      </c>
      <c r="I1252" s="32" t="s">
        <v>152</v>
      </c>
      <c r="K1252" s="181"/>
      <c r="L1252" s="181"/>
    </row>
    <row r="1253" spans="1:12" x14ac:dyDescent="0.35">
      <c r="A1253" s="19">
        <v>45822</v>
      </c>
      <c r="B1253" s="20"/>
      <c r="C1253" s="20"/>
      <c r="D1253" s="20">
        <v>50000</v>
      </c>
      <c r="E1253" s="99" t="s">
        <v>732</v>
      </c>
      <c r="F1253" s="20">
        <f t="shared" si="19"/>
        <v>222030634</v>
      </c>
      <c r="G1253" s="7" t="s">
        <v>330</v>
      </c>
      <c r="H1253" s="24" t="s">
        <v>109</v>
      </c>
      <c r="I1253" s="32" t="s">
        <v>152</v>
      </c>
      <c r="K1253" s="181"/>
      <c r="L1253" s="181"/>
    </row>
    <row r="1254" spans="1:12" x14ac:dyDescent="0.35">
      <c r="A1254" s="19">
        <v>45822</v>
      </c>
      <c r="B1254" s="20"/>
      <c r="C1254" s="20"/>
      <c r="D1254" s="20">
        <v>20000</v>
      </c>
      <c r="E1254" s="99" t="s">
        <v>732</v>
      </c>
      <c r="F1254" s="20">
        <f t="shared" si="19"/>
        <v>222050634</v>
      </c>
      <c r="G1254" s="7" t="s">
        <v>330</v>
      </c>
      <c r="H1254" s="24" t="s">
        <v>109</v>
      </c>
      <c r="I1254" s="32" t="s">
        <v>152</v>
      </c>
      <c r="K1254" s="181"/>
      <c r="L1254" s="181"/>
    </row>
    <row r="1255" spans="1:12" x14ac:dyDescent="0.35">
      <c r="A1255" s="19">
        <v>45822</v>
      </c>
      <c r="B1255" s="20"/>
      <c r="C1255" s="20"/>
      <c r="D1255" s="20">
        <v>10000</v>
      </c>
      <c r="E1255" s="99" t="s">
        <v>732</v>
      </c>
      <c r="F1255" s="20">
        <f t="shared" si="19"/>
        <v>222060634</v>
      </c>
      <c r="G1255" s="7" t="s">
        <v>330</v>
      </c>
      <c r="H1255" s="24" t="s">
        <v>109</v>
      </c>
      <c r="I1255" s="32" t="s">
        <v>152</v>
      </c>
      <c r="K1255" s="181"/>
      <c r="L1255" s="181"/>
    </row>
    <row r="1256" spans="1:12" x14ac:dyDescent="0.35">
      <c r="A1256" s="19">
        <v>45822</v>
      </c>
      <c r="B1256" s="20"/>
      <c r="C1256" s="20"/>
      <c r="D1256" s="20">
        <v>1011</v>
      </c>
      <c r="E1256" s="99" t="s">
        <v>732</v>
      </c>
      <c r="F1256" s="20">
        <f t="shared" si="19"/>
        <v>222061645</v>
      </c>
      <c r="G1256" s="7" t="s">
        <v>330</v>
      </c>
      <c r="H1256" s="24" t="s">
        <v>109</v>
      </c>
      <c r="I1256" s="32" t="s">
        <v>152</v>
      </c>
      <c r="K1256" s="181"/>
      <c r="L1256" s="181"/>
    </row>
    <row r="1257" spans="1:12" x14ac:dyDescent="0.35">
      <c r="A1257" s="19">
        <v>45822</v>
      </c>
      <c r="B1257" s="20"/>
      <c r="C1257" s="20"/>
      <c r="D1257" s="20">
        <v>10000</v>
      </c>
      <c r="E1257" s="99" t="s">
        <v>732</v>
      </c>
      <c r="F1257" s="20">
        <f t="shared" si="19"/>
        <v>222071645</v>
      </c>
      <c r="G1257" s="7" t="s">
        <v>330</v>
      </c>
      <c r="H1257" s="24" t="s">
        <v>109</v>
      </c>
      <c r="I1257" s="32" t="s">
        <v>152</v>
      </c>
      <c r="K1257" s="181"/>
      <c r="L1257" s="181"/>
    </row>
    <row r="1258" spans="1:12" x14ac:dyDescent="0.35">
      <c r="A1258" s="19">
        <v>45822</v>
      </c>
      <c r="B1258" s="20"/>
      <c r="C1258" s="20"/>
      <c r="D1258" s="20">
        <v>10000</v>
      </c>
      <c r="E1258" s="99" t="s">
        <v>732</v>
      </c>
      <c r="F1258" s="20">
        <f t="shared" si="19"/>
        <v>222081645</v>
      </c>
      <c r="G1258" s="7" t="s">
        <v>330</v>
      </c>
      <c r="H1258" s="24" t="s">
        <v>109</v>
      </c>
      <c r="I1258" s="32" t="s">
        <v>152</v>
      </c>
      <c r="K1258" s="181"/>
      <c r="L1258" s="181"/>
    </row>
    <row r="1259" spans="1:12" x14ac:dyDescent="0.35">
      <c r="A1259" s="19">
        <v>45823</v>
      </c>
      <c r="B1259" s="20"/>
      <c r="C1259" s="20"/>
      <c r="D1259" s="20">
        <v>50000</v>
      </c>
      <c r="E1259" s="99" t="s">
        <v>732</v>
      </c>
      <c r="F1259" s="20">
        <f t="shared" si="19"/>
        <v>222131645</v>
      </c>
      <c r="G1259" s="7" t="s">
        <v>330</v>
      </c>
      <c r="H1259" s="24" t="s">
        <v>109</v>
      </c>
      <c r="I1259" s="32" t="s">
        <v>152</v>
      </c>
      <c r="K1259" s="181"/>
      <c r="L1259" s="181"/>
    </row>
    <row r="1260" spans="1:12" x14ac:dyDescent="0.35">
      <c r="A1260" s="19">
        <v>45823</v>
      </c>
      <c r="B1260" s="20"/>
      <c r="C1260" s="20"/>
      <c r="D1260" s="20">
        <v>20000</v>
      </c>
      <c r="E1260" s="99" t="s">
        <v>732</v>
      </c>
      <c r="F1260" s="20">
        <f t="shared" si="19"/>
        <v>222151645</v>
      </c>
      <c r="G1260" s="7" t="s">
        <v>330</v>
      </c>
      <c r="H1260" s="24" t="s">
        <v>109</v>
      </c>
      <c r="I1260" s="32" t="s">
        <v>152</v>
      </c>
      <c r="K1260" s="181"/>
      <c r="L1260" s="181"/>
    </row>
    <row r="1261" spans="1:12" x14ac:dyDescent="0.35">
      <c r="A1261" s="19">
        <v>45823</v>
      </c>
      <c r="B1261" s="20"/>
      <c r="C1261" s="20"/>
      <c r="D1261" s="20">
        <v>10000</v>
      </c>
      <c r="E1261" s="99" t="s">
        <v>732</v>
      </c>
      <c r="F1261" s="20">
        <f t="shared" si="19"/>
        <v>222161645</v>
      </c>
      <c r="G1261" s="7" t="s">
        <v>330</v>
      </c>
      <c r="H1261" s="24" t="s">
        <v>109</v>
      </c>
      <c r="I1261" s="32" t="s">
        <v>152</v>
      </c>
      <c r="K1261" s="181"/>
      <c r="L1261" s="181"/>
    </row>
    <row r="1262" spans="1:12" x14ac:dyDescent="0.35">
      <c r="A1262" s="19">
        <v>45823</v>
      </c>
      <c r="B1262" s="20">
        <v>750000</v>
      </c>
      <c r="C1262" s="20"/>
      <c r="D1262" s="20"/>
      <c r="E1262" s="99" t="s">
        <v>732</v>
      </c>
      <c r="F1262" s="20">
        <f t="shared" si="19"/>
        <v>221411645</v>
      </c>
      <c r="G1262" s="7" t="s">
        <v>714</v>
      </c>
      <c r="H1262" s="24" t="s">
        <v>323</v>
      </c>
      <c r="I1262" s="32" t="s">
        <v>152</v>
      </c>
      <c r="K1262" s="181"/>
      <c r="L1262" s="181"/>
    </row>
    <row r="1263" spans="1:12" x14ac:dyDescent="0.35">
      <c r="A1263" s="19">
        <v>45823</v>
      </c>
      <c r="B1263" s="20">
        <v>6500</v>
      </c>
      <c r="C1263" s="20"/>
      <c r="D1263" s="20"/>
      <c r="E1263" s="99" t="s">
        <v>732</v>
      </c>
      <c r="F1263" s="20">
        <f t="shared" si="19"/>
        <v>221405145</v>
      </c>
      <c r="G1263" s="7" t="s">
        <v>715</v>
      </c>
      <c r="H1263" s="24" t="s">
        <v>323</v>
      </c>
      <c r="I1263" s="32" t="s">
        <v>152</v>
      </c>
      <c r="K1263" s="181"/>
      <c r="L1263" s="181"/>
    </row>
    <row r="1264" spans="1:12" x14ac:dyDescent="0.35">
      <c r="A1264" s="19">
        <v>45823</v>
      </c>
      <c r="B1264" s="20"/>
      <c r="C1264" s="20"/>
      <c r="D1264" s="20">
        <v>800000</v>
      </c>
      <c r="E1264" s="99" t="s">
        <v>732</v>
      </c>
      <c r="F1264" s="20">
        <f t="shared" si="19"/>
        <v>222205145</v>
      </c>
      <c r="G1264" s="7" t="s">
        <v>610</v>
      </c>
      <c r="H1264" s="24" t="s">
        <v>140</v>
      </c>
      <c r="I1264" s="32" t="s">
        <v>152</v>
      </c>
      <c r="K1264" s="181"/>
      <c r="L1264" s="181"/>
    </row>
    <row r="1265" spans="1:12" x14ac:dyDescent="0.35">
      <c r="A1265" s="19">
        <v>45824</v>
      </c>
      <c r="B1265" s="20"/>
      <c r="C1265" s="20"/>
      <c r="D1265" s="20">
        <v>20000</v>
      </c>
      <c r="E1265" s="99" t="s">
        <v>732</v>
      </c>
      <c r="F1265" s="20">
        <f t="shared" si="19"/>
        <v>222225145</v>
      </c>
      <c r="G1265" s="7" t="s">
        <v>330</v>
      </c>
      <c r="H1265" s="24" t="s">
        <v>109</v>
      </c>
      <c r="I1265" s="32" t="s">
        <v>152</v>
      </c>
      <c r="K1265" s="181"/>
      <c r="L1265" s="181"/>
    </row>
    <row r="1266" spans="1:12" x14ac:dyDescent="0.35">
      <c r="A1266" s="19">
        <v>45824</v>
      </c>
      <c r="B1266" s="20"/>
      <c r="C1266" s="20"/>
      <c r="D1266" s="20">
        <v>10000</v>
      </c>
      <c r="E1266" s="99" t="s">
        <v>732</v>
      </c>
      <c r="F1266" s="20">
        <f t="shared" si="19"/>
        <v>222235145</v>
      </c>
      <c r="G1266" s="7" t="s">
        <v>330</v>
      </c>
      <c r="H1266" s="24" t="s">
        <v>109</v>
      </c>
      <c r="I1266" s="32" t="s">
        <v>152</v>
      </c>
      <c r="K1266" s="181"/>
      <c r="L1266" s="181"/>
    </row>
    <row r="1267" spans="1:12" x14ac:dyDescent="0.35">
      <c r="A1267" s="19">
        <v>45824</v>
      </c>
      <c r="B1267" s="20"/>
      <c r="C1267" s="20"/>
      <c r="D1267" s="20">
        <v>4119000</v>
      </c>
      <c r="E1267" s="99" t="s">
        <v>732</v>
      </c>
      <c r="F1267" s="20">
        <f t="shared" si="19"/>
        <v>226354145</v>
      </c>
      <c r="G1267" s="7"/>
      <c r="H1267" s="24" t="s">
        <v>107</v>
      </c>
      <c r="I1267" s="32" t="s">
        <v>152</v>
      </c>
      <c r="K1267" s="181"/>
      <c r="L1267" s="181"/>
    </row>
    <row r="1268" spans="1:12" x14ac:dyDescent="0.35">
      <c r="A1268" s="19">
        <v>45824</v>
      </c>
      <c r="B1268" s="20"/>
      <c r="C1268" s="20"/>
      <c r="D1268" s="20">
        <v>4231000</v>
      </c>
      <c r="E1268" s="99" t="s">
        <v>732</v>
      </c>
      <c r="F1268" s="20">
        <f t="shared" si="19"/>
        <v>230585145</v>
      </c>
      <c r="G1268" s="7"/>
      <c r="H1268" s="24" t="s">
        <v>109</v>
      </c>
      <c r="I1268" s="32" t="s">
        <v>152</v>
      </c>
      <c r="K1268" s="181"/>
      <c r="L1268" s="181"/>
    </row>
    <row r="1269" spans="1:12" x14ac:dyDescent="0.35">
      <c r="A1269" s="19"/>
      <c r="B1269" s="20"/>
      <c r="C1269" s="20">
        <v>8350000</v>
      </c>
      <c r="D1269" s="20"/>
      <c r="E1269" s="99"/>
      <c r="F1269" s="20">
        <f t="shared" si="19"/>
        <v>230585145</v>
      </c>
      <c r="G1269" s="7" t="s">
        <v>716</v>
      </c>
      <c r="H1269" s="24"/>
      <c r="I1269" s="32"/>
      <c r="K1269" s="181"/>
      <c r="L1269" s="181"/>
    </row>
    <row r="1270" spans="1:12" x14ac:dyDescent="0.35">
      <c r="A1270" s="19">
        <v>45824</v>
      </c>
      <c r="B1270" s="20"/>
      <c r="C1270" s="20"/>
      <c r="D1270" s="20">
        <v>100000</v>
      </c>
      <c r="E1270" s="99" t="s">
        <v>732</v>
      </c>
      <c r="F1270" s="20">
        <f t="shared" si="19"/>
        <v>230685145</v>
      </c>
      <c r="G1270" s="7" t="s">
        <v>373</v>
      </c>
      <c r="H1270" s="24" t="s">
        <v>109</v>
      </c>
      <c r="I1270" s="32" t="s">
        <v>152</v>
      </c>
      <c r="K1270" s="181"/>
      <c r="L1270" s="181"/>
    </row>
    <row r="1271" spans="1:12" x14ac:dyDescent="0.35">
      <c r="A1271" s="19">
        <v>45825</v>
      </c>
      <c r="B1271" s="20"/>
      <c r="C1271" s="20"/>
      <c r="D1271" s="20">
        <v>50000</v>
      </c>
      <c r="E1271" s="99" t="s">
        <v>732</v>
      </c>
      <c r="F1271" s="20">
        <f t="shared" si="19"/>
        <v>230735145</v>
      </c>
      <c r="G1271" s="7" t="s">
        <v>330</v>
      </c>
      <c r="H1271" s="24" t="s">
        <v>109</v>
      </c>
      <c r="I1271" s="32" t="s">
        <v>152</v>
      </c>
      <c r="K1271" s="181"/>
      <c r="L1271" s="181"/>
    </row>
    <row r="1272" spans="1:12" x14ac:dyDescent="0.35">
      <c r="A1272" s="19">
        <v>45825</v>
      </c>
      <c r="B1272" s="20"/>
      <c r="C1272" s="20"/>
      <c r="D1272" s="20">
        <v>50000</v>
      </c>
      <c r="E1272" s="99" t="s">
        <v>732</v>
      </c>
      <c r="F1272" s="20">
        <f t="shared" si="19"/>
        <v>230785145</v>
      </c>
      <c r="G1272" s="7" t="s">
        <v>330</v>
      </c>
      <c r="H1272" s="24" t="s">
        <v>109</v>
      </c>
      <c r="I1272" s="32" t="s">
        <v>152</v>
      </c>
      <c r="K1272" s="181"/>
      <c r="L1272" s="181"/>
    </row>
    <row r="1273" spans="1:12" x14ac:dyDescent="0.35">
      <c r="A1273" s="19">
        <v>45825</v>
      </c>
      <c r="B1273" s="20"/>
      <c r="C1273" s="20"/>
      <c r="D1273" s="20">
        <v>20000</v>
      </c>
      <c r="E1273" s="99" t="s">
        <v>732</v>
      </c>
      <c r="F1273" s="20">
        <f t="shared" si="19"/>
        <v>230805145</v>
      </c>
      <c r="G1273" s="7" t="s">
        <v>330</v>
      </c>
      <c r="H1273" s="24" t="s">
        <v>109</v>
      </c>
      <c r="I1273" s="32" t="s">
        <v>152</v>
      </c>
      <c r="K1273" s="181"/>
      <c r="L1273" s="181"/>
    </row>
    <row r="1274" spans="1:12" x14ac:dyDescent="0.35">
      <c r="A1274" s="19">
        <v>45825</v>
      </c>
      <c r="B1274" s="20">
        <v>1180700</v>
      </c>
      <c r="C1274" s="20"/>
      <c r="D1274" s="20"/>
      <c r="E1274" s="99" t="s">
        <v>732</v>
      </c>
      <c r="F1274" s="20">
        <f t="shared" si="19"/>
        <v>229624445</v>
      </c>
      <c r="G1274" s="7" t="s">
        <v>717</v>
      </c>
      <c r="H1274" s="24" t="s">
        <v>614</v>
      </c>
      <c r="I1274" s="32" t="s">
        <v>152</v>
      </c>
      <c r="K1274" s="181"/>
      <c r="L1274" s="181"/>
    </row>
    <row r="1275" spans="1:12" x14ac:dyDescent="0.35">
      <c r="A1275" s="19">
        <v>45825</v>
      </c>
      <c r="B1275" s="20">
        <v>2900</v>
      </c>
      <c r="C1275" s="20"/>
      <c r="D1275" s="20"/>
      <c r="E1275" s="99" t="s">
        <v>732</v>
      </c>
      <c r="F1275" s="20">
        <f t="shared" si="19"/>
        <v>229621545</v>
      </c>
      <c r="G1275" s="7" t="s">
        <v>718</v>
      </c>
      <c r="H1275" s="24" t="s">
        <v>614</v>
      </c>
      <c r="I1275" s="32" t="s">
        <v>152</v>
      </c>
      <c r="K1275" s="181"/>
      <c r="L1275" s="181"/>
    </row>
    <row r="1276" spans="1:12" x14ac:dyDescent="0.35">
      <c r="A1276" s="19">
        <v>45826</v>
      </c>
      <c r="B1276" s="20"/>
      <c r="C1276" s="20"/>
      <c r="D1276" s="20">
        <v>20000</v>
      </c>
      <c r="E1276" s="99" t="s">
        <v>732</v>
      </c>
      <c r="F1276" s="20">
        <f t="shared" si="19"/>
        <v>229641545</v>
      </c>
      <c r="G1276" s="7" t="s">
        <v>330</v>
      </c>
      <c r="H1276" s="24" t="s">
        <v>109</v>
      </c>
      <c r="I1276" s="32" t="s">
        <v>152</v>
      </c>
      <c r="K1276" s="181"/>
      <c r="L1276" s="181"/>
    </row>
    <row r="1277" spans="1:12" x14ac:dyDescent="0.35">
      <c r="A1277" s="19">
        <v>45826</v>
      </c>
      <c r="B1277" s="20"/>
      <c r="C1277" s="20"/>
      <c r="D1277" s="20">
        <v>5000</v>
      </c>
      <c r="E1277" s="99" t="s">
        <v>732</v>
      </c>
      <c r="F1277" s="20">
        <f t="shared" si="19"/>
        <v>229646545</v>
      </c>
      <c r="G1277" s="7" t="s">
        <v>330</v>
      </c>
      <c r="H1277" s="24" t="s">
        <v>109</v>
      </c>
      <c r="I1277" s="32" t="s">
        <v>152</v>
      </c>
      <c r="K1277" s="181"/>
      <c r="L1277" s="181"/>
    </row>
    <row r="1278" spans="1:12" x14ac:dyDescent="0.35">
      <c r="A1278" s="19">
        <v>45826</v>
      </c>
      <c r="B1278" s="20"/>
      <c r="C1278" s="20"/>
      <c r="D1278" s="20">
        <v>10000</v>
      </c>
      <c r="E1278" s="99" t="s">
        <v>732</v>
      </c>
      <c r="F1278" s="20">
        <f t="shared" si="19"/>
        <v>229656545</v>
      </c>
      <c r="G1278" s="7" t="s">
        <v>330</v>
      </c>
      <c r="H1278" s="24" t="s">
        <v>109</v>
      </c>
      <c r="I1278" s="32" t="s">
        <v>152</v>
      </c>
      <c r="K1278" s="181"/>
      <c r="L1278" s="181"/>
    </row>
    <row r="1279" spans="1:12" x14ac:dyDescent="0.35">
      <c r="A1279" s="19">
        <v>45827</v>
      </c>
      <c r="B1279" s="20"/>
      <c r="C1279" s="20"/>
      <c r="D1279" s="20">
        <v>20000</v>
      </c>
      <c r="E1279" s="99" t="s">
        <v>732</v>
      </c>
      <c r="F1279" s="20">
        <f t="shared" si="19"/>
        <v>229676545</v>
      </c>
      <c r="G1279" s="7" t="s">
        <v>330</v>
      </c>
      <c r="H1279" s="24" t="s">
        <v>109</v>
      </c>
      <c r="I1279" s="32" t="s">
        <v>152</v>
      </c>
      <c r="K1279" s="181"/>
      <c r="L1279" s="181"/>
    </row>
    <row r="1280" spans="1:12" x14ac:dyDescent="0.35">
      <c r="A1280" s="19">
        <v>45828</v>
      </c>
      <c r="B1280" s="20"/>
      <c r="C1280" s="20"/>
      <c r="D1280" s="20">
        <v>100000</v>
      </c>
      <c r="E1280" s="99" t="s">
        <v>732</v>
      </c>
      <c r="F1280" s="20">
        <f t="shared" si="19"/>
        <v>229776545</v>
      </c>
      <c r="G1280" s="7" t="s">
        <v>330</v>
      </c>
      <c r="H1280" s="24" t="s">
        <v>109</v>
      </c>
      <c r="I1280" s="32" t="s">
        <v>152</v>
      </c>
      <c r="K1280" s="181"/>
      <c r="L1280" s="181"/>
    </row>
    <row r="1281" spans="1:12" x14ac:dyDescent="0.35">
      <c r="A1281" s="19">
        <v>45828</v>
      </c>
      <c r="B1281" s="20"/>
      <c r="C1281" s="20"/>
      <c r="D1281" s="20">
        <v>20000</v>
      </c>
      <c r="E1281" s="99" t="s">
        <v>732</v>
      </c>
      <c r="F1281" s="20">
        <f t="shared" si="19"/>
        <v>229796545</v>
      </c>
      <c r="G1281" s="7" t="s">
        <v>330</v>
      </c>
      <c r="H1281" s="24" t="s">
        <v>109</v>
      </c>
      <c r="I1281" s="32" t="s">
        <v>152</v>
      </c>
      <c r="K1281" s="181"/>
      <c r="L1281" s="181"/>
    </row>
    <row r="1282" spans="1:12" x14ac:dyDescent="0.35">
      <c r="A1282" s="19">
        <v>45829</v>
      </c>
      <c r="B1282" s="20">
        <v>750000</v>
      </c>
      <c r="C1282" s="20"/>
      <c r="D1282" s="20"/>
      <c r="E1282" s="99" t="s">
        <v>732</v>
      </c>
      <c r="F1282" s="20">
        <f t="shared" si="19"/>
        <v>229046545</v>
      </c>
      <c r="G1282" s="7" t="s">
        <v>721</v>
      </c>
      <c r="H1282" s="24" t="s">
        <v>323</v>
      </c>
      <c r="I1282" s="32" t="s">
        <v>152</v>
      </c>
      <c r="K1282" s="181"/>
      <c r="L1282" s="181"/>
    </row>
    <row r="1283" spans="1:12" x14ac:dyDescent="0.35">
      <c r="A1283" s="19">
        <v>45829</v>
      </c>
      <c r="B1283" s="20"/>
      <c r="C1283" s="20"/>
      <c r="D1283" s="20">
        <v>10000</v>
      </c>
      <c r="E1283" s="99" t="s">
        <v>732</v>
      </c>
      <c r="F1283" s="20">
        <f t="shared" si="19"/>
        <v>229056545</v>
      </c>
      <c r="G1283" s="7" t="s">
        <v>330</v>
      </c>
      <c r="H1283" s="24" t="s">
        <v>109</v>
      </c>
      <c r="I1283" s="32" t="s">
        <v>152</v>
      </c>
      <c r="K1283" s="181"/>
      <c r="L1283" s="181"/>
    </row>
    <row r="1284" spans="1:12" x14ac:dyDescent="0.35">
      <c r="A1284" s="19">
        <v>45829</v>
      </c>
      <c r="B1284" s="20"/>
      <c r="C1284" s="20"/>
      <c r="D1284" s="20">
        <v>50000</v>
      </c>
      <c r="E1284" s="99" t="s">
        <v>732</v>
      </c>
      <c r="F1284" s="20">
        <f t="shared" si="19"/>
        <v>229106545</v>
      </c>
      <c r="G1284" s="7" t="s">
        <v>330</v>
      </c>
      <c r="H1284" s="24" t="s">
        <v>109</v>
      </c>
      <c r="I1284" s="32" t="s">
        <v>152</v>
      </c>
      <c r="K1284" s="181"/>
      <c r="L1284" s="181"/>
    </row>
    <row r="1285" spans="1:12" x14ac:dyDescent="0.35">
      <c r="A1285" s="19">
        <v>45829</v>
      </c>
      <c r="B1285" s="20"/>
      <c r="C1285" s="20"/>
      <c r="D1285" s="20">
        <v>50000</v>
      </c>
      <c r="E1285" s="99" t="s">
        <v>732</v>
      </c>
      <c r="F1285" s="20">
        <f t="shared" si="19"/>
        <v>229156545</v>
      </c>
      <c r="G1285" s="7" t="s">
        <v>330</v>
      </c>
      <c r="H1285" s="24" t="s">
        <v>109</v>
      </c>
      <c r="I1285" s="32" t="s">
        <v>152</v>
      </c>
      <c r="K1285" s="181"/>
      <c r="L1285" s="181"/>
    </row>
    <row r="1286" spans="1:12" x14ac:dyDescent="0.35">
      <c r="A1286" s="19">
        <v>45829</v>
      </c>
      <c r="B1286" s="20"/>
      <c r="C1286" s="20"/>
      <c r="D1286" s="20">
        <v>20000</v>
      </c>
      <c r="E1286" s="99" t="s">
        <v>732</v>
      </c>
      <c r="F1286" s="20">
        <f t="shared" si="19"/>
        <v>229176545</v>
      </c>
      <c r="G1286" s="7" t="s">
        <v>330</v>
      </c>
      <c r="H1286" s="24" t="s">
        <v>109</v>
      </c>
      <c r="I1286" s="32" t="s">
        <v>152</v>
      </c>
      <c r="K1286" s="181"/>
      <c r="L1286" s="181"/>
    </row>
    <row r="1287" spans="1:12" x14ac:dyDescent="0.35">
      <c r="A1287" s="19">
        <v>45829</v>
      </c>
      <c r="B1287" s="20"/>
      <c r="C1287" s="20"/>
      <c r="D1287" s="20">
        <v>50000</v>
      </c>
      <c r="E1287" s="99" t="s">
        <v>732</v>
      </c>
      <c r="F1287" s="20">
        <f t="shared" si="19"/>
        <v>229226545</v>
      </c>
      <c r="G1287" s="7" t="s">
        <v>330</v>
      </c>
      <c r="H1287" s="24" t="s">
        <v>109</v>
      </c>
      <c r="I1287" s="32" t="s">
        <v>152</v>
      </c>
      <c r="K1287" s="181"/>
      <c r="L1287" s="181"/>
    </row>
    <row r="1288" spans="1:12" x14ac:dyDescent="0.35">
      <c r="A1288" s="19">
        <v>45829</v>
      </c>
      <c r="B1288" s="20"/>
      <c r="C1288" s="20"/>
      <c r="D1288" s="20">
        <v>5000</v>
      </c>
      <c r="E1288" s="99" t="s">
        <v>732</v>
      </c>
      <c r="F1288" s="20">
        <f t="shared" ref="F1288:F1351" si="20">+F1287+D1288-B1288</f>
        <v>229231545</v>
      </c>
      <c r="G1288" s="7" t="s">
        <v>330</v>
      </c>
      <c r="H1288" s="24" t="s">
        <v>109</v>
      </c>
      <c r="I1288" s="32" t="s">
        <v>152</v>
      </c>
      <c r="K1288" s="181"/>
      <c r="L1288" s="181"/>
    </row>
    <row r="1289" spans="1:12" x14ac:dyDescent="0.35">
      <c r="A1289" s="19">
        <v>45830</v>
      </c>
      <c r="B1289" s="20">
        <v>1000000</v>
      </c>
      <c r="C1289" s="20"/>
      <c r="D1289" s="20"/>
      <c r="E1289" s="99" t="s">
        <v>732</v>
      </c>
      <c r="F1289" s="20">
        <f t="shared" si="20"/>
        <v>228231545</v>
      </c>
      <c r="G1289" s="7" t="s">
        <v>722</v>
      </c>
      <c r="H1289" s="24" t="s">
        <v>323</v>
      </c>
      <c r="I1289" s="32" t="s">
        <v>152</v>
      </c>
      <c r="K1289" s="181"/>
      <c r="L1289" s="181"/>
    </row>
    <row r="1290" spans="1:12" x14ac:dyDescent="0.35">
      <c r="A1290" s="19">
        <v>45830</v>
      </c>
      <c r="B1290" s="20">
        <v>6500</v>
      </c>
      <c r="C1290" s="20"/>
      <c r="D1290" s="20"/>
      <c r="E1290" s="99" t="s">
        <v>732</v>
      </c>
      <c r="F1290" s="20">
        <f t="shared" si="20"/>
        <v>228225045</v>
      </c>
      <c r="G1290" s="7" t="s">
        <v>723</v>
      </c>
      <c r="H1290" s="24" t="s">
        <v>323</v>
      </c>
      <c r="I1290" s="32" t="s">
        <v>152</v>
      </c>
      <c r="K1290" s="181"/>
      <c r="L1290" s="181"/>
    </row>
    <row r="1291" spans="1:12" x14ac:dyDescent="0.35">
      <c r="A1291" s="19">
        <v>45831</v>
      </c>
      <c r="B1291" s="20"/>
      <c r="C1291" s="20"/>
      <c r="D1291" s="20">
        <v>20000</v>
      </c>
      <c r="E1291" s="99" t="s">
        <v>732</v>
      </c>
      <c r="F1291" s="20">
        <f t="shared" si="20"/>
        <v>228245045</v>
      </c>
      <c r="G1291" s="7" t="s">
        <v>330</v>
      </c>
      <c r="H1291" s="24" t="s">
        <v>109</v>
      </c>
      <c r="I1291" s="32" t="s">
        <v>152</v>
      </c>
      <c r="K1291" s="181"/>
      <c r="L1291" s="181"/>
    </row>
    <row r="1292" spans="1:12" x14ac:dyDescent="0.35">
      <c r="A1292" s="19">
        <v>45831</v>
      </c>
      <c r="B1292" s="20"/>
      <c r="C1292" s="20"/>
      <c r="D1292" s="20">
        <v>2970000</v>
      </c>
      <c r="E1292" s="99" t="s">
        <v>732</v>
      </c>
      <c r="F1292" s="20">
        <f t="shared" si="20"/>
        <v>231215045</v>
      </c>
      <c r="G1292" s="7" t="s">
        <v>294</v>
      </c>
      <c r="H1292" s="24" t="s">
        <v>109</v>
      </c>
      <c r="I1292" s="32" t="s">
        <v>152</v>
      </c>
      <c r="K1292" s="181"/>
      <c r="L1292" s="181"/>
    </row>
    <row r="1293" spans="1:12" x14ac:dyDescent="0.35">
      <c r="A1293" s="19">
        <v>45832</v>
      </c>
      <c r="B1293" s="20"/>
      <c r="C1293" s="20"/>
      <c r="D1293" s="20">
        <v>20000</v>
      </c>
      <c r="E1293" s="99" t="s">
        <v>732</v>
      </c>
      <c r="F1293" s="20">
        <f t="shared" si="20"/>
        <v>231235045</v>
      </c>
      <c r="G1293" s="7" t="s">
        <v>330</v>
      </c>
      <c r="H1293" s="24" t="s">
        <v>109</v>
      </c>
      <c r="I1293" s="32" t="s">
        <v>152</v>
      </c>
      <c r="K1293" s="181"/>
      <c r="L1293" s="181"/>
    </row>
    <row r="1294" spans="1:12" x14ac:dyDescent="0.35">
      <c r="A1294" s="19"/>
      <c r="B1294" s="20"/>
      <c r="C1294" s="20"/>
      <c r="D1294" s="20">
        <v>2910000</v>
      </c>
      <c r="E1294" s="99" t="s">
        <v>732</v>
      </c>
      <c r="F1294" s="20">
        <f t="shared" si="20"/>
        <v>234145045</v>
      </c>
      <c r="G1294" s="7"/>
      <c r="H1294" s="24" t="s">
        <v>107</v>
      </c>
      <c r="I1294" s="32" t="s">
        <v>152</v>
      </c>
      <c r="K1294" s="181"/>
      <c r="L1294" s="181"/>
    </row>
    <row r="1295" spans="1:12" x14ac:dyDescent="0.35">
      <c r="A1295" s="19"/>
      <c r="B1295" s="20"/>
      <c r="C1295" s="20"/>
      <c r="D1295" s="20">
        <f>+C1296-D1294</f>
        <v>2476000</v>
      </c>
      <c r="E1295" s="99" t="s">
        <v>732</v>
      </c>
      <c r="F1295" s="20">
        <f t="shared" si="20"/>
        <v>236621045</v>
      </c>
      <c r="G1295" s="7"/>
      <c r="H1295" s="24" t="s">
        <v>109</v>
      </c>
      <c r="I1295" s="32" t="s">
        <v>152</v>
      </c>
      <c r="K1295" s="181"/>
      <c r="L1295" s="181"/>
    </row>
    <row r="1296" spans="1:12" x14ac:dyDescent="0.35">
      <c r="A1296" s="19">
        <v>45832</v>
      </c>
      <c r="B1296" s="20"/>
      <c r="C1296" s="20">
        <v>5386000</v>
      </c>
      <c r="D1296" s="20"/>
      <c r="E1296" s="99" t="s">
        <v>732</v>
      </c>
      <c r="F1296" s="20">
        <f>+F1295+D1296-B1296</f>
        <v>236621045</v>
      </c>
      <c r="G1296" s="7" t="s">
        <v>724</v>
      </c>
      <c r="H1296" s="24"/>
      <c r="I1296" s="32"/>
      <c r="K1296" s="181"/>
      <c r="L1296" s="181"/>
    </row>
    <row r="1297" spans="1:12" x14ac:dyDescent="0.35">
      <c r="A1297" s="19">
        <v>45832</v>
      </c>
      <c r="B1297" s="20">
        <v>8000</v>
      </c>
      <c r="C1297" s="20"/>
      <c r="D1297" s="20"/>
      <c r="E1297" s="99" t="s">
        <v>732</v>
      </c>
      <c r="F1297" s="20">
        <f t="shared" si="20"/>
        <v>236613045</v>
      </c>
      <c r="G1297" s="7" t="s">
        <v>725</v>
      </c>
      <c r="H1297" s="30" t="s">
        <v>320</v>
      </c>
      <c r="I1297" s="32" t="s">
        <v>152</v>
      </c>
      <c r="K1297" s="181"/>
      <c r="L1297" s="181"/>
    </row>
    <row r="1298" spans="1:12" x14ac:dyDescent="0.35">
      <c r="A1298" s="19">
        <v>45833</v>
      </c>
      <c r="B1298" s="20"/>
      <c r="C1298" s="20"/>
      <c r="D1298" s="20">
        <v>200000</v>
      </c>
      <c r="E1298" s="99" t="s">
        <v>732</v>
      </c>
      <c r="F1298" s="20">
        <f t="shared" si="20"/>
        <v>236813045</v>
      </c>
      <c r="G1298" s="7" t="s">
        <v>726</v>
      </c>
      <c r="H1298" s="24" t="s">
        <v>140</v>
      </c>
      <c r="I1298" s="32" t="s">
        <v>152</v>
      </c>
      <c r="K1298" s="181"/>
      <c r="L1298" s="181"/>
    </row>
    <row r="1299" spans="1:12" x14ac:dyDescent="0.35">
      <c r="A1299" s="19">
        <v>45833</v>
      </c>
      <c r="B1299" s="20"/>
      <c r="C1299" s="20"/>
      <c r="D1299" s="20">
        <v>10000</v>
      </c>
      <c r="E1299" s="99" t="s">
        <v>732</v>
      </c>
      <c r="F1299" s="20">
        <f t="shared" si="20"/>
        <v>236823045</v>
      </c>
      <c r="G1299" s="7" t="s">
        <v>330</v>
      </c>
      <c r="H1299" s="24" t="s">
        <v>109</v>
      </c>
      <c r="I1299" s="32" t="s">
        <v>152</v>
      </c>
      <c r="K1299" s="181"/>
      <c r="L1299" s="181"/>
    </row>
    <row r="1300" spans="1:12" x14ac:dyDescent="0.35">
      <c r="A1300" s="19">
        <v>45833</v>
      </c>
      <c r="B1300" s="20"/>
      <c r="C1300" s="20"/>
      <c r="D1300" s="20">
        <v>20000</v>
      </c>
      <c r="E1300" s="99" t="s">
        <v>732</v>
      </c>
      <c r="F1300" s="20">
        <f t="shared" si="20"/>
        <v>236843045</v>
      </c>
      <c r="G1300" s="7" t="s">
        <v>330</v>
      </c>
      <c r="H1300" s="24" t="s">
        <v>109</v>
      </c>
      <c r="I1300" s="32" t="s">
        <v>152</v>
      </c>
      <c r="K1300" s="181"/>
      <c r="L1300" s="181"/>
    </row>
    <row r="1301" spans="1:12" x14ac:dyDescent="0.35">
      <c r="A1301" s="19">
        <v>45833</v>
      </c>
      <c r="B1301" s="20"/>
      <c r="C1301" s="20"/>
      <c r="D1301" s="20">
        <v>300000</v>
      </c>
      <c r="E1301" s="99" t="s">
        <v>732</v>
      </c>
      <c r="F1301" s="20">
        <f t="shared" si="20"/>
        <v>237143045</v>
      </c>
      <c r="G1301" s="7" t="s">
        <v>727</v>
      </c>
      <c r="H1301" s="24" t="s">
        <v>109</v>
      </c>
      <c r="I1301" s="32" t="s">
        <v>152</v>
      </c>
      <c r="K1301" s="181"/>
      <c r="L1301" s="181"/>
    </row>
    <row r="1302" spans="1:12" x14ac:dyDescent="0.35">
      <c r="A1302" s="19">
        <v>45834</v>
      </c>
      <c r="B1302" s="20"/>
      <c r="C1302" s="20"/>
      <c r="D1302" s="20">
        <v>50000</v>
      </c>
      <c r="E1302" s="99" t="s">
        <v>732</v>
      </c>
      <c r="F1302" s="20">
        <f t="shared" si="20"/>
        <v>237193045</v>
      </c>
      <c r="G1302" s="7" t="s">
        <v>330</v>
      </c>
      <c r="H1302" s="24" t="s">
        <v>109</v>
      </c>
      <c r="I1302" s="32" t="s">
        <v>152</v>
      </c>
      <c r="K1302" s="181"/>
      <c r="L1302" s="181"/>
    </row>
    <row r="1303" spans="1:12" x14ac:dyDescent="0.35">
      <c r="A1303" s="19">
        <v>45834</v>
      </c>
      <c r="B1303" s="20"/>
      <c r="C1303" s="20"/>
      <c r="D1303" s="20">
        <v>20000</v>
      </c>
      <c r="E1303" s="99" t="s">
        <v>732</v>
      </c>
      <c r="F1303" s="20">
        <f t="shared" si="20"/>
        <v>237213045</v>
      </c>
      <c r="G1303" s="7" t="s">
        <v>330</v>
      </c>
      <c r="H1303" s="24" t="s">
        <v>109</v>
      </c>
      <c r="I1303" s="32" t="s">
        <v>152</v>
      </c>
      <c r="K1303" s="181"/>
      <c r="L1303" s="181"/>
    </row>
    <row r="1304" spans="1:12" x14ac:dyDescent="0.35">
      <c r="A1304" s="19">
        <v>45834</v>
      </c>
      <c r="B1304" s="20">
        <v>1003000</v>
      </c>
      <c r="C1304" s="20"/>
      <c r="D1304" s="20"/>
      <c r="E1304" s="99" t="s">
        <v>732</v>
      </c>
      <c r="F1304" s="20">
        <f t="shared" si="20"/>
        <v>236210045</v>
      </c>
      <c r="G1304" s="7" t="s">
        <v>734</v>
      </c>
      <c r="H1304" s="24" t="s">
        <v>321</v>
      </c>
      <c r="I1304" s="32" t="s">
        <v>152</v>
      </c>
      <c r="K1304" s="181"/>
      <c r="L1304" s="181"/>
    </row>
    <row r="1305" spans="1:12" x14ac:dyDescent="0.35">
      <c r="A1305" s="19">
        <v>45834</v>
      </c>
      <c r="B1305" s="20">
        <v>2900</v>
      </c>
      <c r="C1305" s="20"/>
      <c r="D1305" s="20"/>
      <c r="E1305" s="99" t="s">
        <v>732</v>
      </c>
      <c r="F1305" s="20">
        <f t="shared" si="20"/>
        <v>236207145</v>
      </c>
      <c r="G1305" s="7" t="s">
        <v>734</v>
      </c>
      <c r="H1305" s="24" t="s">
        <v>321</v>
      </c>
      <c r="I1305" s="32" t="s">
        <v>152</v>
      </c>
      <c r="K1305" s="181"/>
      <c r="L1305" s="181"/>
    </row>
    <row r="1306" spans="1:12" x14ac:dyDescent="0.35">
      <c r="A1306" s="19">
        <v>45835</v>
      </c>
      <c r="B1306" s="20">
        <v>4000000</v>
      </c>
      <c r="C1306" s="20"/>
      <c r="D1306" s="20"/>
      <c r="E1306" s="99" t="s">
        <v>732</v>
      </c>
      <c r="F1306" s="20">
        <f t="shared" si="20"/>
        <v>232207145</v>
      </c>
      <c r="G1306" s="7" t="s">
        <v>735</v>
      </c>
      <c r="H1306" s="24" t="s">
        <v>201</v>
      </c>
      <c r="I1306" s="32" t="s">
        <v>152</v>
      </c>
      <c r="K1306" s="181"/>
      <c r="L1306" s="181"/>
    </row>
    <row r="1307" spans="1:12" x14ac:dyDescent="0.35">
      <c r="A1307" s="19">
        <v>45835</v>
      </c>
      <c r="B1307" s="20">
        <v>6500</v>
      </c>
      <c r="C1307" s="20"/>
      <c r="D1307" s="20"/>
      <c r="E1307" s="99" t="s">
        <v>732</v>
      </c>
      <c r="F1307" s="20">
        <f t="shared" si="20"/>
        <v>232200645</v>
      </c>
      <c r="G1307" s="7" t="s">
        <v>735</v>
      </c>
      <c r="H1307" s="24" t="s">
        <v>201</v>
      </c>
      <c r="I1307" s="32" t="s">
        <v>152</v>
      </c>
      <c r="K1307" s="181"/>
      <c r="L1307" s="181"/>
    </row>
    <row r="1308" spans="1:12" x14ac:dyDescent="0.35">
      <c r="A1308" s="19">
        <v>45835</v>
      </c>
      <c r="B1308" s="20">
        <v>1000000</v>
      </c>
      <c r="C1308" s="20"/>
      <c r="D1308" s="20"/>
      <c r="E1308" s="99" t="s">
        <v>732</v>
      </c>
      <c r="F1308" s="20">
        <f t="shared" si="20"/>
        <v>231200645</v>
      </c>
      <c r="G1308" s="7" t="s">
        <v>736</v>
      </c>
      <c r="H1308" s="24" t="s">
        <v>325</v>
      </c>
      <c r="I1308" s="32" t="s">
        <v>152</v>
      </c>
      <c r="K1308" s="181"/>
      <c r="L1308" s="181"/>
    </row>
    <row r="1309" spans="1:12" x14ac:dyDescent="0.35">
      <c r="A1309" s="19">
        <v>45835</v>
      </c>
      <c r="B1309" s="20">
        <v>6500</v>
      </c>
      <c r="C1309" s="20"/>
      <c r="D1309" s="20"/>
      <c r="E1309" s="99" t="s">
        <v>732</v>
      </c>
      <c r="F1309" s="20">
        <f t="shared" si="20"/>
        <v>231194145</v>
      </c>
      <c r="G1309" s="7" t="s">
        <v>736</v>
      </c>
      <c r="H1309" s="24" t="s">
        <v>325</v>
      </c>
      <c r="I1309" s="32" t="s">
        <v>152</v>
      </c>
      <c r="K1309" s="181"/>
      <c r="L1309" s="181"/>
    </row>
    <row r="1310" spans="1:12" x14ac:dyDescent="0.35">
      <c r="A1310" s="19">
        <v>45835</v>
      </c>
      <c r="B1310" s="20">
        <v>2500000</v>
      </c>
      <c r="C1310" s="20"/>
      <c r="D1310" s="20"/>
      <c r="E1310" s="99" t="s">
        <v>732</v>
      </c>
      <c r="F1310" s="20">
        <f t="shared" si="20"/>
        <v>228694145</v>
      </c>
      <c r="G1310" s="7" t="s">
        <v>736</v>
      </c>
      <c r="H1310" s="24" t="s">
        <v>325</v>
      </c>
      <c r="I1310" s="32" t="s">
        <v>152</v>
      </c>
      <c r="K1310" s="181"/>
      <c r="L1310" s="181"/>
    </row>
    <row r="1311" spans="1:12" x14ac:dyDescent="0.35">
      <c r="A1311" s="19">
        <v>45835</v>
      </c>
      <c r="B1311" s="20">
        <v>6500</v>
      </c>
      <c r="C1311" s="20"/>
      <c r="D1311" s="20"/>
      <c r="E1311" s="99" t="s">
        <v>732</v>
      </c>
      <c r="F1311" s="20">
        <f t="shared" si="20"/>
        <v>228687645</v>
      </c>
      <c r="G1311" s="7" t="s">
        <v>736</v>
      </c>
      <c r="H1311" s="24" t="s">
        <v>325</v>
      </c>
      <c r="I1311" s="32" t="s">
        <v>152</v>
      </c>
      <c r="K1311" s="181"/>
      <c r="L1311" s="181"/>
    </row>
    <row r="1312" spans="1:12" x14ac:dyDescent="0.35">
      <c r="A1312" s="19">
        <v>45835</v>
      </c>
      <c r="B1312" s="20">
        <v>2000000</v>
      </c>
      <c r="C1312" s="20"/>
      <c r="D1312" s="20"/>
      <c r="E1312" s="99" t="s">
        <v>732</v>
      </c>
      <c r="F1312" s="20">
        <f t="shared" si="20"/>
        <v>226687645</v>
      </c>
      <c r="G1312" s="7" t="s">
        <v>737</v>
      </c>
      <c r="H1312" s="24" t="s">
        <v>323</v>
      </c>
      <c r="I1312" s="32" t="s">
        <v>152</v>
      </c>
      <c r="K1312" s="181"/>
      <c r="L1312" s="181"/>
    </row>
    <row r="1313" spans="1:12" x14ac:dyDescent="0.35">
      <c r="A1313" s="19">
        <v>45835</v>
      </c>
      <c r="B1313" s="20">
        <v>6500</v>
      </c>
      <c r="C1313" s="20"/>
      <c r="D1313" s="20"/>
      <c r="E1313" s="99" t="s">
        <v>732</v>
      </c>
      <c r="F1313" s="20">
        <f t="shared" si="20"/>
        <v>226681145</v>
      </c>
      <c r="G1313" s="7" t="s">
        <v>737</v>
      </c>
      <c r="H1313" s="24" t="s">
        <v>323</v>
      </c>
      <c r="I1313" s="32" t="s">
        <v>152</v>
      </c>
      <c r="K1313" s="181"/>
      <c r="L1313" s="181"/>
    </row>
    <row r="1314" spans="1:12" x14ac:dyDescent="0.35">
      <c r="A1314" s="19">
        <v>45835</v>
      </c>
      <c r="B1314" s="20">
        <v>550000</v>
      </c>
      <c r="C1314" s="20"/>
      <c r="D1314" s="20"/>
      <c r="E1314" s="99" t="s">
        <v>732</v>
      </c>
      <c r="F1314" s="20">
        <f t="shared" si="20"/>
        <v>226131145</v>
      </c>
      <c r="G1314" s="7" t="s">
        <v>736</v>
      </c>
      <c r="H1314" s="24" t="s">
        <v>325</v>
      </c>
      <c r="I1314" s="32" t="s">
        <v>152</v>
      </c>
      <c r="K1314" s="181"/>
      <c r="L1314" s="181"/>
    </row>
    <row r="1315" spans="1:12" x14ac:dyDescent="0.35">
      <c r="A1315" s="19">
        <v>45835</v>
      </c>
      <c r="B1315" s="20">
        <v>6500</v>
      </c>
      <c r="C1315" s="20"/>
      <c r="D1315" s="20"/>
      <c r="E1315" s="99" t="s">
        <v>732</v>
      </c>
      <c r="F1315" s="20">
        <f t="shared" si="20"/>
        <v>226124645</v>
      </c>
      <c r="G1315" s="7" t="s">
        <v>736</v>
      </c>
      <c r="H1315" s="24" t="s">
        <v>325</v>
      </c>
      <c r="I1315" s="32" t="s">
        <v>152</v>
      </c>
      <c r="K1315" s="181"/>
      <c r="L1315" s="181"/>
    </row>
    <row r="1316" spans="1:12" x14ac:dyDescent="0.35">
      <c r="A1316" s="19">
        <v>45835</v>
      </c>
      <c r="B1316" s="20">
        <v>3500000</v>
      </c>
      <c r="C1316" s="20"/>
      <c r="D1316" s="20"/>
      <c r="E1316" s="99" t="s">
        <v>732</v>
      </c>
      <c r="F1316" s="20">
        <f t="shared" si="20"/>
        <v>222624645</v>
      </c>
      <c r="G1316" s="7" t="s">
        <v>736</v>
      </c>
      <c r="H1316" s="24" t="s">
        <v>325</v>
      </c>
      <c r="I1316" s="32" t="s">
        <v>152</v>
      </c>
      <c r="K1316" s="181"/>
      <c r="L1316" s="181"/>
    </row>
    <row r="1317" spans="1:12" x14ac:dyDescent="0.35">
      <c r="A1317" s="19">
        <v>45835</v>
      </c>
      <c r="B1317" s="20">
        <v>6500</v>
      </c>
      <c r="C1317" s="20"/>
      <c r="D1317" s="20"/>
      <c r="E1317" s="99" t="s">
        <v>732</v>
      </c>
      <c r="F1317" s="20">
        <f t="shared" si="20"/>
        <v>222618145</v>
      </c>
      <c r="G1317" s="7" t="s">
        <v>736</v>
      </c>
      <c r="H1317" s="24" t="s">
        <v>325</v>
      </c>
      <c r="I1317" s="32" t="s">
        <v>152</v>
      </c>
      <c r="K1317" s="181"/>
      <c r="L1317" s="181"/>
    </row>
    <row r="1318" spans="1:12" x14ac:dyDescent="0.35">
      <c r="A1318" s="19">
        <v>45835</v>
      </c>
      <c r="B1318" s="20">
        <v>2250000</v>
      </c>
      <c r="C1318" s="20"/>
      <c r="D1318" s="20"/>
      <c r="E1318" s="99" t="s">
        <v>732</v>
      </c>
      <c r="F1318" s="20">
        <f t="shared" si="20"/>
        <v>220368145</v>
      </c>
      <c r="G1318" s="7" t="s">
        <v>736</v>
      </c>
      <c r="H1318" s="24" t="s">
        <v>325</v>
      </c>
      <c r="I1318" s="32" t="s">
        <v>152</v>
      </c>
      <c r="K1318" s="181"/>
      <c r="L1318" s="181"/>
    </row>
    <row r="1319" spans="1:12" x14ac:dyDescent="0.35">
      <c r="A1319" s="19">
        <v>45835</v>
      </c>
      <c r="B1319" s="20">
        <v>6500</v>
      </c>
      <c r="C1319" s="20"/>
      <c r="D1319" s="20"/>
      <c r="E1319" s="99" t="s">
        <v>732</v>
      </c>
      <c r="F1319" s="20">
        <f t="shared" si="20"/>
        <v>220361645</v>
      </c>
      <c r="G1319" s="7" t="s">
        <v>736</v>
      </c>
      <c r="H1319" s="24" t="s">
        <v>325</v>
      </c>
      <c r="I1319" s="32" t="s">
        <v>152</v>
      </c>
      <c r="K1319" s="181"/>
      <c r="L1319" s="181"/>
    </row>
    <row r="1320" spans="1:12" x14ac:dyDescent="0.35">
      <c r="A1320" s="19">
        <v>45835</v>
      </c>
      <c r="B1320" s="20">
        <v>2700000</v>
      </c>
      <c r="C1320" s="20"/>
      <c r="D1320" s="20"/>
      <c r="E1320" s="99" t="s">
        <v>732</v>
      </c>
      <c r="F1320" s="20">
        <f t="shared" si="20"/>
        <v>217661645</v>
      </c>
      <c r="G1320" s="7" t="s">
        <v>738</v>
      </c>
      <c r="H1320" s="24" t="s">
        <v>201</v>
      </c>
      <c r="I1320" s="32" t="s">
        <v>152</v>
      </c>
      <c r="K1320" s="181"/>
      <c r="L1320" s="181"/>
    </row>
    <row r="1321" spans="1:12" x14ac:dyDescent="0.35">
      <c r="A1321" s="19">
        <v>45835</v>
      </c>
      <c r="B1321" s="20">
        <v>6500</v>
      </c>
      <c r="C1321" s="20"/>
      <c r="D1321" s="20"/>
      <c r="E1321" s="99" t="s">
        <v>732</v>
      </c>
      <c r="F1321" s="20">
        <f t="shared" si="20"/>
        <v>217655145</v>
      </c>
      <c r="G1321" s="7" t="s">
        <v>738</v>
      </c>
      <c r="H1321" s="24" t="s">
        <v>201</v>
      </c>
      <c r="I1321" s="32" t="s">
        <v>152</v>
      </c>
      <c r="K1321" s="181"/>
      <c r="L1321" s="181"/>
    </row>
    <row r="1322" spans="1:12" x14ac:dyDescent="0.35">
      <c r="A1322" s="19">
        <v>45838</v>
      </c>
      <c r="B1322" s="20">
        <v>2750000</v>
      </c>
      <c r="C1322" s="20"/>
      <c r="D1322" s="20"/>
      <c r="E1322" s="99" t="s">
        <v>732</v>
      </c>
      <c r="F1322" s="20">
        <f t="shared" si="20"/>
        <v>214905145</v>
      </c>
      <c r="G1322" s="7" t="s">
        <v>736</v>
      </c>
      <c r="H1322" s="24" t="s">
        <v>325</v>
      </c>
      <c r="I1322" s="32" t="s">
        <v>152</v>
      </c>
      <c r="K1322" s="181"/>
      <c r="L1322" s="181"/>
    </row>
    <row r="1323" spans="1:12" x14ac:dyDescent="0.35">
      <c r="A1323" s="19">
        <v>45835</v>
      </c>
      <c r="B1323" s="20"/>
      <c r="C1323" s="20"/>
      <c r="D1323" s="20">
        <v>50000</v>
      </c>
      <c r="E1323" s="99" t="s">
        <v>732</v>
      </c>
      <c r="F1323" s="20">
        <f t="shared" si="20"/>
        <v>214955145</v>
      </c>
      <c r="G1323" s="7" t="s">
        <v>330</v>
      </c>
      <c r="H1323" s="24" t="s">
        <v>109</v>
      </c>
      <c r="I1323" s="32" t="s">
        <v>152</v>
      </c>
      <c r="K1323" s="181"/>
      <c r="L1323" s="181"/>
    </row>
    <row r="1324" spans="1:12" x14ac:dyDescent="0.35">
      <c r="A1324" s="19">
        <v>45835</v>
      </c>
      <c r="B1324" s="20"/>
      <c r="C1324" s="20"/>
      <c r="D1324" s="20">
        <v>50000</v>
      </c>
      <c r="E1324" s="99" t="s">
        <v>732</v>
      </c>
      <c r="F1324" s="20">
        <f t="shared" si="20"/>
        <v>215005145</v>
      </c>
      <c r="G1324" s="7" t="s">
        <v>330</v>
      </c>
      <c r="H1324" s="24" t="s">
        <v>109</v>
      </c>
      <c r="I1324" s="32" t="s">
        <v>152</v>
      </c>
      <c r="K1324" s="181"/>
      <c r="L1324" s="181"/>
    </row>
    <row r="1325" spans="1:12" x14ac:dyDescent="0.35">
      <c r="A1325" s="19">
        <v>45835</v>
      </c>
      <c r="B1325" s="20"/>
      <c r="C1325" s="20"/>
      <c r="D1325" s="20">
        <v>20000</v>
      </c>
      <c r="E1325" s="99" t="s">
        <v>732</v>
      </c>
      <c r="F1325" s="20">
        <f t="shared" si="20"/>
        <v>215025145</v>
      </c>
      <c r="G1325" s="7" t="s">
        <v>330</v>
      </c>
      <c r="H1325" s="24" t="s">
        <v>109</v>
      </c>
      <c r="I1325" s="32" t="s">
        <v>152</v>
      </c>
      <c r="K1325" s="181"/>
      <c r="L1325" s="181"/>
    </row>
    <row r="1326" spans="1:12" x14ac:dyDescent="0.35">
      <c r="A1326" s="19">
        <v>45835</v>
      </c>
      <c r="B1326" s="20"/>
      <c r="C1326" s="20"/>
      <c r="D1326" s="20">
        <v>1000000</v>
      </c>
      <c r="E1326" s="99" t="s">
        <v>732</v>
      </c>
      <c r="F1326" s="20">
        <f t="shared" si="20"/>
        <v>216025145</v>
      </c>
      <c r="G1326" s="7" t="s">
        <v>561</v>
      </c>
      <c r="H1326" s="24" t="s">
        <v>109</v>
      </c>
      <c r="I1326" s="32" t="s">
        <v>152</v>
      </c>
      <c r="K1326" s="181"/>
      <c r="L1326" s="181"/>
    </row>
    <row r="1327" spans="1:12" x14ac:dyDescent="0.35">
      <c r="A1327" s="19">
        <v>45835</v>
      </c>
      <c r="B1327" s="20"/>
      <c r="C1327" s="20"/>
      <c r="D1327" s="20">
        <v>100000</v>
      </c>
      <c r="E1327" s="99" t="s">
        <v>732</v>
      </c>
      <c r="F1327" s="20">
        <f t="shared" si="20"/>
        <v>216125145</v>
      </c>
      <c r="G1327" s="7" t="s">
        <v>424</v>
      </c>
      <c r="H1327" s="24" t="s">
        <v>109</v>
      </c>
      <c r="I1327" s="32" t="s">
        <v>152</v>
      </c>
      <c r="K1327" s="181"/>
      <c r="L1327" s="181"/>
    </row>
    <row r="1328" spans="1:12" x14ac:dyDescent="0.35">
      <c r="A1328" s="19">
        <v>45835</v>
      </c>
      <c r="B1328" s="20"/>
      <c r="C1328" s="20"/>
      <c r="D1328" s="20">
        <v>1000000</v>
      </c>
      <c r="E1328" s="99" t="s">
        <v>732</v>
      </c>
      <c r="F1328" s="20">
        <f t="shared" si="20"/>
        <v>217125145</v>
      </c>
      <c r="G1328" s="7" t="s">
        <v>609</v>
      </c>
      <c r="H1328" s="24" t="s">
        <v>109</v>
      </c>
      <c r="I1328" s="32" t="s">
        <v>152</v>
      </c>
      <c r="K1328" s="181"/>
      <c r="L1328" s="181"/>
    </row>
    <row r="1329" spans="1:12" x14ac:dyDescent="0.35">
      <c r="A1329" s="19">
        <v>45836</v>
      </c>
      <c r="B1329" s="20">
        <v>750000</v>
      </c>
      <c r="C1329" s="20"/>
      <c r="D1329" s="20"/>
      <c r="E1329" s="99" t="s">
        <v>732</v>
      </c>
      <c r="F1329" s="20">
        <f t="shared" si="20"/>
        <v>216375145</v>
      </c>
      <c r="G1329" s="7" t="s">
        <v>739</v>
      </c>
      <c r="H1329" s="24" t="s">
        <v>323</v>
      </c>
      <c r="I1329" s="32" t="s">
        <v>152</v>
      </c>
      <c r="K1329" s="181"/>
      <c r="L1329" s="181"/>
    </row>
    <row r="1330" spans="1:12" x14ac:dyDescent="0.35">
      <c r="A1330" s="19">
        <v>45836</v>
      </c>
      <c r="B1330" s="20">
        <v>6500</v>
      </c>
      <c r="C1330" s="20"/>
      <c r="D1330" s="20"/>
      <c r="E1330" s="99" t="s">
        <v>732</v>
      </c>
      <c r="F1330" s="20">
        <f t="shared" si="20"/>
        <v>216368645</v>
      </c>
      <c r="G1330" s="7" t="s">
        <v>739</v>
      </c>
      <c r="H1330" s="24" t="s">
        <v>323</v>
      </c>
      <c r="I1330" s="32" t="s">
        <v>152</v>
      </c>
      <c r="K1330" s="181"/>
      <c r="L1330" s="181"/>
    </row>
    <row r="1331" spans="1:12" x14ac:dyDescent="0.35">
      <c r="A1331" s="19">
        <v>45836</v>
      </c>
      <c r="B1331" s="20"/>
      <c r="C1331" s="20"/>
      <c r="D1331" s="20">
        <v>61124</v>
      </c>
      <c r="E1331" s="99" t="s">
        <v>732</v>
      </c>
      <c r="F1331" s="20">
        <f t="shared" si="20"/>
        <v>216429769</v>
      </c>
      <c r="G1331" s="7" t="s">
        <v>330</v>
      </c>
      <c r="H1331" s="24" t="s">
        <v>109</v>
      </c>
      <c r="I1331" s="32" t="s">
        <v>152</v>
      </c>
      <c r="K1331" s="181"/>
      <c r="L1331" s="181"/>
    </row>
    <row r="1332" spans="1:12" x14ac:dyDescent="0.35">
      <c r="A1332" s="19">
        <v>45836</v>
      </c>
      <c r="B1332" s="20"/>
      <c r="C1332" s="20"/>
      <c r="D1332" s="20">
        <v>20000</v>
      </c>
      <c r="E1332" s="99" t="s">
        <v>732</v>
      </c>
      <c r="F1332" s="20">
        <f t="shared" si="20"/>
        <v>216449769</v>
      </c>
      <c r="G1332" s="7" t="s">
        <v>330</v>
      </c>
      <c r="H1332" s="24" t="s">
        <v>109</v>
      </c>
      <c r="I1332" s="32" t="s">
        <v>152</v>
      </c>
      <c r="K1332" s="181"/>
      <c r="L1332" s="181"/>
    </row>
    <row r="1333" spans="1:12" x14ac:dyDescent="0.35">
      <c r="A1333" s="19">
        <v>45836</v>
      </c>
      <c r="B1333" s="20"/>
      <c r="C1333" s="20"/>
      <c r="D1333" s="20">
        <v>20000</v>
      </c>
      <c r="E1333" s="99" t="s">
        <v>732</v>
      </c>
      <c r="F1333" s="20">
        <f t="shared" si="20"/>
        <v>216469769</v>
      </c>
      <c r="G1333" s="7" t="s">
        <v>330</v>
      </c>
      <c r="H1333" s="24" t="s">
        <v>109</v>
      </c>
      <c r="I1333" s="32" t="s">
        <v>152</v>
      </c>
      <c r="K1333" s="181"/>
      <c r="L1333" s="181"/>
    </row>
    <row r="1334" spans="1:12" x14ac:dyDescent="0.35">
      <c r="A1334" s="19">
        <v>45836</v>
      </c>
      <c r="B1334" s="20"/>
      <c r="C1334" s="20"/>
      <c r="D1334" s="20">
        <v>150000</v>
      </c>
      <c r="E1334" s="99" t="s">
        <v>732</v>
      </c>
      <c r="F1334" s="20">
        <f t="shared" si="20"/>
        <v>216619769</v>
      </c>
      <c r="G1334" s="7" t="s">
        <v>330</v>
      </c>
      <c r="H1334" s="24" t="s">
        <v>109</v>
      </c>
      <c r="I1334" s="32" t="s">
        <v>152</v>
      </c>
      <c r="K1334" s="181"/>
      <c r="L1334" s="181"/>
    </row>
    <row r="1335" spans="1:12" x14ac:dyDescent="0.35">
      <c r="A1335" s="19">
        <v>45836</v>
      </c>
      <c r="B1335" s="20"/>
      <c r="C1335" s="20"/>
      <c r="D1335" s="20">
        <v>50000</v>
      </c>
      <c r="E1335" s="99" t="s">
        <v>732</v>
      </c>
      <c r="F1335" s="20">
        <f t="shared" si="20"/>
        <v>216669769</v>
      </c>
      <c r="G1335" s="7" t="s">
        <v>330</v>
      </c>
      <c r="H1335" s="24" t="s">
        <v>109</v>
      </c>
      <c r="I1335" s="32" t="s">
        <v>152</v>
      </c>
      <c r="K1335" s="181"/>
      <c r="L1335" s="181"/>
    </row>
    <row r="1336" spans="1:12" x14ac:dyDescent="0.35">
      <c r="A1336" s="19">
        <v>45836</v>
      </c>
      <c r="B1336" s="20"/>
      <c r="C1336" s="20"/>
      <c r="D1336" s="20">
        <v>25000</v>
      </c>
      <c r="E1336" s="99" t="s">
        <v>732</v>
      </c>
      <c r="F1336" s="20">
        <f t="shared" si="20"/>
        <v>216694769</v>
      </c>
      <c r="G1336" s="7" t="s">
        <v>330</v>
      </c>
      <c r="H1336" s="24" t="s">
        <v>109</v>
      </c>
      <c r="I1336" s="32" t="s">
        <v>152</v>
      </c>
      <c r="K1336" s="181"/>
      <c r="L1336" s="181"/>
    </row>
    <row r="1337" spans="1:12" x14ac:dyDescent="0.35">
      <c r="A1337" s="19">
        <v>45836</v>
      </c>
      <c r="B1337" s="20"/>
      <c r="C1337" s="20"/>
      <c r="D1337" s="20">
        <v>10000</v>
      </c>
      <c r="E1337" s="99" t="s">
        <v>732</v>
      </c>
      <c r="F1337" s="20">
        <f t="shared" si="20"/>
        <v>216704769</v>
      </c>
      <c r="G1337" s="7" t="s">
        <v>330</v>
      </c>
      <c r="H1337" s="24" t="s">
        <v>109</v>
      </c>
      <c r="I1337" s="32" t="s">
        <v>152</v>
      </c>
      <c r="K1337" s="181"/>
      <c r="L1337" s="181"/>
    </row>
    <row r="1338" spans="1:12" x14ac:dyDescent="0.35">
      <c r="A1338" s="19">
        <v>45836</v>
      </c>
      <c r="B1338" s="20"/>
      <c r="C1338" s="20"/>
      <c r="D1338" s="20">
        <v>5000</v>
      </c>
      <c r="E1338" s="99" t="s">
        <v>732</v>
      </c>
      <c r="F1338" s="20">
        <f t="shared" si="20"/>
        <v>216709769</v>
      </c>
      <c r="G1338" s="7" t="s">
        <v>330</v>
      </c>
      <c r="H1338" s="24" t="s">
        <v>109</v>
      </c>
      <c r="I1338" s="32" t="s">
        <v>152</v>
      </c>
      <c r="K1338" s="181"/>
      <c r="L1338" s="181"/>
    </row>
    <row r="1339" spans="1:12" x14ac:dyDescent="0.35">
      <c r="A1339" s="19">
        <v>45836</v>
      </c>
      <c r="B1339" s="20"/>
      <c r="C1339" s="20"/>
      <c r="D1339" s="20">
        <v>50000</v>
      </c>
      <c r="E1339" s="99" t="s">
        <v>732</v>
      </c>
      <c r="F1339" s="20">
        <f t="shared" si="20"/>
        <v>216759769</v>
      </c>
      <c r="G1339" s="7" t="s">
        <v>330</v>
      </c>
      <c r="H1339" s="24" t="s">
        <v>109</v>
      </c>
      <c r="I1339" s="32" t="s">
        <v>152</v>
      </c>
      <c r="K1339" s="181"/>
      <c r="L1339" s="181"/>
    </row>
    <row r="1340" spans="1:12" x14ac:dyDescent="0.35">
      <c r="A1340" s="19">
        <v>45836</v>
      </c>
      <c r="B1340" s="20"/>
      <c r="C1340" s="20"/>
      <c r="D1340" s="20">
        <v>20000</v>
      </c>
      <c r="E1340" s="99" t="s">
        <v>732</v>
      </c>
      <c r="F1340" s="20">
        <f t="shared" si="20"/>
        <v>216779769</v>
      </c>
      <c r="G1340" s="7" t="s">
        <v>330</v>
      </c>
      <c r="H1340" s="24" t="s">
        <v>109</v>
      </c>
      <c r="I1340" s="32" t="s">
        <v>152</v>
      </c>
      <c r="K1340" s="181"/>
      <c r="L1340" s="181"/>
    </row>
    <row r="1341" spans="1:12" x14ac:dyDescent="0.35">
      <c r="A1341" s="19">
        <v>45836</v>
      </c>
      <c r="B1341" s="20"/>
      <c r="C1341" s="20"/>
      <c r="D1341" s="20">
        <v>100000</v>
      </c>
      <c r="E1341" s="99" t="s">
        <v>732</v>
      </c>
      <c r="F1341" s="20">
        <f t="shared" si="20"/>
        <v>216879769</v>
      </c>
      <c r="G1341" s="7" t="s">
        <v>330</v>
      </c>
      <c r="H1341" s="24" t="s">
        <v>109</v>
      </c>
      <c r="I1341" s="32" t="s">
        <v>152</v>
      </c>
      <c r="K1341" s="181"/>
      <c r="L1341" s="181"/>
    </row>
    <row r="1342" spans="1:12" x14ac:dyDescent="0.35">
      <c r="A1342" s="19">
        <v>45836</v>
      </c>
      <c r="B1342" s="20"/>
      <c r="C1342" s="20"/>
      <c r="D1342" s="20">
        <v>50000</v>
      </c>
      <c r="E1342" s="99" t="s">
        <v>732</v>
      </c>
      <c r="F1342" s="20">
        <f t="shared" si="20"/>
        <v>216929769</v>
      </c>
      <c r="G1342" s="7" t="s">
        <v>330</v>
      </c>
      <c r="H1342" s="24" t="s">
        <v>109</v>
      </c>
      <c r="I1342" s="32" t="s">
        <v>152</v>
      </c>
      <c r="K1342" s="181"/>
      <c r="L1342" s="181"/>
    </row>
    <row r="1343" spans="1:12" x14ac:dyDescent="0.35">
      <c r="A1343" s="19">
        <v>45836</v>
      </c>
      <c r="B1343" s="20"/>
      <c r="C1343" s="20"/>
      <c r="D1343" s="20">
        <v>20000</v>
      </c>
      <c r="E1343" s="99" t="s">
        <v>732</v>
      </c>
      <c r="F1343" s="20">
        <f t="shared" si="20"/>
        <v>216949769</v>
      </c>
      <c r="G1343" s="7" t="s">
        <v>330</v>
      </c>
      <c r="H1343" s="24" t="s">
        <v>109</v>
      </c>
      <c r="I1343" s="32" t="s">
        <v>152</v>
      </c>
      <c r="K1343" s="181"/>
      <c r="L1343" s="181"/>
    </row>
    <row r="1344" spans="1:12" x14ac:dyDescent="0.35">
      <c r="A1344" s="19">
        <v>45836</v>
      </c>
      <c r="B1344" s="20"/>
      <c r="C1344" s="20"/>
      <c r="D1344" s="20">
        <v>10000</v>
      </c>
      <c r="E1344" s="99" t="s">
        <v>732</v>
      </c>
      <c r="F1344" s="20">
        <f t="shared" si="20"/>
        <v>216959769</v>
      </c>
      <c r="G1344" s="7" t="s">
        <v>330</v>
      </c>
      <c r="H1344" s="24" t="s">
        <v>109</v>
      </c>
      <c r="I1344" s="32" t="s">
        <v>152</v>
      </c>
      <c r="K1344" s="181"/>
      <c r="L1344" s="181"/>
    </row>
    <row r="1345" spans="1:12" x14ac:dyDescent="0.35">
      <c r="A1345" s="19">
        <v>45836</v>
      </c>
      <c r="B1345" s="20"/>
      <c r="C1345" s="20"/>
      <c r="D1345" s="20">
        <v>10000</v>
      </c>
      <c r="E1345" s="99" t="s">
        <v>732</v>
      </c>
      <c r="F1345" s="20">
        <f t="shared" si="20"/>
        <v>216969769</v>
      </c>
      <c r="G1345" s="7" t="s">
        <v>330</v>
      </c>
      <c r="H1345" s="24" t="s">
        <v>109</v>
      </c>
      <c r="I1345" s="32" t="s">
        <v>152</v>
      </c>
      <c r="K1345" s="181"/>
      <c r="L1345" s="181"/>
    </row>
    <row r="1346" spans="1:12" x14ac:dyDescent="0.35">
      <c r="A1346" s="19">
        <v>45836</v>
      </c>
      <c r="B1346" s="20"/>
      <c r="C1346" s="20"/>
      <c r="D1346" s="20">
        <v>2000</v>
      </c>
      <c r="E1346" s="99" t="s">
        <v>732</v>
      </c>
      <c r="F1346" s="20">
        <f t="shared" si="20"/>
        <v>216971769</v>
      </c>
      <c r="G1346" s="7" t="s">
        <v>330</v>
      </c>
      <c r="H1346" s="24" t="s">
        <v>109</v>
      </c>
      <c r="I1346" s="32" t="s">
        <v>152</v>
      </c>
      <c r="K1346" s="181"/>
      <c r="L1346" s="181"/>
    </row>
    <row r="1347" spans="1:12" x14ac:dyDescent="0.35">
      <c r="A1347" s="19">
        <v>45837</v>
      </c>
      <c r="B1347" s="20"/>
      <c r="C1347" s="20"/>
      <c r="D1347" s="20">
        <v>10000</v>
      </c>
      <c r="E1347" s="99" t="s">
        <v>732</v>
      </c>
      <c r="F1347" s="20">
        <f t="shared" si="20"/>
        <v>216981769</v>
      </c>
      <c r="G1347" s="7" t="s">
        <v>330</v>
      </c>
      <c r="H1347" s="24" t="s">
        <v>109</v>
      </c>
      <c r="I1347" s="32" t="s">
        <v>152</v>
      </c>
      <c r="K1347" s="181"/>
      <c r="L1347" s="181"/>
    </row>
    <row r="1348" spans="1:12" x14ac:dyDescent="0.35">
      <c r="A1348" s="19">
        <v>45837</v>
      </c>
      <c r="B1348" s="20"/>
      <c r="C1348" s="20"/>
      <c r="D1348" s="20">
        <v>20000</v>
      </c>
      <c r="E1348" s="99" t="s">
        <v>732</v>
      </c>
      <c r="F1348" s="20">
        <f t="shared" si="20"/>
        <v>217001769</v>
      </c>
      <c r="G1348" s="7" t="s">
        <v>330</v>
      </c>
      <c r="H1348" s="24" t="s">
        <v>109</v>
      </c>
      <c r="I1348" s="32" t="s">
        <v>152</v>
      </c>
      <c r="K1348" s="181"/>
      <c r="L1348" s="181"/>
    </row>
    <row r="1349" spans="1:12" x14ac:dyDescent="0.35">
      <c r="A1349" s="19">
        <v>45837</v>
      </c>
      <c r="B1349" s="20"/>
      <c r="C1349" s="20"/>
      <c r="D1349" s="20">
        <v>25000</v>
      </c>
      <c r="E1349" s="99" t="s">
        <v>732</v>
      </c>
      <c r="F1349" s="20">
        <f t="shared" si="20"/>
        <v>217026769</v>
      </c>
      <c r="G1349" s="7" t="s">
        <v>330</v>
      </c>
      <c r="H1349" s="24" t="s">
        <v>109</v>
      </c>
      <c r="I1349" s="32" t="s">
        <v>152</v>
      </c>
      <c r="K1349" s="181"/>
      <c r="L1349" s="181"/>
    </row>
    <row r="1350" spans="1:12" x14ac:dyDescent="0.35">
      <c r="A1350" s="19">
        <v>45837</v>
      </c>
      <c r="B1350" s="20">
        <v>500000</v>
      </c>
      <c r="C1350" s="20"/>
      <c r="D1350" s="20"/>
      <c r="E1350" s="99" t="s">
        <v>732</v>
      </c>
      <c r="F1350" s="20">
        <f t="shared" si="20"/>
        <v>216526769</v>
      </c>
      <c r="G1350" s="7" t="s">
        <v>739</v>
      </c>
      <c r="H1350" s="24" t="s">
        <v>323</v>
      </c>
      <c r="I1350" s="32" t="s">
        <v>152</v>
      </c>
      <c r="K1350" s="181"/>
      <c r="L1350" s="181"/>
    </row>
    <row r="1351" spans="1:12" x14ac:dyDescent="0.35">
      <c r="A1351" s="19">
        <v>45837</v>
      </c>
      <c r="B1351" s="20">
        <v>6500</v>
      </c>
      <c r="C1351" s="20"/>
      <c r="D1351" s="20"/>
      <c r="E1351" s="99" t="s">
        <v>732</v>
      </c>
      <c r="F1351" s="20">
        <f t="shared" si="20"/>
        <v>216520269</v>
      </c>
      <c r="G1351" s="7" t="s">
        <v>739</v>
      </c>
      <c r="H1351" s="24" t="s">
        <v>323</v>
      </c>
      <c r="I1351" s="32" t="s">
        <v>152</v>
      </c>
      <c r="K1351" s="181"/>
      <c r="L1351" s="181"/>
    </row>
    <row r="1352" spans="1:12" x14ac:dyDescent="0.35">
      <c r="A1352" s="19">
        <v>45837</v>
      </c>
      <c r="B1352" s="20">
        <v>750000</v>
      </c>
      <c r="C1352" s="20"/>
      <c r="D1352" s="20"/>
      <c r="E1352" s="99" t="s">
        <v>732</v>
      </c>
      <c r="F1352" s="20">
        <f t="shared" ref="F1352:F1415" si="21">+F1351+D1352-B1352</f>
        <v>215770269</v>
      </c>
      <c r="G1352" s="7" t="s">
        <v>739</v>
      </c>
      <c r="H1352" s="24" t="s">
        <v>323</v>
      </c>
      <c r="I1352" s="32" t="s">
        <v>152</v>
      </c>
      <c r="K1352" s="181"/>
      <c r="L1352" s="181"/>
    </row>
    <row r="1353" spans="1:12" x14ac:dyDescent="0.35">
      <c r="A1353" s="19">
        <v>45837</v>
      </c>
      <c r="B1353" s="20">
        <v>6500</v>
      </c>
      <c r="C1353" s="20"/>
      <c r="D1353" s="20"/>
      <c r="E1353" s="99" t="s">
        <v>732</v>
      </c>
      <c r="F1353" s="20">
        <f t="shared" si="21"/>
        <v>215763769</v>
      </c>
      <c r="G1353" s="7" t="s">
        <v>739</v>
      </c>
      <c r="H1353" s="24" t="s">
        <v>323</v>
      </c>
      <c r="I1353" s="32" t="s">
        <v>152</v>
      </c>
      <c r="K1353" s="181"/>
      <c r="L1353" s="181"/>
    </row>
    <row r="1354" spans="1:12" x14ac:dyDescent="0.35">
      <c r="A1354" s="19">
        <v>45837</v>
      </c>
      <c r="B1354" s="20"/>
      <c r="C1354" s="20"/>
      <c r="D1354" s="20">
        <v>350000</v>
      </c>
      <c r="E1354" s="99" t="s">
        <v>732</v>
      </c>
      <c r="F1354" s="20">
        <f t="shared" si="21"/>
        <v>216113769</v>
      </c>
      <c r="G1354" s="7" t="s">
        <v>740</v>
      </c>
      <c r="H1354" s="24" t="s">
        <v>109</v>
      </c>
      <c r="I1354" s="32" t="s">
        <v>152</v>
      </c>
      <c r="K1354" s="181"/>
      <c r="L1354" s="181"/>
    </row>
    <row r="1355" spans="1:12" x14ac:dyDescent="0.35">
      <c r="A1355" s="19">
        <v>45838</v>
      </c>
      <c r="B1355" s="20"/>
      <c r="C1355" s="20"/>
      <c r="D1355" s="20">
        <v>20000</v>
      </c>
      <c r="E1355" s="99" t="s">
        <v>732</v>
      </c>
      <c r="F1355" s="20">
        <f t="shared" si="21"/>
        <v>216133769</v>
      </c>
      <c r="G1355" s="7" t="s">
        <v>330</v>
      </c>
      <c r="H1355" s="24" t="s">
        <v>109</v>
      </c>
      <c r="I1355" s="32" t="s">
        <v>152</v>
      </c>
      <c r="K1355" s="181"/>
      <c r="L1355" s="181"/>
    </row>
    <row r="1356" spans="1:12" x14ac:dyDescent="0.35">
      <c r="A1356" s="19">
        <v>45838</v>
      </c>
      <c r="B1356" s="20"/>
      <c r="C1356" s="20"/>
      <c r="D1356" s="20">
        <v>75000</v>
      </c>
      <c r="E1356" s="99" t="s">
        <v>732</v>
      </c>
      <c r="F1356" s="20">
        <f t="shared" si="21"/>
        <v>216208769</v>
      </c>
      <c r="G1356" s="7" t="s">
        <v>330</v>
      </c>
      <c r="H1356" s="24" t="s">
        <v>109</v>
      </c>
      <c r="I1356" s="32" t="s">
        <v>152</v>
      </c>
      <c r="K1356" s="181"/>
      <c r="L1356" s="181"/>
    </row>
    <row r="1357" spans="1:12" x14ac:dyDescent="0.35">
      <c r="A1357" s="19">
        <v>45838</v>
      </c>
      <c r="B1357" s="20"/>
      <c r="C1357" s="20"/>
      <c r="D1357" s="20">
        <v>25000</v>
      </c>
      <c r="E1357" s="99" t="s">
        <v>732</v>
      </c>
      <c r="F1357" s="20">
        <f t="shared" si="21"/>
        <v>216233769</v>
      </c>
      <c r="G1357" s="7" t="s">
        <v>330</v>
      </c>
      <c r="H1357" s="24" t="s">
        <v>109</v>
      </c>
      <c r="I1357" s="32" t="s">
        <v>152</v>
      </c>
      <c r="K1357" s="181"/>
      <c r="L1357" s="181"/>
    </row>
    <row r="1358" spans="1:12" x14ac:dyDescent="0.35">
      <c r="A1358" s="19">
        <v>45838</v>
      </c>
      <c r="B1358" s="20"/>
      <c r="C1358" s="20"/>
      <c r="D1358" s="20">
        <v>40000</v>
      </c>
      <c r="E1358" s="99" t="s">
        <v>732</v>
      </c>
      <c r="F1358" s="20">
        <f t="shared" si="21"/>
        <v>216273769</v>
      </c>
      <c r="G1358" s="7" t="s">
        <v>330</v>
      </c>
      <c r="H1358" s="24" t="s">
        <v>109</v>
      </c>
      <c r="I1358" s="32" t="s">
        <v>152</v>
      </c>
      <c r="K1358" s="181"/>
      <c r="L1358" s="181"/>
    </row>
    <row r="1359" spans="1:12" x14ac:dyDescent="0.35">
      <c r="A1359" s="19">
        <v>45838</v>
      </c>
      <c r="B1359" s="20"/>
      <c r="C1359" s="20"/>
      <c r="D1359" s="20">
        <v>2784000</v>
      </c>
      <c r="E1359" s="99" t="s">
        <v>732</v>
      </c>
      <c r="F1359" s="20">
        <f t="shared" si="21"/>
        <v>219057769</v>
      </c>
      <c r="G1359" s="7"/>
      <c r="H1359" s="24" t="s">
        <v>107</v>
      </c>
      <c r="I1359" s="32" t="s">
        <v>152</v>
      </c>
      <c r="K1359" s="181"/>
      <c r="L1359" s="181"/>
    </row>
    <row r="1360" spans="1:12" x14ac:dyDescent="0.35">
      <c r="A1360" s="19">
        <v>45838</v>
      </c>
      <c r="B1360" s="20"/>
      <c r="C1360" s="20"/>
      <c r="D1360" s="20">
        <v>3526000</v>
      </c>
      <c r="E1360" s="99" t="s">
        <v>732</v>
      </c>
      <c r="F1360" s="20">
        <f t="shared" si="21"/>
        <v>222583769</v>
      </c>
      <c r="G1360" s="7"/>
      <c r="H1360" s="24" t="s">
        <v>109</v>
      </c>
      <c r="I1360" s="32" t="s">
        <v>152</v>
      </c>
      <c r="K1360" s="181"/>
      <c r="L1360" s="181"/>
    </row>
    <row r="1361" spans="1:12" x14ac:dyDescent="0.35">
      <c r="A1361" s="19"/>
      <c r="B1361" s="20"/>
      <c r="C1361" s="20">
        <v>6310000</v>
      </c>
      <c r="D1361" s="20"/>
      <c r="E1361" s="99"/>
      <c r="F1361" s="20">
        <f t="shared" si="21"/>
        <v>222583769</v>
      </c>
      <c r="G1361" s="7" t="s">
        <v>741</v>
      </c>
      <c r="H1361" s="24"/>
      <c r="I1361" s="32"/>
      <c r="K1361" s="181"/>
      <c r="L1361" s="181"/>
    </row>
    <row r="1362" spans="1:12" x14ac:dyDescent="0.35">
      <c r="A1362" s="19">
        <v>45839</v>
      </c>
      <c r="B1362" s="20"/>
      <c r="C1362" s="20"/>
      <c r="D1362" s="20">
        <v>10000</v>
      </c>
      <c r="E1362" s="99" t="s">
        <v>733</v>
      </c>
      <c r="F1362" s="20">
        <f t="shared" si="21"/>
        <v>222593769</v>
      </c>
      <c r="G1362" s="7" t="s">
        <v>330</v>
      </c>
      <c r="H1362" s="24" t="s">
        <v>109</v>
      </c>
      <c r="I1362" s="32" t="s">
        <v>152</v>
      </c>
      <c r="K1362" s="181"/>
      <c r="L1362" s="181"/>
    </row>
    <row r="1363" spans="1:12" x14ac:dyDescent="0.35">
      <c r="A1363" s="19">
        <v>45839</v>
      </c>
      <c r="B1363" s="20"/>
      <c r="C1363" s="20"/>
      <c r="D1363" s="20">
        <v>20000</v>
      </c>
      <c r="E1363" s="99" t="s">
        <v>733</v>
      </c>
      <c r="F1363" s="20">
        <f t="shared" si="21"/>
        <v>222613769</v>
      </c>
      <c r="G1363" s="7" t="s">
        <v>330</v>
      </c>
      <c r="H1363" s="24" t="s">
        <v>109</v>
      </c>
      <c r="I1363" s="32" t="s">
        <v>152</v>
      </c>
      <c r="K1363" s="181"/>
      <c r="L1363" s="181"/>
    </row>
    <row r="1364" spans="1:12" x14ac:dyDescent="0.35">
      <c r="A1364" s="19">
        <v>45839</v>
      </c>
      <c r="B1364" s="20"/>
      <c r="C1364" s="20"/>
      <c r="D1364" s="20">
        <v>200000</v>
      </c>
      <c r="E1364" s="99" t="s">
        <v>733</v>
      </c>
      <c r="F1364" s="20">
        <f t="shared" si="21"/>
        <v>222813769</v>
      </c>
      <c r="G1364" s="7" t="s">
        <v>674</v>
      </c>
      <c r="H1364" s="24" t="s">
        <v>109</v>
      </c>
      <c r="I1364" s="32" t="s">
        <v>152</v>
      </c>
      <c r="K1364" s="181"/>
      <c r="L1364" s="181"/>
    </row>
    <row r="1365" spans="1:12" x14ac:dyDescent="0.35">
      <c r="A1365" s="19">
        <v>45840</v>
      </c>
      <c r="B1365" s="20"/>
      <c r="C1365" s="20"/>
      <c r="D1365" s="20">
        <v>10000</v>
      </c>
      <c r="E1365" s="99" t="s">
        <v>733</v>
      </c>
      <c r="F1365" s="20">
        <f t="shared" si="21"/>
        <v>222823769</v>
      </c>
      <c r="G1365" s="7" t="s">
        <v>330</v>
      </c>
      <c r="H1365" s="24" t="s">
        <v>109</v>
      </c>
      <c r="I1365" s="32" t="s">
        <v>152</v>
      </c>
      <c r="K1365" s="181"/>
      <c r="L1365" s="181"/>
    </row>
    <row r="1366" spans="1:12" x14ac:dyDescent="0.35">
      <c r="A1366" s="19">
        <v>45840</v>
      </c>
      <c r="B1366" s="20"/>
      <c r="C1366" s="20"/>
      <c r="D1366" s="20">
        <v>500000</v>
      </c>
      <c r="E1366" s="99" t="s">
        <v>733</v>
      </c>
      <c r="F1366" s="20">
        <f t="shared" si="21"/>
        <v>223323769</v>
      </c>
      <c r="G1366" s="7" t="s">
        <v>579</v>
      </c>
      <c r="H1366" s="24" t="s">
        <v>109</v>
      </c>
      <c r="I1366" s="32" t="s">
        <v>152</v>
      </c>
      <c r="K1366" s="181"/>
      <c r="L1366" s="181"/>
    </row>
    <row r="1367" spans="1:12" x14ac:dyDescent="0.35">
      <c r="A1367" s="19">
        <v>45841</v>
      </c>
      <c r="B1367" s="20"/>
      <c r="C1367" s="20"/>
      <c r="D1367" s="20">
        <v>200000</v>
      </c>
      <c r="E1367" s="99" t="s">
        <v>733</v>
      </c>
      <c r="F1367" s="20">
        <f t="shared" si="21"/>
        <v>223523769</v>
      </c>
      <c r="G1367" s="7" t="s">
        <v>333</v>
      </c>
      <c r="H1367" s="24" t="s">
        <v>109</v>
      </c>
      <c r="I1367" s="32" t="s">
        <v>152</v>
      </c>
      <c r="K1367" s="181"/>
      <c r="L1367" s="181"/>
    </row>
    <row r="1368" spans="1:12" x14ac:dyDescent="0.35">
      <c r="A1368" s="19">
        <v>45841</v>
      </c>
      <c r="B1368" s="20"/>
      <c r="C1368" s="20"/>
      <c r="D1368" s="20">
        <v>400000</v>
      </c>
      <c r="E1368" s="99" t="s">
        <v>733</v>
      </c>
      <c r="F1368" s="20">
        <f t="shared" si="21"/>
        <v>223923769</v>
      </c>
      <c r="G1368" s="7" t="s">
        <v>515</v>
      </c>
      <c r="H1368" s="24" t="s">
        <v>109</v>
      </c>
      <c r="I1368" s="32" t="s">
        <v>152</v>
      </c>
      <c r="K1368" s="181"/>
      <c r="L1368" s="181"/>
    </row>
    <row r="1369" spans="1:12" x14ac:dyDescent="0.35">
      <c r="A1369" s="19">
        <v>45842</v>
      </c>
      <c r="B1369" s="20"/>
      <c r="C1369" s="20"/>
      <c r="D1369" s="20">
        <v>20000</v>
      </c>
      <c r="E1369" s="99" t="s">
        <v>733</v>
      </c>
      <c r="F1369" s="20">
        <f t="shared" si="21"/>
        <v>223943769</v>
      </c>
      <c r="G1369" s="7" t="s">
        <v>330</v>
      </c>
      <c r="H1369" s="24" t="s">
        <v>109</v>
      </c>
      <c r="I1369" s="32" t="s">
        <v>152</v>
      </c>
      <c r="K1369" s="181"/>
      <c r="L1369" s="181"/>
    </row>
    <row r="1370" spans="1:12" x14ac:dyDescent="0.35">
      <c r="A1370" s="19">
        <v>45842</v>
      </c>
      <c r="B1370" s="20"/>
      <c r="C1370" s="20"/>
      <c r="D1370" s="20">
        <v>50000</v>
      </c>
      <c r="E1370" s="99" t="s">
        <v>733</v>
      </c>
      <c r="F1370" s="20">
        <f t="shared" si="21"/>
        <v>223993769</v>
      </c>
      <c r="G1370" s="7" t="s">
        <v>330</v>
      </c>
      <c r="H1370" s="24" t="s">
        <v>109</v>
      </c>
      <c r="I1370" s="32" t="s">
        <v>152</v>
      </c>
      <c r="K1370" s="181"/>
      <c r="L1370" s="181"/>
    </row>
    <row r="1371" spans="1:12" x14ac:dyDescent="0.35">
      <c r="A1371" s="19">
        <v>45842</v>
      </c>
      <c r="B1371" s="20"/>
      <c r="C1371" s="20"/>
      <c r="D1371" s="20">
        <v>2000000</v>
      </c>
      <c r="E1371" s="99" t="s">
        <v>733</v>
      </c>
      <c r="F1371" s="20">
        <f t="shared" si="21"/>
        <v>225993769</v>
      </c>
      <c r="G1371" s="7" t="s">
        <v>745</v>
      </c>
      <c r="H1371" s="24" t="s">
        <v>109</v>
      </c>
      <c r="I1371" s="32" t="s">
        <v>152</v>
      </c>
      <c r="K1371" s="181"/>
      <c r="L1371" s="181"/>
    </row>
    <row r="1372" spans="1:12" x14ac:dyDescent="0.35">
      <c r="A1372" s="19">
        <v>45843</v>
      </c>
      <c r="B1372" s="20">
        <v>750000</v>
      </c>
      <c r="C1372" s="20"/>
      <c r="D1372" s="20"/>
      <c r="E1372" s="99" t="s">
        <v>733</v>
      </c>
      <c r="F1372" s="20">
        <f t="shared" si="21"/>
        <v>225243769</v>
      </c>
      <c r="G1372" s="7" t="s">
        <v>746</v>
      </c>
      <c r="H1372" s="24" t="s">
        <v>323</v>
      </c>
      <c r="I1372" s="32" t="s">
        <v>152</v>
      </c>
      <c r="K1372" s="181"/>
      <c r="L1372" s="181"/>
    </row>
    <row r="1373" spans="1:12" x14ac:dyDescent="0.35">
      <c r="A1373" s="19">
        <v>45843</v>
      </c>
      <c r="B1373" s="20">
        <v>6500</v>
      </c>
      <c r="C1373" s="20"/>
      <c r="D1373" s="20"/>
      <c r="E1373" s="99" t="s">
        <v>733</v>
      </c>
      <c r="F1373" s="20">
        <f t="shared" si="21"/>
        <v>225237269</v>
      </c>
      <c r="G1373" s="7" t="s">
        <v>746</v>
      </c>
      <c r="H1373" s="24" t="s">
        <v>323</v>
      </c>
      <c r="I1373" s="32" t="s">
        <v>152</v>
      </c>
      <c r="K1373" s="181"/>
      <c r="L1373" s="181"/>
    </row>
    <row r="1374" spans="1:12" x14ac:dyDescent="0.35">
      <c r="A1374" s="19">
        <v>45843</v>
      </c>
      <c r="B1374" s="20"/>
      <c r="C1374" s="20"/>
      <c r="D1374" s="20">
        <v>20000</v>
      </c>
      <c r="E1374" s="99" t="s">
        <v>733</v>
      </c>
      <c r="F1374" s="20">
        <f t="shared" si="21"/>
        <v>225257269</v>
      </c>
      <c r="G1374" s="7" t="s">
        <v>330</v>
      </c>
      <c r="H1374" s="24" t="s">
        <v>109</v>
      </c>
      <c r="I1374" s="32" t="s">
        <v>152</v>
      </c>
      <c r="K1374" s="181"/>
      <c r="L1374" s="181"/>
    </row>
    <row r="1375" spans="1:12" x14ac:dyDescent="0.35">
      <c r="A1375" s="19">
        <v>45843</v>
      </c>
      <c r="B1375" s="20"/>
      <c r="C1375" s="20"/>
      <c r="D1375" s="20">
        <v>100000</v>
      </c>
      <c r="E1375" s="99" t="s">
        <v>733</v>
      </c>
      <c r="F1375" s="20">
        <f t="shared" si="21"/>
        <v>225357269</v>
      </c>
      <c r="G1375" s="7" t="s">
        <v>330</v>
      </c>
      <c r="H1375" s="24" t="s">
        <v>109</v>
      </c>
      <c r="I1375" s="32" t="s">
        <v>152</v>
      </c>
      <c r="K1375" s="181"/>
      <c r="L1375" s="181"/>
    </row>
    <row r="1376" spans="1:12" x14ac:dyDescent="0.35">
      <c r="A1376" s="19">
        <v>45843</v>
      </c>
      <c r="B1376" s="20"/>
      <c r="C1376" s="20"/>
      <c r="D1376" s="20">
        <v>30000</v>
      </c>
      <c r="E1376" s="99" t="s">
        <v>733</v>
      </c>
      <c r="F1376" s="20">
        <f t="shared" si="21"/>
        <v>225387269</v>
      </c>
      <c r="G1376" s="7" t="s">
        <v>330</v>
      </c>
      <c r="H1376" s="24" t="s">
        <v>109</v>
      </c>
      <c r="I1376" s="32" t="s">
        <v>152</v>
      </c>
      <c r="K1376" s="181"/>
      <c r="L1376" s="181"/>
    </row>
    <row r="1377" spans="1:12" x14ac:dyDescent="0.35">
      <c r="A1377" s="19">
        <v>45843</v>
      </c>
      <c r="B1377" s="20"/>
      <c r="C1377" s="20"/>
      <c r="D1377" s="20">
        <v>100000</v>
      </c>
      <c r="E1377" s="99" t="s">
        <v>733</v>
      </c>
      <c r="F1377" s="20">
        <f t="shared" si="21"/>
        <v>225487269</v>
      </c>
      <c r="G1377" s="7" t="s">
        <v>330</v>
      </c>
      <c r="H1377" s="24" t="s">
        <v>109</v>
      </c>
      <c r="I1377" s="32" t="s">
        <v>152</v>
      </c>
      <c r="K1377" s="181"/>
      <c r="L1377" s="181"/>
    </row>
    <row r="1378" spans="1:12" x14ac:dyDescent="0.35">
      <c r="A1378" s="19">
        <v>45843</v>
      </c>
      <c r="B1378" s="20"/>
      <c r="C1378" s="20"/>
      <c r="D1378" s="20">
        <v>50000</v>
      </c>
      <c r="E1378" s="99" t="s">
        <v>733</v>
      </c>
      <c r="F1378" s="20">
        <f t="shared" si="21"/>
        <v>225537269</v>
      </c>
      <c r="G1378" s="7" t="s">
        <v>330</v>
      </c>
      <c r="H1378" s="24" t="s">
        <v>109</v>
      </c>
      <c r="I1378" s="32" t="s">
        <v>152</v>
      </c>
      <c r="K1378" s="181"/>
      <c r="L1378" s="181"/>
    </row>
    <row r="1379" spans="1:12" x14ac:dyDescent="0.35">
      <c r="A1379" s="19">
        <v>45843</v>
      </c>
      <c r="B1379" s="20"/>
      <c r="C1379" s="20"/>
      <c r="D1379" s="20">
        <v>5000</v>
      </c>
      <c r="E1379" s="99" t="s">
        <v>733</v>
      </c>
      <c r="F1379" s="20">
        <f t="shared" si="21"/>
        <v>225542269</v>
      </c>
      <c r="G1379" s="7" t="s">
        <v>330</v>
      </c>
      <c r="H1379" s="24" t="s">
        <v>109</v>
      </c>
      <c r="I1379" s="32" t="s">
        <v>152</v>
      </c>
      <c r="K1379" s="181"/>
      <c r="L1379" s="181"/>
    </row>
    <row r="1380" spans="1:12" x14ac:dyDescent="0.35">
      <c r="A1380" s="19">
        <v>45843</v>
      </c>
      <c r="B1380" s="20"/>
      <c r="C1380" s="20"/>
      <c r="D1380" s="20">
        <v>10000</v>
      </c>
      <c r="E1380" s="99" t="s">
        <v>733</v>
      </c>
      <c r="F1380" s="20">
        <f t="shared" si="21"/>
        <v>225552269</v>
      </c>
      <c r="G1380" s="7" t="s">
        <v>330</v>
      </c>
      <c r="H1380" s="24" t="s">
        <v>109</v>
      </c>
      <c r="I1380" s="32" t="s">
        <v>152</v>
      </c>
      <c r="K1380" s="181"/>
      <c r="L1380" s="181"/>
    </row>
    <row r="1381" spans="1:12" x14ac:dyDescent="0.35">
      <c r="A1381" s="19">
        <v>45843</v>
      </c>
      <c r="B1381" s="20"/>
      <c r="C1381" s="20"/>
      <c r="D1381" s="20">
        <v>20000</v>
      </c>
      <c r="E1381" s="99" t="s">
        <v>733</v>
      </c>
      <c r="F1381" s="20">
        <f t="shared" si="21"/>
        <v>225572269</v>
      </c>
      <c r="G1381" s="7" t="s">
        <v>330</v>
      </c>
      <c r="H1381" s="24" t="s">
        <v>109</v>
      </c>
      <c r="I1381" s="32" t="s">
        <v>152</v>
      </c>
      <c r="K1381" s="181"/>
      <c r="L1381" s="181"/>
    </row>
    <row r="1382" spans="1:12" x14ac:dyDescent="0.35">
      <c r="A1382" s="19">
        <v>45843</v>
      </c>
      <c r="B1382" s="20"/>
      <c r="C1382" s="20"/>
      <c r="D1382" s="20">
        <v>10000</v>
      </c>
      <c r="E1382" s="99" t="s">
        <v>733</v>
      </c>
      <c r="F1382" s="20">
        <f t="shared" si="21"/>
        <v>225582269</v>
      </c>
      <c r="G1382" s="7" t="s">
        <v>330</v>
      </c>
      <c r="H1382" s="24" t="s">
        <v>109</v>
      </c>
      <c r="I1382" s="32" t="s">
        <v>152</v>
      </c>
      <c r="K1382" s="181"/>
      <c r="L1382" s="181"/>
    </row>
    <row r="1383" spans="1:12" x14ac:dyDescent="0.35">
      <c r="A1383" s="19">
        <v>45843</v>
      </c>
      <c r="B1383" s="20"/>
      <c r="C1383" s="20"/>
      <c r="D1383" s="20">
        <v>4000</v>
      </c>
      <c r="E1383" s="99" t="s">
        <v>733</v>
      </c>
      <c r="F1383" s="20">
        <f t="shared" si="21"/>
        <v>225586269</v>
      </c>
      <c r="G1383" s="7" t="s">
        <v>330</v>
      </c>
      <c r="H1383" s="24" t="s">
        <v>109</v>
      </c>
      <c r="I1383" s="32" t="s">
        <v>152</v>
      </c>
      <c r="K1383" s="181"/>
      <c r="L1383" s="181"/>
    </row>
    <row r="1384" spans="1:12" x14ac:dyDescent="0.35">
      <c r="A1384" s="19">
        <v>45843</v>
      </c>
      <c r="B1384" s="20"/>
      <c r="C1384" s="20"/>
      <c r="D1384" s="20">
        <v>150000</v>
      </c>
      <c r="E1384" s="99" t="s">
        <v>733</v>
      </c>
      <c r="F1384" s="20">
        <f t="shared" si="21"/>
        <v>225736269</v>
      </c>
      <c r="G1384" s="7" t="s">
        <v>603</v>
      </c>
      <c r="H1384" s="24" t="s">
        <v>109</v>
      </c>
      <c r="I1384" s="32" t="s">
        <v>152</v>
      </c>
      <c r="K1384" s="181"/>
      <c r="L1384" s="181"/>
    </row>
    <row r="1385" spans="1:12" x14ac:dyDescent="0.35">
      <c r="A1385" s="19">
        <v>45844</v>
      </c>
      <c r="B1385" s="20">
        <v>750000</v>
      </c>
      <c r="C1385" s="20"/>
      <c r="D1385" s="20"/>
      <c r="E1385" s="99" t="s">
        <v>733</v>
      </c>
      <c r="F1385" s="20">
        <f t="shared" si="21"/>
        <v>224986269</v>
      </c>
      <c r="G1385" s="7" t="s">
        <v>747</v>
      </c>
      <c r="H1385" s="24" t="s">
        <v>323</v>
      </c>
      <c r="I1385" s="32" t="s">
        <v>152</v>
      </c>
      <c r="K1385" s="181"/>
      <c r="L1385" s="181"/>
    </row>
    <row r="1386" spans="1:12" x14ac:dyDescent="0.35">
      <c r="A1386" s="19">
        <v>45844</v>
      </c>
      <c r="B1386" s="20">
        <v>6500</v>
      </c>
      <c r="C1386" s="20"/>
      <c r="D1386" s="20"/>
      <c r="E1386" s="99" t="s">
        <v>733</v>
      </c>
      <c r="F1386" s="20">
        <f t="shared" si="21"/>
        <v>224979769</v>
      </c>
      <c r="G1386" s="7" t="s">
        <v>747</v>
      </c>
      <c r="H1386" s="24" t="s">
        <v>323</v>
      </c>
      <c r="I1386" s="32" t="s">
        <v>152</v>
      </c>
      <c r="K1386" s="181"/>
      <c r="L1386" s="181"/>
    </row>
    <row r="1387" spans="1:12" x14ac:dyDescent="0.35">
      <c r="A1387" s="19">
        <v>45844</v>
      </c>
      <c r="B1387" s="20"/>
      <c r="C1387" s="20"/>
      <c r="D1387" s="20">
        <v>20000</v>
      </c>
      <c r="E1387" s="99" t="s">
        <v>733</v>
      </c>
      <c r="F1387" s="20">
        <f t="shared" si="21"/>
        <v>224999769</v>
      </c>
      <c r="G1387" s="7" t="s">
        <v>330</v>
      </c>
      <c r="H1387" s="24" t="s">
        <v>109</v>
      </c>
      <c r="I1387" s="32" t="s">
        <v>152</v>
      </c>
      <c r="K1387" s="181"/>
      <c r="L1387" s="181"/>
    </row>
    <row r="1388" spans="1:12" x14ac:dyDescent="0.35">
      <c r="A1388" s="19">
        <v>45844</v>
      </c>
      <c r="B1388" s="20"/>
      <c r="C1388" s="20"/>
      <c r="D1388" s="20">
        <v>25000</v>
      </c>
      <c r="E1388" s="99" t="s">
        <v>733</v>
      </c>
      <c r="F1388" s="20">
        <f t="shared" si="21"/>
        <v>225024769</v>
      </c>
      <c r="G1388" s="7" t="s">
        <v>330</v>
      </c>
      <c r="H1388" s="24" t="s">
        <v>109</v>
      </c>
      <c r="I1388" s="32" t="s">
        <v>152</v>
      </c>
      <c r="K1388" s="181"/>
      <c r="L1388" s="181"/>
    </row>
    <row r="1389" spans="1:12" x14ac:dyDescent="0.35">
      <c r="A1389" s="19">
        <v>45844</v>
      </c>
      <c r="B1389" s="20"/>
      <c r="C1389" s="20"/>
      <c r="D1389" s="20">
        <v>200000</v>
      </c>
      <c r="E1389" s="99" t="s">
        <v>733</v>
      </c>
      <c r="F1389" s="20">
        <f t="shared" si="21"/>
        <v>225224769</v>
      </c>
      <c r="G1389" s="7" t="s">
        <v>531</v>
      </c>
      <c r="H1389" s="24" t="s">
        <v>109</v>
      </c>
      <c r="I1389" s="32" t="s">
        <v>152</v>
      </c>
      <c r="K1389" s="181"/>
      <c r="L1389" s="181"/>
    </row>
    <row r="1390" spans="1:12" x14ac:dyDescent="0.35">
      <c r="A1390" s="19">
        <v>45845</v>
      </c>
      <c r="B1390" s="20"/>
      <c r="C1390" s="20"/>
      <c r="D1390" s="20">
        <v>50000</v>
      </c>
      <c r="E1390" s="99" t="s">
        <v>733</v>
      </c>
      <c r="F1390" s="20">
        <f t="shared" si="21"/>
        <v>225274769</v>
      </c>
      <c r="G1390" s="7" t="s">
        <v>330</v>
      </c>
      <c r="H1390" s="24" t="s">
        <v>109</v>
      </c>
      <c r="I1390" s="32" t="s">
        <v>152</v>
      </c>
      <c r="K1390" s="181"/>
      <c r="L1390" s="181"/>
    </row>
    <row r="1391" spans="1:12" x14ac:dyDescent="0.35">
      <c r="A1391" s="19">
        <v>45845</v>
      </c>
      <c r="B1391" s="20"/>
      <c r="C1391" s="20"/>
      <c r="D1391" s="20">
        <v>10000</v>
      </c>
      <c r="E1391" s="99" t="s">
        <v>733</v>
      </c>
      <c r="F1391" s="20">
        <f t="shared" si="21"/>
        <v>225284769</v>
      </c>
      <c r="G1391" s="7" t="s">
        <v>330</v>
      </c>
      <c r="H1391" s="24" t="s">
        <v>109</v>
      </c>
      <c r="I1391" s="32" t="s">
        <v>152</v>
      </c>
      <c r="K1391" s="181"/>
      <c r="L1391" s="181"/>
    </row>
    <row r="1392" spans="1:12" x14ac:dyDescent="0.35">
      <c r="A1392" s="19">
        <v>45845</v>
      </c>
      <c r="B1392" s="20">
        <v>575000</v>
      </c>
      <c r="C1392" s="20"/>
      <c r="D1392" s="20"/>
      <c r="E1392" s="99" t="s">
        <v>733</v>
      </c>
      <c r="F1392" s="20">
        <f t="shared" si="21"/>
        <v>224709769</v>
      </c>
      <c r="G1392" s="7" t="s">
        <v>748</v>
      </c>
      <c r="H1392" s="24" t="s">
        <v>322</v>
      </c>
      <c r="I1392" s="32" t="s">
        <v>152</v>
      </c>
      <c r="K1392" s="181"/>
      <c r="L1392" s="181"/>
    </row>
    <row r="1393" spans="1:12" x14ac:dyDescent="0.35">
      <c r="A1393" s="19">
        <v>45845</v>
      </c>
      <c r="B1393" s="20">
        <v>2900</v>
      </c>
      <c r="C1393" s="20"/>
      <c r="D1393" s="20"/>
      <c r="E1393" s="99" t="s">
        <v>733</v>
      </c>
      <c r="F1393" s="20">
        <f t="shared" si="21"/>
        <v>224706869</v>
      </c>
      <c r="G1393" s="7" t="s">
        <v>748</v>
      </c>
      <c r="H1393" s="24" t="s">
        <v>322</v>
      </c>
      <c r="I1393" s="32" t="s">
        <v>152</v>
      </c>
      <c r="K1393" s="181"/>
      <c r="L1393" s="181"/>
    </row>
    <row r="1394" spans="1:12" x14ac:dyDescent="0.35">
      <c r="A1394" s="19">
        <v>45845</v>
      </c>
      <c r="B1394" s="20"/>
      <c r="C1394" s="20"/>
      <c r="D1394" s="20">
        <v>2044000</v>
      </c>
      <c r="E1394" s="99" t="s">
        <v>733</v>
      </c>
      <c r="F1394" s="20">
        <f t="shared" si="21"/>
        <v>226750869</v>
      </c>
      <c r="G1394" s="7"/>
      <c r="H1394" s="24" t="s">
        <v>107</v>
      </c>
      <c r="I1394" s="32" t="s">
        <v>152</v>
      </c>
      <c r="K1394" s="181"/>
      <c r="L1394" s="181"/>
    </row>
    <row r="1395" spans="1:12" x14ac:dyDescent="0.35">
      <c r="A1395" s="19">
        <v>45845</v>
      </c>
      <c r="B1395" s="20"/>
      <c r="C1395" s="20"/>
      <c r="D1395" s="20">
        <v>3860000</v>
      </c>
      <c r="E1395" s="99" t="s">
        <v>733</v>
      </c>
      <c r="F1395" s="20">
        <f t="shared" si="21"/>
        <v>230610869</v>
      </c>
      <c r="G1395" s="7"/>
      <c r="H1395" s="24" t="s">
        <v>109</v>
      </c>
      <c r="I1395" s="32" t="s">
        <v>152</v>
      </c>
      <c r="K1395" s="181"/>
      <c r="L1395" s="181"/>
    </row>
    <row r="1396" spans="1:12" x14ac:dyDescent="0.35">
      <c r="A1396" s="19"/>
      <c r="B1396" s="20"/>
      <c r="C1396" s="20">
        <v>5904000</v>
      </c>
      <c r="D1396" s="20"/>
      <c r="E1396" s="99"/>
      <c r="F1396" s="20">
        <f t="shared" si="21"/>
        <v>230610869</v>
      </c>
      <c r="G1396" s="7" t="s">
        <v>749</v>
      </c>
      <c r="H1396" s="24"/>
      <c r="I1396" s="32"/>
      <c r="K1396" s="181"/>
      <c r="L1396" s="181"/>
    </row>
    <row r="1397" spans="1:12" x14ac:dyDescent="0.35">
      <c r="A1397" s="19">
        <v>45846</v>
      </c>
      <c r="B1397" s="20"/>
      <c r="C1397" s="20"/>
      <c r="D1397" s="20">
        <v>50000</v>
      </c>
      <c r="E1397" s="99" t="s">
        <v>733</v>
      </c>
      <c r="F1397" s="20">
        <f t="shared" si="21"/>
        <v>230660869</v>
      </c>
      <c r="G1397" s="7" t="s">
        <v>330</v>
      </c>
      <c r="H1397" s="24" t="s">
        <v>109</v>
      </c>
      <c r="I1397" s="32" t="s">
        <v>152</v>
      </c>
      <c r="K1397" s="181"/>
      <c r="L1397" s="181"/>
    </row>
    <row r="1398" spans="1:12" x14ac:dyDescent="0.35">
      <c r="A1398" s="19">
        <v>45846</v>
      </c>
      <c r="B1398" s="20"/>
      <c r="C1398" s="20"/>
      <c r="D1398" s="20">
        <v>20000</v>
      </c>
      <c r="E1398" s="99" t="s">
        <v>733</v>
      </c>
      <c r="F1398" s="20">
        <f t="shared" si="21"/>
        <v>230680869</v>
      </c>
      <c r="G1398" s="7" t="s">
        <v>330</v>
      </c>
      <c r="H1398" s="24" t="s">
        <v>109</v>
      </c>
      <c r="I1398" s="32" t="s">
        <v>152</v>
      </c>
      <c r="K1398" s="181"/>
      <c r="L1398" s="181"/>
    </row>
    <row r="1399" spans="1:12" x14ac:dyDescent="0.35">
      <c r="A1399" s="19">
        <v>45847</v>
      </c>
      <c r="B1399" s="20"/>
      <c r="C1399" s="20"/>
      <c r="D1399" s="20">
        <v>250000</v>
      </c>
      <c r="E1399" s="99" t="s">
        <v>733</v>
      </c>
      <c r="F1399" s="20">
        <f t="shared" si="21"/>
        <v>230930869</v>
      </c>
      <c r="G1399" s="7" t="s">
        <v>330</v>
      </c>
      <c r="H1399" s="24" t="s">
        <v>109</v>
      </c>
      <c r="I1399" s="32" t="s">
        <v>152</v>
      </c>
      <c r="K1399" s="181"/>
      <c r="L1399" s="181"/>
    </row>
    <row r="1400" spans="1:12" x14ac:dyDescent="0.35">
      <c r="A1400" s="19">
        <v>45847</v>
      </c>
      <c r="B1400" s="20"/>
      <c r="C1400" s="20"/>
      <c r="D1400" s="20">
        <v>10000</v>
      </c>
      <c r="E1400" s="99" t="s">
        <v>733</v>
      </c>
      <c r="F1400" s="20">
        <f t="shared" si="21"/>
        <v>230940869</v>
      </c>
      <c r="G1400" s="7" t="s">
        <v>330</v>
      </c>
      <c r="H1400" s="24" t="s">
        <v>109</v>
      </c>
      <c r="I1400" s="32" t="s">
        <v>152</v>
      </c>
      <c r="K1400" s="181"/>
      <c r="L1400" s="181"/>
    </row>
    <row r="1401" spans="1:12" x14ac:dyDescent="0.35">
      <c r="A1401" s="19">
        <v>45847</v>
      </c>
      <c r="B1401" s="20"/>
      <c r="C1401" s="20"/>
      <c r="D1401" s="20">
        <v>20000</v>
      </c>
      <c r="E1401" s="99" t="s">
        <v>733</v>
      </c>
      <c r="F1401" s="20">
        <f t="shared" si="21"/>
        <v>230960869</v>
      </c>
      <c r="G1401" s="7" t="s">
        <v>330</v>
      </c>
      <c r="H1401" s="24" t="s">
        <v>109</v>
      </c>
      <c r="I1401" s="32" t="s">
        <v>152</v>
      </c>
      <c r="K1401" s="181"/>
      <c r="L1401" s="181"/>
    </row>
    <row r="1402" spans="1:12" x14ac:dyDescent="0.35">
      <c r="A1402" s="19">
        <v>45848</v>
      </c>
      <c r="B1402" s="20"/>
      <c r="C1402" s="20"/>
      <c r="D1402" s="20">
        <v>20000</v>
      </c>
      <c r="E1402" s="99" t="s">
        <v>733</v>
      </c>
      <c r="F1402" s="20">
        <f t="shared" si="21"/>
        <v>230980869</v>
      </c>
      <c r="G1402" s="7" t="s">
        <v>330</v>
      </c>
      <c r="H1402" s="24" t="s">
        <v>109</v>
      </c>
      <c r="I1402" s="32" t="s">
        <v>152</v>
      </c>
      <c r="K1402" s="181"/>
      <c r="L1402" s="181"/>
    </row>
    <row r="1403" spans="1:12" x14ac:dyDescent="0.35">
      <c r="A1403" s="19">
        <v>45849</v>
      </c>
      <c r="B1403" s="20"/>
      <c r="C1403" s="20"/>
      <c r="D1403" s="20">
        <v>68147</v>
      </c>
      <c r="E1403" s="99" t="s">
        <v>733</v>
      </c>
      <c r="F1403" s="20">
        <f t="shared" si="21"/>
        <v>231049016</v>
      </c>
      <c r="G1403" s="7" t="s">
        <v>330</v>
      </c>
      <c r="H1403" s="24" t="s">
        <v>109</v>
      </c>
      <c r="I1403" s="32" t="s">
        <v>152</v>
      </c>
      <c r="K1403" s="181"/>
      <c r="L1403" s="181"/>
    </row>
    <row r="1404" spans="1:12" x14ac:dyDescent="0.35">
      <c r="A1404" s="19">
        <v>45849</v>
      </c>
      <c r="B1404" s="20"/>
      <c r="C1404" s="20"/>
      <c r="D1404" s="20">
        <v>20000</v>
      </c>
      <c r="E1404" s="99" t="s">
        <v>733</v>
      </c>
      <c r="F1404" s="20">
        <f t="shared" si="21"/>
        <v>231069016</v>
      </c>
      <c r="G1404" s="7" t="s">
        <v>330</v>
      </c>
      <c r="H1404" s="24" t="s">
        <v>109</v>
      </c>
      <c r="I1404" s="32" t="s">
        <v>152</v>
      </c>
      <c r="K1404" s="181"/>
      <c r="L1404" s="181"/>
    </row>
    <row r="1405" spans="1:12" x14ac:dyDescent="0.35">
      <c r="A1405" s="19">
        <v>45850</v>
      </c>
      <c r="B1405" s="20"/>
      <c r="C1405" s="20"/>
      <c r="D1405" s="20">
        <v>4000</v>
      </c>
      <c r="E1405" s="99" t="s">
        <v>733</v>
      </c>
      <c r="F1405" s="20">
        <f t="shared" si="21"/>
        <v>231073016</v>
      </c>
      <c r="G1405" s="7" t="s">
        <v>330</v>
      </c>
      <c r="H1405" s="24" t="s">
        <v>109</v>
      </c>
      <c r="I1405" s="32" t="s">
        <v>152</v>
      </c>
      <c r="K1405" s="181"/>
      <c r="L1405" s="181"/>
    </row>
    <row r="1406" spans="1:12" x14ac:dyDescent="0.35">
      <c r="A1406" s="19">
        <v>45850</v>
      </c>
      <c r="B1406" s="20"/>
      <c r="C1406" s="20"/>
      <c r="D1406" s="20">
        <v>4000</v>
      </c>
      <c r="E1406" s="99" t="s">
        <v>733</v>
      </c>
      <c r="F1406" s="20">
        <f t="shared" si="21"/>
        <v>231077016</v>
      </c>
      <c r="G1406" s="7" t="s">
        <v>330</v>
      </c>
      <c r="H1406" s="24" t="s">
        <v>109</v>
      </c>
      <c r="I1406" s="32" t="s">
        <v>152</v>
      </c>
      <c r="K1406" s="181"/>
      <c r="L1406" s="181"/>
    </row>
    <row r="1407" spans="1:12" x14ac:dyDescent="0.35">
      <c r="A1407" s="19">
        <v>45850</v>
      </c>
      <c r="B1407" s="20"/>
      <c r="C1407" s="20"/>
      <c r="D1407" s="20">
        <v>4000</v>
      </c>
      <c r="E1407" s="99" t="s">
        <v>733</v>
      </c>
      <c r="F1407" s="20">
        <f t="shared" si="21"/>
        <v>231081016</v>
      </c>
      <c r="G1407" s="7" t="s">
        <v>330</v>
      </c>
      <c r="H1407" s="24" t="s">
        <v>109</v>
      </c>
      <c r="I1407" s="32" t="s">
        <v>152</v>
      </c>
      <c r="K1407" s="181"/>
      <c r="L1407" s="181"/>
    </row>
    <row r="1408" spans="1:12" x14ac:dyDescent="0.35">
      <c r="A1408" s="19">
        <v>45850</v>
      </c>
      <c r="B1408" s="20"/>
      <c r="C1408" s="20"/>
      <c r="D1408" s="20">
        <v>4000</v>
      </c>
      <c r="E1408" s="99" t="s">
        <v>733</v>
      </c>
      <c r="F1408" s="20">
        <f t="shared" si="21"/>
        <v>231085016</v>
      </c>
      <c r="G1408" s="7" t="s">
        <v>330</v>
      </c>
      <c r="H1408" s="24" t="s">
        <v>109</v>
      </c>
      <c r="I1408" s="32" t="s">
        <v>152</v>
      </c>
      <c r="K1408" s="181"/>
      <c r="L1408" s="181"/>
    </row>
    <row r="1409" spans="1:12" x14ac:dyDescent="0.35">
      <c r="A1409" s="19">
        <v>45850</v>
      </c>
      <c r="B1409" s="20"/>
      <c r="C1409" s="20"/>
      <c r="D1409" s="20">
        <v>4000</v>
      </c>
      <c r="E1409" s="99" t="s">
        <v>733</v>
      </c>
      <c r="F1409" s="20">
        <f t="shared" si="21"/>
        <v>231089016</v>
      </c>
      <c r="G1409" s="7" t="s">
        <v>330</v>
      </c>
      <c r="H1409" s="24" t="s">
        <v>109</v>
      </c>
      <c r="I1409" s="32" t="s">
        <v>152</v>
      </c>
      <c r="K1409" s="181"/>
      <c r="L1409" s="181"/>
    </row>
    <row r="1410" spans="1:12" x14ac:dyDescent="0.35">
      <c r="A1410" s="19">
        <v>45850</v>
      </c>
      <c r="B1410" s="20"/>
      <c r="C1410" s="20"/>
      <c r="D1410" s="20">
        <v>4000</v>
      </c>
      <c r="E1410" s="99" t="s">
        <v>733</v>
      </c>
      <c r="F1410" s="20">
        <f t="shared" si="21"/>
        <v>231093016</v>
      </c>
      <c r="G1410" s="7" t="s">
        <v>330</v>
      </c>
      <c r="H1410" s="24" t="s">
        <v>109</v>
      </c>
      <c r="I1410" s="32" t="s">
        <v>152</v>
      </c>
      <c r="K1410" s="181"/>
      <c r="L1410" s="181"/>
    </row>
    <row r="1411" spans="1:12" x14ac:dyDescent="0.35">
      <c r="A1411" s="19">
        <v>45850</v>
      </c>
      <c r="B1411" s="20"/>
      <c r="C1411" s="20"/>
      <c r="D1411" s="20">
        <v>4000</v>
      </c>
      <c r="E1411" s="99" t="s">
        <v>733</v>
      </c>
      <c r="F1411" s="20">
        <f t="shared" si="21"/>
        <v>231097016</v>
      </c>
      <c r="G1411" s="7" t="s">
        <v>330</v>
      </c>
      <c r="H1411" s="24" t="s">
        <v>109</v>
      </c>
      <c r="I1411" s="32" t="s">
        <v>152</v>
      </c>
      <c r="K1411" s="181"/>
      <c r="L1411" s="181"/>
    </row>
    <row r="1412" spans="1:12" x14ac:dyDescent="0.35">
      <c r="A1412" s="19">
        <v>45850</v>
      </c>
      <c r="B1412" s="20"/>
      <c r="C1412" s="20"/>
      <c r="D1412" s="20">
        <v>4000</v>
      </c>
      <c r="E1412" s="99" t="s">
        <v>733</v>
      </c>
      <c r="F1412" s="20">
        <f t="shared" si="21"/>
        <v>231101016</v>
      </c>
      <c r="G1412" s="7" t="s">
        <v>330</v>
      </c>
      <c r="H1412" s="24" t="s">
        <v>109</v>
      </c>
      <c r="I1412" s="32" t="s">
        <v>152</v>
      </c>
      <c r="K1412" s="181"/>
      <c r="L1412" s="181"/>
    </row>
    <row r="1413" spans="1:12" x14ac:dyDescent="0.35">
      <c r="A1413" s="19">
        <v>45850</v>
      </c>
      <c r="B1413" s="20"/>
      <c r="C1413" s="20"/>
      <c r="D1413" s="20">
        <v>4000</v>
      </c>
      <c r="E1413" s="99" t="s">
        <v>733</v>
      </c>
      <c r="F1413" s="20">
        <f t="shared" si="21"/>
        <v>231105016</v>
      </c>
      <c r="G1413" s="7" t="s">
        <v>330</v>
      </c>
      <c r="H1413" s="24" t="s">
        <v>109</v>
      </c>
      <c r="I1413" s="32" t="s">
        <v>152</v>
      </c>
      <c r="K1413" s="181"/>
      <c r="L1413" s="181"/>
    </row>
    <row r="1414" spans="1:12" x14ac:dyDescent="0.35">
      <c r="A1414" s="19">
        <v>45850</v>
      </c>
      <c r="B1414" s="20"/>
      <c r="C1414" s="20"/>
      <c r="D1414" s="20">
        <v>4000</v>
      </c>
      <c r="E1414" s="99" t="s">
        <v>733</v>
      </c>
      <c r="F1414" s="20">
        <f t="shared" si="21"/>
        <v>231109016</v>
      </c>
      <c r="G1414" s="7" t="s">
        <v>330</v>
      </c>
      <c r="H1414" s="24" t="s">
        <v>109</v>
      </c>
      <c r="I1414" s="32" t="s">
        <v>152</v>
      </c>
      <c r="K1414" s="181"/>
      <c r="L1414" s="181"/>
    </row>
    <row r="1415" spans="1:12" x14ac:dyDescent="0.35">
      <c r="A1415" s="19">
        <v>45850</v>
      </c>
      <c r="B1415" s="20"/>
      <c r="C1415" s="20"/>
      <c r="D1415" s="20">
        <v>4000</v>
      </c>
      <c r="E1415" s="99" t="s">
        <v>733</v>
      </c>
      <c r="F1415" s="20">
        <f t="shared" si="21"/>
        <v>231113016</v>
      </c>
      <c r="G1415" s="7" t="s">
        <v>330</v>
      </c>
      <c r="H1415" s="24" t="s">
        <v>109</v>
      </c>
      <c r="I1415" s="32" t="s">
        <v>152</v>
      </c>
      <c r="K1415" s="181"/>
      <c r="L1415" s="181"/>
    </row>
    <row r="1416" spans="1:12" x14ac:dyDescent="0.35">
      <c r="A1416" s="19">
        <v>45850</v>
      </c>
      <c r="B1416" s="20">
        <v>750000</v>
      </c>
      <c r="C1416" s="20"/>
      <c r="D1416" s="20"/>
      <c r="E1416" s="99" t="s">
        <v>733</v>
      </c>
      <c r="F1416" s="20">
        <f t="shared" ref="F1416:F1481" si="22">+F1415+D1416-B1416</f>
        <v>230363016</v>
      </c>
      <c r="G1416" s="7" t="s">
        <v>93</v>
      </c>
      <c r="H1416" s="24" t="s">
        <v>323</v>
      </c>
      <c r="I1416" s="32" t="s">
        <v>152</v>
      </c>
      <c r="K1416" s="181"/>
      <c r="L1416" s="181"/>
    </row>
    <row r="1417" spans="1:12" x14ac:dyDescent="0.35">
      <c r="A1417" s="19">
        <v>45850</v>
      </c>
      <c r="B1417" s="20">
        <v>6500</v>
      </c>
      <c r="C1417" s="20"/>
      <c r="D1417" s="20"/>
      <c r="E1417" s="99" t="s">
        <v>733</v>
      </c>
      <c r="F1417" s="20">
        <f t="shared" si="22"/>
        <v>230356516</v>
      </c>
      <c r="G1417" s="7" t="s">
        <v>93</v>
      </c>
      <c r="H1417" s="24" t="s">
        <v>323</v>
      </c>
      <c r="I1417" s="32" t="s">
        <v>152</v>
      </c>
      <c r="K1417" s="181"/>
      <c r="L1417" s="181"/>
    </row>
    <row r="1418" spans="1:12" x14ac:dyDescent="0.35">
      <c r="A1418" s="19">
        <v>45850</v>
      </c>
      <c r="B1418" s="20"/>
      <c r="C1418" s="20"/>
      <c r="D1418" s="20">
        <v>50000</v>
      </c>
      <c r="E1418" s="99" t="s">
        <v>733</v>
      </c>
      <c r="F1418" s="20">
        <f t="shared" si="22"/>
        <v>230406516</v>
      </c>
      <c r="G1418" s="7" t="s">
        <v>330</v>
      </c>
      <c r="H1418" s="24" t="s">
        <v>109</v>
      </c>
      <c r="I1418" s="32" t="s">
        <v>152</v>
      </c>
      <c r="K1418" s="181"/>
      <c r="L1418" s="181"/>
    </row>
    <row r="1419" spans="1:12" x14ac:dyDescent="0.35">
      <c r="A1419" s="19">
        <v>45850</v>
      </c>
      <c r="B1419" s="20"/>
      <c r="C1419" s="20"/>
      <c r="D1419" s="20">
        <v>20000</v>
      </c>
      <c r="E1419" s="99" t="s">
        <v>733</v>
      </c>
      <c r="F1419" s="20">
        <f t="shared" si="22"/>
        <v>230426516</v>
      </c>
      <c r="G1419" s="7" t="s">
        <v>330</v>
      </c>
      <c r="H1419" s="24" t="s">
        <v>109</v>
      </c>
      <c r="I1419" s="32" t="s">
        <v>152</v>
      </c>
      <c r="K1419" s="181"/>
      <c r="L1419" s="181"/>
    </row>
    <row r="1420" spans="1:12" x14ac:dyDescent="0.35">
      <c r="A1420" s="19">
        <v>45850</v>
      </c>
      <c r="B1420" s="20"/>
      <c r="C1420" s="20"/>
      <c r="D1420" s="20">
        <v>100000</v>
      </c>
      <c r="E1420" s="99" t="s">
        <v>733</v>
      </c>
      <c r="F1420" s="20">
        <f t="shared" si="22"/>
        <v>230526516</v>
      </c>
      <c r="G1420" s="7" t="s">
        <v>330</v>
      </c>
      <c r="H1420" s="24" t="s">
        <v>109</v>
      </c>
      <c r="I1420" s="32" t="s">
        <v>152</v>
      </c>
      <c r="K1420" s="181"/>
      <c r="L1420" s="181"/>
    </row>
    <row r="1421" spans="1:12" x14ac:dyDescent="0.35">
      <c r="A1421" s="19">
        <v>45850</v>
      </c>
      <c r="B1421" s="20"/>
      <c r="C1421" s="20"/>
      <c r="D1421" s="20">
        <v>20000</v>
      </c>
      <c r="E1421" s="99" t="s">
        <v>733</v>
      </c>
      <c r="F1421" s="20">
        <f t="shared" si="22"/>
        <v>230546516</v>
      </c>
      <c r="G1421" s="7" t="s">
        <v>330</v>
      </c>
      <c r="H1421" s="24" t="s">
        <v>109</v>
      </c>
      <c r="I1421" s="32" t="s">
        <v>152</v>
      </c>
      <c r="K1421" s="181"/>
      <c r="L1421" s="181"/>
    </row>
    <row r="1422" spans="1:12" x14ac:dyDescent="0.35">
      <c r="A1422" s="19">
        <v>45850</v>
      </c>
      <c r="B1422" s="20"/>
      <c r="C1422" s="20"/>
      <c r="D1422" s="20">
        <v>20000</v>
      </c>
      <c r="E1422" s="99" t="s">
        <v>733</v>
      </c>
      <c r="F1422" s="20">
        <f t="shared" si="22"/>
        <v>230566516</v>
      </c>
      <c r="G1422" s="7" t="s">
        <v>330</v>
      </c>
      <c r="H1422" s="24" t="s">
        <v>109</v>
      </c>
      <c r="I1422" s="32" t="s">
        <v>152</v>
      </c>
      <c r="K1422" s="181"/>
      <c r="L1422" s="181"/>
    </row>
    <row r="1423" spans="1:12" x14ac:dyDescent="0.35">
      <c r="A1423" s="19">
        <v>45850</v>
      </c>
      <c r="B1423" s="20"/>
      <c r="C1423" s="20"/>
      <c r="D1423" s="20">
        <v>10000</v>
      </c>
      <c r="E1423" s="99" t="s">
        <v>733</v>
      </c>
      <c r="F1423" s="20">
        <f t="shared" si="22"/>
        <v>230576516</v>
      </c>
      <c r="G1423" s="7" t="s">
        <v>330</v>
      </c>
      <c r="H1423" s="24" t="s">
        <v>109</v>
      </c>
      <c r="I1423" s="32" t="s">
        <v>152</v>
      </c>
      <c r="K1423" s="181"/>
      <c r="L1423" s="181"/>
    </row>
    <row r="1424" spans="1:12" x14ac:dyDescent="0.35">
      <c r="A1424" s="19">
        <v>45850</v>
      </c>
      <c r="B1424" s="20"/>
      <c r="C1424" s="20"/>
      <c r="D1424" s="20">
        <v>50000</v>
      </c>
      <c r="E1424" s="99" t="s">
        <v>733</v>
      </c>
      <c r="F1424" s="20">
        <f t="shared" si="22"/>
        <v>230626516</v>
      </c>
      <c r="G1424" s="7" t="s">
        <v>330</v>
      </c>
      <c r="H1424" s="24" t="s">
        <v>109</v>
      </c>
      <c r="I1424" s="32" t="s">
        <v>152</v>
      </c>
      <c r="K1424" s="181"/>
      <c r="L1424" s="181"/>
    </row>
    <row r="1425" spans="1:12" x14ac:dyDescent="0.35">
      <c r="A1425" s="19">
        <v>45850</v>
      </c>
      <c r="B1425" s="20"/>
      <c r="C1425" s="20"/>
      <c r="D1425" s="20">
        <v>20000</v>
      </c>
      <c r="E1425" s="99" t="s">
        <v>733</v>
      </c>
      <c r="F1425" s="20">
        <f t="shared" si="22"/>
        <v>230646516</v>
      </c>
      <c r="G1425" s="7" t="s">
        <v>330</v>
      </c>
      <c r="H1425" s="24" t="s">
        <v>109</v>
      </c>
      <c r="I1425" s="32" t="s">
        <v>152</v>
      </c>
      <c r="K1425" s="181"/>
      <c r="L1425" s="181"/>
    </row>
    <row r="1426" spans="1:12" x14ac:dyDescent="0.35">
      <c r="A1426" s="19">
        <v>45850</v>
      </c>
      <c r="B1426" s="20"/>
      <c r="C1426" s="20"/>
      <c r="D1426" s="20">
        <v>10000</v>
      </c>
      <c r="E1426" s="99" t="s">
        <v>733</v>
      </c>
      <c r="F1426" s="20">
        <f t="shared" si="22"/>
        <v>230656516</v>
      </c>
      <c r="G1426" s="7" t="s">
        <v>330</v>
      </c>
      <c r="H1426" s="24" t="s">
        <v>109</v>
      </c>
      <c r="I1426" s="32" t="s">
        <v>152</v>
      </c>
      <c r="K1426" s="181"/>
      <c r="L1426" s="181"/>
    </row>
    <row r="1427" spans="1:12" x14ac:dyDescent="0.35">
      <c r="A1427" s="19">
        <v>45850</v>
      </c>
      <c r="B1427" s="20"/>
      <c r="C1427" s="20"/>
      <c r="D1427" s="20">
        <v>5000</v>
      </c>
      <c r="E1427" s="99" t="s">
        <v>733</v>
      </c>
      <c r="F1427" s="20">
        <f t="shared" si="22"/>
        <v>230661516</v>
      </c>
      <c r="G1427" s="7" t="s">
        <v>330</v>
      </c>
      <c r="H1427" s="24" t="s">
        <v>109</v>
      </c>
      <c r="I1427" s="32" t="s">
        <v>152</v>
      </c>
      <c r="K1427" s="181"/>
      <c r="L1427" s="181"/>
    </row>
    <row r="1428" spans="1:12" x14ac:dyDescent="0.35">
      <c r="A1428" s="19">
        <v>45850</v>
      </c>
      <c r="B1428" s="20">
        <v>60000</v>
      </c>
      <c r="C1428" s="20"/>
      <c r="D1428" s="20"/>
      <c r="E1428" s="99" t="s">
        <v>733</v>
      </c>
      <c r="F1428" s="20">
        <f t="shared" si="22"/>
        <v>230601516</v>
      </c>
      <c r="G1428" s="7" t="s">
        <v>755</v>
      </c>
      <c r="H1428" s="24" t="s">
        <v>320</v>
      </c>
      <c r="I1428" s="32" t="s">
        <v>152</v>
      </c>
      <c r="K1428" s="181"/>
      <c r="L1428" s="181"/>
    </row>
    <row r="1429" spans="1:12" x14ac:dyDescent="0.35">
      <c r="A1429" s="19">
        <v>45850</v>
      </c>
      <c r="B1429" s="20">
        <v>6500</v>
      </c>
      <c r="C1429" s="20"/>
      <c r="D1429" s="20"/>
      <c r="E1429" s="99" t="s">
        <v>733</v>
      </c>
      <c r="F1429" s="20">
        <f t="shared" si="22"/>
        <v>230595016</v>
      </c>
      <c r="G1429" s="7" t="s">
        <v>755</v>
      </c>
      <c r="H1429" s="24" t="s">
        <v>320</v>
      </c>
      <c r="I1429" s="32" t="s">
        <v>152</v>
      </c>
      <c r="K1429" s="181"/>
      <c r="L1429" s="181"/>
    </row>
    <row r="1430" spans="1:12" x14ac:dyDescent="0.35">
      <c r="A1430" s="19">
        <v>45851</v>
      </c>
      <c r="B1430" s="20">
        <v>750000</v>
      </c>
      <c r="C1430" s="20"/>
      <c r="D1430" s="20"/>
      <c r="E1430" s="99" t="s">
        <v>733</v>
      </c>
      <c r="F1430" s="20">
        <f t="shared" si="22"/>
        <v>229845016</v>
      </c>
      <c r="G1430" s="7" t="s">
        <v>276</v>
      </c>
      <c r="H1430" s="24" t="s">
        <v>323</v>
      </c>
      <c r="I1430" s="32" t="s">
        <v>152</v>
      </c>
      <c r="K1430" s="181"/>
      <c r="L1430" s="181"/>
    </row>
    <row r="1431" spans="1:12" x14ac:dyDescent="0.35">
      <c r="A1431" s="19">
        <v>45851</v>
      </c>
      <c r="B1431" s="20"/>
      <c r="C1431" s="20"/>
      <c r="D1431" s="20">
        <v>50000</v>
      </c>
      <c r="E1431" s="99" t="s">
        <v>733</v>
      </c>
      <c r="F1431" s="20">
        <f t="shared" si="22"/>
        <v>229895016</v>
      </c>
      <c r="G1431" s="7" t="s">
        <v>330</v>
      </c>
      <c r="H1431" s="24" t="s">
        <v>109</v>
      </c>
      <c r="I1431" s="32" t="s">
        <v>152</v>
      </c>
      <c r="K1431" s="181"/>
      <c r="L1431" s="181"/>
    </row>
    <row r="1432" spans="1:12" x14ac:dyDescent="0.35">
      <c r="A1432" s="19">
        <v>45851</v>
      </c>
      <c r="B1432" s="20"/>
      <c r="C1432" s="20"/>
      <c r="D1432" s="20">
        <v>2900</v>
      </c>
      <c r="E1432" s="99" t="s">
        <v>733</v>
      </c>
      <c r="F1432" s="20">
        <f t="shared" si="22"/>
        <v>229897916</v>
      </c>
      <c r="G1432" s="7" t="s">
        <v>306</v>
      </c>
      <c r="H1432" s="24" t="s">
        <v>140</v>
      </c>
      <c r="I1432" s="32" t="s">
        <v>152</v>
      </c>
      <c r="K1432" s="181"/>
      <c r="L1432" s="181"/>
    </row>
    <row r="1433" spans="1:12" x14ac:dyDescent="0.35">
      <c r="A1433" s="19">
        <v>45851</v>
      </c>
      <c r="B1433" s="20">
        <v>2000000</v>
      </c>
      <c r="C1433" s="20"/>
      <c r="D1433" s="20"/>
      <c r="E1433" s="99" t="s">
        <v>733</v>
      </c>
      <c r="F1433" s="20">
        <f t="shared" si="22"/>
        <v>227897916</v>
      </c>
      <c r="G1433" s="7" t="s">
        <v>756</v>
      </c>
      <c r="H1433" s="24" t="s">
        <v>200</v>
      </c>
      <c r="I1433" s="32" t="s">
        <v>152</v>
      </c>
      <c r="K1433" s="181"/>
      <c r="L1433" s="181"/>
    </row>
    <row r="1434" spans="1:12" x14ac:dyDescent="0.35">
      <c r="A1434" s="19">
        <v>45851</v>
      </c>
      <c r="B1434" s="20">
        <v>6500</v>
      </c>
      <c r="C1434" s="20"/>
      <c r="D1434" s="20"/>
      <c r="E1434" s="99" t="s">
        <v>733</v>
      </c>
      <c r="F1434" s="20">
        <f t="shared" si="22"/>
        <v>227891416</v>
      </c>
      <c r="G1434" s="7" t="s">
        <v>756</v>
      </c>
      <c r="H1434" s="24" t="s">
        <v>200</v>
      </c>
      <c r="I1434" s="32" t="s">
        <v>152</v>
      </c>
      <c r="K1434" s="181"/>
      <c r="L1434" s="181"/>
    </row>
    <row r="1435" spans="1:12" x14ac:dyDescent="0.35">
      <c r="A1435" s="19">
        <v>45852</v>
      </c>
      <c r="B1435" s="20"/>
      <c r="C1435" s="20"/>
      <c r="D1435" s="20">
        <v>20000</v>
      </c>
      <c r="E1435" s="99" t="s">
        <v>733</v>
      </c>
      <c r="F1435" s="20">
        <f t="shared" si="22"/>
        <v>227911416</v>
      </c>
      <c r="G1435" s="7" t="s">
        <v>330</v>
      </c>
      <c r="H1435" s="24" t="s">
        <v>109</v>
      </c>
      <c r="I1435" s="32" t="s">
        <v>152</v>
      </c>
      <c r="K1435" s="181"/>
      <c r="L1435" s="181"/>
    </row>
    <row r="1436" spans="1:12" x14ac:dyDescent="0.35">
      <c r="A1436" s="19">
        <v>45852</v>
      </c>
      <c r="B1436" s="20"/>
      <c r="C1436" s="20"/>
      <c r="D1436" s="20">
        <v>20000</v>
      </c>
      <c r="E1436" s="99" t="s">
        <v>733</v>
      </c>
      <c r="F1436" s="20">
        <f t="shared" si="22"/>
        <v>227931416</v>
      </c>
      <c r="G1436" s="7" t="s">
        <v>330</v>
      </c>
      <c r="H1436" s="24" t="s">
        <v>109</v>
      </c>
      <c r="I1436" s="32" t="s">
        <v>152</v>
      </c>
      <c r="K1436" s="181"/>
      <c r="L1436" s="181"/>
    </row>
    <row r="1437" spans="1:12" x14ac:dyDescent="0.35">
      <c r="A1437" s="19">
        <v>45852</v>
      </c>
      <c r="B1437" s="20"/>
      <c r="C1437" s="20"/>
      <c r="D1437" s="20">
        <v>25000</v>
      </c>
      <c r="E1437" s="99" t="s">
        <v>733</v>
      </c>
      <c r="F1437" s="20">
        <f t="shared" si="22"/>
        <v>227956416</v>
      </c>
      <c r="G1437" s="7" t="s">
        <v>330</v>
      </c>
      <c r="H1437" s="24" t="s">
        <v>109</v>
      </c>
      <c r="I1437" s="32" t="s">
        <v>152</v>
      </c>
      <c r="K1437" s="181"/>
      <c r="L1437" s="181"/>
    </row>
    <row r="1438" spans="1:12" x14ac:dyDescent="0.35">
      <c r="A1438" s="19">
        <v>45852</v>
      </c>
      <c r="B1438" s="20"/>
      <c r="C1438" s="20"/>
      <c r="D1438" s="20">
        <v>2247000</v>
      </c>
      <c r="E1438" s="99" t="s">
        <v>733</v>
      </c>
      <c r="F1438" s="20">
        <f t="shared" si="22"/>
        <v>230203416</v>
      </c>
      <c r="G1438" s="7"/>
      <c r="H1438" s="24" t="s">
        <v>107</v>
      </c>
      <c r="I1438" s="32" t="s">
        <v>152</v>
      </c>
      <c r="K1438" s="181"/>
      <c r="L1438" s="181"/>
    </row>
    <row r="1439" spans="1:12" x14ac:dyDescent="0.35">
      <c r="A1439" s="19">
        <v>45852</v>
      </c>
      <c r="B1439" s="20"/>
      <c r="C1439" s="20"/>
      <c r="D1439" s="20">
        <v>1323000</v>
      </c>
      <c r="E1439" s="99" t="s">
        <v>733</v>
      </c>
      <c r="F1439" s="20">
        <f t="shared" si="22"/>
        <v>231526416</v>
      </c>
      <c r="G1439" s="7"/>
      <c r="H1439" s="24" t="s">
        <v>109</v>
      </c>
      <c r="I1439" s="32" t="s">
        <v>152</v>
      </c>
      <c r="K1439" s="181"/>
      <c r="L1439" s="181"/>
    </row>
    <row r="1440" spans="1:12" x14ac:dyDescent="0.35">
      <c r="A1440" s="19"/>
      <c r="B1440" s="20"/>
      <c r="C1440" s="20">
        <v>3570000</v>
      </c>
      <c r="D1440" s="20"/>
      <c r="E1440" s="99"/>
      <c r="F1440" s="20">
        <f t="shared" si="22"/>
        <v>231526416</v>
      </c>
      <c r="G1440" s="7" t="s">
        <v>757</v>
      </c>
      <c r="H1440" s="24"/>
      <c r="I1440" s="32"/>
      <c r="K1440" s="181"/>
      <c r="L1440" s="181"/>
    </row>
    <row r="1441" spans="1:12" x14ac:dyDescent="0.35">
      <c r="A1441" s="19">
        <v>45853</v>
      </c>
      <c r="B1441" s="20"/>
      <c r="C1441" s="20"/>
      <c r="D1441" s="20">
        <v>10000</v>
      </c>
      <c r="E1441" s="99" t="s">
        <v>733</v>
      </c>
      <c r="F1441" s="20">
        <f t="shared" si="22"/>
        <v>231536416</v>
      </c>
      <c r="G1441" s="7" t="s">
        <v>330</v>
      </c>
      <c r="H1441" s="24" t="s">
        <v>109</v>
      </c>
      <c r="I1441" s="32" t="s">
        <v>152</v>
      </c>
      <c r="K1441" s="181"/>
      <c r="L1441" s="181"/>
    </row>
    <row r="1442" spans="1:12" x14ac:dyDescent="0.35">
      <c r="A1442" s="19">
        <v>45853</v>
      </c>
      <c r="B1442" s="20"/>
      <c r="C1442" s="20"/>
      <c r="D1442" s="20">
        <v>20000</v>
      </c>
      <c r="E1442" s="99" t="s">
        <v>733</v>
      </c>
      <c r="F1442" s="20">
        <f t="shared" si="22"/>
        <v>231556416</v>
      </c>
      <c r="G1442" s="7" t="s">
        <v>330</v>
      </c>
      <c r="H1442" s="24" t="s">
        <v>109</v>
      </c>
      <c r="I1442" s="32" t="s">
        <v>152</v>
      </c>
      <c r="K1442" s="181"/>
      <c r="L1442" s="181"/>
    </row>
    <row r="1443" spans="1:12" x14ac:dyDescent="0.35">
      <c r="A1443" s="19">
        <v>45854</v>
      </c>
      <c r="B1443" s="20"/>
      <c r="C1443" s="20"/>
      <c r="D1443" s="20">
        <v>10000</v>
      </c>
      <c r="E1443" s="99" t="s">
        <v>733</v>
      </c>
      <c r="F1443" s="20">
        <f t="shared" si="22"/>
        <v>231566416</v>
      </c>
      <c r="G1443" s="7" t="s">
        <v>330</v>
      </c>
      <c r="H1443" s="24" t="s">
        <v>109</v>
      </c>
      <c r="I1443" s="32" t="s">
        <v>152</v>
      </c>
      <c r="K1443" s="181"/>
      <c r="L1443" s="181"/>
    </row>
    <row r="1444" spans="1:12" x14ac:dyDescent="0.35">
      <c r="A1444" s="19">
        <v>45854</v>
      </c>
      <c r="B1444" s="20"/>
      <c r="C1444" s="20"/>
      <c r="D1444" s="20">
        <v>200000</v>
      </c>
      <c r="E1444" s="99" t="s">
        <v>733</v>
      </c>
      <c r="F1444" s="20">
        <f t="shared" si="22"/>
        <v>231766416</v>
      </c>
      <c r="G1444" s="7" t="s">
        <v>330</v>
      </c>
      <c r="H1444" s="24" t="s">
        <v>109</v>
      </c>
      <c r="I1444" s="32" t="s">
        <v>152</v>
      </c>
      <c r="K1444" s="181"/>
      <c r="L1444" s="181"/>
    </row>
    <row r="1445" spans="1:12" x14ac:dyDescent="0.35">
      <c r="A1445" s="19">
        <v>45854</v>
      </c>
      <c r="B1445" s="20"/>
      <c r="C1445" s="20"/>
      <c r="D1445" s="20">
        <v>20000</v>
      </c>
      <c r="E1445" s="99" t="s">
        <v>733</v>
      </c>
      <c r="F1445" s="20">
        <f t="shared" si="22"/>
        <v>231786416</v>
      </c>
      <c r="G1445" s="7" t="s">
        <v>330</v>
      </c>
      <c r="H1445" s="24" t="s">
        <v>109</v>
      </c>
      <c r="I1445" s="32" t="s">
        <v>152</v>
      </c>
      <c r="K1445" s="181"/>
      <c r="L1445" s="181"/>
    </row>
    <row r="1446" spans="1:12" x14ac:dyDescent="0.35">
      <c r="A1446" s="19">
        <v>45855</v>
      </c>
      <c r="B1446" s="20"/>
      <c r="C1446" s="20"/>
      <c r="D1446" s="20">
        <v>10000</v>
      </c>
      <c r="E1446" s="99" t="s">
        <v>733</v>
      </c>
      <c r="F1446" s="20">
        <f t="shared" si="22"/>
        <v>231796416</v>
      </c>
      <c r="G1446" s="7" t="s">
        <v>330</v>
      </c>
      <c r="H1446" s="24" t="s">
        <v>109</v>
      </c>
      <c r="I1446" s="32" t="s">
        <v>152</v>
      </c>
      <c r="K1446" s="181"/>
      <c r="L1446" s="181"/>
    </row>
    <row r="1447" spans="1:12" x14ac:dyDescent="0.35">
      <c r="A1447" s="19">
        <v>45855</v>
      </c>
      <c r="B1447" s="20"/>
      <c r="C1447" s="20"/>
      <c r="D1447" s="20">
        <v>20000</v>
      </c>
      <c r="E1447" s="99" t="s">
        <v>733</v>
      </c>
      <c r="F1447" s="20">
        <f t="shared" si="22"/>
        <v>231816416</v>
      </c>
      <c r="G1447" s="7" t="s">
        <v>330</v>
      </c>
      <c r="H1447" s="24" t="s">
        <v>109</v>
      </c>
      <c r="I1447" s="32" t="s">
        <v>152</v>
      </c>
      <c r="K1447" s="181"/>
      <c r="L1447" s="181"/>
    </row>
    <row r="1448" spans="1:12" x14ac:dyDescent="0.35">
      <c r="A1448" s="19">
        <v>45856</v>
      </c>
      <c r="B1448" s="20"/>
      <c r="C1448" s="20"/>
      <c r="D1448" s="20">
        <v>1600000</v>
      </c>
      <c r="E1448" s="99" t="s">
        <v>733</v>
      </c>
      <c r="F1448" s="20">
        <f t="shared" si="22"/>
        <v>233416416</v>
      </c>
      <c r="G1448" s="7" t="s">
        <v>330</v>
      </c>
      <c r="H1448" s="24" t="s">
        <v>109</v>
      </c>
      <c r="I1448" s="32" t="s">
        <v>152</v>
      </c>
      <c r="K1448" s="181"/>
      <c r="L1448" s="181"/>
    </row>
    <row r="1449" spans="1:12" x14ac:dyDescent="0.35">
      <c r="A1449" s="19">
        <v>45856</v>
      </c>
      <c r="B1449" s="20"/>
      <c r="C1449" s="20"/>
      <c r="D1449" s="20">
        <v>10000</v>
      </c>
      <c r="E1449" s="99" t="s">
        <v>733</v>
      </c>
      <c r="F1449" s="20">
        <f t="shared" si="22"/>
        <v>233426416</v>
      </c>
      <c r="G1449" s="7" t="s">
        <v>330</v>
      </c>
      <c r="H1449" s="24" t="s">
        <v>109</v>
      </c>
      <c r="I1449" s="32" t="s">
        <v>152</v>
      </c>
      <c r="K1449" s="181"/>
      <c r="L1449" s="181"/>
    </row>
    <row r="1450" spans="1:12" x14ac:dyDescent="0.35">
      <c r="A1450" s="19">
        <v>45856</v>
      </c>
      <c r="B1450" s="20"/>
      <c r="C1450" s="20"/>
      <c r="D1450" s="20">
        <v>50000</v>
      </c>
      <c r="E1450" s="99" t="s">
        <v>733</v>
      </c>
      <c r="F1450" s="20">
        <f t="shared" si="22"/>
        <v>233476416</v>
      </c>
      <c r="G1450" s="7" t="s">
        <v>330</v>
      </c>
      <c r="H1450" s="24" t="s">
        <v>109</v>
      </c>
      <c r="I1450" s="32" t="s">
        <v>152</v>
      </c>
      <c r="K1450" s="181"/>
      <c r="L1450" s="181"/>
    </row>
    <row r="1451" spans="1:12" x14ac:dyDescent="0.35">
      <c r="A1451" s="19">
        <v>45856</v>
      </c>
      <c r="B1451" s="20"/>
      <c r="C1451" s="20"/>
      <c r="D1451" s="20">
        <v>20000</v>
      </c>
      <c r="E1451" s="99" t="s">
        <v>733</v>
      </c>
      <c r="F1451" s="20">
        <f t="shared" si="22"/>
        <v>233496416</v>
      </c>
      <c r="G1451" s="7" t="s">
        <v>330</v>
      </c>
      <c r="H1451" s="24" t="s">
        <v>109</v>
      </c>
      <c r="I1451" s="32" t="s">
        <v>152</v>
      </c>
      <c r="K1451" s="181"/>
      <c r="L1451" s="181"/>
    </row>
    <row r="1452" spans="1:12" x14ac:dyDescent="0.35">
      <c r="A1452" s="19">
        <v>45857</v>
      </c>
      <c r="B1452" s="20">
        <v>750000</v>
      </c>
      <c r="C1452" s="20"/>
      <c r="D1452" s="20"/>
      <c r="E1452" s="99" t="s">
        <v>733</v>
      </c>
      <c r="F1452" s="20">
        <f t="shared" si="22"/>
        <v>232746416</v>
      </c>
      <c r="G1452" s="7" t="s">
        <v>721</v>
      </c>
      <c r="H1452" s="24" t="s">
        <v>323</v>
      </c>
      <c r="I1452" s="32" t="s">
        <v>152</v>
      </c>
      <c r="K1452" s="181"/>
      <c r="L1452" s="181"/>
    </row>
    <row r="1453" spans="1:12" x14ac:dyDescent="0.35">
      <c r="A1453" s="19">
        <v>45857</v>
      </c>
      <c r="B1453" s="20"/>
      <c r="C1453" s="20"/>
      <c r="D1453" s="20">
        <v>100000</v>
      </c>
      <c r="E1453" s="99" t="s">
        <v>733</v>
      </c>
      <c r="F1453" s="20">
        <f t="shared" si="22"/>
        <v>232846416</v>
      </c>
      <c r="G1453" s="7" t="s">
        <v>330</v>
      </c>
      <c r="H1453" s="24" t="s">
        <v>109</v>
      </c>
      <c r="I1453" s="32" t="s">
        <v>152</v>
      </c>
      <c r="K1453" s="181"/>
      <c r="L1453" s="181"/>
    </row>
    <row r="1454" spans="1:12" x14ac:dyDescent="0.35">
      <c r="A1454" s="19">
        <v>45857</v>
      </c>
      <c r="B1454" s="20"/>
      <c r="C1454" s="20"/>
      <c r="D1454" s="20">
        <v>10000</v>
      </c>
      <c r="E1454" s="99" t="s">
        <v>733</v>
      </c>
      <c r="F1454" s="20">
        <f t="shared" si="22"/>
        <v>232856416</v>
      </c>
      <c r="G1454" s="7" t="s">
        <v>330</v>
      </c>
      <c r="H1454" s="24" t="s">
        <v>109</v>
      </c>
      <c r="I1454" s="32" t="s">
        <v>152</v>
      </c>
      <c r="K1454" s="181"/>
      <c r="L1454" s="181"/>
    </row>
    <row r="1455" spans="1:12" x14ac:dyDescent="0.35">
      <c r="A1455" s="19">
        <v>45857</v>
      </c>
      <c r="B1455" s="20"/>
      <c r="C1455" s="20"/>
      <c r="D1455" s="20">
        <v>20000</v>
      </c>
      <c r="E1455" s="99" t="s">
        <v>733</v>
      </c>
      <c r="F1455" s="20">
        <f t="shared" si="22"/>
        <v>232876416</v>
      </c>
      <c r="G1455" s="7" t="s">
        <v>330</v>
      </c>
      <c r="H1455" s="24" t="s">
        <v>109</v>
      </c>
      <c r="I1455" s="32" t="s">
        <v>152</v>
      </c>
      <c r="K1455" s="181"/>
      <c r="L1455" s="181"/>
    </row>
    <row r="1456" spans="1:12" x14ac:dyDescent="0.35">
      <c r="A1456" s="19">
        <v>45857</v>
      </c>
      <c r="B1456" s="20"/>
      <c r="C1456" s="20"/>
      <c r="D1456" s="20">
        <v>100000</v>
      </c>
      <c r="E1456" s="99" t="s">
        <v>733</v>
      </c>
      <c r="F1456" s="20">
        <f t="shared" si="22"/>
        <v>232976416</v>
      </c>
      <c r="G1456" s="7" t="s">
        <v>330</v>
      </c>
      <c r="H1456" s="24" t="s">
        <v>109</v>
      </c>
      <c r="I1456" s="32" t="s">
        <v>152</v>
      </c>
      <c r="K1456" s="181"/>
      <c r="L1456" s="181"/>
    </row>
    <row r="1457" spans="1:12" x14ac:dyDescent="0.35">
      <c r="A1457" s="19">
        <v>45857</v>
      </c>
      <c r="B1457" s="20"/>
      <c r="C1457" s="20"/>
      <c r="D1457" s="20">
        <v>50000</v>
      </c>
      <c r="E1457" s="99" t="s">
        <v>733</v>
      </c>
      <c r="F1457" s="20">
        <f t="shared" si="22"/>
        <v>233026416</v>
      </c>
      <c r="G1457" s="7" t="s">
        <v>330</v>
      </c>
      <c r="H1457" s="24" t="s">
        <v>109</v>
      </c>
      <c r="I1457" s="32" t="s">
        <v>152</v>
      </c>
      <c r="K1457" s="181"/>
      <c r="L1457" s="181"/>
    </row>
    <row r="1458" spans="1:12" x14ac:dyDescent="0.35">
      <c r="A1458" s="19">
        <v>45857</v>
      </c>
      <c r="B1458" s="20"/>
      <c r="C1458" s="20"/>
      <c r="D1458" s="20">
        <v>50000</v>
      </c>
      <c r="E1458" s="99" t="s">
        <v>733</v>
      </c>
      <c r="F1458" s="20">
        <f t="shared" si="22"/>
        <v>233076416</v>
      </c>
      <c r="G1458" s="7" t="s">
        <v>330</v>
      </c>
      <c r="H1458" s="24" t="s">
        <v>109</v>
      </c>
      <c r="I1458" s="32" t="s">
        <v>152</v>
      </c>
      <c r="K1458" s="181"/>
      <c r="L1458" s="181"/>
    </row>
    <row r="1459" spans="1:12" x14ac:dyDescent="0.35">
      <c r="A1459" s="19">
        <v>45857</v>
      </c>
      <c r="B1459" s="20"/>
      <c r="C1459" s="20"/>
      <c r="D1459" s="20">
        <v>10000</v>
      </c>
      <c r="E1459" s="99" t="s">
        <v>733</v>
      </c>
      <c r="F1459" s="20">
        <f t="shared" si="22"/>
        <v>233086416</v>
      </c>
      <c r="G1459" s="7" t="s">
        <v>330</v>
      </c>
      <c r="H1459" s="24" t="s">
        <v>109</v>
      </c>
      <c r="I1459" s="32" t="s">
        <v>152</v>
      </c>
      <c r="K1459" s="181"/>
      <c r="L1459" s="181"/>
    </row>
    <row r="1460" spans="1:12" x14ac:dyDescent="0.35">
      <c r="A1460" s="19">
        <v>45857</v>
      </c>
      <c r="B1460" s="20"/>
      <c r="C1460" s="20"/>
      <c r="D1460" s="20">
        <v>20000</v>
      </c>
      <c r="E1460" s="99" t="s">
        <v>733</v>
      </c>
      <c r="F1460" s="20">
        <f t="shared" si="22"/>
        <v>233106416</v>
      </c>
      <c r="G1460" s="7" t="s">
        <v>330</v>
      </c>
      <c r="H1460" s="24" t="s">
        <v>109</v>
      </c>
      <c r="I1460" s="32" t="s">
        <v>152</v>
      </c>
      <c r="K1460" s="181"/>
      <c r="L1460" s="181"/>
    </row>
    <row r="1461" spans="1:12" x14ac:dyDescent="0.35">
      <c r="A1461" s="19">
        <v>45857</v>
      </c>
      <c r="B1461" s="20"/>
      <c r="C1461" s="20"/>
      <c r="D1461" s="20">
        <v>50000</v>
      </c>
      <c r="E1461" s="99" t="s">
        <v>733</v>
      </c>
      <c r="F1461" s="20">
        <f t="shared" si="22"/>
        <v>233156416</v>
      </c>
      <c r="G1461" s="7" t="s">
        <v>330</v>
      </c>
      <c r="H1461" s="24" t="s">
        <v>109</v>
      </c>
      <c r="I1461" s="32" t="s">
        <v>152</v>
      </c>
      <c r="K1461" s="181"/>
      <c r="L1461" s="181"/>
    </row>
    <row r="1462" spans="1:12" x14ac:dyDescent="0.35">
      <c r="A1462" s="19">
        <v>45857</v>
      </c>
      <c r="B1462" s="20"/>
      <c r="C1462" s="20"/>
      <c r="D1462" s="20">
        <v>50000</v>
      </c>
      <c r="E1462" s="99" t="s">
        <v>733</v>
      </c>
      <c r="F1462" s="20">
        <f t="shared" si="22"/>
        <v>233206416</v>
      </c>
      <c r="G1462" s="7" t="s">
        <v>330</v>
      </c>
      <c r="H1462" s="24" t="s">
        <v>109</v>
      </c>
      <c r="I1462" s="32" t="s">
        <v>152</v>
      </c>
      <c r="K1462" s="181"/>
      <c r="L1462" s="181"/>
    </row>
    <row r="1463" spans="1:12" x14ac:dyDescent="0.35">
      <c r="A1463" s="19">
        <v>45858</v>
      </c>
      <c r="B1463" s="20">
        <v>750000</v>
      </c>
      <c r="C1463" s="20"/>
      <c r="D1463" s="20"/>
      <c r="E1463" s="99" t="s">
        <v>733</v>
      </c>
      <c r="F1463" s="20">
        <f t="shared" si="22"/>
        <v>232456416</v>
      </c>
      <c r="G1463" s="7" t="s">
        <v>547</v>
      </c>
      <c r="H1463" s="24" t="s">
        <v>323</v>
      </c>
      <c r="I1463" s="32" t="s">
        <v>152</v>
      </c>
      <c r="K1463" s="181"/>
      <c r="L1463" s="181"/>
    </row>
    <row r="1464" spans="1:12" x14ac:dyDescent="0.35">
      <c r="A1464" s="19">
        <v>45858</v>
      </c>
      <c r="B1464" s="20">
        <v>6500</v>
      </c>
      <c r="C1464" s="20"/>
      <c r="D1464" s="20"/>
      <c r="E1464" s="99" t="s">
        <v>733</v>
      </c>
      <c r="F1464" s="20">
        <f t="shared" si="22"/>
        <v>232449916</v>
      </c>
      <c r="G1464" s="7" t="s">
        <v>547</v>
      </c>
      <c r="H1464" s="24" t="s">
        <v>323</v>
      </c>
      <c r="I1464" s="32" t="s">
        <v>152</v>
      </c>
      <c r="K1464" s="181"/>
      <c r="L1464" s="181"/>
    </row>
    <row r="1465" spans="1:12" x14ac:dyDescent="0.35">
      <c r="A1465" s="19">
        <v>45858</v>
      </c>
      <c r="B1465" s="20"/>
      <c r="C1465" s="20"/>
      <c r="D1465" s="20">
        <v>50000</v>
      </c>
      <c r="E1465" s="99" t="s">
        <v>733</v>
      </c>
      <c r="F1465" s="20">
        <f t="shared" si="22"/>
        <v>232499916</v>
      </c>
      <c r="G1465" s="7" t="s">
        <v>330</v>
      </c>
      <c r="H1465" s="24" t="s">
        <v>109</v>
      </c>
      <c r="I1465" s="32" t="s">
        <v>152</v>
      </c>
      <c r="K1465" s="181"/>
      <c r="L1465" s="181"/>
    </row>
    <row r="1466" spans="1:12" x14ac:dyDescent="0.35">
      <c r="A1466" s="19">
        <v>45858</v>
      </c>
      <c r="B1466" s="20"/>
      <c r="C1466" s="20"/>
      <c r="D1466" s="20">
        <v>10000</v>
      </c>
      <c r="E1466" s="99" t="s">
        <v>733</v>
      </c>
      <c r="F1466" s="20">
        <f t="shared" si="22"/>
        <v>232509916</v>
      </c>
      <c r="G1466" s="7" t="s">
        <v>330</v>
      </c>
      <c r="H1466" s="24" t="s">
        <v>109</v>
      </c>
      <c r="I1466" s="32" t="s">
        <v>152</v>
      </c>
      <c r="K1466" s="181"/>
      <c r="L1466" s="181"/>
    </row>
    <row r="1467" spans="1:12" x14ac:dyDescent="0.35">
      <c r="A1467" s="19">
        <v>45858</v>
      </c>
      <c r="B1467" s="20"/>
      <c r="C1467" s="20"/>
      <c r="D1467" s="20">
        <v>100000</v>
      </c>
      <c r="E1467" s="99" t="s">
        <v>733</v>
      </c>
      <c r="F1467" s="20">
        <f t="shared" si="22"/>
        <v>232609916</v>
      </c>
      <c r="G1467" s="7" t="s">
        <v>330</v>
      </c>
      <c r="H1467" s="24" t="s">
        <v>109</v>
      </c>
      <c r="I1467" s="32" t="s">
        <v>152</v>
      </c>
      <c r="K1467" s="181"/>
      <c r="L1467" s="181"/>
    </row>
    <row r="1468" spans="1:12" x14ac:dyDescent="0.35">
      <c r="A1468" s="19">
        <v>45858</v>
      </c>
      <c r="B1468" s="20"/>
      <c r="C1468" s="20"/>
      <c r="D1468" s="20">
        <v>20000</v>
      </c>
      <c r="E1468" s="99" t="s">
        <v>733</v>
      </c>
      <c r="F1468" s="20">
        <f t="shared" si="22"/>
        <v>232629916</v>
      </c>
      <c r="G1468" s="7" t="s">
        <v>330</v>
      </c>
      <c r="H1468" s="24" t="s">
        <v>109</v>
      </c>
      <c r="I1468" s="32" t="s">
        <v>152</v>
      </c>
      <c r="K1468" s="181"/>
      <c r="L1468" s="181"/>
    </row>
    <row r="1469" spans="1:12" x14ac:dyDescent="0.35">
      <c r="A1469" s="19">
        <v>45858</v>
      </c>
      <c r="B1469" s="20"/>
      <c r="C1469" s="20"/>
      <c r="D1469" s="20">
        <v>25000</v>
      </c>
      <c r="E1469" s="99" t="s">
        <v>733</v>
      </c>
      <c r="F1469" s="20">
        <f t="shared" si="22"/>
        <v>232654916</v>
      </c>
      <c r="G1469" s="7" t="s">
        <v>330</v>
      </c>
      <c r="H1469" s="24" t="s">
        <v>109</v>
      </c>
      <c r="I1469" s="32" t="s">
        <v>152</v>
      </c>
      <c r="K1469" s="181"/>
      <c r="L1469" s="181"/>
    </row>
    <row r="1470" spans="1:12" x14ac:dyDescent="0.35">
      <c r="A1470" s="19">
        <v>45859</v>
      </c>
      <c r="B1470" s="20"/>
      <c r="C1470" s="20"/>
      <c r="D1470" s="20">
        <v>10000</v>
      </c>
      <c r="E1470" s="99" t="s">
        <v>733</v>
      </c>
      <c r="F1470" s="20">
        <f t="shared" si="22"/>
        <v>232664916</v>
      </c>
      <c r="G1470" s="7" t="s">
        <v>330</v>
      </c>
      <c r="H1470" s="24" t="s">
        <v>109</v>
      </c>
      <c r="I1470" s="32" t="s">
        <v>152</v>
      </c>
      <c r="K1470" s="181"/>
      <c r="L1470" s="181"/>
    </row>
    <row r="1471" spans="1:12" x14ac:dyDescent="0.35">
      <c r="A1471" s="19">
        <v>45859</v>
      </c>
      <c r="B1471" s="20"/>
      <c r="C1471" s="20"/>
      <c r="D1471" s="20">
        <v>25000</v>
      </c>
      <c r="E1471" s="99" t="s">
        <v>733</v>
      </c>
      <c r="F1471" s="20">
        <f t="shared" si="22"/>
        <v>232689916</v>
      </c>
      <c r="G1471" s="7" t="s">
        <v>330</v>
      </c>
      <c r="H1471" s="24" t="s">
        <v>109</v>
      </c>
      <c r="I1471" s="32" t="s">
        <v>152</v>
      </c>
      <c r="K1471" s="181"/>
      <c r="L1471" s="181"/>
    </row>
    <row r="1472" spans="1:12" x14ac:dyDescent="0.35">
      <c r="A1472" s="19">
        <v>45859</v>
      </c>
      <c r="B1472" s="20"/>
      <c r="C1472" s="20"/>
      <c r="D1472" s="20">
        <f>3169000-985000</f>
        <v>2184000</v>
      </c>
      <c r="E1472" s="99" t="s">
        <v>733</v>
      </c>
      <c r="F1472" s="20">
        <f t="shared" si="22"/>
        <v>234873916</v>
      </c>
      <c r="G1472" s="7"/>
      <c r="H1472" s="24" t="s">
        <v>107</v>
      </c>
      <c r="I1472" s="32" t="s">
        <v>152</v>
      </c>
      <c r="K1472" s="181"/>
      <c r="L1472" s="181"/>
    </row>
    <row r="1473" spans="1:12" x14ac:dyDescent="0.35">
      <c r="A1473" s="19">
        <v>45859</v>
      </c>
      <c r="B1473" s="20"/>
      <c r="C1473" s="20"/>
      <c r="D1473" s="20">
        <f>3256000-2000000</f>
        <v>1256000</v>
      </c>
      <c r="E1473" s="99" t="s">
        <v>733</v>
      </c>
      <c r="F1473" s="20">
        <f t="shared" si="22"/>
        <v>236129916</v>
      </c>
      <c r="G1473" s="7"/>
      <c r="H1473" s="24" t="s">
        <v>109</v>
      </c>
      <c r="I1473" s="32" t="s">
        <v>152</v>
      </c>
      <c r="K1473" s="181"/>
      <c r="L1473" s="181"/>
    </row>
    <row r="1474" spans="1:12" x14ac:dyDescent="0.35">
      <c r="A1474" s="19"/>
      <c r="B1474" s="20"/>
      <c r="C1474" s="20">
        <v>3440000</v>
      </c>
      <c r="D1474" s="20"/>
      <c r="E1474" s="99"/>
      <c r="F1474" s="20">
        <f t="shared" si="22"/>
        <v>236129916</v>
      </c>
      <c r="G1474" s="7" t="s">
        <v>760</v>
      </c>
      <c r="H1474" s="24"/>
      <c r="I1474" s="32"/>
      <c r="K1474" s="181"/>
      <c r="L1474" s="181"/>
    </row>
    <row r="1475" spans="1:12" x14ac:dyDescent="0.35">
      <c r="A1475" s="19">
        <v>45860</v>
      </c>
      <c r="B1475" s="20"/>
      <c r="C1475" s="20"/>
      <c r="D1475" s="20">
        <v>20000</v>
      </c>
      <c r="E1475" s="99" t="s">
        <v>733</v>
      </c>
      <c r="F1475" s="20">
        <f t="shared" si="22"/>
        <v>236149916</v>
      </c>
      <c r="G1475" s="7" t="s">
        <v>330</v>
      </c>
      <c r="H1475" s="24" t="s">
        <v>109</v>
      </c>
      <c r="I1475" s="32" t="s">
        <v>152</v>
      </c>
      <c r="K1475" s="181"/>
      <c r="L1475" s="181"/>
    </row>
    <row r="1476" spans="1:12" x14ac:dyDescent="0.35">
      <c r="A1476" s="19">
        <v>45860</v>
      </c>
      <c r="B1476" s="20"/>
      <c r="C1476" s="20"/>
      <c r="D1476" s="20">
        <v>2655000</v>
      </c>
      <c r="E1476" s="99" t="s">
        <v>733</v>
      </c>
      <c r="F1476" s="20">
        <f t="shared" si="22"/>
        <v>238804916</v>
      </c>
      <c r="G1476" s="7" t="s">
        <v>763</v>
      </c>
      <c r="H1476" s="24" t="s">
        <v>109</v>
      </c>
      <c r="I1476" s="32" t="s">
        <v>152</v>
      </c>
      <c r="K1476" s="181"/>
      <c r="L1476" s="181"/>
    </row>
    <row r="1477" spans="1:12" x14ac:dyDescent="0.35">
      <c r="A1477" s="19">
        <v>45861</v>
      </c>
      <c r="B1477" s="20"/>
      <c r="C1477" s="20"/>
      <c r="D1477" s="20">
        <v>20000</v>
      </c>
      <c r="E1477" s="99" t="s">
        <v>733</v>
      </c>
      <c r="F1477" s="20">
        <f t="shared" si="22"/>
        <v>238824916</v>
      </c>
      <c r="G1477" s="7" t="s">
        <v>330</v>
      </c>
      <c r="H1477" s="24" t="s">
        <v>109</v>
      </c>
      <c r="I1477" s="32" t="s">
        <v>152</v>
      </c>
      <c r="K1477" s="181"/>
      <c r="L1477" s="181"/>
    </row>
    <row r="1478" spans="1:12" x14ac:dyDescent="0.35">
      <c r="A1478" s="19">
        <v>45861</v>
      </c>
      <c r="B1478" s="20"/>
      <c r="C1478" s="20"/>
      <c r="D1478" s="20">
        <v>20000</v>
      </c>
      <c r="E1478" s="99" t="s">
        <v>733</v>
      </c>
      <c r="F1478" s="20">
        <f t="shared" si="22"/>
        <v>238844916</v>
      </c>
      <c r="G1478" s="7" t="s">
        <v>330</v>
      </c>
      <c r="H1478" s="24" t="s">
        <v>109</v>
      </c>
      <c r="I1478" s="32" t="s">
        <v>152</v>
      </c>
      <c r="K1478" s="181"/>
      <c r="L1478" s="181"/>
    </row>
    <row r="1479" spans="1:12" x14ac:dyDescent="0.35">
      <c r="A1479" s="19">
        <v>45861</v>
      </c>
      <c r="B1479" s="20">
        <v>9000</v>
      </c>
      <c r="C1479" s="20"/>
      <c r="D1479" s="20"/>
      <c r="E1479" s="99" t="s">
        <v>733</v>
      </c>
      <c r="F1479" s="20">
        <f t="shared" si="22"/>
        <v>238835916</v>
      </c>
      <c r="G1479" s="7" t="s">
        <v>761</v>
      </c>
      <c r="H1479" s="24" t="s">
        <v>320</v>
      </c>
      <c r="I1479" s="32" t="s">
        <v>152</v>
      </c>
      <c r="K1479" s="181"/>
      <c r="L1479" s="181"/>
    </row>
    <row r="1480" spans="1:12" x14ac:dyDescent="0.35">
      <c r="A1480" s="19">
        <v>45862</v>
      </c>
      <c r="B1480" s="20"/>
      <c r="C1480" s="20"/>
      <c r="D1480" s="20">
        <v>50000</v>
      </c>
      <c r="E1480" s="99" t="s">
        <v>733</v>
      </c>
      <c r="F1480" s="20">
        <f t="shared" si="22"/>
        <v>238885916</v>
      </c>
      <c r="G1480" s="7" t="s">
        <v>330</v>
      </c>
      <c r="H1480" s="24" t="s">
        <v>109</v>
      </c>
      <c r="I1480" s="32" t="s">
        <v>152</v>
      </c>
      <c r="K1480" s="181"/>
      <c r="L1480" s="181"/>
    </row>
    <row r="1481" spans="1:12" x14ac:dyDescent="0.35">
      <c r="A1481" s="19">
        <v>45862</v>
      </c>
      <c r="B1481" s="20"/>
      <c r="C1481" s="20"/>
      <c r="D1481" s="20">
        <v>10000</v>
      </c>
      <c r="E1481" s="99" t="s">
        <v>733</v>
      </c>
      <c r="F1481" s="20">
        <f t="shared" si="22"/>
        <v>238895916</v>
      </c>
      <c r="G1481" s="7" t="s">
        <v>330</v>
      </c>
      <c r="H1481" s="24" t="s">
        <v>109</v>
      </c>
      <c r="I1481" s="32" t="s">
        <v>152</v>
      </c>
      <c r="K1481" s="181"/>
      <c r="L1481" s="181"/>
    </row>
    <row r="1482" spans="1:12" x14ac:dyDescent="0.35">
      <c r="A1482" s="19">
        <v>45862</v>
      </c>
      <c r="B1482" s="20"/>
      <c r="C1482" s="20"/>
      <c r="D1482" s="20">
        <v>20000</v>
      </c>
      <c r="E1482" s="99" t="s">
        <v>733</v>
      </c>
      <c r="F1482" s="20">
        <f t="shared" ref="F1482:F1545" si="23">+F1481+D1482-B1482</f>
        <v>238915916</v>
      </c>
      <c r="G1482" s="7" t="s">
        <v>330</v>
      </c>
      <c r="H1482" s="24" t="s">
        <v>109</v>
      </c>
      <c r="I1482" s="32" t="s">
        <v>152</v>
      </c>
      <c r="K1482" s="181"/>
      <c r="L1482" s="181"/>
    </row>
    <row r="1483" spans="1:12" x14ac:dyDescent="0.35">
      <c r="A1483" s="19">
        <v>45862</v>
      </c>
      <c r="B1483" s="20">
        <v>20000000</v>
      </c>
      <c r="C1483" s="20"/>
      <c r="D1483" s="20"/>
      <c r="E1483" s="99" t="s">
        <v>733</v>
      </c>
      <c r="F1483" s="20">
        <f t="shared" si="23"/>
        <v>218915916</v>
      </c>
      <c r="G1483" s="7" t="s">
        <v>762</v>
      </c>
      <c r="H1483" s="24" t="s">
        <v>201</v>
      </c>
      <c r="I1483" s="32" t="s">
        <v>152</v>
      </c>
      <c r="K1483" s="181"/>
      <c r="L1483" s="181"/>
    </row>
    <row r="1484" spans="1:12" x14ac:dyDescent="0.35">
      <c r="A1484" s="19">
        <v>45862</v>
      </c>
      <c r="B1484" s="20">
        <v>6500</v>
      </c>
      <c r="C1484" s="20"/>
      <c r="D1484" s="20"/>
      <c r="E1484" s="99" t="s">
        <v>733</v>
      </c>
      <c r="F1484" s="20">
        <f t="shared" si="23"/>
        <v>218909416</v>
      </c>
      <c r="G1484" s="7" t="s">
        <v>762</v>
      </c>
      <c r="H1484" s="24" t="s">
        <v>201</v>
      </c>
      <c r="I1484" s="32" t="s">
        <v>152</v>
      </c>
      <c r="K1484" s="181"/>
      <c r="L1484" s="181"/>
    </row>
    <row r="1485" spans="1:12" x14ac:dyDescent="0.35">
      <c r="A1485" s="19">
        <v>45863</v>
      </c>
      <c r="B1485" s="20"/>
      <c r="C1485" s="20"/>
      <c r="D1485" s="20">
        <v>20000</v>
      </c>
      <c r="E1485" s="99" t="s">
        <v>733</v>
      </c>
      <c r="F1485" s="20">
        <f t="shared" si="23"/>
        <v>218929416</v>
      </c>
      <c r="G1485" s="7" t="s">
        <v>330</v>
      </c>
      <c r="H1485" s="24" t="s">
        <v>109</v>
      </c>
      <c r="I1485" s="32" t="s">
        <v>152</v>
      </c>
      <c r="K1485" s="181"/>
      <c r="L1485" s="181"/>
    </row>
    <row r="1486" spans="1:12" x14ac:dyDescent="0.35">
      <c r="A1486" s="19">
        <v>45863</v>
      </c>
      <c r="B1486" s="20"/>
      <c r="C1486" s="20"/>
      <c r="D1486" s="20">
        <v>1000000</v>
      </c>
      <c r="E1486" s="99" t="s">
        <v>733</v>
      </c>
      <c r="F1486" s="20">
        <f t="shared" si="23"/>
        <v>219929416</v>
      </c>
      <c r="G1486" s="7" t="s">
        <v>609</v>
      </c>
      <c r="H1486" s="24" t="s">
        <v>109</v>
      </c>
      <c r="I1486" s="32" t="s">
        <v>152</v>
      </c>
      <c r="K1486" s="181"/>
      <c r="L1486" s="181"/>
    </row>
    <row r="1487" spans="1:12" x14ac:dyDescent="0.35">
      <c r="A1487" s="19">
        <v>45863</v>
      </c>
      <c r="B1487" s="20"/>
      <c r="C1487" s="20"/>
      <c r="D1487" s="20">
        <v>1000000</v>
      </c>
      <c r="E1487" s="99" t="s">
        <v>733</v>
      </c>
      <c r="F1487" s="20">
        <f t="shared" si="23"/>
        <v>220929416</v>
      </c>
      <c r="G1487" s="7" t="s">
        <v>561</v>
      </c>
      <c r="H1487" s="24" t="s">
        <v>109</v>
      </c>
      <c r="I1487" s="32" t="s">
        <v>152</v>
      </c>
      <c r="K1487" s="181"/>
      <c r="L1487" s="181"/>
    </row>
    <row r="1488" spans="1:12" x14ac:dyDescent="0.35">
      <c r="A1488" s="19">
        <v>45864</v>
      </c>
      <c r="B1488" s="20">
        <v>750000</v>
      </c>
      <c r="C1488" s="20"/>
      <c r="D1488" s="20"/>
      <c r="E1488" s="99" t="s">
        <v>733</v>
      </c>
      <c r="F1488" s="20">
        <f t="shared" si="23"/>
        <v>220179416</v>
      </c>
      <c r="G1488" s="7" t="s">
        <v>771</v>
      </c>
      <c r="H1488" s="24" t="s">
        <v>323</v>
      </c>
      <c r="I1488" s="32" t="s">
        <v>152</v>
      </c>
      <c r="K1488" s="181"/>
      <c r="L1488" s="181"/>
    </row>
    <row r="1489" spans="1:12" x14ac:dyDescent="0.35">
      <c r="A1489" s="19">
        <v>45864</v>
      </c>
      <c r="B1489" s="20">
        <v>6500</v>
      </c>
      <c r="C1489" s="20"/>
      <c r="D1489" s="20"/>
      <c r="E1489" s="99" t="s">
        <v>733</v>
      </c>
      <c r="F1489" s="20">
        <f t="shared" si="23"/>
        <v>220172916</v>
      </c>
      <c r="G1489" s="7" t="s">
        <v>771</v>
      </c>
      <c r="H1489" s="24" t="s">
        <v>323</v>
      </c>
      <c r="I1489" s="32" t="s">
        <v>152</v>
      </c>
      <c r="K1489" s="181"/>
      <c r="L1489" s="181"/>
    </row>
    <row r="1490" spans="1:12" x14ac:dyDescent="0.35">
      <c r="A1490" s="19">
        <v>45864</v>
      </c>
      <c r="B1490" s="20"/>
      <c r="C1490" s="20"/>
      <c r="D1490" s="20">
        <v>2000</v>
      </c>
      <c r="E1490" s="99" t="s">
        <v>733</v>
      </c>
      <c r="F1490" s="20">
        <f t="shared" si="23"/>
        <v>220174916</v>
      </c>
      <c r="G1490" s="7" t="s">
        <v>330</v>
      </c>
      <c r="H1490" s="24" t="s">
        <v>109</v>
      </c>
      <c r="I1490" s="32" t="s">
        <v>152</v>
      </c>
      <c r="K1490" s="181"/>
      <c r="L1490" s="181"/>
    </row>
    <row r="1491" spans="1:12" x14ac:dyDescent="0.35">
      <c r="A1491" s="19">
        <v>45864</v>
      </c>
      <c r="B1491" s="20"/>
      <c r="C1491" s="20"/>
      <c r="D1491" s="20">
        <v>50000</v>
      </c>
      <c r="E1491" s="99" t="s">
        <v>733</v>
      </c>
      <c r="F1491" s="20">
        <f t="shared" si="23"/>
        <v>220224916</v>
      </c>
      <c r="G1491" s="7" t="s">
        <v>330</v>
      </c>
      <c r="H1491" s="24" t="s">
        <v>109</v>
      </c>
      <c r="I1491" s="32" t="s">
        <v>152</v>
      </c>
      <c r="K1491" s="181"/>
      <c r="L1491" s="181"/>
    </row>
    <row r="1492" spans="1:12" x14ac:dyDescent="0.35">
      <c r="A1492" s="19">
        <v>45864</v>
      </c>
      <c r="B1492" s="20"/>
      <c r="C1492" s="20"/>
      <c r="D1492" s="20">
        <v>20000</v>
      </c>
      <c r="E1492" s="99" t="s">
        <v>733</v>
      </c>
      <c r="F1492" s="20">
        <f t="shared" si="23"/>
        <v>220244916</v>
      </c>
      <c r="G1492" s="7" t="s">
        <v>330</v>
      </c>
      <c r="H1492" s="24" t="s">
        <v>109</v>
      </c>
      <c r="I1492" s="32" t="s">
        <v>152</v>
      </c>
      <c r="K1492" s="181"/>
      <c r="L1492" s="181"/>
    </row>
    <row r="1493" spans="1:12" x14ac:dyDescent="0.35">
      <c r="A1493" s="19">
        <v>45864</v>
      </c>
      <c r="B1493" s="20"/>
      <c r="C1493" s="20"/>
      <c r="D1493" s="20">
        <v>100000</v>
      </c>
      <c r="E1493" s="99" t="s">
        <v>733</v>
      </c>
      <c r="F1493" s="20">
        <f t="shared" si="23"/>
        <v>220344916</v>
      </c>
      <c r="G1493" s="7" t="s">
        <v>330</v>
      </c>
      <c r="H1493" s="24" t="s">
        <v>109</v>
      </c>
      <c r="I1493" s="32" t="s">
        <v>152</v>
      </c>
      <c r="K1493" s="181"/>
      <c r="L1493" s="181"/>
    </row>
    <row r="1494" spans="1:12" x14ac:dyDescent="0.35">
      <c r="A1494" s="19">
        <v>45864</v>
      </c>
      <c r="B1494" s="20"/>
      <c r="C1494" s="20"/>
      <c r="D1494" s="20">
        <v>50000</v>
      </c>
      <c r="E1494" s="99" t="s">
        <v>733</v>
      </c>
      <c r="F1494" s="20">
        <f t="shared" si="23"/>
        <v>220394916</v>
      </c>
      <c r="G1494" s="7" t="s">
        <v>330</v>
      </c>
      <c r="H1494" s="24" t="s">
        <v>109</v>
      </c>
      <c r="I1494" s="32" t="s">
        <v>152</v>
      </c>
      <c r="K1494" s="181"/>
      <c r="L1494" s="181"/>
    </row>
    <row r="1495" spans="1:12" x14ac:dyDescent="0.35">
      <c r="A1495" s="19">
        <v>45864</v>
      </c>
      <c r="B1495" s="20"/>
      <c r="C1495" s="20"/>
      <c r="D1495" s="20">
        <v>20000</v>
      </c>
      <c r="E1495" s="99" t="s">
        <v>733</v>
      </c>
      <c r="F1495" s="20">
        <f t="shared" si="23"/>
        <v>220414916</v>
      </c>
      <c r="G1495" s="7" t="s">
        <v>330</v>
      </c>
      <c r="H1495" s="24" t="s">
        <v>109</v>
      </c>
      <c r="I1495" s="32" t="s">
        <v>152</v>
      </c>
      <c r="K1495" s="181"/>
      <c r="L1495" s="181"/>
    </row>
    <row r="1496" spans="1:12" x14ac:dyDescent="0.35">
      <c r="A1496" s="19">
        <v>45864</v>
      </c>
      <c r="B1496" s="20"/>
      <c r="C1496" s="20"/>
      <c r="D1496" s="20">
        <v>20000</v>
      </c>
      <c r="E1496" s="99" t="s">
        <v>733</v>
      </c>
      <c r="F1496" s="20">
        <f t="shared" si="23"/>
        <v>220434916</v>
      </c>
      <c r="G1496" s="7" t="s">
        <v>330</v>
      </c>
      <c r="H1496" s="24" t="s">
        <v>109</v>
      </c>
      <c r="I1496" s="32" t="s">
        <v>152</v>
      </c>
      <c r="K1496" s="181"/>
      <c r="L1496" s="181"/>
    </row>
    <row r="1497" spans="1:12" x14ac:dyDescent="0.35">
      <c r="A1497" s="19">
        <v>45864</v>
      </c>
      <c r="B1497" s="20"/>
      <c r="C1497" s="20"/>
      <c r="D1497" s="20">
        <v>3500</v>
      </c>
      <c r="E1497" s="99" t="s">
        <v>733</v>
      </c>
      <c r="F1497" s="20">
        <f t="shared" si="23"/>
        <v>220438416</v>
      </c>
      <c r="G1497" s="7" t="s">
        <v>330</v>
      </c>
      <c r="H1497" s="24" t="s">
        <v>109</v>
      </c>
      <c r="I1497" s="32" t="s">
        <v>152</v>
      </c>
      <c r="K1497" s="181"/>
      <c r="L1497" s="181"/>
    </row>
    <row r="1498" spans="1:12" x14ac:dyDescent="0.35">
      <c r="A1498" s="19">
        <v>45865</v>
      </c>
      <c r="B1498" s="20">
        <v>1000000</v>
      </c>
      <c r="C1498" s="20"/>
      <c r="D1498" s="20"/>
      <c r="E1498" s="99" t="s">
        <v>733</v>
      </c>
      <c r="F1498" s="20">
        <f t="shared" si="23"/>
        <v>219438416</v>
      </c>
      <c r="G1498" s="7" t="s">
        <v>772</v>
      </c>
      <c r="H1498" s="24" t="s">
        <v>323</v>
      </c>
      <c r="I1498" s="32" t="s">
        <v>152</v>
      </c>
      <c r="K1498" s="181"/>
      <c r="L1498" s="181"/>
    </row>
    <row r="1499" spans="1:12" x14ac:dyDescent="0.35">
      <c r="A1499" s="19">
        <v>45865</v>
      </c>
      <c r="B1499" s="20">
        <v>6500</v>
      </c>
      <c r="C1499" s="20"/>
      <c r="D1499" s="20"/>
      <c r="E1499" s="99" t="s">
        <v>733</v>
      </c>
      <c r="F1499" s="20">
        <f t="shared" si="23"/>
        <v>219431916</v>
      </c>
      <c r="G1499" s="7" t="s">
        <v>772</v>
      </c>
      <c r="H1499" s="24" t="s">
        <v>323</v>
      </c>
      <c r="I1499" s="32" t="s">
        <v>152</v>
      </c>
      <c r="K1499" s="181"/>
      <c r="L1499" s="181"/>
    </row>
    <row r="1500" spans="1:12" x14ac:dyDescent="0.35">
      <c r="A1500" s="19">
        <v>45865</v>
      </c>
      <c r="B1500" s="20"/>
      <c r="C1500" s="20"/>
      <c r="D1500" s="20">
        <v>40000</v>
      </c>
      <c r="E1500" s="99" t="s">
        <v>733</v>
      </c>
      <c r="F1500" s="20">
        <f t="shared" si="23"/>
        <v>219471916</v>
      </c>
      <c r="G1500" s="7" t="s">
        <v>330</v>
      </c>
      <c r="H1500" s="24" t="s">
        <v>109</v>
      </c>
      <c r="I1500" s="32" t="s">
        <v>152</v>
      </c>
      <c r="K1500" s="181"/>
      <c r="L1500" s="181"/>
    </row>
    <row r="1501" spans="1:12" x14ac:dyDescent="0.35">
      <c r="A1501" s="19">
        <v>45865</v>
      </c>
      <c r="B1501" s="20"/>
      <c r="C1501" s="20"/>
      <c r="D1501" s="20">
        <v>50000</v>
      </c>
      <c r="E1501" s="99" t="s">
        <v>733</v>
      </c>
      <c r="F1501" s="20">
        <f t="shared" si="23"/>
        <v>219521916</v>
      </c>
      <c r="G1501" s="7" t="s">
        <v>330</v>
      </c>
      <c r="H1501" s="24" t="s">
        <v>109</v>
      </c>
      <c r="I1501" s="32" t="s">
        <v>152</v>
      </c>
      <c r="K1501" s="181"/>
      <c r="L1501" s="181"/>
    </row>
    <row r="1502" spans="1:12" x14ac:dyDescent="0.35">
      <c r="A1502" s="19">
        <v>45865</v>
      </c>
      <c r="B1502" s="20"/>
      <c r="C1502" s="20"/>
      <c r="D1502" s="20">
        <v>20000</v>
      </c>
      <c r="E1502" s="99" t="s">
        <v>733</v>
      </c>
      <c r="F1502" s="20">
        <f t="shared" si="23"/>
        <v>219541916</v>
      </c>
      <c r="G1502" s="7" t="s">
        <v>330</v>
      </c>
      <c r="H1502" s="24" t="s">
        <v>109</v>
      </c>
      <c r="I1502" s="32" t="s">
        <v>152</v>
      </c>
      <c r="K1502" s="181"/>
      <c r="L1502" s="181"/>
    </row>
    <row r="1503" spans="1:12" x14ac:dyDescent="0.35">
      <c r="A1503" s="19">
        <v>45865</v>
      </c>
      <c r="B1503" s="20"/>
      <c r="C1503" s="20"/>
      <c r="D1503" s="20">
        <v>2000</v>
      </c>
      <c r="E1503" s="99" t="s">
        <v>733</v>
      </c>
      <c r="F1503" s="20">
        <f t="shared" si="23"/>
        <v>219543916</v>
      </c>
      <c r="G1503" s="7" t="s">
        <v>330</v>
      </c>
      <c r="H1503" s="24" t="s">
        <v>109</v>
      </c>
      <c r="I1503" s="32" t="s">
        <v>152</v>
      </c>
      <c r="K1503" s="181"/>
      <c r="L1503" s="181"/>
    </row>
    <row r="1504" spans="1:12" x14ac:dyDescent="0.35">
      <c r="A1504" s="19">
        <v>45865</v>
      </c>
      <c r="B1504" s="20">
        <v>1000000</v>
      </c>
      <c r="C1504" s="20"/>
      <c r="D1504" s="20"/>
      <c r="E1504" s="99" t="s">
        <v>733</v>
      </c>
      <c r="F1504" s="20">
        <f t="shared" si="23"/>
        <v>218543916</v>
      </c>
      <c r="G1504" s="7" t="s">
        <v>773</v>
      </c>
      <c r="H1504" s="24" t="s">
        <v>325</v>
      </c>
      <c r="I1504" s="32" t="s">
        <v>152</v>
      </c>
      <c r="K1504" s="181"/>
      <c r="L1504" s="181"/>
    </row>
    <row r="1505" spans="1:12" x14ac:dyDescent="0.35">
      <c r="A1505" s="19">
        <v>45865</v>
      </c>
      <c r="B1505" s="20">
        <v>6500</v>
      </c>
      <c r="C1505" s="20"/>
      <c r="D1505" s="20"/>
      <c r="E1505" s="99" t="s">
        <v>733</v>
      </c>
      <c r="F1505" s="20">
        <f t="shared" si="23"/>
        <v>218537416</v>
      </c>
      <c r="G1505" s="7" t="s">
        <v>773</v>
      </c>
      <c r="H1505" s="24" t="s">
        <v>325</v>
      </c>
      <c r="I1505" s="32" t="s">
        <v>152</v>
      </c>
      <c r="K1505" s="181"/>
      <c r="L1505" s="181"/>
    </row>
    <row r="1506" spans="1:12" x14ac:dyDescent="0.35">
      <c r="A1506" s="19">
        <v>45865</v>
      </c>
      <c r="B1506" s="20">
        <v>2250000</v>
      </c>
      <c r="C1506" s="20"/>
      <c r="D1506" s="20"/>
      <c r="E1506" s="99" t="s">
        <v>733</v>
      </c>
      <c r="F1506" s="20">
        <f t="shared" si="23"/>
        <v>216287416</v>
      </c>
      <c r="G1506" s="7" t="s">
        <v>774</v>
      </c>
      <c r="H1506" s="24" t="s">
        <v>325</v>
      </c>
      <c r="I1506" s="32" t="s">
        <v>152</v>
      </c>
      <c r="K1506" s="181"/>
      <c r="L1506" s="181"/>
    </row>
    <row r="1507" spans="1:12" x14ac:dyDescent="0.35">
      <c r="A1507" s="19">
        <v>45865</v>
      </c>
      <c r="B1507" s="20">
        <v>6500</v>
      </c>
      <c r="C1507" s="20"/>
      <c r="D1507" s="20"/>
      <c r="E1507" s="99" t="s">
        <v>733</v>
      </c>
      <c r="F1507" s="20">
        <f t="shared" si="23"/>
        <v>216280916</v>
      </c>
      <c r="G1507" s="7" t="s">
        <v>774</v>
      </c>
      <c r="H1507" s="24" t="s">
        <v>325</v>
      </c>
      <c r="I1507" s="32" t="s">
        <v>152</v>
      </c>
      <c r="K1507" s="181"/>
      <c r="L1507" s="181"/>
    </row>
    <row r="1508" spans="1:12" x14ac:dyDescent="0.35">
      <c r="A1508" s="19">
        <v>45865</v>
      </c>
      <c r="B1508" s="20">
        <v>2500000</v>
      </c>
      <c r="C1508" s="20"/>
      <c r="D1508" s="20"/>
      <c r="E1508" s="99" t="s">
        <v>733</v>
      </c>
      <c r="F1508" s="20">
        <f t="shared" si="23"/>
        <v>213780916</v>
      </c>
      <c r="G1508" s="7" t="s">
        <v>775</v>
      </c>
      <c r="H1508" s="24" t="s">
        <v>325</v>
      </c>
      <c r="I1508" s="32" t="s">
        <v>152</v>
      </c>
      <c r="K1508" s="181"/>
      <c r="L1508" s="181"/>
    </row>
    <row r="1509" spans="1:12" x14ac:dyDescent="0.35">
      <c r="A1509" s="19">
        <v>45865</v>
      </c>
      <c r="B1509" s="20">
        <v>6500</v>
      </c>
      <c r="C1509" s="20"/>
      <c r="D1509" s="20"/>
      <c r="E1509" s="99" t="s">
        <v>733</v>
      </c>
      <c r="F1509" s="20">
        <f t="shared" si="23"/>
        <v>213774416</v>
      </c>
      <c r="G1509" s="7" t="s">
        <v>775</v>
      </c>
      <c r="H1509" s="24" t="s">
        <v>325</v>
      </c>
      <c r="I1509" s="32" t="s">
        <v>152</v>
      </c>
      <c r="K1509" s="181"/>
      <c r="L1509" s="181"/>
    </row>
    <row r="1510" spans="1:12" x14ac:dyDescent="0.35">
      <c r="A1510" s="19">
        <v>45865</v>
      </c>
      <c r="B1510" s="20">
        <v>2700000</v>
      </c>
      <c r="C1510" s="20"/>
      <c r="D1510" s="20"/>
      <c r="E1510" s="99" t="s">
        <v>733</v>
      </c>
      <c r="F1510" s="20">
        <f t="shared" si="23"/>
        <v>211074416</v>
      </c>
      <c r="G1510" s="7" t="s">
        <v>776</v>
      </c>
      <c r="H1510" s="24" t="s">
        <v>201</v>
      </c>
      <c r="I1510" s="32" t="s">
        <v>152</v>
      </c>
      <c r="K1510" s="181"/>
      <c r="L1510" s="181"/>
    </row>
    <row r="1511" spans="1:12" x14ac:dyDescent="0.35">
      <c r="A1511" s="19">
        <v>45865</v>
      </c>
      <c r="B1511" s="20">
        <v>6500</v>
      </c>
      <c r="C1511" s="20"/>
      <c r="D1511" s="20"/>
      <c r="E1511" s="99" t="s">
        <v>733</v>
      </c>
      <c r="F1511" s="20">
        <f t="shared" si="23"/>
        <v>211067916</v>
      </c>
      <c r="G1511" s="7" t="s">
        <v>776</v>
      </c>
      <c r="H1511" s="24" t="s">
        <v>201</v>
      </c>
      <c r="I1511" s="32" t="s">
        <v>152</v>
      </c>
      <c r="K1511" s="181"/>
      <c r="L1511" s="181"/>
    </row>
    <row r="1512" spans="1:12" x14ac:dyDescent="0.35">
      <c r="A1512" s="19">
        <v>45865</v>
      </c>
      <c r="B1512" s="20">
        <v>2000000</v>
      </c>
      <c r="C1512" s="20"/>
      <c r="D1512" s="20"/>
      <c r="E1512" s="99" t="s">
        <v>733</v>
      </c>
      <c r="F1512" s="20">
        <f t="shared" si="23"/>
        <v>209067916</v>
      </c>
      <c r="G1512" s="7" t="s">
        <v>777</v>
      </c>
      <c r="H1512" s="24" t="s">
        <v>323</v>
      </c>
      <c r="I1512" s="32" t="s">
        <v>152</v>
      </c>
      <c r="K1512" s="181"/>
      <c r="L1512" s="181"/>
    </row>
    <row r="1513" spans="1:12" x14ac:dyDescent="0.35">
      <c r="A1513" s="19">
        <v>45865</v>
      </c>
      <c r="B1513" s="20">
        <v>6500</v>
      </c>
      <c r="C1513" s="20"/>
      <c r="D1513" s="20"/>
      <c r="E1513" s="99" t="s">
        <v>733</v>
      </c>
      <c r="F1513" s="20">
        <f t="shared" si="23"/>
        <v>209061416</v>
      </c>
      <c r="G1513" s="7" t="s">
        <v>777</v>
      </c>
      <c r="H1513" s="24" t="s">
        <v>323</v>
      </c>
      <c r="I1513" s="32" t="s">
        <v>152</v>
      </c>
      <c r="K1513" s="181"/>
      <c r="L1513" s="181"/>
    </row>
    <row r="1514" spans="1:12" x14ac:dyDescent="0.35">
      <c r="A1514" s="19">
        <v>45865</v>
      </c>
      <c r="B1514" s="20">
        <v>4000000</v>
      </c>
      <c r="C1514" s="20"/>
      <c r="D1514" s="20"/>
      <c r="E1514" s="99" t="s">
        <v>733</v>
      </c>
      <c r="F1514" s="20">
        <f t="shared" si="23"/>
        <v>205061416</v>
      </c>
      <c r="G1514" s="7" t="s">
        <v>778</v>
      </c>
      <c r="H1514" s="24" t="s">
        <v>201</v>
      </c>
      <c r="I1514" s="32" t="s">
        <v>152</v>
      </c>
      <c r="K1514" s="181"/>
      <c r="L1514" s="181"/>
    </row>
    <row r="1515" spans="1:12" x14ac:dyDescent="0.35">
      <c r="A1515" s="19">
        <v>45865</v>
      </c>
      <c r="B1515" s="20">
        <v>6500</v>
      </c>
      <c r="C1515" s="20"/>
      <c r="D1515" s="20"/>
      <c r="E1515" s="99" t="s">
        <v>733</v>
      </c>
      <c r="F1515" s="20">
        <f t="shared" si="23"/>
        <v>205054916</v>
      </c>
      <c r="G1515" s="7" t="s">
        <v>778</v>
      </c>
      <c r="H1515" s="24" t="s">
        <v>201</v>
      </c>
      <c r="I1515" s="32" t="s">
        <v>152</v>
      </c>
      <c r="K1515" s="181"/>
      <c r="L1515" s="181"/>
    </row>
    <row r="1516" spans="1:12" x14ac:dyDescent="0.35">
      <c r="A1516" s="19">
        <v>45865</v>
      </c>
      <c r="B1516" s="20">
        <v>550000</v>
      </c>
      <c r="C1516" s="20"/>
      <c r="D1516" s="20"/>
      <c r="E1516" s="99" t="s">
        <v>733</v>
      </c>
      <c r="F1516" s="20">
        <f t="shared" si="23"/>
        <v>204504916</v>
      </c>
      <c r="G1516" s="7" t="s">
        <v>779</v>
      </c>
      <c r="H1516" s="24" t="s">
        <v>325</v>
      </c>
      <c r="I1516" s="32" t="s">
        <v>152</v>
      </c>
      <c r="K1516" s="181"/>
      <c r="L1516" s="181"/>
    </row>
    <row r="1517" spans="1:12" x14ac:dyDescent="0.35">
      <c r="A1517" s="19">
        <v>45865</v>
      </c>
      <c r="B1517" s="20">
        <v>6500</v>
      </c>
      <c r="C1517" s="20"/>
      <c r="D1517" s="20"/>
      <c r="E1517" s="99" t="s">
        <v>733</v>
      </c>
      <c r="F1517" s="20">
        <f t="shared" si="23"/>
        <v>204498416</v>
      </c>
      <c r="G1517" s="7" t="s">
        <v>779</v>
      </c>
      <c r="H1517" s="24" t="s">
        <v>325</v>
      </c>
      <c r="I1517" s="32" t="s">
        <v>152</v>
      </c>
      <c r="K1517" s="181"/>
      <c r="L1517" s="181"/>
    </row>
    <row r="1518" spans="1:12" x14ac:dyDescent="0.35">
      <c r="A1518" s="19">
        <v>45865</v>
      </c>
      <c r="B1518" s="20">
        <v>3500000</v>
      </c>
      <c r="C1518" s="20"/>
      <c r="D1518" s="20"/>
      <c r="E1518" s="99" t="s">
        <v>733</v>
      </c>
      <c r="F1518" s="20">
        <f t="shared" si="23"/>
        <v>200998416</v>
      </c>
      <c r="G1518" s="7" t="s">
        <v>780</v>
      </c>
      <c r="H1518" s="24" t="s">
        <v>325</v>
      </c>
      <c r="I1518" s="32" t="s">
        <v>152</v>
      </c>
      <c r="K1518" s="181"/>
      <c r="L1518" s="181"/>
    </row>
    <row r="1519" spans="1:12" x14ac:dyDescent="0.35">
      <c r="A1519" s="19">
        <v>45865</v>
      </c>
      <c r="B1519" s="20">
        <v>6500</v>
      </c>
      <c r="C1519" s="20"/>
      <c r="D1519" s="20"/>
      <c r="E1519" s="99" t="s">
        <v>733</v>
      </c>
      <c r="F1519" s="20">
        <f t="shared" si="23"/>
        <v>200991916</v>
      </c>
      <c r="G1519" s="7" t="s">
        <v>780</v>
      </c>
      <c r="H1519" s="24" t="s">
        <v>325</v>
      </c>
      <c r="I1519" s="32" t="s">
        <v>152</v>
      </c>
      <c r="K1519" s="181"/>
      <c r="L1519" s="181"/>
    </row>
    <row r="1520" spans="1:12" x14ac:dyDescent="0.35">
      <c r="A1520" s="19">
        <v>45866</v>
      </c>
      <c r="B1520" s="20">
        <v>2750000</v>
      </c>
      <c r="C1520" s="20"/>
      <c r="D1520" s="20"/>
      <c r="E1520" s="99" t="s">
        <v>733</v>
      </c>
      <c r="F1520" s="20">
        <f t="shared" si="23"/>
        <v>198241916</v>
      </c>
      <c r="G1520" s="7" t="s">
        <v>781</v>
      </c>
      <c r="H1520" s="24" t="s">
        <v>325</v>
      </c>
      <c r="I1520" s="32" t="s">
        <v>152</v>
      </c>
      <c r="K1520" s="181"/>
      <c r="L1520" s="181"/>
    </row>
    <row r="1521" spans="1:12" x14ac:dyDescent="0.35">
      <c r="A1521" s="19">
        <v>45865</v>
      </c>
      <c r="B1521" s="20">
        <v>250000</v>
      </c>
      <c r="C1521" s="20"/>
      <c r="D1521" s="20"/>
      <c r="E1521" s="99" t="s">
        <v>733</v>
      </c>
      <c r="F1521" s="20">
        <f t="shared" si="23"/>
        <v>197991916</v>
      </c>
      <c r="G1521" s="7" t="s">
        <v>782</v>
      </c>
      <c r="H1521" s="24" t="s">
        <v>201</v>
      </c>
      <c r="I1521" s="32" t="s">
        <v>152</v>
      </c>
      <c r="K1521" s="181"/>
      <c r="L1521" s="181"/>
    </row>
    <row r="1522" spans="1:12" x14ac:dyDescent="0.35">
      <c r="A1522" s="19">
        <v>45865</v>
      </c>
      <c r="B1522" s="20">
        <v>6500</v>
      </c>
      <c r="C1522" s="20"/>
      <c r="D1522" s="20"/>
      <c r="E1522" s="99" t="s">
        <v>733</v>
      </c>
      <c r="F1522" s="20">
        <f t="shared" si="23"/>
        <v>197985416</v>
      </c>
      <c r="G1522" s="7" t="s">
        <v>782</v>
      </c>
      <c r="H1522" s="24" t="s">
        <v>201</v>
      </c>
      <c r="I1522" s="32" t="s">
        <v>152</v>
      </c>
      <c r="K1522" s="181"/>
      <c r="L1522" s="181"/>
    </row>
    <row r="1523" spans="1:12" x14ac:dyDescent="0.35">
      <c r="A1523" s="19">
        <v>45866</v>
      </c>
      <c r="B1523" s="20"/>
      <c r="C1523" s="20"/>
      <c r="D1523" s="20">
        <v>20000</v>
      </c>
      <c r="E1523" s="99" t="s">
        <v>733</v>
      </c>
      <c r="F1523" s="20">
        <f t="shared" si="23"/>
        <v>198005416</v>
      </c>
      <c r="G1523" s="7" t="s">
        <v>330</v>
      </c>
      <c r="H1523" s="24" t="s">
        <v>109</v>
      </c>
      <c r="I1523" s="32" t="s">
        <v>152</v>
      </c>
      <c r="K1523" s="181"/>
      <c r="L1523" s="181"/>
    </row>
    <row r="1524" spans="1:12" x14ac:dyDescent="0.35">
      <c r="A1524" s="19">
        <v>45866</v>
      </c>
      <c r="B1524" s="20"/>
      <c r="C1524" s="20"/>
      <c r="D1524" s="20">
        <v>1500</v>
      </c>
      <c r="E1524" s="99" t="s">
        <v>733</v>
      </c>
      <c r="F1524" s="20">
        <f t="shared" si="23"/>
        <v>198006916</v>
      </c>
      <c r="G1524" s="7" t="s">
        <v>330</v>
      </c>
      <c r="H1524" s="24" t="s">
        <v>109</v>
      </c>
      <c r="I1524" s="32" t="s">
        <v>152</v>
      </c>
      <c r="K1524" s="181"/>
      <c r="L1524" s="181"/>
    </row>
    <row r="1525" spans="1:12" x14ac:dyDescent="0.35">
      <c r="A1525" s="19">
        <v>45866</v>
      </c>
      <c r="B1525" s="20"/>
      <c r="C1525" s="20"/>
      <c r="D1525" s="20">
        <v>25000</v>
      </c>
      <c r="E1525" s="99" t="s">
        <v>733</v>
      </c>
      <c r="F1525" s="20">
        <f t="shared" si="23"/>
        <v>198031916</v>
      </c>
      <c r="G1525" s="7" t="s">
        <v>330</v>
      </c>
      <c r="H1525" s="24" t="s">
        <v>109</v>
      </c>
      <c r="I1525" s="32" t="s">
        <v>152</v>
      </c>
      <c r="K1525" s="181"/>
      <c r="L1525" s="181"/>
    </row>
    <row r="1526" spans="1:12" x14ac:dyDescent="0.35">
      <c r="A1526" s="19">
        <v>45866</v>
      </c>
      <c r="B1526" s="20"/>
      <c r="C1526" s="20"/>
      <c r="D1526" s="20">
        <f>2460000-950000</f>
        <v>1510000</v>
      </c>
      <c r="E1526" s="99" t="s">
        <v>733</v>
      </c>
      <c r="F1526" s="20">
        <f t="shared" si="23"/>
        <v>199541916</v>
      </c>
      <c r="G1526" s="7"/>
      <c r="H1526" s="24" t="s">
        <v>107</v>
      </c>
      <c r="I1526" s="32" t="s">
        <v>152</v>
      </c>
      <c r="K1526" s="181"/>
      <c r="L1526" s="181"/>
    </row>
    <row r="1527" spans="1:12" x14ac:dyDescent="0.35">
      <c r="A1527" s="19">
        <v>45866</v>
      </c>
      <c r="B1527" s="20"/>
      <c r="C1527" s="20"/>
      <c r="D1527" s="20">
        <v>3932000</v>
      </c>
      <c r="E1527" s="99" t="s">
        <v>733</v>
      </c>
      <c r="F1527" s="20">
        <f t="shared" si="23"/>
        <v>203473916</v>
      </c>
      <c r="G1527" s="7"/>
      <c r="H1527" s="24" t="s">
        <v>109</v>
      </c>
      <c r="I1527" s="32" t="s">
        <v>152</v>
      </c>
      <c r="K1527" s="181"/>
      <c r="L1527" s="181"/>
    </row>
    <row r="1528" spans="1:12" x14ac:dyDescent="0.35">
      <c r="A1528" s="19"/>
      <c r="B1528" s="20"/>
      <c r="C1528" s="20">
        <v>5442000</v>
      </c>
      <c r="D1528" s="20"/>
      <c r="E1528" s="99"/>
      <c r="F1528" s="20">
        <f t="shared" si="23"/>
        <v>203473916</v>
      </c>
      <c r="G1528" s="7" t="s">
        <v>783</v>
      </c>
      <c r="H1528" s="24"/>
      <c r="I1528" s="32"/>
      <c r="K1528" s="181"/>
      <c r="L1528" s="181"/>
    </row>
    <row r="1529" spans="1:12" x14ac:dyDescent="0.35">
      <c r="A1529" s="19">
        <v>45867</v>
      </c>
      <c r="B1529" s="20"/>
      <c r="C1529" s="20"/>
      <c r="D1529" s="20">
        <v>20000</v>
      </c>
      <c r="E1529" s="99" t="s">
        <v>733</v>
      </c>
      <c r="F1529" s="20">
        <f t="shared" si="23"/>
        <v>203493916</v>
      </c>
      <c r="G1529" s="7" t="s">
        <v>330</v>
      </c>
      <c r="H1529" s="24" t="s">
        <v>109</v>
      </c>
      <c r="I1529" s="32" t="s">
        <v>152</v>
      </c>
      <c r="K1529" s="181"/>
      <c r="L1529" s="181"/>
    </row>
    <row r="1530" spans="1:12" x14ac:dyDescent="0.35">
      <c r="A1530" s="19">
        <v>45867</v>
      </c>
      <c r="B1530" s="20"/>
      <c r="C1530" s="20"/>
      <c r="D1530" s="20">
        <v>20000</v>
      </c>
      <c r="E1530" s="99" t="s">
        <v>733</v>
      </c>
      <c r="F1530" s="20">
        <f t="shared" si="23"/>
        <v>203513916</v>
      </c>
      <c r="G1530" s="7" t="s">
        <v>330</v>
      </c>
      <c r="H1530" s="24" t="s">
        <v>109</v>
      </c>
      <c r="I1530" s="32" t="s">
        <v>152</v>
      </c>
      <c r="K1530" s="181"/>
      <c r="L1530" s="181"/>
    </row>
    <row r="1531" spans="1:12" x14ac:dyDescent="0.35">
      <c r="A1531" s="19">
        <v>45867</v>
      </c>
      <c r="B1531" s="20"/>
      <c r="C1531" s="20"/>
      <c r="D1531" s="20">
        <v>50000</v>
      </c>
      <c r="E1531" s="99" t="s">
        <v>733</v>
      </c>
      <c r="F1531" s="20">
        <f t="shared" si="23"/>
        <v>203563916</v>
      </c>
      <c r="G1531" s="7" t="s">
        <v>330</v>
      </c>
      <c r="H1531" s="24" t="s">
        <v>109</v>
      </c>
      <c r="I1531" s="32" t="s">
        <v>152</v>
      </c>
      <c r="K1531" s="181"/>
      <c r="L1531" s="181"/>
    </row>
    <row r="1532" spans="1:12" x14ac:dyDescent="0.35">
      <c r="A1532" s="19">
        <v>45867</v>
      </c>
      <c r="B1532" s="20"/>
      <c r="C1532" s="20"/>
      <c r="D1532" s="20">
        <v>1500</v>
      </c>
      <c r="E1532" s="99" t="s">
        <v>733</v>
      </c>
      <c r="F1532" s="20">
        <f t="shared" si="23"/>
        <v>203565416</v>
      </c>
      <c r="G1532" s="7" t="s">
        <v>330</v>
      </c>
      <c r="H1532" s="24" t="s">
        <v>109</v>
      </c>
      <c r="I1532" s="32" t="s">
        <v>152</v>
      </c>
      <c r="K1532" s="181"/>
      <c r="L1532" s="181"/>
    </row>
    <row r="1533" spans="1:12" x14ac:dyDescent="0.35">
      <c r="A1533" s="19">
        <v>45868</v>
      </c>
      <c r="B1533" s="20"/>
      <c r="C1533" s="20"/>
      <c r="D1533" s="20">
        <v>10000</v>
      </c>
      <c r="E1533" s="99" t="s">
        <v>733</v>
      </c>
      <c r="F1533" s="20">
        <f t="shared" si="23"/>
        <v>203575416</v>
      </c>
      <c r="G1533" s="7" t="s">
        <v>330</v>
      </c>
      <c r="H1533" s="24" t="s">
        <v>109</v>
      </c>
      <c r="I1533" s="32" t="s">
        <v>152</v>
      </c>
      <c r="K1533" s="181"/>
      <c r="L1533" s="181"/>
    </row>
    <row r="1534" spans="1:12" x14ac:dyDescent="0.35">
      <c r="A1534" s="19">
        <v>45868</v>
      </c>
      <c r="B1534" s="20"/>
      <c r="C1534" s="20"/>
      <c r="D1534" s="20">
        <v>20000</v>
      </c>
      <c r="E1534" s="99" t="s">
        <v>733</v>
      </c>
      <c r="F1534" s="20">
        <f t="shared" si="23"/>
        <v>203595416</v>
      </c>
      <c r="G1534" s="7" t="s">
        <v>330</v>
      </c>
      <c r="H1534" s="24" t="s">
        <v>109</v>
      </c>
      <c r="I1534" s="32" t="s">
        <v>152</v>
      </c>
      <c r="K1534" s="181"/>
      <c r="L1534" s="181"/>
    </row>
    <row r="1535" spans="1:12" x14ac:dyDescent="0.35">
      <c r="A1535" s="19">
        <v>45868</v>
      </c>
      <c r="B1535" s="20"/>
      <c r="C1535" s="20"/>
      <c r="D1535" s="20">
        <v>7650</v>
      </c>
      <c r="E1535" s="99" t="s">
        <v>733</v>
      </c>
      <c r="F1535" s="20">
        <f t="shared" si="23"/>
        <v>203603066</v>
      </c>
      <c r="G1535" s="7" t="s">
        <v>330</v>
      </c>
      <c r="H1535" s="24" t="s">
        <v>109</v>
      </c>
      <c r="I1535" s="32" t="s">
        <v>152</v>
      </c>
      <c r="K1535" s="181"/>
      <c r="L1535" s="181"/>
    </row>
    <row r="1536" spans="1:12" x14ac:dyDescent="0.35">
      <c r="A1536" s="19">
        <v>45868</v>
      </c>
      <c r="B1536" s="20">
        <v>3500000</v>
      </c>
      <c r="C1536" s="20"/>
      <c r="D1536" s="20"/>
      <c r="E1536" s="99" t="s">
        <v>733</v>
      </c>
      <c r="F1536" s="20">
        <f t="shared" si="23"/>
        <v>200103066</v>
      </c>
      <c r="G1536" s="7" t="s">
        <v>784</v>
      </c>
      <c r="H1536" s="24" t="s">
        <v>203</v>
      </c>
      <c r="I1536" s="32" t="s">
        <v>152</v>
      </c>
      <c r="K1536" s="181"/>
      <c r="L1536" s="181"/>
    </row>
    <row r="1537" spans="1:12" x14ac:dyDescent="0.35">
      <c r="A1537" s="19">
        <v>45868</v>
      </c>
      <c r="B1537" s="20">
        <v>6500</v>
      </c>
      <c r="C1537" s="20"/>
      <c r="D1537" s="20"/>
      <c r="E1537" s="99" t="s">
        <v>733</v>
      </c>
      <c r="F1537" s="20">
        <f t="shared" si="23"/>
        <v>200096566</v>
      </c>
      <c r="G1537" s="7" t="s">
        <v>784</v>
      </c>
      <c r="H1537" s="24" t="s">
        <v>203</v>
      </c>
      <c r="I1537" s="32" t="s">
        <v>152</v>
      </c>
      <c r="K1537" s="181"/>
      <c r="L1537" s="181"/>
    </row>
    <row r="1538" spans="1:12" x14ac:dyDescent="0.35">
      <c r="A1538" s="19">
        <v>45868</v>
      </c>
      <c r="B1538" s="20"/>
      <c r="C1538" s="20"/>
      <c r="D1538" s="20">
        <v>350000</v>
      </c>
      <c r="E1538" s="99" t="s">
        <v>733</v>
      </c>
      <c r="F1538" s="20">
        <f t="shared" si="23"/>
        <v>200446566</v>
      </c>
      <c r="G1538" s="7" t="s">
        <v>785</v>
      </c>
      <c r="H1538" s="24" t="s">
        <v>109</v>
      </c>
      <c r="I1538" s="32" t="s">
        <v>152</v>
      </c>
      <c r="K1538" s="181"/>
      <c r="L1538" s="181"/>
    </row>
    <row r="1539" spans="1:12" x14ac:dyDescent="0.35">
      <c r="A1539" s="19">
        <v>45868</v>
      </c>
      <c r="B1539" s="20"/>
      <c r="C1539" s="20"/>
      <c r="D1539" s="20">
        <v>200000</v>
      </c>
      <c r="E1539" s="99" t="s">
        <v>733</v>
      </c>
      <c r="F1539" s="20">
        <f t="shared" si="23"/>
        <v>200646566</v>
      </c>
      <c r="G1539" s="7" t="s">
        <v>786</v>
      </c>
      <c r="H1539" s="24" t="s">
        <v>109</v>
      </c>
      <c r="I1539" s="32" t="s">
        <v>152</v>
      </c>
      <c r="K1539" s="181"/>
      <c r="L1539" s="181"/>
    </row>
    <row r="1540" spans="1:12" x14ac:dyDescent="0.35">
      <c r="A1540" s="19">
        <v>45869</v>
      </c>
      <c r="B1540" s="20"/>
      <c r="C1540" s="20"/>
      <c r="D1540" s="20">
        <v>20000</v>
      </c>
      <c r="E1540" s="99" t="s">
        <v>733</v>
      </c>
      <c r="F1540" s="20">
        <f t="shared" si="23"/>
        <v>200666566</v>
      </c>
      <c r="G1540" s="7" t="s">
        <v>330</v>
      </c>
      <c r="H1540" s="24" t="s">
        <v>109</v>
      </c>
      <c r="I1540" s="32" t="s">
        <v>152</v>
      </c>
      <c r="K1540" s="181"/>
      <c r="L1540" s="181"/>
    </row>
    <row r="1541" spans="1:12" x14ac:dyDescent="0.35">
      <c r="A1541" s="19">
        <v>45869</v>
      </c>
      <c r="B1541" s="20"/>
      <c r="C1541" s="20"/>
      <c r="D1541" s="20">
        <v>10000</v>
      </c>
      <c r="E1541" s="99" t="s">
        <v>733</v>
      </c>
      <c r="F1541" s="20">
        <f t="shared" si="23"/>
        <v>200676566</v>
      </c>
      <c r="G1541" s="7" t="s">
        <v>330</v>
      </c>
      <c r="H1541" s="24" t="s">
        <v>109</v>
      </c>
      <c r="I1541" s="32" t="s">
        <v>152</v>
      </c>
      <c r="K1541" s="181"/>
      <c r="L1541" s="181"/>
    </row>
    <row r="1542" spans="1:12" x14ac:dyDescent="0.35">
      <c r="A1542" s="19">
        <v>45869</v>
      </c>
      <c r="B1542" s="20"/>
      <c r="C1542" s="20"/>
      <c r="D1542" s="20">
        <v>1000</v>
      </c>
      <c r="E1542" s="99" t="s">
        <v>733</v>
      </c>
      <c r="F1542" s="20">
        <f t="shared" si="23"/>
        <v>200677566</v>
      </c>
      <c r="G1542" s="7" t="s">
        <v>330</v>
      </c>
      <c r="H1542" s="24" t="s">
        <v>109</v>
      </c>
      <c r="I1542" s="32" t="s">
        <v>152</v>
      </c>
      <c r="K1542" s="181"/>
      <c r="L1542" s="181"/>
    </row>
    <row r="1543" spans="1:12" x14ac:dyDescent="0.35">
      <c r="A1543" s="19">
        <v>45870</v>
      </c>
      <c r="B1543" s="20"/>
      <c r="C1543" s="20"/>
      <c r="D1543" s="20">
        <v>20000</v>
      </c>
      <c r="E1543" s="99" t="s">
        <v>860</v>
      </c>
      <c r="F1543" s="20">
        <f t="shared" si="23"/>
        <v>200697566</v>
      </c>
      <c r="G1543" s="7" t="s">
        <v>330</v>
      </c>
      <c r="H1543" s="24" t="s">
        <v>109</v>
      </c>
      <c r="I1543" s="32" t="s">
        <v>152</v>
      </c>
      <c r="K1543" s="181"/>
      <c r="L1543" s="181"/>
    </row>
    <row r="1544" spans="1:12" x14ac:dyDescent="0.35">
      <c r="A1544" s="19">
        <v>45870</v>
      </c>
      <c r="B1544" s="20"/>
      <c r="C1544" s="20"/>
      <c r="D1544" s="20">
        <v>1000</v>
      </c>
      <c r="E1544" s="99" t="s">
        <v>860</v>
      </c>
      <c r="F1544" s="20">
        <f t="shared" si="23"/>
        <v>200698566</v>
      </c>
      <c r="G1544" s="7" t="s">
        <v>330</v>
      </c>
      <c r="H1544" s="24" t="s">
        <v>109</v>
      </c>
      <c r="I1544" s="32" t="s">
        <v>152</v>
      </c>
      <c r="K1544" s="181"/>
      <c r="L1544" s="181"/>
    </row>
    <row r="1545" spans="1:12" x14ac:dyDescent="0.35">
      <c r="A1545" s="19">
        <v>45870</v>
      </c>
      <c r="B1545" s="20"/>
      <c r="C1545" s="20"/>
      <c r="D1545" s="20">
        <v>200000</v>
      </c>
      <c r="E1545" s="99" t="s">
        <v>860</v>
      </c>
      <c r="F1545" s="20">
        <f t="shared" si="23"/>
        <v>200898566</v>
      </c>
      <c r="G1545" s="7" t="s">
        <v>674</v>
      </c>
      <c r="H1545" s="24" t="s">
        <v>109</v>
      </c>
      <c r="I1545" s="32" t="s">
        <v>152</v>
      </c>
      <c r="K1545" s="181"/>
      <c r="L1545" s="181"/>
    </row>
    <row r="1546" spans="1:12" x14ac:dyDescent="0.35">
      <c r="A1546" s="19">
        <v>45870</v>
      </c>
      <c r="B1546" s="20"/>
      <c r="C1546" s="20"/>
      <c r="D1546" s="20">
        <v>200000</v>
      </c>
      <c r="E1546" s="99" t="s">
        <v>860</v>
      </c>
      <c r="F1546" s="20">
        <f t="shared" ref="F1546:F1609" si="24">+F1545+D1546-B1546</f>
        <v>201098566</v>
      </c>
      <c r="G1546" s="7" t="s">
        <v>531</v>
      </c>
      <c r="H1546" s="24" t="s">
        <v>109</v>
      </c>
      <c r="I1546" s="32" t="s">
        <v>152</v>
      </c>
      <c r="K1546" s="181"/>
      <c r="L1546" s="181"/>
    </row>
    <row r="1547" spans="1:12" x14ac:dyDescent="0.35">
      <c r="A1547" s="19">
        <v>45870</v>
      </c>
      <c r="B1547" s="20"/>
      <c r="C1547" s="20"/>
      <c r="D1547" s="20">
        <v>500000</v>
      </c>
      <c r="E1547" s="99" t="s">
        <v>860</v>
      </c>
      <c r="F1547" s="20">
        <f t="shared" si="24"/>
        <v>201598566</v>
      </c>
      <c r="G1547" s="7" t="s">
        <v>579</v>
      </c>
      <c r="H1547" s="24" t="s">
        <v>109</v>
      </c>
      <c r="I1547" s="32" t="s">
        <v>152</v>
      </c>
      <c r="K1547" s="181"/>
      <c r="L1547" s="181"/>
    </row>
    <row r="1548" spans="1:12" x14ac:dyDescent="0.35">
      <c r="A1548" s="19">
        <v>45870</v>
      </c>
      <c r="B1548" s="20"/>
      <c r="C1548" s="20"/>
      <c r="D1548" s="20">
        <v>300000</v>
      </c>
      <c r="E1548" s="99" t="s">
        <v>860</v>
      </c>
      <c r="F1548" s="20">
        <f t="shared" si="24"/>
        <v>201898566</v>
      </c>
      <c r="G1548" s="7" t="s">
        <v>577</v>
      </c>
      <c r="H1548" s="24" t="s">
        <v>109</v>
      </c>
      <c r="I1548" s="32" t="s">
        <v>152</v>
      </c>
      <c r="K1548" s="181"/>
      <c r="L1548" s="181"/>
    </row>
    <row r="1549" spans="1:12" x14ac:dyDescent="0.35">
      <c r="A1549" s="19">
        <v>45871</v>
      </c>
      <c r="B1549" s="20">
        <v>750000</v>
      </c>
      <c r="C1549" s="20"/>
      <c r="D1549" s="20"/>
      <c r="E1549" s="99" t="s">
        <v>860</v>
      </c>
      <c r="F1549" s="20">
        <f t="shared" si="24"/>
        <v>201148566</v>
      </c>
      <c r="G1549" s="7" t="s">
        <v>788</v>
      </c>
      <c r="H1549" s="24" t="s">
        <v>323</v>
      </c>
      <c r="I1549" s="32" t="s">
        <v>152</v>
      </c>
      <c r="K1549" s="181"/>
      <c r="L1549" s="181"/>
    </row>
    <row r="1550" spans="1:12" x14ac:dyDescent="0.35">
      <c r="A1550" s="19">
        <v>45871</v>
      </c>
      <c r="B1550" s="20">
        <v>6500</v>
      </c>
      <c r="C1550" s="20"/>
      <c r="D1550" s="20"/>
      <c r="E1550" s="99" t="s">
        <v>860</v>
      </c>
      <c r="F1550" s="20">
        <f t="shared" si="24"/>
        <v>201142066</v>
      </c>
      <c r="G1550" s="7" t="s">
        <v>788</v>
      </c>
      <c r="H1550" s="24" t="s">
        <v>323</v>
      </c>
      <c r="I1550" s="32" t="s">
        <v>152</v>
      </c>
      <c r="K1550" s="181"/>
      <c r="L1550" s="181"/>
    </row>
    <row r="1551" spans="1:12" x14ac:dyDescent="0.35">
      <c r="A1551" s="19">
        <v>45871</v>
      </c>
      <c r="B1551" s="20"/>
      <c r="C1551" s="20"/>
      <c r="D1551" s="20">
        <v>50000</v>
      </c>
      <c r="E1551" s="99" t="s">
        <v>860</v>
      </c>
      <c r="F1551" s="20">
        <f t="shared" si="24"/>
        <v>201192066</v>
      </c>
      <c r="G1551" s="7" t="s">
        <v>330</v>
      </c>
      <c r="H1551" s="24" t="s">
        <v>109</v>
      </c>
      <c r="I1551" s="32" t="s">
        <v>152</v>
      </c>
      <c r="K1551" s="181"/>
      <c r="L1551" s="181"/>
    </row>
    <row r="1552" spans="1:12" x14ac:dyDescent="0.35">
      <c r="A1552" s="19">
        <v>45871</v>
      </c>
      <c r="B1552" s="20"/>
      <c r="C1552" s="20"/>
      <c r="D1552" s="20">
        <v>100000</v>
      </c>
      <c r="E1552" s="99" t="s">
        <v>860</v>
      </c>
      <c r="F1552" s="20">
        <f t="shared" si="24"/>
        <v>201292066</v>
      </c>
      <c r="G1552" s="7" t="s">
        <v>330</v>
      </c>
      <c r="H1552" s="24" t="s">
        <v>109</v>
      </c>
      <c r="I1552" s="32" t="s">
        <v>152</v>
      </c>
      <c r="K1552" s="181"/>
      <c r="L1552" s="181"/>
    </row>
    <row r="1553" spans="1:12" x14ac:dyDescent="0.35">
      <c r="A1553" s="19">
        <v>45871</v>
      </c>
      <c r="B1553" s="20"/>
      <c r="C1553" s="20"/>
      <c r="D1553" s="20">
        <v>10000</v>
      </c>
      <c r="E1553" s="99" t="s">
        <v>860</v>
      </c>
      <c r="F1553" s="20">
        <f t="shared" si="24"/>
        <v>201302066</v>
      </c>
      <c r="G1553" s="7" t="s">
        <v>330</v>
      </c>
      <c r="H1553" s="24" t="s">
        <v>109</v>
      </c>
      <c r="I1553" s="32" t="s">
        <v>152</v>
      </c>
      <c r="K1553" s="181"/>
      <c r="L1553" s="181"/>
    </row>
    <row r="1554" spans="1:12" x14ac:dyDescent="0.35">
      <c r="A1554" s="19">
        <v>45871</v>
      </c>
      <c r="B1554" s="20"/>
      <c r="C1554" s="20"/>
      <c r="D1554" s="20">
        <v>50000</v>
      </c>
      <c r="E1554" s="99" t="s">
        <v>860</v>
      </c>
      <c r="F1554" s="20">
        <f t="shared" si="24"/>
        <v>201352066</v>
      </c>
      <c r="G1554" s="7" t="s">
        <v>330</v>
      </c>
      <c r="H1554" s="24" t="s">
        <v>109</v>
      </c>
      <c r="I1554" s="32" t="s">
        <v>152</v>
      </c>
      <c r="K1554" s="181"/>
      <c r="L1554" s="181"/>
    </row>
    <row r="1555" spans="1:12" x14ac:dyDescent="0.35">
      <c r="A1555" s="19">
        <v>45871</v>
      </c>
      <c r="B1555" s="20"/>
      <c r="C1555" s="20"/>
      <c r="D1555" s="20">
        <v>20000</v>
      </c>
      <c r="E1555" s="99" t="s">
        <v>860</v>
      </c>
      <c r="F1555" s="20">
        <f t="shared" si="24"/>
        <v>201372066</v>
      </c>
      <c r="G1555" s="7" t="s">
        <v>330</v>
      </c>
      <c r="H1555" s="24" t="s">
        <v>109</v>
      </c>
      <c r="I1555" s="32" t="s">
        <v>152</v>
      </c>
      <c r="K1555" s="181"/>
      <c r="L1555" s="181"/>
    </row>
    <row r="1556" spans="1:12" x14ac:dyDescent="0.35">
      <c r="A1556" s="19">
        <v>45871</v>
      </c>
      <c r="B1556" s="20"/>
      <c r="C1556" s="20"/>
      <c r="D1556" s="20">
        <v>20000</v>
      </c>
      <c r="E1556" s="99" t="s">
        <v>860</v>
      </c>
      <c r="F1556" s="20">
        <f t="shared" si="24"/>
        <v>201392066</v>
      </c>
      <c r="G1556" s="7" t="s">
        <v>330</v>
      </c>
      <c r="H1556" s="24" t="s">
        <v>109</v>
      </c>
      <c r="I1556" s="32" t="s">
        <v>152</v>
      </c>
      <c r="K1556" s="181"/>
      <c r="L1556" s="181"/>
    </row>
    <row r="1557" spans="1:12" x14ac:dyDescent="0.35">
      <c r="A1557" s="19">
        <v>45871</v>
      </c>
      <c r="B1557" s="20"/>
      <c r="C1557" s="20"/>
      <c r="D1557" s="20">
        <v>20000</v>
      </c>
      <c r="E1557" s="99" t="s">
        <v>860</v>
      </c>
      <c r="F1557" s="20">
        <f t="shared" si="24"/>
        <v>201412066</v>
      </c>
      <c r="G1557" s="7" t="s">
        <v>330</v>
      </c>
      <c r="H1557" s="24" t="s">
        <v>109</v>
      </c>
      <c r="I1557" s="32" t="s">
        <v>152</v>
      </c>
      <c r="K1557" s="181"/>
      <c r="L1557" s="181"/>
    </row>
    <row r="1558" spans="1:12" x14ac:dyDescent="0.35">
      <c r="A1558" s="19">
        <v>45871</v>
      </c>
      <c r="B1558" s="20"/>
      <c r="C1558" s="20"/>
      <c r="D1558" s="20">
        <v>50000</v>
      </c>
      <c r="E1558" s="99" t="s">
        <v>860</v>
      </c>
      <c r="F1558" s="20">
        <f t="shared" si="24"/>
        <v>201462066</v>
      </c>
      <c r="G1558" s="7" t="s">
        <v>330</v>
      </c>
      <c r="H1558" s="24" t="s">
        <v>109</v>
      </c>
      <c r="I1558" s="32" t="s">
        <v>152</v>
      </c>
      <c r="K1558" s="181"/>
      <c r="L1558" s="181"/>
    </row>
    <row r="1559" spans="1:12" x14ac:dyDescent="0.35">
      <c r="A1559" s="19">
        <v>45871</v>
      </c>
      <c r="B1559" s="20"/>
      <c r="C1559" s="20"/>
      <c r="D1559" s="20">
        <v>1138</v>
      </c>
      <c r="E1559" s="99" t="s">
        <v>860</v>
      </c>
      <c r="F1559" s="20">
        <f t="shared" si="24"/>
        <v>201463204</v>
      </c>
      <c r="G1559" s="7" t="s">
        <v>330</v>
      </c>
      <c r="H1559" s="24" t="s">
        <v>109</v>
      </c>
      <c r="I1559" s="32" t="s">
        <v>152</v>
      </c>
      <c r="K1559" s="181"/>
      <c r="L1559" s="181"/>
    </row>
    <row r="1560" spans="1:12" x14ac:dyDescent="0.35">
      <c r="A1560" s="19">
        <v>45871</v>
      </c>
      <c r="B1560" s="20"/>
      <c r="C1560" s="20"/>
      <c r="D1560" s="20">
        <v>5000</v>
      </c>
      <c r="E1560" s="99" t="s">
        <v>860</v>
      </c>
      <c r="F1560" s="20">
        <f t="shared" si="24"/>
        <v>201468204</v>
      </c>
      <c r="G1560" s="7" t="s">
        <v>330</v>
      </c>
      <c r="H1560" s="24" t="s">
        <v>109</v>
      </c>
      <c r="I1560" s="32" t="s">
        <v>152</v>
      </c>
      <c r="K1560" s="181"/>
      <c r="L1560" s="181"/>
    </row>
    <row r="1561" spans="1:12" x14ac:dyDescent="0.35">
      <c r="A1561" s="19">
        <v>45871</v>
      </c>
      <c r="B1561" s="20"/>
      <c r="C1561" s="20"/>
      <c r="D1561" s="20">
        <v>5000</v>
      </c>
      <c r="E1561" s="99" t="s">
        <v>860</v>
      </c>
      <c r="F1561" s="20">
        <f t="shared" si="24"/>
        <v>201473204</v>
      </c>
      <c r="G1561" s="7" t="s">
        <v>330</v>
      </c>
      <c r="H1561" s="24" t="s">
        <v>109</v>
      </c>
      <c r="I1561" s="32" t="s">
        <v>152</v>
      </c>
      <c r="K1561" s="181"/>
      <c r="L1561" s="181"/>
    </row>
    <row r="1562" spans="1:12" x14ac:dyDescent="0.35">
      <c r="A1562" s="19">
        <v>45871</v>
      </c>
      <c r="B1562" s="20"/>
      <c r="C1562" s="20"/>
      <c r="D1562" s="20">
        <v>200000</v>
      </c>
      <c r="E1562" s="99" t="s">
        <v>860</v>
      </c>
      <c r="F1562" s="20">
        <f t="shared" si="24"/>
        <v>201673204</v>
      </c>
      <c r="G1562" s="7" t="s">
        <v>424</v>
      </c>
      <c r="H1562" s="24" t="s">
        <v>109</v>
      </c>
      <c r="I1562" s="32" t="s">
        <v>152</v>
      </c>
      <c r="K1562" s="181"/>
      <c r="L1562" s="181"/>
    </row>
    <row r="1563" spans="1:12" x14ac:dyDescent="0.35">
      <c r="A1563" s="19">
        <v>45872</v>
      </c>
      <c r="B1563" s="20"/>
      <c r="C1563" s="20"/>
      <c r="D1563" s="20">
        <v>200000</v>
      </c>
      <c r="E1563" s="99" t="s">
        <v>860</v>
      </c>
      <c r="F1563" s="20">
        <f t="shared" si="24"/>
        <v>201873204</v>
      </c>
      <c r="G1563" s="7" t="s">
        <v>333</v>
      </c>
      <c r="H1563" s="24" t="s">
        <v>109</v>
      </c>
      <c r="I1563" s="32" t="s">
        <v>152</v>
      </c>
      <c r="K1563" s="181"/>
      <c r="L1563" s="181"/>
    </row>
    <row r="1564" spans="1:12" x14ac:dyDescent="0.35">
      <c r="A1564" s="19">
        <v>45872</v>
      </c>
      <c r="B1564" s="20">
        <v>750000</v>
      </c>
      <c r="C1564" s="20"/>
      <c r="D1564" s="20"/>
      <c r="E1564" s="99" t="s">
        <v>860</v>
      </c>
      <c r="F1564" s="20">
        <f t="shared" si="24"/>
        <v>201123204</v>
      </c>
      <c r="G1564" s="7" t="s">
        <v>789</v>
      </c>
      <c r="H1564" s="24" t="s">
        <v>323</v>
      </c>
      <c r="I1564" s="32" t="s">
        <v>152</v>
      </c>
      <c r="K1564" s="181"/>
      <c r="L1564" s="181"/>
    </row>
    <row r="1565" spans="1:12" x14ac:dyDescent="0.35">
      <c r="A1565" s="19">
        <v>45872</v>
      </c>
      <c r="B1565" s="20">
        <v>6500</v>
      </c>
      <c r="C1565" s="20"/>
      <c r="D1565" s="20"/>
      <c r="E1565" s="99" t="s">
        <v>860</v>
      </c>
      <c r="F1565" s="20">
        <f t="shared" si="24"/>
        <v>201116704</v>
      </c>
      <c r="G1565" s="7" t="s">
        <v>789</v>
      </c>
      <c r="H1565" s="24" t="s">
        <v>323</v>
      </c>
      <c r="I1565" s="32" t="s">
        <v>152</v>
      </c>
      <c r="K1565" s="181"/>
      <c r="L1565" s="181"/>
    </row>
    <row r="1566" spans="1:12" x14ac:dyDescent="0.35">
      <c r="A1566" s="19">
        <v>45872</v>
      </c>
      <c r="B1566" s="20"/>
      <c r="C1566" s="20"/>
      <c r="D1566" s="20">
        <v>20000</v>
      </c>
      <c r="E1566" s="99" t="s">
        <v>860</v>
      </c>
      <c r="F1566" s="20">
        <f t="shared" si="24"/>
        <v>201136704</v>
      </c>
      <c r="G1566" s="7" t="s">
        <v>330</v>
      </c>
      <c r="H1566" s="24" t="s">
        <v>109</v>
      </c>
      <c r="I1566" s="32" t="s">
        <v>152</v>
      </c>
      <c r="K1566" s="181"/>
      <c r="L1566" s="181"/>
    </row>
    <row r="1567" spans="1:12" x14ac:dyDescent="0.35">
      <c r="A1567" s="19">
        <v>45872</v>
      </c>
      <c r="B1567" s="20"/>
      <c r="C1567" s="20"/>
      <c r="D1567" s="20">
        <v>10000</v>
      </c>
      <c r="E1567" s="99" t="s">
        <v>860</v>
      </c>
      <c r="F1567" s="20">
        <f t="shared" si="24"/>
        <v>201146704</v>
      </c>
      <c r="G1567" s="7" t="s">
        <v>330</v>
      </c>
      <c r="H1567" s="24" t="s">
        <v>109</v>
      </c>
      <c r="I1567" s="32" t="s">
        <v>152</v>
      </c>
      <c r="K1567" s="181"/>
      <c r="L1567" s="181"/>
    </row>
    <row r="1568" spans="1:12" x14ac:dyDescent="0.35">
      <c r="A1568" s="19">
        <v>45872</v>
      </c>
      <c r="B1568" s="20"/>
      <c r="C1568" s="20"/>
      <c r="D1568" s="20">
        <v>1000</v>
      </c>
      <c r="E1568" s="99" t="s">
        <v>860</v>
      </c>
      <c r="F1568" s="20">
        <f t="shared" si="24"/>
        <v>201147704</v>
      </c>
      <c r="G1568" s="7" t="s">
        <v>330</v>
      </c>
      <c r="H1568" s="24" t="s">
        <v>109</v>
      </c>
      <c r="I1568" s="32" t="s">
        <v>152</v>
      </c>
      <c r="K1568" s="181"/>
      <c r="L1568" s="181"/>
    </row>
    <row r="1569" spans="1:12" x14ac:dyDescent="0.35">
      <c r="A1569" s="19">
        <v>45872</v>
      </c>
      <c r="B1569" s="20"/>
      <c r="C1569" s="20"/>
      <c r="D1569" s="20">
        <v>100000</v>
      </c>
      <c r="E1569" s="99" t="s">
        <v>860</v>
      </c>
      <c r="F1569" s="20">
        <f t="shared" si="24"/>
        <v>201247704</v>
      </c>
      <c r="G1569" s="7" t="s">
        <v>790</v>
      </c>
      <c r="H1569" s="24" t="s">
        <v>109</v>
      </c>
      <c r="I1569" s="32" t="s">
        <v>152</v>
      </c>
      <c r="K1569" s="181"/>
      <c r="L1569" s="181"/>
    </row>
    <row r="1570" spans="1:12" x14ac:dyDescent="0.35">
      <c r="A1570" s="19">
        <v>45872</v>
      </c>
      <c r="B1570" s="20">
        <v>3009000</v>
      </c>
      <c r="C1570" s="20"/>
      <c r="D1570" s="20"/>
      <c r="E1570" s="99" t="s">
        <v>860</v>
      </c>
      <c r="F1570" s="20">
        <f t="shared" si="24"/>
        <v>198238704</v>
      </c>
      <c r="G1570" s="7" t="s">
        <v>791</v>
      </c>
      <c r="H1570" s="24" t="s">
        <v>321</v>
      </c>
      <c r="I1570" s="32" t="s">
        <v>152</v>
      </c>
      <c r="K1570" s="181"/>
      <c r="L1570" s="181"/>
    </row>
    <row r="1571" spans="1:12" x14ac:dyDescent="0.35">
      <c r="A1571" s="19">
        <v>45872</v>
      </c>
      <c r="B1571" s="20">
        <v>6500</v>
      </c>
      <c r="C1571" s="20"/>
      <c r="D1571" s="20"/>
      <c r="E1571" s="99" t="s">
        <v>860</v>
      </c>
      <c r="F1571" s="20">
        <f t="shared" si="24"/>
        <v>198232204</v>
      </c>
      <c r="G1571" s="7" t="s">
        <v>791</v>
      </c>
      <c r="H1571" s="24" t="s">
        <v>321</v>
      </c>
      <c r="I1571" s="32" t="s">
        <v>152</v>
      </c>
      <c r="K1571" s="181"/>
      <c r="L1571" s="181"/>
    </row>
    <row r="1572" spans="1:12" x14ac:dyDescent="0.35">
      <c r="A1572" s="19">
        <v>45873</v>
      </c>
      <c r="B1572" s="20"/>
      <c r="C1572" s="20"/>
      <c r="D1572" s="20">
        <v>2000</v>
      </c>
      <c r="E1572" s="99" t="s">
        <v>860</v>
      </c>
      <c r="F1572" s="20">
        <f t="shared" si="24"/>
        <v>198234204</v>
      </c>
      <c r="G1572" s="7" t="s">
        <v>330</v>
      </c>
      <c r="H1572" s="24" t="s">
        <v>109</v>
      </c>
      <c r="I1572" s="32" t="s">
        <v>152</v>
      </c>
      <c r="K1572" s="181"/>
      <c r="L1572" s="181"/>
    </row>
    <row r="1573" spans="1:12" x14ac:dyDescent="0.35">
      <c r="A1573" s="19">
        <v>45873</v>
      </c>
      <c r="B1573" s="20"/>
      <c r="C1573" s="20"/>
      <c r="D1573" s="20">
        <v>25000</v>
      </c>
      <c r="E1573" s="99" t="s">
        <v>860</v>
      </c>
      <c r="F1573" s="20">
        <f t="shared" si="24"/>
        <v>198259204</v>
      </c>
      <c r="G1573" s="7" t="s">
        <v>330</v>
      </c>
      <c r="H1573" s="24" t="s">
        <v>109</v>
      </c>
      <c r="I1573" s="32" t="s">
        <v>152</v>
      </c>
      <c r="K1573" s="181"/>
      <c r="L1573" s="181"/>
    </row>
    <row r="1574" spans="1:12" x14ac:dyDescent="0.35">
      <c r="A1574" s="19">
        <v>45873</v>
      </c>
      <c r="B1574" s="20"/>
      <c r="C1574" s="20"/>
      <c r="D1574" s="20">
        <f>3045000-950000</f>
        <v>2095000</v>
      </c>
      <c r="E1574" s="99" t="s">
        <v>860</v>
      </c>
      <c r="F1574" s="20">
        <f t="shared" si="24"/>
        <v>200354204</v>
      </c>
      <c r="G1574" s="7"/>
      <c r="H1574" s="24" t="s">
        <v>107</v>
      </c>
      <c r="I1574" s="32" t="s">
        <v>152</v>
      </c>
      <c r="K1574" s="181"/>
      <c r="L1574" s="181"/>
    </row>
    <row r="1575" spans="1:12" x14ac:dyDescent="0.35">
      <c r="A1575" s="19">
        <v>45873</v>
      </c>
      <c r="B1575" s="20"/>
      <c r="C1575" s="20"/>
      <c r="D1575" s="20">
        <v>2612000</v>
      </c>
      <c r="E1575" s="99" t="s">
        <v>860</v>
      </c>
      <c r="F1575" s="20">
        <f t="shared" si="24"/>
        <v>202966204</v>
      </c>
      <c r="G1575" s="7"/>
      <c r="H1575" s="24" t="s">
        <v>109</v>
      </c>
      <c r="I1575" s="32" t="s">
        <v>152</v>
      </c>
      <c r="K1575" s="181"/>
      <c r="L1575" s="181"/>
    </row>
    <row r="1576" spans="1:12" x14ac:dyDescent="0.35">
      <c r="A1576" s="19"/>
      <c r="B1576" s="20"/>
      <c r="C1576" s="20">
        <v>4707000</v>
      </c>
      <c r="D1576" s="20"/>
      <c r="E1576" s="99"/>
      <c r="F1576" s="20">
        <f t="shared" si="24"/>
        <v>202966204</v>
      </c>
      <c r="G1576" s="7" t="s">
        <v>792</v>
      </c>
      <c r="H1576" s="24"/>
      <c r="I1576" s="32"/>
      <c r="K1576" s="181"/>
      <c r="L1576" s="181"/>
    </row>
    <row r="1577" spans="1:12" x14ac:dyDescent="0.35">
      <c r="A1577" s="19">
        <v>45874</v>
      </c>
      <c r="B1577" s="20"/>
      <c r="C1577" s="20"/>
      <c r="D1577" s="20">
        <v>20000</v>
      </c>
      <c r="E1577" s="99" t="s">
        <v>860</v>
      </c>
      <c r="F1577" s="20">
        <f t="shared" si="24"/>
        <v>202986204</v>
      </c>
      <c r="G1577" s="7" t="s">
        <v>330</v>
      </c>
      <c r="H1577" s="24" t="s">
        <v>109</v>
      </c>
      <c r="I1577" s="32" t="s">
        <v>152</v>
      </c>
      <c r="K1577" s="181"/>
      <c r="L1577" s="181"/>
    </row>
    <row r="1578" spans="1:12" x14ac:dyDescent="0.35">
      <c r="A1578" s="19">
        <v>45874</v>
      </c>
      <c r="B1578" s="20"/>
      <c r="C1578" s="20"/>
      <c r="D1578" s="20">
        <v>1000</v>
      </c>
      <c r="E1578" s="99" t="s">
        <v>860</v>
      </c>
      <c r="F1578" s="20">
        <f t="shared" si="24"/>
        <v>202987204</v>
      </c>
      <c r="G1578" s="7" t="s">
        <v>330</v>
      </c>
      <c r="H1578" s="24" t="s">
        <v>109</v>
      </c>
      <c r="I1578" s="32" t="s">
        <v>152</v>
      </c>
      <c r="K1578" s="181"/>
      <c r="L1578" s="181"/>
    </row>
    <row r="1579" spans="1:12" x14ac:dyDescent="0.35">
      <c r="A1579" s="19">
        <v>45874</v>
      </c>
      <c r="B1579" s="20"/>
      <c r="C1579" s="20"/>
      <c r="D1579" s="20">
        <v>500000</v>
      </c>
      <c r="E1579" s="99" t="s">
        <v>860</v>
      </c>
      <c r="F1579" s="20">
        <f t="shared" si="24"/>
        <v>203487204</v>
      </c>
      <c r="G1579" s="7" t="s">
        <v>675</v>
      </c>
      <c r="H1579" s="24" t="s">
        <v>109</v>
      </c>
      <c r="I1579" s="32" t="s">
        <v>152</v>
      </c>
      <c r="K1579" s="181"/>
      <c r="L1579" s="181"/>
    </row>
    <row r="1580" spans="1:12" x14ac:dyDescent="0.35">
      <c r="A1580" s="19">
        <v>45875</v>
      </c>
      <c r="B1580" s="20"/>
      <c r="C1580" s="20"/>
      <c r="D1580" s="20">
        <v>10000</v>
      </c>
      <c r="E1580" s="99" t="s">
        <v>860</v>
      </c>
      <c r="F1580" s="20">
        <f t="shared" si="24"/>
        <v>203497204</v>
      </c>
      <c r="G1580" s="7" t="s">
        <v>330</v>
      </c>
      <c r="H1580" s="24" t="s">
        <v>109</v>
      </c>
      <c r="I1580" s="32" t="s">
        <v>152</v>
      </c>
      <c r="K1580" s="181"/>
      <c r="L1580" s="181"/>
    </row>
    <row r="1581" spans="1:12" x14ac:dyDescent="0.35">
      <c r="A1581" s="19">
        <v>45875</v>
      </c>
      <c r="B1581" s="20"/>
      <c r="C1581" s="20"/>
      <c r="D1581" s="20">
        <v>20000</v>
      </c>
      <c r="E1581" s="99" t="s">
        <v>860</v>
      </c>
      <c r="F1581" s="20">
        <f t="shared" si="24"/>
        <v>203517204</v>
      </c>
      <c r="G1581" s="7" t="s">
        <v>330</v>
      </c>
      <c r="H1581" s="24" t="s">
        <v>109</v>
      </c>
      <c r="I1581" s="32" t="s">
        <v>152</v>
      </c>
      <c r="K1581" s="181"/>
      <c r="L1581" s="181"/>
    </row>
    <row r="1582" spans="1:12" x14ac:dyDescent="0.35">
      <c r="A1582" s="19">
        <v>45875</v>
      </c>
      <c r="B1582" s="20"/>
      <c r="C1582" s="20"/>
      <c r="D1582" s="20">
        <v>1000</v>
      </c>
      <c r="E1582" s="99" t="s">
        <v>860</v>
      </c>
      <c r="F1582" s="20">
        <f t="shared" si="24"/>
        <v>203518204</v>
      </c>
      <c r="G1582" s="7" t="s">
        <v>330</v>
      </c>
      <c r="H1582" s="24" t="s">
        <v>109</v>
      </c>
      <c r="I1582" s="32" t="s">
        <v>152</v>
      </c>
      <c r="K1582" s="181"/>
      <c r="L1582" s="181"/>
    </row>
    <row r="1583" spans="1:12" x14ac:dyDescent="0.35">
      <c r="A1583" s="19">
        <v>45875</v>
      </c>
      <c r="B1583" s="20"/>
      <c r="C1583" s="20"/>
      <c r="D1583" s="20">
        <v>400000</v>
      </c>
      <c r="E1583" s="99" t="s">
        <v>860</v>
      </c>
      <c r="F1583" s="20">
        <f t="shared" si="24"/>
        <v>203918204</v>
      </c>
      <c r="G1583" s="7" t="s">
        <v>600</v>
      </c>
      <c r="H1583" s="24" t="s">
        <v>109</v>
      </c>
      <c r="I1583" s="32" t="s">
        <v>152</v>
      </c>
      <c r="K1583" s="181"/>
      <c r="L1583" s="181"/>
    </row>
    <row r="1584" spans="1:12" x14ac:dyDescent="0.35">
      <c r="A1584" s="19">
        <v>45875</v>
      </c>
      <c r="B1584" s="20"/>
      <c r="C1584" s="20"/>
      <c r="D1584" s="20">
        <v>800000</v>
      </c>
      <c r="E1584" s="99" t="s">
        <v>860</v>
      </c>
      <c r="F1584" s="20">
        <f t="shared" si="24"/>
        <v>204718204</v>
      </c>
      <c r="G1584" s="7" t="s">
        <v>793</v>
      </c>
      <c r="H1584" s="24" t="s">
        <v>140</v>
      </c>
      <c r="I1584" s="32" t="s">
        <v>152</v>
      </c>
      <c r="K1584" s="181"/>
      <c r="L1584" s="181"/>
    </row>
    <row r="1585" spans="1:12" x14ac:dyDescent="0.35">
      <c r="A1585" s="19">
        <v>45875</v>
      </c>
      <c r="B1585" s="20"/>
      <c r="C1585" s="20"/>
      <c r="D1585" s="20">
        <v>150000</v>
      </c>
      <c r="E1585" s="99" t="s">
        <v>860</v>
      </c>
      <c r="F1585" s="20">
        <f t="shared" si="24"/>
        <v>204868204</v>
      </c>
      <c r="G1585" s="7" t="s">
        <v>603</v>
      </c>
      <c r="H1585" s="24" t="s">
        <v>109</v>
      </c>
      <c r="I1585" s="32" t="s">
        <v>152</v>
      </c>
      <c r="K1585" s="181"/>
      <c r="L1585" s="181"/>
    </row>
    <row r="1586" spans="1:12" x14ac:dyDescent="0.35">
      <c r="A1586" s="19">
        <v>45876</v>
      </c>
      <c r="B1586" s="20"/>
      <c r="C1586" s="20"/>
      <c r="D1586" s="20">
        <v>20000</v>
      </c>
      <c r="E1586" s="99" t="s">
        <v>860</v>
      </c>
      <c r="F1586" s="20">
        <f t="shared" si="24"/>
        <v>204888204</v>
      </c>
      <c r="G1586" s="7" t="s">
        <v>330</v>
      </c>
      <c r="H1586" s="24" t="s">
        <v>109</v>
      </c>
      <c r="I1586" s="32" t="s">
        <v>152</v>
      </c>
      <c r="K1586" s="181"/>
      <c r="L1586" s="181"/>
    </row>
    <row r="1587" spans="1:12" x14ac:dyDescent="0.35">
      <c r="A1587" s="19">
        <v>45876</v>
      </c>
      <c r="B1587" s="20"/>
      <c r="C1587" s="20"/>
      <c r="D1587" s="20">
        <v>1000</v>
      </c>
      <c r="E1587" s="99" t="s">
        <v>860</v>
      </c>
      <c r="F1587" s="20">
        <f t="shared" si="24"/>
        <v>204889204</v>
      </c>
      <c r="G1587" s="7" t="s">
        <v>330</v>
      </c>
      <c r="H1587" s="24" t="s">
        <v>109</v>
      </c>
      <c r="I1587" s="32" t="s">
        <v>152</v>
      </c>
      <c r="K1587" s="181"/>
      <c r="L1587" s="181"/>
    </row>
    <row r="1588" spans="1:12" x14ac:dyDescent="0.35">
      <c r="A1588" s="19">
        <v>45876</v>
      </c>
      <c r="B1588" s="20">
        <v>675000</v>
      </c>
      <c r="C1588" s="20"/>
      <c r="D1588" s="20"/>
      <c r="E1588" s="99" t="s">
        <v>860</v>
      </c>
      <c r="F1588" s="20">
        <f t="shared" si="24"/>
        <v>204214204</v>
      </c>
      <c r="G1588" s="7" t="s">
        <v>795</v>
      </c>
      <c r="H1588" s="24" t="s">
        <v>322</v>
      </c>
      <c r="I1588" s="32" t="s">
        <v>152</v>
      </c>
      <c r="K1588" s="181"/>
      <c r="L1588" s="181"/>
    </row>
    <row r="1589" spans="1:12" x14ac:dyDescent="0.35">
      <c r="A1589" s="19">
        <v>45876</v>
      </c>
      <c r="B1589" s="20">
        <v>6500</v>
      </c>
      <c r="C1589" s="20"/>
      <c r="D1589" s="20"/>
      <c r="E1589" s="99" t="s">
        <v>860</v>
      </c>
      <c r="F1589" s="20">
        <f t="shared" si="24"/>
        <v>204207704</v>
      </c>
      <c r="G1589" s="7" t="s">
        <v>795</v>
      </c>
      <c r="H1589" s="24" t="s">
        <v>322</v>
      </c>
      <c r="I1589" s="32" t="s">
        <v>152</v>
      </c>
      <c r="K1589" s="181"/>
      <c r="L1589" s="181"/>
    </row>
    <row r="1590" spans="1:12" x14ac:dyDescent="0.35">
      <c r="A1590" s="19">
        <v>45877</v>
      </c>
      <c r="B1590" s="20"/>
      <c r="C1590" s="20"/>
      <c r="D1590" s="20">
        <v>2000000</v>
      </c>
      <c r="E1590" s="99" t="s">
        <v>860</v>
      </c>
      <c r="F1590" s="20">
        <f t="shared" si="24"/>
        <v>206207704</v>
      </c>
      <c r="G1590" s="7" t="s">
        <v>425</v>
      </c>
      <c r="H1590" s="24" t="s">
        <v>109</v>
      </c>
      <c r="I1590" s="32" t="s">
        <v>152</v>
      </c>
      <c r="K1590" s="181"/>
      <c r="L1590" s="181"/>
    </row>
    <row r="1591" spans="1:12" x14ac:dyDescent="0.35">
      <c r="A1591" s="19">
        <v>45877</v>
      </c>
      <c r="B1591" s="20"/>
      <c r="C1591" s="20"/>
      <c r="D1591" s="20">
        <v>50000</v>
      </c>
      <c r="E1591" s="99" t="s">
        <v>860</v>
      </c>
      <c r="F1591" s="20">
        <f t="shared" si="24"/>
        <v>206257704</v>
      </c>
      <c r="G1591" s="7" t="s">
        <v>330</v>
      </c>
      <c r="H1591" s="24" t="s">
        <v>109</v>
      </c>
      <c r="I1591" s="32" t="s">
        <v>152</v>
      </c>
      <c r="K1591" s="181"/>
      <c r="L1591" s="181"/>
    </row>
    <row r="1592" spans="1:12" x14ac:dyDescent="0.35">
      <c r="A1592" s="19">
        <v>45877</v>
      </c>
      <c r="B1592" s="20"/>
      <c r="C1592" s="20"/>
      <c r="D1592" s="20">
        <v>10000</v>
      </c>
      <c r="E1592" s="99" t="s">
        <v>860</v>
      </c>
      <c r="F1592" s="20">
        <f t="shared" si="24"/>
        <v>206267704</v>
      </c>
      <c r="G1592" s="7" t="s">
        <v>330</v>
      </c>
      <c r="H1592" s="24" t="s">
        <v>109</v>
      </c>
      <c r="I1592" s="32" t="s">
        <v>152</v>
      </c>
      <c r="K1592" s="181"/>
      <c r="L1592" s="181"/>
    </row>
    <row r="1593" spans="1:12" x14ac:dyDescent="0.35">
      <c r="A1593" s="19">
        <v>45877</v>
      </c>
      <c r="B1593" s="20"/>
      <c r="C1593" s="20"/>
      <c r="D1593" s="20">
        <v>20000</v>
      </c>
      <c r="E1593" s="99" t="s">
        <v>860</v>
      </c>
      <c r="F1593" s="20">
        <f t="shared" si="24"/>
        <v>206287704</v>
      </c>
      <c r="G1593" s="7" t="s">
        <v>330</v>
      </c>
      <c r="H1593" s="24" t="s">
        <v>109</v>
      </c>
      <c r="I1593" s="32" t="s">
        <v>152</v>
      </c>
      <c r="K1593" s="181"/>
      <c r="L1593" s="181"/>
    </row>
    <row r="1594" spans="1:12" x14ac:dyDescent="0.35">
      <c r="A1594" s="19">
        <v>45877</v>
      </c>
      <c r="B1594" s="20"/>
      <c r="C1594" s="20"/>
      <c r="D1594" s="20">
        <v>1000</v>
      </c>
      <c r="E1594" s="99" t="s">
        <v>860</v>
      </c>
      <c r="F1594" s="20">
        <f t="shared" si="24"/>
        <v>206288704</v>
      </c>
      <c r="G1594" s="7" t="s">
        <v>330</v>
      </c>
      <c r="H1594" s="24" t="s">
        <v>109</v>
      </c>
      <c r="I1594" s="32" t="s">
        <v>152</v>
      </c>
      <c r="K1594" s="181"/>
      <c r="L1594" s="181"/>
    </row>
    <row r="1595" spans="1:12" x14ac:dyDescent="0.35">
      <c r="A1595" s="19">
        <v>45878</v>
      </c>
      <c r="B1595" s="20">
        <v>750000</v>
      </c>
      <c r="C1595" s="20"/>
      <c r="D1595" s="20"/>
      <c r="E1595" s="99" t="s">
        <v>860</v>
      </c>
      <c r="F1595" s="20">
        <f t="shared" si="24"/>
        <v>205538704</v>
      </c>
      <c r="G1595" s="7" t="s">
        <v>796</v>
      </c>
      <c r="H1595" s="24" t="s">
        <v>323</v>
      </c>
      <c r="I1595" s="32" t="s">
        <v>152</v>
      </c>
      <c r="K1595" s="181"/>
      <c r="L1595" s="181"/>
    </row>
    <row r="1596" spans="1:12" x14ac:dyDescent="0.35">
      <c r="A1596" s="19">
        <v>45878</v>
      </c>
      <c r="B1596" s="20">
        <v>6500</v>
      </c>
      <c r="C1596" s="20"/>
      <c r="D1596" s="20"/>
      <c r="E1596" s="99" t="s">
        <v>860</v>
      </c>
      <c r="F1596" s="20">
        <f t="shared" si="24"/>
        <v>205532204</v>
      </c>
      <c r="G1596" s="7" t="s">
        <v>796</v>
      </c>
      <c r="H1596" s="24" t="s">
        <v>323</v>
      </c>
      <c r="I1596" s="32" t="s">
        <v>152</v>
      </c>
      <c r="K1596" s="181"/>
      <c r="L1596" s="181"/>
    </row>
    <row r="1597" spans="1:12" x14ac:dyDescent="0.35">
      <c r="A1597" s="19">
        <v>45878</v>
      </c>
      <c r="B1597" s="20"/>
      <c r="C1597" s="20"/>
      <c r="D1597" s="20">
        <v>50000</v>
      </c>
      <c r="E1597" s="99" t="s">
        <v>860</v>
      </c>
      <c r="F1597" s="20">
        <f t="shared" si="24"/>
        <v>205582204</v>
      </c>
      <c r="G1597" s="7" t="s">
        <v>330</v>
      </c>
      <c r="H1597" s="24" t="s">
        <v>109</v>
      </c>
      <c r="I1597" s="32" t="s">
        <v>152</v>
      </c>
      <c r="K1597" s="181"/>
      <c r="L1597" s="181"/>
    </row>
    <row r="1598" spans="1:12" x14ac:dyDescent="0.35">
      <c r="A1598" s="19">
        <v>45878</v>
      </c>
      <c r="B1598" s="20"/>
      <c r="C1598" s="20"/>
      <c r="D1598" s="20">
        <v>100000</v>
      </c>
      <c r="E1598" s="99" t="s">
        <v>860</v>
      </c>
      <c r="F1598" s="20">
        <f t="shared" si="24"/>
        <v>205682204</v>
      </c>
      <c r="G1598" s="7" t="s">
        <v>330</v>
      </c>
      <c r="H1598" s="24" t="s">
        <v>109</v>
      </c>
      <c r="I1598" s="32" t="s">
        <v>152</v>
      </c>
      <c r="K1598" s="181"/>
      <c r="L1598" s="181"/>
    </row>
    <row r="1599" spans="1:12" x14ac:dyDescent="0.35">
      <c r="A1599" s="19">
        <v>45878</v>
      </c>
      <c r="B1599" s="20"/>
      <c r="C1599" s="20"/>
      <c r="D1599" s="20">
        <v>10000</v>
      </c>
      <c r="E1599" s="99" t="s">
        <v>860</v>
      </c>
      <c r="F1599" s="20">
        <f t="shared" si="24"/>
        <v>205692204</v>
      </c>
      <c r="G1599" s="7" t="s">
        <v>330</v>
      </c>
      <c r="H1599" s="24" t="s">
        <v>109</v>
      </c>
      <c r="I1599" s="32" t="s">
        <v>152</v>
      </c>
      <c r="K1599" s="181"/>
      <c r="L1599" s="181"/>
    </row>
    <row r="1600" spans="1:12" x14ac:dyDescent="0.35">
      <c r="A1600" s="19">
        <v>45878</v>
      </c>
      <c r="B1600" s="20"/>
      <c r="C1600" s="20"/>
      <c r="D1600" s="20">
        <v>10000</v>
      </c>
      <c r="E1600" s="99" t="s">
        <v>860</v>
      </c>
      <c r="F1600" s="20">
        <f t="shared" si="24"/>
        <v>205702204</v>
      </c>
      <c r="G1600" s="7" t="s">
        <v>330</v>
      </c>
      <c r="H1600" s="24" t="s">
        <v>109</v>
      </c>
      <c r="I1600" s="32" t="s">
        <v>152</v>
      </c>
      <c r="K1600" s="181"/>
      <c r="L1600" s="181"/>
    </row>
    <row r="1601" spans="1:12" x14ac:dyDescent="0.35">
      <c r="A1601" s="19">
        <v>45878</v>
      </c>
      <c r="B1601" s="20"/>
      <c r="C1601" s="20"/>
      <c r="D1601" s="20">
        <v>50000</v>
      </c>
      <c r="E1601" s="99" t="s">
        <v>860</v>
      </c>
      <c r="F1601" s="20">
        <f t="shared" si="24"/>
        <v>205752204</v>
      </c>
      <c r="G1601" s="7" t="s">
        <v>330</v>
      </c>
      <c r="H1601" s="24" t="s">
        <v>109</v>
      </c>
      <c r="I1601" s="32" t="s">
        <v>152</v>
      </c>
      <c r="K1601" s="181"/>
      <c r="L1601" s="181"/>
    </row>
    <row r="1602" spans="1:12" x14ac:dyDescent="0.35">
      <c r="A1602" s="19">
        <v>45878</v>
      </c>
      <c r="B1602" s="20"/>
      <c r="C1602" s="20"/>
      <c r="D1602" s="20">
        <v>50000</v>
      </c>
      <c r="E1602" s="99" t="s">
        <v>860</v>
      </c>
      <c r="F1602" s="20">
        <f t="shared" si="24"/>
        <v>205802204</v>
      </c>
      <c r="G1602" s="7" t="s">
        <v>330</v>
      </c>
      <c r="H1602" s="24" t="s">
        <v>109</v>
      </c>
      <c r="I1602" s="32" t="s">
        <v>152</v>
      </c>
      <c r="K1602" s="181"/>
      <c r="L1602" s="181"/>
    </row>
    <row r="1603" spans="1:12" x14ac:dyDescent="0.35">
      <c r="A1603" s="19">
        <v>45878</v>
      </c>
      <c r="B1603" s="20"/>
      <c r="C1603" s="20"/>
      <c r="D1603" s="20">
        <v>20000</v>
      </c>
      <c r="E1603" s="99" t="s">
        <v>860</v>
      </c>
      <c r="F1603" s="20">
        <f t="shared" si="24"/>
        <v>205822204</v>
      </c>
      <c r="G1603" s="7" t="s">
        <v>330</v>
      </c>
      <c r="H1603" s="24" t="s">
        <v>109</v>
      </c>
      <c r="I1603" s="32" t="s">
        <v>152</v>
      </c>
      <c r="K1603" s="181"/>
      <c r="L1603" s="181"/>
    </row>
    <row r="1604" spans="1:12" x14ac:dyDescent="0.35">
      <c r="A1604" s="19">
        <v>45878</v>
      </c>
      <c r="B1604" s="20"/>
      <c r="C1604" s="20"/>
      <c r="D1604" s="20">
        <v>20000</v>
      </c>
      <c r="E1604" s="99" t="s">
        <v>860</v>
      </c>
      <c r="F1604" s="20">
        <f t="shared" si="24"/>
        <v>205842204</v>
      </c>
      <c r="G1604" s="7" t="s">
        <v>330</v>
      </c>
      <c r="H1604" s="24" t="s">
        <v>109</v>
      </c>
      <c r="I1604" s="32" t="s">
        <v>152</v>
      </c>
      <c r="K1604" s="181"/>
      <c r="L1604" s="181"/>
    </row>
    <row r="1605" spans="1:12" x14ac:dyDescent="0.35">
      <c r="A1605" s="19">
        <v>45878</v>
      </c>
      <c r="B1605" s="20"/>
      <c r="C1605" s="20"/>
      <c r="D1605" s="20">
        <v>50000</v>
      </c>
      <c r="E1605" s="99" t="s">
        <v>860</v>
      </c>
      <c r="F1605" s="20">
        <f t="shared" si="24"/>
        <v>205892204</v>
      </c>
      <c r="G1605" s="7" t="s">
        <v>330</v>
      </c>
      <c r="H1605" s="24" t="s">
        <v>109</v>
      </c>
      <c r="I1605" s="32" t="s">
        <v>152</v>
      </c>
      <c r="K1605" s="181"/>
      <c r="L1605" s="181"/>
    </row>
    <row r="1606" spans="1:12" x14ac:dyDescent="0.35">
      <c r="A1606" s="19">
        <v>45878</v>
      </c>
      <c r="B1606" s="20"/>
      <c r="C1606" s="20"/>
      <c r="D1606" s="20">
        <v>1000</v>
      </c>
      <c r="E1606" s="99" t="s">
        <v>860</v>
      </c>
      <c r="F1606" s="20">
        <f t="shared" si="24"/>
        <v>205893204</v>
      </c>
      <c r="G1606" s="7" t="s">
        <v>330</v>
      </c>
      <c r="H1606" s="24" t="s">
        <v>109</v>
      </c>
      <c r="I1606" s="32" t="s">
        <v>152</v>
      </c>
      <c r="K1606" s="181"/>
      <c r="L1606" s="181"/>
    </row>
    <row r="1607" spans="1:12" x14ac:dyDescent="0.35">
      <c r="A1607" s="19">
        <v>45878</v>
      </c>
      <c r="B1607" s="20"/>
      <c r="C1607" s="20"/>
      <c r="D1607" s="20">
        <v>5000</v>
      </c>
      <c r="E1607" s="99" t="s">
        <v>860</v>
      </c>
      <c r="F1607" s="20">
        <f t="shared" si="24"/>
        <v>205898204</v>
      </c>
      <c r="G1607" s="7" t="s">
        <v>330</v>
      </c>
      <c r="H1607" s="24" t="s">
        <v>109</v>
      </c>
      <c r="I1607" s="32" t="s">
        <v>152</v>
      </c>
      <c r="K1607" s="181"/>
      <c r="L1607" s="181"/>
    </row>
    <row r="1608" spans="1:12" x14ac:dyDescent="0.35">
      <c r="A1608" s="19">
        <v>45879</v>
      </c>
      <c r="B1608" s="20">
        <v>750000</v>
      </c>
      <c r="C1608" s="20"/>
      <c r="D1608" s="20"/>
      <c r="E1608" s="99" t="s">
        <v>860</v>
      </c>
      <c r="F1608" s="20">
        <f t="shared" si="24"/>
        <v>205148204</v>
      </c>
      <c r="G1608" s="7" t="s">
        <v>797</v>
      </c>
      <c r="H1608" s="24" t="s">
        <v>323</v>
      </c>
      <c r="I1608" s="32" t="s">
        <v>152</v>
      </c>
      <c r="K1608" s="181"/>
      <c r="L1608" s="181"/>
    </row>
    <row r="1609" spans="1:12" x14ac:dyDescent="0.35">
      <c r="A1609" s="19">
        <v>45879</v>
      </c>
      <c r="B1609" s="20"/>
      <c r="C1609" s="20"/>
      <c r="D1609" s="20">
        <v>20000</v>
      </c>
      <c r="E1609" s="99" t="s">
        <v>860</v>
      </c>
      <c r="F1609" s="20">
        <f t="shared" si="24"/>
        <v>205168204</v>
      </c>
      <c r="G1609" s="7" t="s">
        <v>330</v>
      </c>
      <c r="H1609" s="24" t="s">
        <v>109</v>
      </c>
      <c r="I1609" s="32" t="s">
        <v>152</v>
      </c>
      <c r="K1609" s="181"/>
      <c r="L1609" s="181"/>
    </row>
    <row r="1610" spans="1:12" x14ac:dyDescent="0.35">
      <c r="A1610" s="19">
        <v>45879</v>
      </c>
      <c r="B1610" s="20"/>
      <c r="C1610" s="20"/>
      <c r="D1610" s="20">
        <v>10000</v>
      </c>
      <c r="E1610" s="99" t="s">
        <v>860</v>
      </c>
      <c r="F1610" s="20">
        <f t="shared" ref="F1610:F1673" si="25">+F1609+D1610-B1610</f>
        <v>205178204</v>
      </c>
      <c r="G1610" s="7" t="s">
        <v>330</v>
      </c>
      <c r="H1610" s="24" t="s">
        <v>109</v>
      </c>
      <c r="I1610" s="32" t="s">
        <v>152</v>
      </c>
      <c r="K1610" s="181"/>
      <c r="L1610" s="181"/>
    </row>
    <row r="1611" spans="1:12" x14ac:dyDescent="0.35">
      <c r="A1611" s="19">
        <v>45879</v>
      </c>
      <c r="B1611" s="20"/>
      <c r="C1611" s="20"/>
      <c r="D1611" s="20">
        <v>1000</v>
      </c>
      <c r="E1611" s="99" t="s">
        <v>860</v>
      </c>
      <c r="F1611" s="20">
        <f t="shared" si="25"/>
        <v>205179204</v>
      </c>
      <c r="G1611" s="7" t="s">
        <v>330</v>
      </c>
      <c r="H1611" s="24" t="s">
        <v>109</v>
      </c>
      <c r="I1611" s="32" t="s">
        <v>152</v>
      </c>
      <c r="K1611" s="181"/>
      <c r="L1611" s="181"/>
    </row>
    <row r="1612" spans="1:12" x14ac:dyDescent="0.35">
      <c r="A1612" s="19">
        <v>45880</v>
      </c>
      <c r="B1612" s="20"/>
      <c r="C1612" s="20"/>
      <c r="D1612" s="20">
        <v>20000</v>
      </c>
      <c r="E1612" s="99" t="s">
        <v>860</v>
      </c>
      <c r="F1612" s="20">
        <f t="shared" si="25"/>
        <v>205199204</v>
      </c>
      <c r="G1612" s="7" t="s">
        <v>330</v>
      </c>
      <c r="H1612" s="24" t="s">
        <v>109</v>
      </c>
      <c r="I1612" s="32" t="s">
        <v>152</v>
      </c>
      <c r="K1612" s="181"/>
      <c r="L1612" s="181"/>
    </row>
    <row r="1613" spans="1:12" x14ac:dyDescent="0.35">
      <c r="A1613" s="19">
        <v>45880</v>
      </c>
      <c r="B1613" s="20"/>
      <c r="C1613" s="20"/>
      <c r="D1613" s="20">
        <v>1000</v>
      </c>
      <c r="E1613" s="99" t="s">
        <v>860</v>
      </c>
      <c r="F1613" s="20">
        <f t="shared" si="25"/>
        <v>205200204</v>
      </c>
      <c r="G1613" s="7" t="s">
        <v>330</v>
      </c>
      <c r="H1613" s="24" t="s">
        <v>109</v>
      </c>
      <c r="I1613" s="32" t="s">
        <v>152</v>
      </c>
      <c r="K1613" s="181"/>
      <c r="L1613" s="181"/>
    </row>
    <row r="1614" spans="1:12" x14ac:dyDescent="0.35">
      <c r="A1614" s="19">
        <v>45880</v>
      </c>
      <c r="B1614" s="20"/>
      <c r="C1614" s="20"/>
      <c r="D1614" s="20">
        <v>25000</v>
      </c>
      <c r="E1614" s="99" t="s">
        <v>860</v>
      </c>
      <c r="F1614" s="20">
        <f t="shared" si="25"/>
        <v>205225204</v>
      </c>
      <c r="G1614" s="7" t="s">
        <v>330</v>
      </c>
      <c r="H1614" s="24" t="s">
        <v>109</v>
      </c>
      <c r="I1614" s="32" t="s">
        <v>152</v>
      </c>
      <c r="K1614" s="181"/>
      <c r="L1614" s="181"/>
    </row>
    <row r="1615" spans="1:12" x14ac:dyDescent="0.35">
      <c r="A1615" s="19">
        <v>45880</v>
      </c>
      <c r="B1615" s="20"/>
      <c r="C1615" s="20"/>
      <c r="D1615" s="20">
        <f>5123000-1115000</f>
        <v>4008000</v>
      </c>
      <c r="E1615" s="99" t="s">
        <v>860</v>
      </c>
      <c r="F1615" s="20">
        <f t="shared" si="25"/>
        <v>209233204</v>
      </c>
      <c r="G1615" s="7"/>
      <c r="H1615" s="24" t="s">
        <v>107</v>
      </c>
      <c r="I1615" s="32" t="s">
        <v>152</v>
      </c>
      <c r="K1615" s="181"/>
      <c r="L1615" s="181"/>
    </row>
    <row r="1616" spans="1:12" x14ac:dyDescent="0.35">
      <c r="A1616" s="19">
        <v>45880</v>
      </c>
      <c r="B1616" s="20"/>
      <c r="C1616" s="20"/>
      <c r="D1616" s="20">
        <v>2145000</v>
      </c>
      <c r="E1616" s="99" t="s">
        <v>860</v>
      </c>
      <c r="F1616" s="20">
        <f t="shared" si="25"/>
        <v>211378204</v>
      </c>
      <c r="G1616" s="7"/>
      <c r="H1616" s="24" t="s">
        <v>109</v>
      </c>
      <c r="I1616" s="32" t="s">
        <v>152</v>
      </c>
      <c r="K1616" s="181"/>
      <c r="L1616" s="181"/>
    </row>
    <row r="1617" spans="1:12" x14ac:dyDescent="0.35">
      <c r="A1617" s="19"/>
      <c r="B1617" s="20"/>
      <c r="C1617" s="20">
        <v>6153000</v>
      </c>
      <c r="D1617" s="20"/>
      <c r="E1617" s="99"/>
      <c r="F1617" s="20">
        <f t="shared" si="25"/>
        <v>211378204</v>
      </c>
      <c r="G1617" s="7" t="s">
        <v>798</v>
      </c>
      <c r="H1617" s="24"/>
      <c r="I1617" s="32"/>
      <c r="K1617" s="181"/>
      <c r="L1617" s="181"/>
    </row>
    <row r="1618" spans="1:12" x14ac:dyDescent="0.35">
      <c r="A1618" s="19">
        <v>45881</v>
      </c>
      <c r="B1618" s="20"/>
      <c r="C1618" s="20"/>
      <c r="D1618" s="20">
        <v>100000</v>
      </c>
      <c r="E1618" s="99" t="s">
        <v>860</v>
      </c>
      <c r="F1618" s="20">
        <f t="shared" si="25"/>
        <v>211478204</v>
      </c>
      <c r="G1618" s="7" t="s">
        <v>330</v>
      </c>
      <c r="H1618" s="24" t="s">
        <v>109</v>
      </c>
      <c r="I1618" s="32" t="s">
        <v>152</v>
      </c>
      <c r="K1618" s="181"/>
      <c r="L1618" s="181"/>
    </row>
    <row r="1619" spans="1:12" x14ac:dyDescent="0.35">
      <c r="A1619" s="19">
        <v>45881</v>
      </c>
      <c r="B1619" s="20"/>
      <c r="C1619" s="20"/>
      <c r="D1619" s="20">
        <v>20000</v>
      </c>
      <c r="E1619" s="99" t="s">
        <v>860</v>
      </c>
      <c r="F1619" s="20">
        <f t="shared" si="25"/>
        <v>211498204</v>
      </c>
      <c r="G1619" s="7" t="s">
        <v>330</v>
      </c>
      <c r="H1619" s="24" t="s">
        <v>109</v>
      </c>
      <c r="I1619" s="32" t="s">
        <v>152</v>
      </c>
      <c r="K1619" s="181"/>
      <c r="L1619" s="181"/>
    </row>
    <row r="1620" spans="1:12" x14ac:dyDescent="0.35">
      <c r="A1620" s="19">
        <v>45881</v>
      </c>
      <c r="B1620" s="20"/>
      <c r="C1620" s="20"/>
      <c r="D1620" s="20">
        <v>20000</v>
      </c>
      <c r="E1620" s="99" t="s">
        <v>860</v>
      </c>
      <c r="F1620" s="20">
        <f t="shared" si="25"/>
        <v>211518204</v>
      </c>
      <c r="G1620" s="7" t="s">
        <v>330</v>
      </c>
      <c r="H1620" s="24" t="s">
        <v>109</v>
      </c>
      <c r="I1620" s="32" t="s">
        <v>152</v>
      </c>
      <c r="K1620" s="181"/>
      <c r="L1620" s="181"/>
    </row>
    <row r="1621" spans="1:12" x14ac:dyDescent="0.35">
      <c r="A1621" s="19">
        <v>45881</v>
      </c>
      <c r="B1621" s="20"/>
      <c r="C1621" s="20"/>
      <c r="D1621" s="20">
        <v>3000</v>
      </c>
      <c r="E1621" s="99" t="s">
        <v>860</v>
      </c>
      <c r="F1621" s="20">
        <f t="shared" si="25"/>
        <v>211521204</v>
      </c>
      <c r="G1621" s="7" t="s">
        <v>330</v>
      </c>
      <c r="H1621" s="24" t="s">
        <v>109</v>
      </c>
      <c r="I1621" s="32" t="s">
        <v>152</v>
      </c>
      <c r="K1621" s="181"/>
      <c r="L1621" s="181"/>
    </row>
    <row r="1622" spans="1:12" x14ac:dyDescent="0.35">
      <c r="A1622" s="19">
        <v>45882</v>
      </c>
      <c r="B1622" s="20"/>
      <c r="C1622" s="20"/>
      <c r="D1622" s="20">
        <v>10000</v>
      </c>
      <c r="E1622" s="99" t="s">
        <v>860</v>
      </c>
      <c r="F1622" s="20">
        <f t="shared" si="25"/>
        <v>211531204</v>
      </c>
      <c r="G1622" s="7" t="s">
        <v>330</v>
      </c>
      <c r="H1622" s="24" t="s">
        <v>109</v>
      </c>
      <c r="I1622" s="32" t="s">
        <v>152</v>
      </c>
      <c r="K1622" s="181"/>
      <c r="L1622" s="181"/>
    </row>
    <row r="1623" spans="1:12" x14ac:dyDescent="0.35">
      <c r="A1623" s="19">
        <v>45882</v>
      </c>
      <c r="B1623" s="20"/>
      <c r="C1623" s="20"/>
      <c r="D1623" s="20">
        <v>20000</v>
      </c>
      <c r="E1623" s="99" t="s">
        <v>860</v>
      </c>
      <c r="F1623" s="20">
        <f t="shared" si="25"/>
        <v>211551204</v>
      </c>
      <c r="G1623" s="7" t="s">
        <v>330</v>
      </c>
      <c r="H1623" s="24" t="s">
        <v>109</v>
      </c>
      <c r="I1623" s="32" t="s">
        <v>152</v>
      </c>
      <c r="K1623" s="181"/>
      <c r="L1623" s="181"/>
    </row>
    <row r="1624" spans="1:12" x14ac:dyDescent="0.35">
      <c r="A1624" s="19">
        <v>45882</v>
      </c>
      <c r="B1624" s="20"/>
      <c r="C1624" s="20"/>
      <c r="D1624" s="20">
        <v>1000</v>
      </c>
      <c r="E1624" s="99" t="s">
        <v>860</v>
      </c>
      <c r="F1624" s="20">
        <f t="shared" si="25"/>
        <v>211552204</v>
      </c>
      <c r="G1624" s="7" t="s">
        <v>330</v>
      </c>
      <c r="H1624" s="24" t="s">
        <v>109</v>
      </c>
      <c r="I1624" s="32" t="s">
        <v>152</v>
      </c>
      <c r="K1624" s="181"/>
      <c r="L1624" s="181"/>
    </row>
    <row r="1625" spans="1:12" x14ac:dyDescent="0.35">
      <c r="A1625" s="19">
        <v>45883</v>
      </c>
      <c r="B1625" s="20"/>
      <c r="C1625" s="20"/>
      <c r="D1625" s="20">
        <v>10000</v>
      </c>
      <c r="E1625" s="99" t="s">
        <v>860</v>
      </c>
      <c r="F1625" s="20">
        <f t="shared" si="25"/>
        <v>211562204</v>
      </c>
      <c r="G1625" s="7" t="s">
        <v>330</v>
      </c>
      <c r="H1625" s="24" t="s">
        <v>109</v>
      </c>
      <c r="I1625" s="32" t="s">
        <v>152</v>
      </c>
      <c r="K1625" s="181"/>
      <c r="L1625" s="181"/>
    </row>
    <row r="1626" spans="1:12" x14ac:dyDescent="0.35">
      <c r="A1626" s="19">
        <v>45883</v>
      </c>
      <c r="B1626" s="20"/>
      <c r="C1626" s="20"/>
      <c r="D1626" s="20">
        <v>20000</v>
      </c>
      <c r="E1626" s="99" t="s">
        <v>860</v>
      </c>
      <c r="F1626" s="20">
        <f t="shared" si="25"/>
        <v>211582204</v>
      </c>
      <c r="G1626" s="7" t="s">
        <v>330</v>
      </c>
      <c r="H1626" s="24" t="s">
        <v>109</v>
      </c>
      <c r="I1626" s="32" t="s">
        <v>152</v>
      </c>
      <c r="K1626" s="181"/>
      <c r="L1626" s="181"/>
    </row>
    <row r="1627" spans="1:12" x14ac:dyDescent="0.35">
      <c r="A1627" s="19">
        <v>45883</v>
      </c>
      <c r="B1627" s="20"/>
      <c r="C1627" s="20"/>
      <c r="D1627" s="20">
        <v>1500</v>
      </c>
      <c r="E1627" s="99" t="s">
        <v>860</v>
      </c>
      <c r="F1627" s="20">
        <f t="shared" si="25"/>
        <v>211583704</v>
      </c>
      <c r="G1627" s="7" t="s">
        <v>330</v>
      </c>
      <c r="H1627" s="24" t="s">
        <v>109</v>
      </c>
      <c r="I1627" s="32" t="s">
        <v>152</v>
      </c>
      <c r="K1627" s="181"/>
      <c r="L1627" s="181"/>
    </row>
    <row r="1628" spans="1:12" x14ac:dyDescent="0.35">
      <c r="A1628" s="19">
        <v>45883</v>
      </c>
      <c r="B1628" s="20"/>
      <c r="C1628" s="20"/>
      <c r="D1628" s="20">
        <v>100000</v>
      </c>
      <c r="E1628" s="99" t="s">
        <v>860</v>
      </c>
      <c r="F1628" s="20">
        <f t="shared" si="25"/>
        <v>211683704</v>
      </c>
      <c r="G1628" s="7" t="s">
        <v>373</v>
      </c>
      <c r="H1628" s="24" t="s">
        <v>109</v>
      </c>
      <c r="I1628" s="32" t="s">
        <v>152</v>
      </c>
      <c r="K1628" s="181"/>
      <c r="L1628" s="181"/>
    </row>
    <row r="1629" spans="1:12" x14ac:dyDescent="0.35">
      <c r="A1629" s="19">
        <v>45884</v>
      </c>
      <c r="B1629" s="20"/>
      <c r="C1629" s="20"/>
      <c r="D1629" s="20">
        <v>30000</v>
      </c>
      <c r="E1629" s="99" t="s">
        <v>860</v>
      </c>
      <c r="F1629" s="20">
        <f t="shared" si="25"/>
        <v>211713704</v>
      </c>
      <c r="G1629" s="7" t="s">
        <v>330</v>
      </c>
      <c r="H1629" s="24" t="s">
        <v>109</v>
      </c>
      <c r="I1629" s="32" t="s">
        <v>152</v>
      </c>
      <c r="K1629" s="181"/>
      <c r="L1629" s="181"/>
    </row>
    <row r="1630" spans="1:12" x14ac:dyDescent="0.35">
      <c r="A1630" s="19">
        <v>45884</v>
      </c>
      <c r="B1630" s="20"/>
      <c r="C1630" s="20"/>
      <c r="D1630" s="20">
        <v>100000</v>
      </c>
      <c r="E1630" s="99" t="s">
        <v>860</v>
      </c>
      <c r="F1630" s="20">
        <f t="shared" si="25"/>
        <v>211813704</v>
      </c>
      <c r="G1630" s="7" t="s">
        <v>330</v>
      </c>
      <c r="H1630" s="24" t="s">
        <v>109</v>
      </c>
      <c r="I1630" s="32" t="s">
        <v>152</v>
      </c>
      <c r="K1630" s="181"/>
      <c r="L1630" s="181"/>
    </row>
    <row r="1631" spans="1:12" x14ac:dyDescent="0.35">
      <c r="A1631" s="19">
        <v>45884</v>
      </c>
      <c r="B1631" s="20"/>
      <c r="C1631" s="20"/>
      <c r="D1631" s="20">
        <v>100000</v>
      </c>
      <c r="E1631" s="99" t="s">
        <v>860</v>
      </c>
      <c r="F1631" s="20">
        <f t="shared" si="25"/>
        <v>211913704</v>
      </c>
      <c r="G1631" s="7" t="s">
        <v>330</v>
      </c>
      <c r="H1631" s="24" t="s">
        <v>109</v>
      </c>
      <c r="I1631" s="32" t="s">
        <v>152</v>
      </c>
      <c r="K1631" s="181"/>
      <c r="L1631" s="181"/>
    </row>
    <row r="1632" spans="1:12" x14ac:dyDescent="0.35">
      <c r="A1632" s="19">
        <v>45884</v>
      </c>
      <c r="B1632" s="20"/>
      <c r="C1632" s="20"/>
      <c r="D1632" s="20">
        <v>10000</v>
      </c>
      <c r="E1632" s="99" t="s">
        <v>860</v>
      </c>
      <c r="F1632" s="20">
        <f t="shared" si="25"/>
        <v>211923704</v>
      </c>
      <c r="G1632" s="7" t="s">
        <v>330</v>
      </c>
      <c r="H1632" s="24" t="s">
        <v>109</v>
      </c>
      <c r="I1632" s="32" t="s">
        <v>152</v>
      </c>
      <c r="K1632" s="181"/>
      <c r="L1632" s="181"/>
    </row>
    <row r="1633" spans="1:12" x14ac:dyDescent="0.35">
      <c r="A1633" s="19">
        <v>45884</v>
      </c>
      <c r="B1633" s="20"/>
      <c r="C1633" s="20"/>
      <c r="D1633" s="20">
        <v>20000</v>
      </c>
      <c r="E1633" s="99" t="s">
        <v>860</v>
      </c>
      <c r="F1633" s="20">
        <f t="shared" si="25"/>
        <v>211943704</v>
      </c>
      <c r="G1633" s="7" t="s">
        <v>330</v>
      </c>
      <c r="H1633" s="24" t="s">
        <v>109</v>
      </c>
      <c r="I1633" s="32" t="s">
        <v>152</v>
      </c>
      <c r="K1633" s="181"/>
      <c r="L1633" s="181"/>
    </row>
    <row r="1634" spans="1:12" x14ac:dyDescent="0.35">
      <c r="A1634" s="19">
        <v>45884</v>
      </c>
      <c r="B1634" s="20"/>
      <c r="C1634" s="20"/>
      <c r="D1634" s="20">
        <v>2000</v>
      </c>
      <c r="E1634" s="99" t="s">
        <v>860</v>
      </c>
      <c r="F1634" s="20">
        <f t="shared" si="25"/>
        <v>211945704</v>
      </c>
      <c r="G1634" s="7" t="s">
        <v>330</v>
      </c>
      <c r="H1634" s="24" t="s">
        <v>109</v>
      </c>
      <c r="I1634" s="32" t="s">
        <v>152</v>
      </c>
      <c r="K1634" s="181"/>
      <c r="L1634" s="181"/>
    </row>
    <row r="1635" spans="1:12" x14ac:dyDescent="0.35">
      <c r="A1635" s="19">
        <v>45885</v>
      </c>
      <c r="B1635" s="20">
        <v>750000</v>
      </c>
      <c r="C1635" s="20"/>
      <c r="D1635" s="20"/>
      <c r="E1635" s="99" t="s">
        <v>860</v>
      </c>
      <c r="F1635" s="20">
        <f t="shared" si="25"/>
        <v>211195704</v>
      </c>
      <c r="G1635" s="7" t="s">
        <v>800</v>
      </c>
      <c r="H1635" s="24" t="s">
        <v>323</v>
      </c>
      <c r="I1635" s="32" t="s">
        <v>152</v>
      </c>
      <c r="K1635" s="181"/>
      <c r="L1635" s="181"/>
    </row>
    <row r="1636" spans="1:12" x14ac:dyDescent="0.35">
      <c r="A1636" s="19">
        <v>45885</v>
      </c>
      <c r="B1636" s="20"/>
      <c r="C1636" s="20"/>
      <c r="D1636" s="20">
        <v>50000</v>
      </c>
      <c r="E1636" s="99" t="s">
        <v>860</v>
      </c>
      <c r="F1636" s="20">
        <f t="shared" si="25"/>
        <v>211245704</v>
      </c>
      <c r="G1636" s="7" t="s">
        <v>330</v>
      </c>
      <c r="H1636" s="24" t="s">
        <v>109</v>
      </c>
      <c r="I1636" s="32" t="s">
        <v>152</v>
      </c>
      <c r="K1636" s="181"/>
      <c r="L1636" s="181"/>
    </row>
    <row r="1637" spans="1:12" x14ac:dyDescent="0.35">
      <c r="A1637" s="19">
        <v>45885</v>
      </c>
      <c r="B1637" s="20"/>
      <c r="C1637" s="20"/>
      <c r="D1637" s="20">
        <v>25000</v>
      </c>
      <c r="E1637" s="99" t="s">
        <v>860</v>
      </c>
      <c r="F1637" s="20">
        <f t="shared" si="25"/>
        <v>211270704</v>
      </c>
      <c r="G1637" s="7" t="s">
        <v>330</v>
      </c>
      <c r="H1637" s="24" t="s">
        <v>109</v>
      </c>
      <c r="I1637" s="32" t="s">
        <v>152</v>
      </c>
      <c r="K1637" s="181"/>
      <c r="L1637" s="181"/>
    </row>
    <row r="1638" spans="1:12" x14ac:dyDescent="0.35">
      <c r="A1638" s="19">
        <v>45885</v>
      </c>
      <c r="B1638" s="20"/>
      <c r="C1638" s="20"/>
      <c r="D1638" s="20">
        <v>3000</v>
      </c>
      <c r="E1638" s="99" t="s">
        <v>860</v>
      </c>
      <c r="F1638" s="20">
        <f t="shared" si="25"/>
        <v>211273704</v>
      </c>
      <c r="G1638" s="7" t="s">
        <v>330</v>
      </c>
      <c r="H1638" s="24" t="s">
        <v>109</v>
      </c>
      <c r="I1638" s="32" t="s">
        <v>152</v>
      </c>
      <c r="K1638" s="181"/>
      <c r="L1638" s="181"/>
    </row>
    <row r="1639" spans="1:12" x14ac:dyDescent="0.35">
      <c r="A1639" s="19">
        <v>45885</v>
      </c>
      <c r="B1639" s="20"/>
      <c r="C1639" s="20"/>
      <c r="D1639" s="20">
        <v>5000</v>
      </c>
      <c r="E1639" s="99" t="s">
        <v>860</v>
      </c>
      <c r="F1639" s="20">
        <f t="shared" si="25"/>
        <v>211278704</v>
      </c>
      <c r="G1639" s="7" t="s">
        <v>330</v>
      </c>
      <c r="H1639" s="24" t="s">
        <v>109</v>
      </c>
      <c r="I1639" s="32" t="s">
        <v>152</v>
      </c>
      <c r="K1639" s="181"/>
      <c r="L1639" s="181"/>
    </row>
    <row r="1640" spans="1:12" x14ac:dyDescent="0.35">
      <c r="A1640" s="19">
        <v>45885</v>
      </c>
      <c r="B1640" s="20"/>
      <c r="C1640" s="20"/>
      <c r="D1640" s="20">
        <v>10000</v>
      </c>
      <c r="E1640" s="99" t="s">
        <v>860</v>
      </c>
      <c r="F1640" s="20">
        <f t="shared" si="25"/>
        <v>211288704</v>
      </c>
      <c r="G1640" s="7" t="s">
        <v>330</v>
      </c>
      <c r="H1640" s="24" t="s">
        <v>109</v>
      </c>
      <c r="I1640" s="32" t="s">
        <v>152</v>
      </c>
      <c r="K1640" s="181"/>
      <c r="L1640" s="181"/>
    </row>
    <row r="1641" spans="1:12" x14ac:dyDescent="0.35">
      <c r="A1641" s="19">
        <v>45885</v>
      </c>
      <c r="B1641" s="20"/>
      <c r="C1641" s="20"/>
      <c r="D1641" s="20">
        <v>10000</v>
      </c>
      <c r="E1641" s="99" t="s">
        <v>860</v>
      </c>
      <c r="F1641" s="20">
        <f t="shared" si="25"/>
        <v>211298704</v>
      </c>
      <c r="G1641" s="7" t="s">
        <v>330</v>
      </c>
      <c r="H1641" s="24" t="s">
        <v>109</v>
      </c>
      <c r="I1641" s="32" t="s">
        <v>152</v>
      </c>
      <c r="K1641" s="181"/>
      <c r="L1641" s="181"/>
    </row>
    <row r="1642" spans="1:12" x14ac:dyDescent="0.35">
      <c r="A1642" s="19">
        <v>45885</v>
      </c>
      <c r="B1642" s="20"/>
      <c r="C1642" s="20"/>
      <c r="D1642" s="20">
        <v>20000</v>
      </c>
      <c r="E1642" s="99" t="s">
        <v>860</v>
      </c>
      <c r="F1642" s="20">
        <f t="shared" si="25"/>
        <v>211318704</v>
      </c>
      <c r="G1642" s="7" t="s">
        <v>330</v>
      </c>
      <c r="H1642" s="24" t="s">
        <v>109</v>
      </c>
      <c r="I1642" s="32" t="s">
        <v>152</v>
      </c>
      <c r="K1642" s="181"/>
      <c r="L1642" s="181"/>
    </row>
    <row r="1643" spans="1:12" x14ac:dyDescent="0.35">
      <c r="A1643" s="19">
        <v>45886</v>
      </c>
      <c r="B1643" s="20">
        <v>750000</v>
      </c>
      <c r="C1643" s="20"/>
      <c r="D1643" s="20"/>
      <c r="E1643" s="99" t="s">
        <v>860</v>
      </c>
      <c r="F1643" s="20">
        <f t="shared" si="25"/>
        <v>210568704</v>
      </c>
      <c r="G1643" s="7" t="s">
        <v>801</v>
      </c>
      <c r="H1643" s="24" t="s">
        <v>323</v>
      </c>
      <c r="I1643" s="32" t="s">
        <v>152</v>
      </c>
      <c r="K1643" s="181"/>
      <c r="L1643" s="181"/>
    </row>
    <row r="1644" spans="1:12" x14ac:dyDescent="0.35">
      <c r="A1644" s="19">
        <v>45886</v>
      </c>
      <c r="B1644" s="20">
        <v>6500</v>
      </c>
      <c r="C1644" s="20"/>
      <c r="D1644" s="20"/>
      <c r="E1644" s="99" t="s">
        <v>860</v>
      </c>
      <c r="F1644" s="20">
        <f t="shared" si="25"/>
        <v>210562204</v>
      </c>
      <c r="G1644" s="7" t="s">
        <v>801</v>
      </c>
      <c r="H1644" s="24" t="s">
        <v>323</v>
      </c>
      <c r="I1644" s="32" t="s">
        <v>152</v>
      </c>
      <c r="K1644" s="181"/>
      <c r="L1644" s="181"/>
    </row>
    <row r="1645" spans="1:12" x14ac:dyDescent="0.35">
      <c r="A1645" s="19">
        <v>45886</v>
      </c>
      <c r="B1645" s="20"/>
      <c r="C1645" s="20"/>
      <c r="D1645" s="20">
        <v>10000</v>
      </c>
      <c r="E1645" s="99" t="s">
        <v>860</v>
      </c>
      <c r="F1645" s="20">
        <f t="shared" si="25"/>
        <v>210572204</v>
      </c>
      <c r="G1645" s="7" t="s">
        <v>330</v>
      </c>
      <c r="H1645" s="24" t="s">
        <v>109</v>
      </c>
      <c r="I1645" s="32" t="s">
        <v>152</v>
      </c>
      <c r="K1645" s="181"/>
      <c r="L1645" s="181"/>
    </row>
    <row r="1646" spans="1:12" x14ac:dyDescent="0.35">
      <c r="A1646" s="19">
        <v>45886</v>
      </c>
      <c r="B1646" s="20"/>
      <c r="C1646" s="20"/>
      <c r="D1646" s="20">
        <v>20000</v>
      </c>
      <c r="E1646" s="99" t="s">
        <v>860</v>
      </c>
      <c r="F1646" s="20">
        <f t="shared" si="25"/>
        <v>210592204</v>
      </c>
      <c r="G1646" s="7" t="s">
        <v>330</v>
      </c>
      <c r="H1646" s="24" t="s">
        <v>109</v>
      </c>
      <c r="I1646" s="32" t="s">
        <v>152</v>
      </c>
      <c r="K1646" s="181"/>
      <c r="L1646" s="181"/>
    </row>
    <row r="1647" spans="1:12" x14ac:dyDescent="0.35">
      <c r="A1647" s="19">
        <v>45886</v>
      </c>
      <c r="B1647" s="20"/>
      <c r="C1647" s="20"/>
      <c r="D1647" s="20">
        <v>25000</v>
      </c>
      <c r="E1647" s="99" t="s">
        <v>860</v>
      </c>
      <c r="F1647" s="20">
        <f t="shared" si="25"/>
        <v>210617204</v>
      </c>
      <c r="G1647" s="7" t="s">
        <v>330</v>
      </c>
      <c r="H1647" s="24" t="s">
        <v>109</v>
      </c>
      <c r="I1647" s="32" t="s">
        <v>152</v>
      </c>
      <c r="K1647" s="181"/>
      <c r="L1647" s="181"/>
    </row>
    <row r="1648" spans="1:12" x14ac:dyDescent="0.35">
      <c r="A1648" s="19">
        <v>45887</v>
      </c>
      <c r="B1648" s="20"/>
      <c r="C1648" s="20"/>
      <c r="D1648" s="20">
        <v>50000</v>
      </c>
      <c r="E1648" s="99" t="s">
        <v>860</v>
      </c>
      <c r="F1648" s="20">
        <f t="shared" si="25"/>
        <v>210667204</v>
      </c>
      <c r="G1648" s="7" t="s">
        <v>330</v>
      </c>
      <c r="H1648" s="24" t="s">
        <v>109</v>
      </c>
      <c r="I1648" s="32" t="s">
        <v>152</v>
      </c>
      <c r="K1648" s="181"/>
      <c r="L1648" s="181"/>
    </row>
    <row r="1649" spans="1:12" x14ac:dyDescent="0.35">
      <c r="A1649" s="19">
        <v>45887</v>
      </c>
      <c r="B1649" s="20"/>
      <c r="C1649" s="20"/>
      <c r="D1649" s="20">
        <v>20000</v>
      </c>
      <c r="E1649" s="99" t="s">
        <v>860</v>
      </c>
      <c r="F1649" s="20">
        <f t="shared" si="25"/>
        <v>210687204</v>
      </c>
      <c r="G1649" s="7" t="s">
        <v>330</v>
      </c>
      <c r="H1649" s="24" t="s">
        <v>109</v>
      </c>
      <c r="I1649" s="32" t="s">
        <v>152</v>
      </c>
      <c r="K1649" s="181"/>
      <c r="L1649" s="181"/>
    </row>
    <row r="1650" spans="1:12" x14ac:dyDescent="0.35">
      <c r="A1650" s="19">
        <v>45887</v>
      </c>
      <c r="B1650" s="20"/>
      <c r="C1650" s="20"/>
      <c r="D1650" s="20">
        <v>1000</v>
      </c>
      <c r="E1650" s="99" t="s">
        <v>860</v>
      </c>
      <c r="F1650" s="20">
        <f t="shared" si="25"/>
        <v>210688204</v>
      </c>
      <c r="G1650" s="7" t="s">
        <v>330</v>
      </c>
      <c r="H1650" s="24" t="s">
        <v>109</v>
      </c>
      <c r="I1650" s="32" t="s">
        <v>152</v>
      </c>
      <c r="K1650" s="181"/>
      <c r="L1650" s="181"/>
    </row>
    <row r="1651" spans="1:12" x14ac:dyDescent="0.35">
      <c r="A1651" s="19">
        <v>45887</v>
      </c>
      <c r="B1651" s="20"/>
      <c r="C1651" s="20"/>
      <c r="D1651" s="20">
        <v>25000</v>
      </c>
      <c r="E1651" s="99" t="s">
        <v>860</v>
      </c>
      <c r="F1651" s="20">
        <f t="shared" si="25"/>
        <v>210713204</v>
      </c>
      <c r="G1651" s="7" t="s">
        <v>330</v>
      </c>
      <c r="H1651" s="24" t="s">
        <v>109</v>
      </c>
      <c r="I1651" s="32" t="s">
        <v>152</v>
      </c>
      <c r="K1651" s="181"/>
      <c r="L1651" s="181"/>
    </row>
    <row r="1652" spans="1:12" x14ac:dyDescent="0.35">
      <c r="A1652" s="19">
        <v>45888</v>
      </c>
      <c r="B1652" s="20"/>
      <c r="C1652" s="20"/>
      <c r="D1652" s="20">
        <v>3000</v>
      </c>
      <c r="E1652" s="99" t="s">
        <v>860</v>
      </c>
      <c r="F1652" s="20">
        <f t="shared" si="25"/>
        <v>210716204</v>
      </c>
      <c r="G1652" s="7" t="s">
        <v>330</v>
      </c>
      <c r="H1652" s="24" t="s">
        <v>109</v>
      </c>
      <c r="I1652" s="32" t="s">
        <v>152</v>
      </c>
      <c r="K1652" s="181"/>
      <c r="L1652" s="181"/>
    </row>
    <row r="1653" spans="1:12" x14ac:dyDescent="0.35">
      <c r="A1653" s="19">
        <v>45888</v>
      </c>
      <c r="B1653" s="20"/>
      <c r="C1653" s="20"/>
      <c r="D1653" s="20">
        <v>3000</v>
      </c>
      <c r="E1653" s="99" t="s">
        <v>860</v>
      </c>
      <c r="F1653" s="20">
        <f t="shared" si="25"/>
        <v>210719204</v>
      </c>
      <c r="G1653" s="7" t="s">
        <v>330</v>
      </c>
      <c r="H1653" s="24" t="s">
        <v>109</v>
      </c>
      <c r="I1653" s="32" t="s">
        <v>152</v>
      </c>
      <c r="K1653" s="181"/>
      <c r="L1653" s="181"/>
    </row>
    <row r="1654" spans="1:12" x14ac:dyDescent="0.35">
      <c r="A1654" s="19">
        <v>45888</v>
      </c>
      <c r="B1654" s="20"/>
      <c r="C1654" s="20"/>
      <c r="D1654" s="20">
        <v>6000</v>
      </c>
      <c r="E1654" s="99" t="s">
        <v>860</v>
      </c>
      <c r="F1654" s="20">
        <f t="shared" si="25"/>
        <v>210725204</v>
      </c>
      <c r="G1654" s="7" t="s">
        <v>330</v>
      </c>
      <c r="H1654" s="24" t="s">
        <v>109</v>
      </c>
      <c r="I1654" s="32" t="s">
        <v>152</v>
      </c>
      <c r="K1654" s="181"/>
      <c r="L1654" s="181"/>
    </row>
    <row r="1655" spans="1:12" x14ac:dyDescent="0.35">
      <c r="A1655" s="19">
        <v>45888</v>
      </c>
      <c r="B1655" s="20"/>
      <c r="C1655" s="20"/>
      <c r="D1655" s="20">
        <v>1000</v>
      </c>
      <c r="E1655" s="99" t="s">
        <v>860</v>
      </c>
      <c r="F1655" s="20">
        <f t="shared" si="25"/>
        <v>210726204</v>
      </c>
      <c r="G1655" s="7" t="s">
        <v>330</v>
      </c>
      <c r="H1655" s="24" t="s">
        <v>109</v>
      </c>
      <c r="I1655" s="32" t="s">
        <v>152</v>
      </c>
      <c r="K1655" s="181"/>
      <c r="L1655" s="181"/>
    </row>
    <row r="1656" spans="1:12" x14ac:dyDescent="0.35">
      <c r="A1656" s="19">
        <v>45888</v>
      </c>
      <c r="B1656" s="20"/>
      <c r="C1656" s="20"/>
      <c r="D1656" s="20">
        <v>10000</v>
      </c>
      <c r="E1656" s="99" t="s">
        <v>860</v>
      </c>
      <c r="F1656" s="20">
        <f t="shared" si="25"/>
        <v>210736204</v>
      </c>
      <c r="G1656" s="7" t="s">
        <v>330</v>
      </c>
      <c r="H1656" s="24" t="s">
        <v>109</v>
      </c>
      <c r="I1656" s="32" t="s">
        <v>152</v>
      </c>
      <c r="K1656" s="181"/>
      <c r="L1656" s="181"/>
    </row>
    <row r="1657" spans="1:12" x14ac:dyDescent="0.35">
      <c r="A1657" s="19">
        <v>45888</v>
      </c>
      <c r="B1657" s="20"/>
      <c r="C1657" s="20"/>
      <c r="D1657" s="20">
        <v>20000</v>
      </c>
      <c r="E1657" s="99" t="s">
        <v>860</v>
      </c>
      <c r="F1657" s="20">
        <f t="shared" si="25"/>
        <v>210756204</v>
      </c>
      <c r="G1657" s="7" t="s">
        <v>330</v>
      </c>
      <c r="H1657" s="24" t="s">
        <v>109</v>
      </c>
      <c r="I1657" s="32" t="s">
        <v>152</v>
      </c>
      <c r="K1657" s="181"/>
      <c r="L1657" s="181"/>
    </row>
    <row r="1658" spans="1:12" x14ac:dyDescent="0.35">
      <c r="A1658" s="19">
        <v>45888</v>
      </c>
      <c r="B1658" s="20"/>
      <c r="C1658" s="20"/>
      <c r="D1658" s="20">
        <v>25000</v>
      </c>
      <c r="E1658" s="99" t="s">
        <v>860</v>
      </c>
      <c r="F1658" s="20">
        <f t="shared" si="25"/>
        <v>210781204</v>
      </c>
      <c r="G1658" s="7" t="s">
        <v>330</v>
      </c>
      <c r="H1658" s="24" t="s">
        <v>109</v>
      </c>
      <c r="I1658" s="32" t="s">
        <v>152</v>
      </c>
      <c r="K1658" s="181"/>
      <c r="L1658" s="181"/>
    </row>
    <row r="1659" spans="1:12" x14ac:dyDescent="0.35">
      <c r="A1659" s="19">
        <v>45889</v>
      </c>
      <c r="B1659" s="20"/>
      <c r="C1659" s="20"/>
      <c r="D1659" s="20">
        <v>100000</v>
      </c>
      <c r="E1659" s="99" t="s">
        <v>860</v>
      </c>
      <c r="F1659" s="20">
        <f t="shared" si="25"/>
        <v>210881204</v>
      </c>
      <c r="G1659" s="7" t="s">
        <v>330</v>
      </c>
      <c r="H1659" s="24" t="s">
        <v>109</v>
      </c>
      <c r="I1659" s="32" t="s">
        <v>152</v>
      </c>
      <c r="K1659" s="181"/>
      <c r="L1659" s="181"/>
    </row>
    <row r="1660" spans="1:12" x14ac:dyDescent="0.35">
      <c r="A1660" s="19">
        <v>45889</v>
      </c>
      <c r="B1660" s="20"/>
      <c r="C1660" s="20"/>
      <c r="D1660" s="20">
        <v>1000</v>
      </c>
      <c r="E1660" s="99" t="s">
        <v>860</v>
      </c>
      <c r="F1660" s="20">
        <f t="shared" si="25"/>
        <v>210882204</v>
      </c>
      <c r="G1660" s="7" t="s">
        <v>330</v>
      </c>
      <c r="H1660" s="24" t="s">
        <v>109</v>
      </c>
      <c r="I1660" s="32" t="s">
        <v>152</v>
      </c>
      <c r="K1660" s="181"/>
      <c r="L1660" s="181"/>
    </row>
    <row r="1661" spans="1:12" x14ac:dyDescent="0.35">
      <c r="A1661" s="19">
        <v>45889</v>
      </c>
      <c r="B1661" s="20"/>
      <c r="C1661" s="20"/>
      <c r="D1661" s="20">
        <v>20000</v>
      </c>
      <c r="E1661" s="99" t="s">
        <v>860</v>
      </c>
      <c r="F1661" s="20">
        <f t="shared" si="25"/>
        <v>210902204</v>
      </c>
      <c r="G1661" s="7" t="s">
        <v>330</v>
      </c>
      <c r="H1661" s="24" t="s">
        <v>109</v>
      </c>
      <c r="I1661" s="32" t="s">
        <v>152</v>
      </c>
      <c r="K1661" s="181"/>
      <c r="L1661" s="181"/>
    </row>
    <row r="1662" spans="1:12" x14ac:dyDescent="0.35">
      <c r="A1662" s="19">
        <v>45889</v>
      </c>
      <c r="B1662" s="20"/>
      <c r="C1662" s="20"/>
      <c r="D1662" s="20">
        <f>2816000-950000</f>
        <v>1866000</v>
      </c>
      <c r="E1662" s="99" t="s">
        <v>860</v>
      </c>
      <c r="F1662" s="20">
        <f t="shared" si="25"/>
        <v>212768204</v>
      </c>
      <c r="G1662" s="7"/>
      <c r="H1662" s="24" t="s">
        <v>107</v>
      </c>
      <c r="I1662" s="32" t="s">
        <v>152</v>
      </c>
      <c r="K1662" s="181"/>
      <c r="L1662" s="181"/>
    </row>
    <row r="1663" spans="1:12" x14ac:dyDescent="0.35">
      <c r="A1663" s="19">
        <v>45889</v>
      </c>
      <c r="B1663" s="20"/>
      <c r="C1663" s="20"/>
      <c r="D1663" s="20">
        <v>2718000</v>
      </c>
      <c r="E1663" s="99" t="s">
        <v>860</v>
      </c>
      <c r="F1663" s="20">
        <f t="shared" si="25"/>
        <v>215486204</v>
      </c>
      <c r="G1663" s="7"/>
      <c r="H1663" s="24" t="s">
        <v>109</v>
      </c>
      <c r="I1663" s="32" t="s">
        <v>152</v>
      </c>
      <c r="K1663" s="181"/>
      <c r="L1663" s="181"/>
    </row>
    <row r="1664" spans="1:12" x14ac:dyDescent="0.35">
      <c r="A1664" s="19"/>
      <c r="B1664" s="20"/>
      <c r="C1664" s="20">
        <v>4584000</v>
      </c>
      <c r="D1664" s="20"/>
      <c r="E1664" s="99"/>
      <c r="F1664" s="20">
        <f t="shared" si="25"/>
        <v>215486204</v>
      </c>
      <c r="G1664" s="7" t="s">
        <v>802</v>
      </c>
      <c r="H1664" s="24"/>
      <c r="I1664" s="32"/>
      <c r="K1664" s="181"/>
      <c r="L1664" s="181"/>
    </row>
    <row r="1665" spans="1:12" x14ac:dyDescent="0.35">
      <c r="A1665" s="19">
        <v>45890</v>
      </c>
      <c r="B1665" s="20"/>
      <c r="C1665" s="20"/>
      <c r="D1665" s="20">
        <v>1000</v>
      </c>
      <c r="E1665" s="99" t="s">
        <v>860</v>
      </c>
      <c r="F1665" s="20">
        <f t="shared" si="25"/>
        <v>215487204</v>
      </c>
      <c r="G1665" s="7" t="s">
        <v>330</v>
      </c>
      <c r="H1665" s="24" t="s">
        <v>109</v>
      </c>
      <c r="I1665" s="32" t="s">
        <v>152</v>
      </c>
      <c r="K1665" s="181"/>
      <c r="L1665" s="181"/>
    </row>
    <row r="1666" spans="1:12" x14ac:dyDescent="0.35">
      <c r="A1666" s="19">
        <v>45890</v>
      </c>
      <c r="B1666" s="20"/>
      <c r="C1666" s="20"/>
      <c r="D1666" s="20">
        <v>20000</v>
      </c>
      <c r="E1666" s="99" t="s">
        <v>860</v>
      </c>
      <c r="F1666" s="20">
        <f t="shared" si="25"/>
        <v>215507204</v>
      </c>
      <c r="G1666" s="7" t="s">
        <v>330</v>
      </c>
      <c r="H1666" s="24" t="s">
        <v>109</v>
      </c>
      <c r="I1666" s="32" t="s">
        <v>152</v>
      </c>
      <c r="K1666" s="181"/>
      <c r="L1666" s="181"/>
    </row>
    <row r="1667" spans="1:12" x14ac:dyDescent="0.35">
      <c r="A1667" s="19">
        <v>45891</v>
      </c>
      <c r="B1667" s="20"/>
      <c r="C1667" s="20"/>
      <c r="D1667" s="20">
        <v>20000</v>
      </c>
      <c r="E1667" s="99" t="s">
        <v>860</v>
      </c>
      <c r="F1667" s="20">
        <f t="shared" si="25"/>
        <v>215527204</v>
      </c>
      <c r="G1667" s="7" t="s">
        <v>330</v>
      </c>
      <c r="H1667" s="24" t="s">
        <v>109</v>
      </c>
      <c r="I1667" s="32" t="s">
        <v>152</v>
      </c>
      <c r="K1667" s="181"/>
      <c r="L1667" s="181"/>
    </row>
    <row r="1668" spans="1:12" x14ac:dyDescent="0.35">
      <c r="A1668" s="19">
        <v>45891</v>
      </c>
      <c r="B1668" s="20"/>
      <c r="C1668" s="20"/>
      <c r="D1668" s="20">
        <v>3150000</v>
      </c>
      <c r="E1668" s="99" t="s">
        <v>860</v>
      </c>
      <c r="F1668" s="20">
        <f t="shared" si="25"/>
        <v>218677204</v>
      </c>
      <c r="G1668" s="7" t="s">
        <v>763</v>
      </c>
      <c r="H1668" s="24" t="s">
        <v>109</v>
      </c>
      <c r="I1668" s="32" t="s">
        <v>152</v>
      </c>
      <c r="K1668" s="181"/>
      <c r="L1668" s="181"/>
    </row>
    <row r="1669" spans="1:12" x14ac:dyDescent="0.35">
      <c r="A1669" s="19">
        <v>45892</v>
      </c>
      <c r="B1669" s="20">
        <v>750000</v>
      </c>
      <c r="C1669" s="20"/>
      <c r="D1669" s="20"/>
      <c r="E1669" s="99" t="s">
        <v>860</v>
      </c>
      <c r="F1669" s="20">
        <f t="shared" si="25"/>
        <v>217927204</v>
      </c>
      <c r="G1669" s="7" t="s">
        <v>806</v>
      </c>
      <c r="H1669" s="24" t="s">
        <v>323</v>
      </c>
      <c r="I1669" s="32" t="s">
        <v>152</v>
      </c>
      <c r="K1669" s="181"/>
      <c r="L1669" s="181"/>
    </row>
    <row r="1670" spans="1:12" x14ac:dyDescent="0.35">
      <c r="A1670" s="19">
        <v>45892</v>
      </c>
      <c r="B1670" s="20">
        <v>6500</v>
      </c>
      <c r="C1670" s="20"/>
      <c r="D1670" s="20"/>
      <c r="E1670" s="99" t="s">
        <v>860</v>
      </c>
      <c r="F1670" s="20">
        <f t="shared" si="25"/>
        <v>217920704</v>
      </c>
      <c r="G1670" s="7" t="s">
        <v>806</v>
      </c>
      <c r="H1670" s="24" t="s">
        <v>323</v>
      </c>
      <c r="I1670" s="32" t="s">
        <v>152</v>
      </c>
      <c r="K1670" s="181"/>
      <c r="L1670" s="181"/>
    </row>
    <row r="1671" spans="1:12" x14ac:dyDescent="0.35">
      <c r="A1671" s="19">
        <v>45892</v>
      </c>
      <c r="B1671" s="20"/>
      <c r="C1671" s="20"/>
      <c r="D1671" s="20">
        <v>50000</v>
      </c>
      <c r="E1671" s="99" t="s">
        <v>860</v>
      </c>
      <c r="F1671" s="20">
        <f t="shared" si="25"/>
        <v>217970704</v>
      </c>
      <c r="G1671" s="7" t="s">
        <v>330</v>
      </c>
      <c r="H1671" s="24" t="s">
        <v>109</v>
      </c>
      <c r="I1671" s="32" t="s">
        <v>152</v>
      </c>
      <c r="K1671" s="181"/>
      <c r="L1671" s="181"/>
    </row>
    <row r="1672" spans="1:12" x14ac:dyDescent="0.35">
      <c r="A1672" s="19">
        <v>45892</v>
      </c>
      <c r="B1672" s="20"/>
      <c r="C1672" s="20"/>
      <c r="D1672" s="20">
        <v>50000</v>
      </c>
      <c r="E1672" s="99" t="s">
        <v>860</v>
      </c>
      <c r="F1672" s="20">
        <f t="shared" si="25"/>
        <v>218020704</v>
      </c>
      <c r="G1672" s="7" t="s">
        <v>330</v>
      </c>
      <c r="H1672" s="24" t="s">
        <v>109</v>
      </c>
      <c r="I1672" s="32" t="s">
        <v>152</v>
      </c>
      <c r="K1672" s="181"/>
      <c r="L1672" s="181"/>
    </row>
    <row r="1673" spans="1:12" x14ac:dyDescent="0.35">
      <c r="A1673" s="19">
        <v>45892</v>
      </c>
      <c r="B1673" s="20"/>
      <c r="C1673" s="20"/>
      <c r="D1673" s="20">
        <v>10000</v>
      </c>
      <c r="E1673" s="99" t="s">
        <v>860</v>
      </c>
      <c r="F1673" s="20">
        <f t="shared" si="25"/>
        <v>218030704</v>
      </c>
      <c r="G1673" s="7" t="s">
        <v>330</v>
      </c>
      <c r="H1673" s="24" t="s">
        <v>109</v>
      </c>
      <c r="I1673" s="32" t="s">
        <v>152</v>
      </c>
      <c r="K1673" s="181"/>
      <c r="L1673" s="181"/>
    </row>
    <row r="1674" spans="1:12" x14ac:dyDescent="0.35">
      <c r="A1674" s="19">
        <v>45892</v>
      </c>
      <c r="B1674" s="20"/>
      <c r="C1674" s="20"/>
      <c r="D1674" s="20">
        <v>10000</v>
      </c>
      <c r="E1674" s="99" t="s">
        <v>860</v>
      </c>
      <c r="F1674" s="20">
        <f t="shared" ref="F1674:F1737" si="26">+F1673+D1674-B1674</f>
        <v>218040704</v>
      </c>
      <c r="G1674" s="7" t="s">
        <v>330</v>
      </c>
      <c r="H1674" s="24" t="s">
        <v>109</v>
      </c>
      <c r="I1674" s="32" t="s">
        <v>152</v>
      </c>
      <c r="K1674" s="181"/>
      <c r="L1674" s="181"/>
    </row>
    <row r="1675" spans="1:12" x14ac:dyDescent="0.35">
      <c r="A1675" s="19">
        <v>45892</v>
      </c>
      <c r="B1675" s="20"/>
      <c r="C1675" s="20"/>
      <c r="D1675" s="20">
        <v>100000</v>
      </c>
      <c r="E1675" s="99" t="s">
        <v>860</v>
      </c>
      <c r="F1675" s="20">
        <f t="shared" si="26"/>
        <v>218140704</v>
      </c>
      <c r="G1675" s="7" t="s">
        <v>330</v>
      </c>
      <c r="H1675" s="24" t="s">
        <v>109</v>
      </c>
      <c r="I1675" s="32" t="s">
        <v>152</v>
      </c>
      <c r="K1675" s="181"/>
      <c r="L1675" s="181"/>
    </row>
    <row r="1676" spans="1:12" x14ac:dyDescent="0.35">
      <c r="A1676" s="19">
        <v>45892</v>
      </c>
      <c r="B1676" s="20"/>
      <c r="C1676" s="20"/>
      <c r="D1676" s="20">
        <v>20000</v>
      </c>
      <c r="E1676" s="99" t="s">
        <v>860</v>
      </c>
      <c r="F1676" s="20">
        <f t="shared" si="26"/>
        <v>218160704</v>
      </c>
      <c r="G1676" s="7" t="s">
        <v>330</v>
      </c>
      <c r="H1676" s="24" t="s">
        <v>109</v>
      </c>
      <c r="I1676" s="32" t="s">
        <v>152</v>
      </c>
      <c r="K1676" s="181"/>
      <c r="L1676" s="181"/>
    </row>
    <row r="1677" spans="1:12" x14ac:dyDescent="0.35">
      <c r="A1677" s="19">
        <v>45892</v>
      </c>
      <c r="B1677" s="20"/>
      <c r="C1677" s="20"/>
      <c r="D1677" s="20">
        <v>15000</v>
      </c>
      <c r="E1677" s="99" t="s">
        <v>860</v>
      </c>
      <c r="F1677" s="20">
        <f t="shared" si="26"/>
        <v>218175704</v>
      </c>
      <c r="G1677" s="7" t="s">
        <v>330</v>
      </c>
      <c r="H1677" s="24" t="s">
        <v>109</v>
      </c>
      <c r="I1677" s="32" t="s">
        <v>152</v>
      </c>
      <c r="K1677" s="181"/>
      <c r="L1677" s="181"/>
    </row>
    <row r="1678" spans="1:12" x14ac:dyDescent="0.35">
      <c r="A1678" s="19">
        <v>45892</v>
      </c>
      <c r="B1678" s="20"/>
      <c r="C1678" s="20"/>
      <c r="D1678" s="20">
        <v>20000</v>
      </c>
      <c r="E1678" s="99" t="s">
        <v>860</v>
      </c>
      <c r="F1678" s="20">
        <f t="shared" si="26"/>
        <v>218195704</v>
      </c>
      <c r="G1678" s="7" t="s">
        <v>330</v>
      </c>
      <c r="H1678" s="24" t="s">
        <v>109</v>
      </c>
      <c r="I1678" s="32" t="s">
        <v>152</v>
      </c>
      <c r="K1678" s="181"/>
      <c r="L1678" s="181"/>
    </row>
    <row r="1679" spans="1:12" x14ac:dyDescent="0.35">
      <c r="A1679" s="19">
        <v>45892</v>
      </c>
      <c r="B1679" s="20"/>
      <c r="C1679" s="20"/>
      <c r="D1679" s="20">
        <v>1000</v>
      </c>
      <c r="E1679" s="99" t="s">
        <v>860</v>
      </c>
      <c r="F1679" s="20">
        <f t="shared" si="26"/>
        <v>218196704</v>
      </c>
      <c r="G1679" s="7" t="s">
        <v>330</v>
      </c>
      <c r="H1679" s="24" t="s">
        <v>109</v>
      </c>
      <c r="I1679" s="32" t="s">
        <v>152</v>
      </c>
      <c r="K1679" s="181"/>
      <c r="L1679" s="181"/>
    </row>
    <row r="1680" spans="1:12" x14ac:dyDescent="0.35">
      <c r="A1680" s="19">
        <v>45893</v>
      </c>
      <c r="B1680" s="20">
        <v>1000000</v>
      </c>
      <c r="C1680" s="20"/>
      <c r="D1680" s="20"/>
      <c r="E1680" s="99" t="s">
        <v>860</v>
      </c>
      <c r="F1680" s="20">
        <f t="shared" si="26"/>
        <v>217196704</v>
      </c>
      <c r="G1680" s="7" t="s">
        <v>807</v>
      </c>
      <c r="H1680" s="24" t="s">
        <v>323</v>
      </c>
      <c r="I1680" s="32" t="s">
        <v>152</v>
      </c>
      <c r="K1680" s="181"/>
      <c r="L1680" s="181"/>
    </row>
    <row r="1681" spans="1:12" x14ac:dyDescent="0.35">
      <c r="A1681" s="19">
        <v>45893</v>
      </c>
      <c r="B1681" s="20">
        <v>6500</v>
      </c>
      <c r="C1681" s="20"/>
      <c r="D1681" s="20"/>
      <c r="E1681" s="99" t="s">
        <v>860</v>
      </c>
      <c r="F1681" s="20">
        <f t="shared" si="26"/>
        <v>217190204</v>
      </c>
      <c r="G1681" s="7" t="s">
        <v>807</v>
      </c>
      <c r="H1681" s="24" t="s">
        <v>323</v>
      </c>
      <c r="I1681" s="32" t="s">
        <v>152</v>
      </c>
      <c r="K1681" s="181"/>
      <c r="L1681" s="181"/>
    </row>
    <row r="1682" spans="1:12" x14ac:dyDescent="0.35">
      <c r="A1682" s="19">
        <v>45893</v>
      </c>
      <c r="B1682" s="20"/>
      <c r="C1682" s="20"/>
      <c r="D1682" s="20">
        <v>20000</v>
      </c>
      <c r="E1682" s="99" t="s">
        <v>860</v>
      </c>
      <c r="F1682" s="20">
        <f t="shared" si="26"/>
        <v>217210204</v>
      </c>
      <c r="G1682" s="7" t="s">
        <v>330</v>
      </c>
      <c r="H1682" s="24" t="s">
        <v>109</v>
      </c>
      <c r="I1682" s="32" t="s">
        <v>152</v>
      </c>
      <c r="K1682" s="181"/>
      <c r="L1682" s="181"/>
    </row>
    <row r="1683" spans="1:12" x14ac:dyDescent="0.35">
      <c r="A1683" s="19">
        <v>45893</v>
      </c>
      <c r="B1683" s="20"/>
      <c r="C1683" s="20"/>
      <c r="D1683" s="20">
        <v>1000</v>
      </c>
      <c r="E1683" s="99" t="s">
        <v>860</v>
      </c>
      <c r="F1683" s="20">
        <f t="shared" si="26"/>
        <v>217211204</v>
      </c>
      <c r="G1683" s="7" t="s">
        <v>330</v>
      </c>
      <c r="H1683" s="24" t="s">
        <v>109</v>
      </c>
      <c r="I1683" s="32" t="s">
        <v>152</v>
      </c>
      <c r="K1683" s="181"/>
      <c r="L1683" s="181"/>
    </row>
    <row r="1684" spans="1:12" x14ac:dyDescent="0.35">
      <c r="A1684" s="19">
        <v>45893</v>
      </c>
      <c r="B1684" s="20"/>
      <c r="C1684" s="20"/>
      <c r="D1684" s="20">
        <v>25000</v>
      </c>
      <c r="E1684" s="99" t="s">
        <v>860</v>
      </c>
      <c r="F1684" s="20">
        <f t="shared" si="26"/>
        <v>217236204</v>
      </c>
      <c r="G1684" s="7" t="s">
        <v>330</v>
      </c>
      <c r="H1684" s="24" t="s">
        <v>109</v>
      </c>
      <c r="I1684" s="32" t="s">
        <v>152</v>
      </c>
      <c r="K1684" s="181"/>
      <c r="L1684" s="181"/>
    </row>
    <row r="1685" spans="1:12" x14ac:dyDescent="0.35">
      <c r="A1685" s="19">
        <v>45894</v>
      </c>
      <c r="B1685" s="20"/>
      <c r="C1685" s="20"/>
      <c r="D1685" s="20">
        <v>200000</v>
      </c>
      <c r="E1685" s="99" t="s">
        <v>860</v>
      </c>
      <c r="F1685" s="20">
        <f t="shared" si="26"/>
        <v>217436204</v>
      </c>
      <c r="G1685" s="7" t="s">
        <v>808</v>
      </c>
      <c r="H1685" s="24" t="s">
        <v>109</v>
      </c>
      <c r="I1685" s="32" t="s">
        <v>152</v>
      </c>
      <c r="K1685" s="181"/>
      <c r="L1685" s="181"/>
    </row>
    <row r="1686" spans="1:12" x14ac:dyDescent="0.35">
      <c r="A1686" s="19">
        <v>45894</v>
      </c>
      <c r="B1686" s="20"/>
      <c r="C1686" s="20"/>
      <c r="D1686" s="20">
        <v>1000</v>
      </c>
      <c r="E1686" s="99" t="s">
        <v>860</v>
      </c>
      <c r="F1686" s="20">
        <f t="shared" si="26"/>
        <v>217437204</v>
      </c>
      <c r="G1686" s="7" t="s">
        <v>330</v>
      </c>
      <c r="H1686" s="24" t="s">
        <v>109</v>
      </c>
      <c r="I1686" s="32" t="s">
        <v>152</v>
      </c>
      <c r="K1686" s="181"/>
      <c r="L1686" s="181"/>
    </row>
    <row r="1687" spans="1:12" x14ac:dyDescent="0.35">
      <c r="A1687" s="19">
        <v>45894</v>
      </c>
      <c r="B1687" s="20"/>
      <c r="C1687" s="20"/>
      <c r="D1687" s="20">
        <v>25</v>
      </c>
      <c r="E1687" s="99" t="s">
        <v>860</v>
      </c>
      <c r="F1687" s="20">
        <f t="shared" si="26"/>
        <v>217437229</v>
      </c>
      <c r="G1687" s="7" t="s">
        <v>330</v>
      </c>
      <c r="H1687" s="24" t="s">
        <v>109</v>
      </c>
      <c r="I1687" s="32" t="s">
        <v>152</v>
      </c>
      <c r="K1687" s="181"/>
      <c r="L1687" s="181"/>
    </row>
    <row r="1688" spans="1:12" x14ac:dyDescent="0.35">
      <c r="A1688" s="19">
        <v>45894</v>
      </c>
      <c r="B1688" s="20"/>
      <c r="C1688" s="20"/>
      <c r="D1688" s="20">
        <v>25000</v>
      </c>
      <c r="E1688" s="99" t="s">
        <v>860</v>
      </c>
      <c r="F1688" s="20">
        <f t="shared" si="26"/>
        <v>217462229</v>
      </c>
      <c r="G1688" s="7" t="s">
        <v>330</v>
      </c>
      <c r="H1688" s="24" t="s">
        <v>109</v>
      </c>
      <c r="I1688" s="32" t="s">
        <v>152</v>
      </c>
      <c r="K1688" s="181"/>
      <c r="L1688" s="181"/>
    </row>
    <row r="1689" spans="1:12" x14ac:dyDescent="0.35">
      <c r="A1689" s="19">
        <v>45894</v>
      </c>
      <c r="B1689" s="20"/>
      <c r="C1689" s="20"/>
      <c r="D1689" s="20">
        <v>1000000</v>
      </c>
      <c r="E1689" s="99" t="s">
        <v>860</v>
      </c>
      <c r="F1689" s="20">
        <f t="shared" si="26"/>
        <v>218462229</v>
      </c>
      <c r="G1689" s="7" t="s">
        <v>609</v>
      </c>
      <c r="H1689" s="24" t="s">
        <v>109</v>
      </c>
      <c r="I1689" s="32" t="s">
        <v>152</v>
      </c>
      <c r="K1689" s="181"/>
      <c r="L1689" s="181"/>
    </row>
    <row r="1690" spans="1:12" x14ac:dyDescent="0.35">
      <c r="A1690" s="19">
        <v>45895</v>
      </c>
      <c r="B1690" s="20"/>
      <c r="C1690" s="20"/>
      <c r="D1690" s="20">
        <v>1000</v>
      </c>
      <c r="E1690" s="99" t="s">
        <v>860</v>
      </c>
      <c r="F1690" s="20">
        <f t="shared" si="26"/>
        <v>218463229</v>
      </c>
      <c r="G1690" s="7" t="s">
        <v>330</v>
      </c>
      <c r="H1690" s="24" t="s">
        <v>109</v>
      </c>
      <c r="I1690" s="32" t="s">
        <v>152</v>
      </c>
      <c r="K1690" s="181"/>
      <c r="L1690" s="181"/>
    </row>
    <row r="1691" spans="1:12" x14ac:dyDescent="0.35">
      <c r="A1691" s="19">
        <v>45895</v>
      </c>
      <c r="B1691" s="20"/>
      <c r="C1691" s="20"/>
      <c r="D1691" s="20">
        <v>20000</v>
      </c>
      <c r="E1691" s="99" t="s">
        <v>860</v>
      </c>
      <c r="F1691" s="20">
        <f t="shared" si="26"/>
        <v>218483229</v>
      </c>
      <c r="G1691" s="7" t="s">
        <v>330</v>
      </c>
      <c r="H1691" s="24" t="s">
        <v>109</v>
      </c>
      <c r="I1691" s="32" t="s">
        <v>152</v>
      </c>
      <c r="K1691" s="181"/>
      <c r="L1691" s="181"/>
    </row>
    <row r="1692" spans="1:12" x14ac:dyDescent="0.35">
      <c r="A1692" s="19">
        <v>45895</v>
      </c>
      <c r="B1692" s="20"/>
      <c r="C1692" s="20"/>
      <c r="D1692" s="20">
        <v>10000</v>
      </c>
      <c r="E1692" s="99" t="s">
        <v>860</v>
      </c>
      <c r="F1692" s="20">
        <f t="shared" si="26"/>
        <v>218493229</v>
      </c>
      <c r="G1692" s="7" t="s">
        <v>330</v>
      </c>
      <c r="H1692" s="24" t="s">
        <v>109</v>
      </c>
      <c r="I1692" s="32" t="s">
        <v>152</v>
      </c>
      <c r="K1692" s="181"/>
      <c r="L1692" s="181"/>
    </row>
    <row r="1693" spans="1:12" x14ac:dyDescent="0.35">
      <c r="A1693" s="19">
        <v>45896</v>
      </c>
      <c r="B1693" s="20">
        <v>1000000</v>
      </c>
      <c r="C1693" s="20"/>
      <c r="D1693" s="20"/>
      <c r="E1693" s="99" t="s">
        <v>860</v>
      </c>
      <c r="F1693" s="20">
        <f t="shared" si="26"/>
        <v>217493229</v>
      </c>
      <c r="G1693" s="7" t="s">
        <v>810</v>
      </c>
      <c r="H1693" s="24" t="s">
        <v>325</v>
      </c>
      <c r="I1693" s="32" t="s">
        <v>152</v>
      </c>
      <c r="K1693" s="181"/>
      <c r="L1693" s="181"/>
    </row>
    <row r="1694" spans="1:12" x14ac:dyDescent="0.35">
      <c r="A1694" s="19">
        <v>45896</v>
      </c>
      <c r="B1694" s="20">
        <v>6500</v>
      </c>
      <c r="C1694" s="20"/>
      <c r="D1694" s="20"/>
      <c r="E1694" s="99" t="s">
        <v>860</v>
      </c>
      <c r="F1694" s="20">
        <f t="shared" si="26"/>
        <v>217486729</v>
      </c>
      <c r="G1694" s="7" t="s">
        <v>810</v>
      </c>
      <c r="H1694" s="24" t="s">
        <v>325</v>
      </c>
      <c r="I1694" s="32" t="s">
        <v>152</v>
      </c>
      <c r="K1694" s="181"/>
      <c r="L1694" s="181"/>
    </row>
    <row r="1695" spans="1:12" x14ac:dyDescent="0.35">
      <c r="A1695" s="19">
        <v>45896</v>
      </c>
      <c r="B1695" s="20">
        <v>3500000</v>
      </c>
      <c r="C1695" s="20"/>
      <c r="D1695" s="20"/>
      <c r="E1695" s="99" t="s">
        <v>860</v>
      </c>
      <c r="F1695" s="20">
        <f t="shared" si="26"/>
        <v>213986729</v>
      </c>
      <c r="G1695" s="7" t="s">
        <v>810</v>
      </c>
      <c r="H1695" s="24" t="s">
        <v>325</v>
      </c>
      <c r="I1695" s="32" t="s">
        <v>152</v>
      </c>
      <c r="K1695" s="181"/>
      <c r="L1695" s="181"/>
    </row>
    <row r="1696" spans="1:12" x14ac:dyDescent="0.35">
      <c r="A1696" s="19">
        <v>45896</v>
      </c>
      <c r="B1696" s="20">
        <v>6500</v>
      </c>
      <c r="C1696" s="20"/>
      <c r="D1696" s="20"/>
      <c r="E1696" s="99" t="s">
        <v>860</v>
      </c>
      <c r="F1696" s="20">
        <f t="shared" si="26"/>
        <v>213980229</v>
      </c>
      <c r="G1696" s="7" t="s">
        <v>810</v>
      </c>
      <c r="H1696" s="24" t="s">
        <v>325</v>
      </c>
      <c r="I1696" s="32" t="s">
        <v>152</v>
      </c>
      <c r="K1696" s="181"/>
      <c r="L1696" s="181"/>
    </row>
    <row r="1697" spans="1:12" x14ac:dyDescent="0.35">
      <c r="A1697" s="19">
        <v>45896</v>
      </c>
      <c r="B1697" s="20">
        <v>2500000</v>
      </c>
      <c r="C1697" s="20"/>
      <c r="D1697" s="20"/>
      <c r="E1697" s="99" t="s">
        <v>860</v>
      </c>
      <c r="F1697" s="20">
        <f t="shared" si="26"/>
        <v>211480229</v>
      </c>
      <c r="G1697" s="7" t="s">
        <v>810</v>
      </c>
      <c r="H1697" s="24" t="s">
        <v>325</v>
      </c>
      <c r="I1697" s="32" t="s">
        <v>152</v>
      </c>
      <c r="K1697" s="181"/>
      <c r="L1697" s="181"/>
    </row>
    <row r="1698" spans="1:12" x14ac:dyDescent="0.35">
      <c r="A1698" s="19">
        <v>45896</v>
      </c>
      <c r="B1698" s="20">
        <v>6500</v>
      </c>
      <c r="C1698" s="20"/>
      <c r="D1698" s="20"/>
      <c r="E1698" s="99" t="s">
        <v>860</v>
      </c>
      <c r="F1698" s="20">
        <f t="shared" si="26"/>
        <v>211473729</v>
      </c>
      <c r="G1698" s="7" t="s">
        <v>810</v>
      </c>
      <c r="H1698" s="24" t="s">
        <v>325</v>
      </c>
      <c r="I1698" s="32" t="s">
        <v>152</v>
      </c>
      <c r="K1698" s="181"/>
      <c r="L1698" s="181"/>
    </row>
    <row r="1699" spans="1:12" x14ac:dyDescent="0.35">
      <c r="A1699" s="19">
        <v>45896</v>
      </c>
      <c r="B1699" s="20">
        <v>4000000</v>
      </c>
      <c r="C1699" s="20"/>
      <c r="D1699" s="20"/>
      <c r="E1699" s="99" t="s">
        <v>860</v>
      </c>
      <c r="F1699" s="20">
        <f t="shared" si="26"/>
        <v>207473729</v>
      </c>
      <c r="G1699" s="7" t="s">
        <v>811</v>
      </c>
      <c r="H1699" s="24" t="s">
        <v>201</v>
      </c>
      <c r="I1699" s="32" t="s">
        <v>152</v>
      </c>
      <c r="K1699" s="181"/>
      <c r="L1699" s="181"/>
    </row>
    <row r="1700" spans="1:12" x14ac:dyDescent="0.35">
      <c r="A1700" s="19">
        <v>45896</v>
      </c>
      <c r="B1700" s="20">
        <v>6500</v>
      </c>
      <c r="C1700" s="20"/>
      <c r="D1700" s="20"/>
      <c r="E1700" s="99" t="s">
        <v>860</v>
      </c>
      <c r="F1700" s="20">
        <f t="shared" si="26"/>
        <v>207467229</v>
      </c>
      <c r="G1700" s="7" t="s">
        <v>811</v>
      </c>
      <c r="H1700" s="24" t="s">
        <v>201</v>
      </c>
      <c r="I1700" s="32" t="s">
        <v>152</v>
      </c>
      <c r="K1700" s="181"/>
      <c r="L1700" s="181"/>
    </row>
    <row r="1701" spans="1:12" x14ac:dyDescent="0.35">
      <c r="A1701" s="19">
        <v>45896</v>
      </c>
      <c r="B1701" s="20">
        <v>2000000</v>
      </c>
      <c r="C1701" s="20"/>
      <c r="D1701" s="20"/>
      <c r="E1701" s="99" t="s">
        <v>860</v>
      </c>
      <c r="F1701" s="20">
        <f t="shared" si="26"/>
        <v>205467229</v>
      </c>
      <c r="G1701" s="7" t="s">
        <v>809</v>
      </c>
      <c r="H1701" s="24" t="s">
        <v>323</v>
      </c>
      <c r="I1701" s="32" t="s">
        <v>152</v>
      </c>
      <c r="K1701" s="181"/>
      <c r="L1701" s="181"/>
    </row>
    <row r="1702" spans="1:12" x14ac:dyDescent="0.35">
      <c r="A1702" s="19">
        <v>45896</v>
      </c>
      <c r="B1702" s="20">
        <v>6500</v>
      </c>
      <c r="C1702" s="20"/>
      <c r="D1702" s="20"/>
      <c r="E1702" s="99" t="s">
        <v>860</v>
      </c>
      <c r="F1702" s="20">
        <f t="shared" si="26"/>
        <v>205460729</v>
      </c>
      <c r="G1702" s="7" t="s">
        <v>809</v>
      </c>
      <c r="H1702" s="24" t="s">
        <v>323</v>
      </c>
      <c r="I1702" s="32" t="s">
        <v>152</v>
      </c>
      <c r="K1702" s="181"/>
      <c r="L1702" s="181"/>
    </row>
    <row r="1703" spans="1:12" x14ac:dyDescent="0.35">
      <c r="A1703" s="19">
        <v>45896</v>
      </c>
      <c r="B1703" s="20">
        <v>2250000</v>
      </c>
      <c r="C1703" s="20"/>
      <c r="D1703" s="20"/>
      <c r="E1703" s="99" t="s">
        <v>860</v>
      </c>
      <c r="F1703" s="20">
        <f t="shared" si="26"/>
        <v>203210729</v>
      </c>
      <c r="G1703" s="7" t="s">
        <v>810</v>
      </c>
      <c r="H1703" s="24" t="s">
        <v>325</v>
      </c>
      <c r="I1703" s="32" t="s">
        <v>152</v>
      </c>
      <c r="K1703" s="181"/>
      <c r="L1703" s="181"/>
    </row>
    <row r="1704" spans="1:12" x14ac:dyDescent="0.35">
      <c r="A1704" s="19">
        <v>45896</v>
      </c>
      <c r="B1704" s="20">
        <v>6500</v>
      </c>
      <c r="C1704" s="20"/>
      <c r="D1704" s="20"/>
      <c r="E1704" s="99" t="s">
        <v>860</v>
      </c>
      <c r="F1704" s="20">
        <f t="shared" si="26"/>
        <v>203204229</v>
      </c>
      <c r="G1704" s="7" t="s">
        <v>810</v>
      </c>
      <c r="H1704" s="24" t="s">
        <v>325</v>
      </c>
      <c r="I1704" s="32" t="s">
        <v>152</v>
      </c>
      <c r="K1704" s="181"/>
      <c r="L1704" s="181"/>
    </row>
    <row r="1705" spans="1:12" x14ac:dyDescent="0.35">
      <c r="A1705" s="19">
        <v>45896</v>
      </c>
      <c r="B1705" s="20">
        <v>550000</v>
      </c>
      <c r="C1705" s="20"/>
      <c r="D1705" s="20"/>
      <c r="E1705" s="99" t="s">
        <v>860</v>
      </c>
      <c r="F1705" s="20">
        <f t="shared" si="26"/>
        <v>202654229</v>
      </c>
      <c r="G1705" s="7" t="s">
        <v>810</v>
      </c>
      <c r="H1705" s="24" t="s">
        <v>325</v>
      </c>
      <c r="I1705" s="32" t="s">
        <v>152</v>
      </c>
      <c r="K1705" s="181"/>
      <c r="L1705" s="181"/>
    </row>
    <row r="1706" spans="1:12" x14ac:dyDescent="0.35">
      <c r="A1706" s="19">
        <v>45896</v>
      </c>
      <c r="B1706" s="20">
        <v>6500</v>
      </c>
      <c r="C1706" s="20"/>
      <c r="D1706" s="20"/>
      <c r="E1706" s="99" t="s">
        <v>860</v>
      </c>
      <c r="F1706" s="20">
        <f t="shared" si="26"/>
        <v>202647729</v>
      </c>
      <c r="G1706" s="7" t="s">
        <v>810</v>
      </c>
      <c r="H1706" s="24" t="s">
        <v>325</v>
      </c>
      <c r="I1706" s="32" t="s">
        <v>152</v>
      </c>
      <c r="K1706" s="181"/>
      <c r="L1706" s="181"/>
    </row>
    <row r="1707" spans="1:12" x14ac:dyDescent="0.35">
      <c r="A1707" s="19">
        <v>45896</v>
      </c>
      <c r="B1707" s="20">
        <v>2700000</v>
      </c>
      <c r="C1707" s="20"/>
      <c r="D1707" s="20"/>
      <c r="E1707" s="99" t="s">
        <v>860</v>
      </c>
      <c r="F1707" s="20">
        <f t="shared" si="26"/>
        <v>199947729</v>
      </c>
      <c r="G1707" s="7" t="s">
        <v>812</v>
      </c>
      <c r="H1707" s="24" t="s">
        <v>201</v>
      </c>
      <c r="I1707" s="32" t="s">
        <v>152</v>
      </c>
      <c r="K1707" s="181"/>
      <c r="L1707" s="181"/>
    </row>
    <row r="1708" spans="1:12" x14ac:dyDescent="0.35">
      <c r="A1708" s="19">
        <v>45896</v>
      </c>
      <c r="B1708" s="20">
        <v>6500</v>
      </c>
      <c r="C1708" s="20"/>
      <c r="D1708" s="20"/>
      <c r="E1708" s="99" t="s">
        <v>860</v>
      </c>
      <c r="F1708" s="20">
        <f t="shared" si="26"/>
        <v>199941229</v>
      </c>
      <c r="G1708" s="7" t="s">
        <v>812</v>
      </c>
      <c r="H1708" s="24" t="s">
        <v>201</v>
      </c>
      <c r="I1708" s="32" t="s">
        <v>152</v>
      </c>
      <c r="K1708" s="181"/>
      <c r="L1708" s="181"/>
    </row>
    <row r="1709" spans="1:12" x14ac:dyDescent="0.35">
      <c r="A1709" s="19">
        <v>45896</v>
      </c>
      <c r="B1709" s="20">
        <v>2750000</v>
      </c>
      <c r="C1709" s="20"/>
      <c r="D1709" s="20"/>
      <c r="E1709" s="99" t="s">
        <v>860</v>
      </c>
      <c r="F1709" s="20">
        <f t="shared" si="26"/>
        <v>197191229</v>
      </c>
      <c r="G1709" s="7" t="s">
        <v>810</v>
      </c>
      <c r="H1709" s="24" t="s">
        <v>325</v>
      </c>
      <c r="I1709" s="32" t="s">
        <v>152</v>
      </c>
      <c r="K1709" s="181"/>
      <c r="L1709" s="181"/>
    </row>
    <row r="1710" spans="1:12" x14ac:dyDescent="0.35">
      <c r="A1710" s="19">
        <v>45896</v>
      </c>
      <c r="B1710" s="20"/>
      <c r="C1710" s="20"/>
      <c r="D1710" s="20">
        <v>20000</v>
      </c>
      <c r="E1710" s="99" t="s">
        <v>860</v>
      </c>
      <c r="F1710" s="20">
        <f t="shared" si="26"/>
        <v>197211229</v>
      </c>
      <c r="G1710" s="7" t="s">
        <v>330</v>
      </c>
      <c r="H1710" s="24" t="s">
        <v>109</v>
      </c>
      <c r="I1710" s="32" t="s">
        <v>152</v>
      </c>
      <c r="K1710" s="181"/>
      <c r="L1710" s="181"/>
    </row>
    <row r="1711" spans="1:12" x14ac:dyDescent="0.35">
      <c r="A1711" s="19">
        <v>45897</v>
      </c>
      <c r="B1711" s="20"/>
      <c r="C1711" s="20"/>
      <c r="D1711" s="20">
        <v>20000</v>
      </c>
      <c r="E1711" s="99" t="s">
        <v>860</v>
      </c>
      <c r="F1711" s="20">
        <f t="shared" si="26"/>
        <v>197231229</v>
      </c>
      <c r="G1711" s="7" t="s">
        <v>330</v>
      </c>
      <c r="H1711" s="24" t="s">
        <v>109</v>
      </c>
      <c r="I1711" s="32" t="s">
        <v>152</v>
      </c>
      <c r="K1711" s="181"/>
      <c r="L1711" s="181"/>
    </row>
    <row r="1712" spans="1:12" x14ac:dyDescent="0.35">
      <c r="A1712" s="19">
        <v>45897</v>
      </c>
      <c r="B1712" s="20">
        <v>3500000</v>
      </c>
      <c r="C1712" s="20"/>
      <c r="D1712" s="20"/>
      <c r="E1712" s="99" t="s">
        <v>860</v>
      </c>
      <c r="F1712" s="20">
        <f t="shared" si="26"/>
        <v>193731229</v>
      </c>
      <c r="G1712" s="7" t="s">
        <v>815</v>
      </c>
      <c r="H1712" s="24" t="s">
        <v>322</v>
      </c>
      <c r="I1712" s="32" t="s">
        <v>152</v>
      </c>
      <c r="K1712" s="181"/>
      <c r="L1712" s="181"/>
    </row>
    <row r="1713" spans="1:12" x14ac:dyDescent="0.35">
      <c r="A1713" s="19">
        <v>45897</v>
      </c>
      <c r="B1713" s="20">
        <v>6500</v>
      </c>
      <c r="C1713" s="20"/>
      <c r="D1713" s="20"/>
      <c r="E1713" s="99" t="s">
        <v>860</v>
      </c>
      <c r="F1713" s="20">
        <f t="shared" si="26"/>
        <v>193724729</v>
      </c>
      <c r="G1713" s="7" t="s">
        <v>815</v>
      </c>
      <c r="H1713" s="24" t="s">
        <v>322</v>
      </c>
      <c r="I1713" s="32" t="s">
        <v>152</v>
      </c>
      <c r="K1713" s="181"/>
      <c r="L1713" s="181"/>
    </row>
    <row r="1714" spans="1:12" x14ac:dyDescent="0.35">
      <c r="A1714" s="19">
        <v>45897</v>
      </c>
      <c r="B1714" s="20">
        <v>2210000</v>
      </c>
      <c r="C1714" s="20"/>
      <c r="D1714" s="20"/>
      <c r="E1714" s="99" t="s">
        <v>860</v>
      </c>
      <c r="F1714" s="20">
        <f t="shared" si="26"/>
        <v>191514729</v>
      </c>
      <c r="G1714" s="7" t="s">
        <v>816</v>
      </c>
      <c r="H1714" s="24" t="s">
        <v>322</v>
      </c>
      <c r="I1714" s="32" t="s">
        <v>152</v>
      </c>
      <c r="K1714" s="181"/>
      <c r="L1714" s="181"/>
    </row>
    <row r="1715" spans="1:12" x14ac:dyDescent="0.35">
      <c r="A1715" s="19">
        <v>45897</v>
      </c>
      <c r="B1715" s="20">
        <v>6500</v>
      </c>
      <c r="C1715" s="20"/>
      <c r="D1715" s="20"/>
      <c r="E1715" s="99" t="s">
        <v>860</v>
      </c>
      <c r="F1715" s="20">
        <f t="shared" si="26"/>
        <v>191508229</v>
      </c>
      <c r="G1715" s="7" t="s">
        <v>816</v>
      </c>
      <c r="H1715" s="24" t="s">
        <v>322</v>
      </c>
      <c r="I1715" s="32" t="s">
        <v>152</v>
      </c>
      <c r="K1715" s="181"/>
      <c r="L1715" s="181"/>
    </row>
    <row r="1716" spans="1:12" x14ac:dyDescent="0.35">
      <c r="A1716" s="19">
        <v>45898</v>
      </c>
      <c r="B1716" s="20"/>
      <c r="C1716" s="20"/>
      <c r="D1716" s="20">
        <v>1000000</v>
      </c>
      <c r="E1716" s="99" t="s">
        <v>860</v>
      </c>
      <c r="F1716" s="20">
        <f t="shared" si="26"/>
        <v>192508229</v>
      </c>
      <c r="G1716" s="7" t="s">
        <v>561</v>
      </c>
      <c r="H1716" s="24" t="s">
        <v>109</v>
      </c>
      <c r="I1716" s="32" t="s">
        <v>152</v>
      </c>
      <c r="K1716" s="181"/>
      <c r="L1716" s="181"/>
    </row>
    <row r="1717" spans="1:12" x14ac:dyDescent="0.35">
      <c r="A1717" s="19">
        <v>45898</v>
      </c>
      <c r="B1717" s="20"/>
      <c r="C1717" s="20"/>
      <c r="D1717" s="20">
        <v>20000</v>
      </c>
      <c r="E1717" s="99" t="s">
        <v>860</v>
      </c>
      <c r="F1717" s="20">
        <f t="shared" si="26"/>
        <v>192528229</v>
      </c>
      <c r="G1717" s="7" t="s">
        <v>330</v>
      </c>
      <c r="H1717" s="24" t="s">
        <v>109</v>
      </c>
      <c r="I1717" s="32" t="s">
        <v>152</v>
      </c>
      <c r="K1717" s="181"/>
      <c r="L1717" s="181"/>
    </row>
    <row r="1718" spans="1:12" x14ac:dyDescent="0.35">
      <c r="A1718" s="19">
        <v>45898</v>
      </c>
      <c r="B1718" s="20">
        <v>9000</v>
      </c>
      <c r="C1718" s="20"/>
      <c r="D1718" s="20"/>
      <c r="E1718" s="99" t="s">
        <v>860</v>
      </c>
      <c r="F1718" s="20">
        <f t="shared" si="26"/>
        <v>192519229</v>
      </c>
      <c r="G1718" s="7" t="s">
        <v>817</v>
      </c>
      <c r="H1718" s="24" t="s">
        <v>320</v>
      </c>
      <c r="I1718" s="32" t="s">
        <v>152</v>
      </c>
      <c r="K1718" s="181"/>
      <c r="L1718" s="181"/>
    </row>
    <row r="1719" spans="1:12" x14ac:dyDescent="0.35">
      <c r="A1719" s="19">
        <v>45898</v>
      </c>
      <c r="B1719" s="20">
        <v>750000</v>
      </c>
      <c r="C1719" s="20"/>
      <c r="D1719" s="20"/>
      <c r="E1719" s="99" t="s">
        <v>860</v>
      </c>
      <c r="F1719" s="20">
        <f t="shared" si="26"/>
        <v>191769229</v>
      </c>
      <c r="G1719" s="7" t="s">
        <v>818</v>
      </c>
      <c r="H1719" s="24" t="s">
        <v>323</v>
      </c>
      <c r="I1719" s="32" t="s">
        <v>152</v>
      </c>
      <c r="K1719" s="181"/>
      <c r="L1719" s="181"/>
    </row>
    <row r="1720" spans="1:12" x14ac:dyDescent="0.35">
      <c r="A1720" s="19">
        <v>45898</v>
      </c>
      <c r="B1720" s="20">
        <v>6500</v>
      </c>
      <c r="C1720" s="20"/>
      <c r="D1720" s="20"/>
      <c r="E1720" s="99" t="s">
        <v>860</v>
      </c>
      <c r="F1720" s="20">
        <f t="shared" si="26"/>
        <v>191762729</v>
      </c>
      <c r="G1720" s="7" t="s">
        <v>818</v>
      </c>
      <c r="H1720" s="24" t="s">
        <v>323</v>
      </c>
      <c r="I1720" s="32" t="s">
        <v>152</v>
      </c>
      <c r="K1720" s="181"/>
      <c r="L1720" s="181"/>
    </row>
    <row r="1721" spans="1:12" x14ac:dyDescent="0.35">
      <c r="A1721" s="19">
        <v>45899</v>
      </c>
      <c r="B1721" s="20"/>
      <c r="C1721" s="20"/>
      <c r="D1721" s="20">
        <v>50000</v>
      </c>
      <c r="E1721" s="99" t="s">
        <v>860</v>
      </c>
      <c r="F1721" s="20">
        <f t="shared" si="26"/>
        <v>191812729</v>
      </c>
      <c r="G1721" s="7" t="s">
        <v>330</v>
      </c>
      <c r="H1721" s="24" t="s">
        <v>109</v>
      </c>
      <c r="I1721" s="32" t="s">
        <v>152</v>
      </c>
      <c r="K1721" s="181"/>
      <c r="L1721" s="181"/>
    </row>
    <row r="1722" spans="1:12" x14ac:dyDescent="0.35">
      <c r="A1722" s="19">
        <v>45899</v>
      </c>
      <c r="B1722" s="20"/>
      <c r="C1722" s="20"/>
      <c r="D1722" s="20">
        <v>20000</v>
      </c>
      <c r="E1722" s="99" t="s">
        <v>860</v>
      </c>
      <c r="F1722" s="20">
        <f t="shared" si="26"/>
        <v>191832729</v>
      </c>
      <c r="G1722" s="7" t="s">
        <v>330</v>
      </c>
      <c r="H1722" s="24" t="s">
        <v>109</v>
      </c>
      <c r="I1722" s="32" t="s">
        <v>152</v>
      </c>
      <c r="K1722" s="181"/>
      <c r="L1722" s="181"/>
    </row>
    <row r="1723" spans="1:12" x14ac:dyDescent="0.35">
      <c r="A1723" s="19">
        <v>45899</v>
      </c>
      <c r="B1723" s="20"/>
      <c r="C1723" s="20"/>
      <c r="D1723" s="20">
        <v>10000</v>
      </c>
      <c r="E1723" s="99" t="s">
        <v>860</v>
      </c>
      <c r="F1723" s="20">
        <f t="shared" si="26"/>
        <v>191842729</v>
      </c>
      <c r="G1723" s="7" t="s">
        <v>330</v>
      </c>
      <c r="H1723" s="24" t="s">
        <v>109</v>
      </c>
      <c r="I1723" s="32" t="s">
        <v>152</v>
      </c>
      <c r="K1723" s="181"/>
      <c r="L1723" s="181"/>
    </row>
    <row r="1724" spans="1:12" x14ac:dyDescent="0.35">
      <c r="A1724" s="19">
        <v>45899</v>
      </c>
      <c r="B1724" s="20"/>
      <c r="C1724" s="20"/>
      <c r="D1724" s="20">
        <v>25000</v>
      </c>
      <c r="E1724" s="99" t="s">
        <v>860</v>
      </c>
      <c r="F1724" s="20">
        <f t="shared" si="26"/>
        <v>191867729</v>
      </c>
      <c r="G1724" s="7" t="s">
        <v>330</v>
      </c>
      <c r="H1724" s="24" t="s">
        <v>109</v>
      </c>
      <c r="I1724" s="32" t="s">
        <v>152</v>
      </c>
      <c r="K1724" s="181"/>
      <c r="L1724" s="181"/>
    </row>
    <row r="1725" spans="1:12" x14ac:dyDescent="0.35">
      <c r="A1725" s="19">
        <v>45899</v>
      </c>
      <c r="B1725" s="20"/>
      <c r="C1725" s="20"/>
      <c r="D1725" s="20">
        <v>100000</v>
      </c>
      <c r="E1725" s="99" t="s">
        <v>860</v>
      </c>
      <c r="F1725" s="20">
        <f t="shared" si="26"/>
        <v>191967729</v>
      </c>
      <c r="G1725" s="7" t="s">
        <v>330</v>
      </c>
      <c r="H1725" s="24" t="s">
        <v>109</v>
      </c>
      <c r="I1725" s="32" t="s">
        <v>152</v>
      </c>
      <c r="K1725" s="181"/>
      <c r="L1725" s="181"/>
    </row>
    <row r="1726" spans="1:12" x14ac:dyDescent="0.35">
      <c r="A1726" s="19">
        <v>45899</v>
      </c>
      <c r="B1726" s="20"/>
      <c r="C1726" s="20"/>
      <c r="D1726" s="20">
        <v>50000</v>
      </c>
      <c r="E1726" s="99" t="s">
        <v>860</v>
      </c>
      <c r="F1726" s="20">
        <f t="shared" si="26"/>
        <v>192017729</v>
      </c>
      <c r="G1726" s="7" t="s">
        <v>330</v>
      </c>
      <c r="H1726" s="24" t="s">
        <v>109</v>
      </c>
      <c r="I1726" s="32" t="s">
        <v>152</v>
      </c>
      <c r="K1726" s="181"/>
      <c r="L1726" s="181"/>
    </row>
    <row r="1727" spans="1:12" x14ac:dyDescent="0.35">
      <c r="A1727" s="19">
        <v>45899</v>
      </c>
      <c r="B1727" s="20"/>
      <c r="C1727" s="20"/>
      <c r="D1727" s="20">
        <v>200000</v>
      </c>
      <c r="E1727" s="99" t="s">
        <v>860</v>
      </c>
      <c r="F1727" s="20">
        <f t="shared" si="26"/>
        <v>192217729</v>
      </c>
      <c r="G1727" s="7" t="s">
        <v>330</v>
      </c>
      <c r="H1727" s="24" t="s">
        <v>109</v>
      </c>
      <c r="I1727" s="32" t="s">
        <v>152</v>
      </c>
      <c r="K1727" s="181"/>
      <c r="L1727" s="181"/>
    </row>
    <row r="1728" spans="1:12" x14ac:dyDescent="0.35">
      <c r="A1728" s="19">
        <v>45900</v>
      </c>
      <c r="B1728" s="20">
        <v>750000</v>
      </c>
      <c r="C1728" s="20"/>
      <c r="D1728" s="20"/>
      <c r="E1728" s="99" t="s">
        <v>860</v>
      </c>
      <c r="F1728" s="20">
        <f t="shared" si="26"/>
        <v>191467729</v>
      </c>
      <c r="G1728" s="7" t="s">
        <v>819</v>
      </c>
      <c r="H1728" s="24" t="s">
        <v>323</v>
      </c>
      <c r="I1728" s="32" t="s">
        <v>152</v>
      </c>
      <c r="K1728" s="181"/>
      <c r="L1728" s="181"/>
    </row>
    <row r="1729" spans="1:13" x14ac:dyDescent="0.35">
      <c r="A1729" s="19">
        <v>45900</v>
      </c>
      <c r="B1729" s="20">
        <v>6500</v>
      </c>
      <c r="C1729" s="20"/>
      <c r="D1729" s="20"/>
      <c r="E1729" s="99" t="s">
        <v>860</v>
      </c>
      <c r="F1729" s="20">
        <f t="shared" si="26"/>
        <v>191461229</v>
      </c>
      <c r="G1729" s="7" t="s">
        <v>819</v>
      </c>
      <c r="H1729" s="24" t="s">
        <v>323</v>
      </c>
      <c r="I1729" s="32" t="s">
        <v>152</v>
      </c>
      <c r="K1729" s="181"/>
      <c r="L1729" s="181"/>
    </row>
    <row r="1730" spans="1:13" x14ac:dyDescent="0.35">
      <c r="A1730" s="19">
        <v>45900</v>
      </c>
      <c r="B1730" s="20"/>
      <c r="C1730" s="20"/>
      <c r="D1730" s="20">
        <v>10000</v>
      </c>
      <c r="E1730" s="99" t="s">
        <v>860</v>
      </c>
      <c r="F1730" s="20">
        <f t="shared" si="26"/>
        <v>191471229</v>
      </c>
      <c r="G1730" s="7" t="s">
        <v>330</v>
      </c>
      <c r="H1730" s="24" t="s">
        <v>109</v>
      </c>
      <c r="I1730" s="32" t="s">
        <v>152</v>
      </c>
      <c r="K1730" s="181"/>
      <c r="L1730" s="181"/>
    </row>
    <row r="1731" spans="1:13" x14ac:dyDescent="0.35">
      <c r="A1731" s="19">
        <v>45900</v>
      </c>
      <c r="B1731" s="20"/>
      <c r="C1731" s="20"/>
      <c r="D1731" s="20">
        <v>25000</v>
      </c>
      <c r="E1731" s="99" t="s">
        <v>860</v>
      </c>
      <c r="F1731" s="20">
        <f t="shared" si="26"/>
        <v>191496229</v>
      </c>
      <c r="G1731" s="7" t="s">
        <v>330</v>
      </c>
      <c r="H1731" s="24" t="s">
        <v>109</v>
      </c>
      <c r="I1731" s="32" t="s">
        <v>152</v>
      </c>
      <c r="K1731" s="181"/>
      <c r="L1731" s="181"/>
    </row>
    <row r="1732" spans="1:13" x14ac:dyDescent="0.35">
      <c r="A1732" s="19">
        <v>45900</v>
      </c>
      <c r="B1732" s="20"/>
      <c r="C1732" s="20"/>
      <c r="D1732" s="20">
        <v>20000</v>
      </c>
      <c r="E1732" s="99" t="s">
        <v>860</v>
      </c>
      <c r="F1732" s="20">
        <f t="shared" si="26"/>
        <v>191516229</v>
      </c>
      <c r="G1732" s="7" t="s">
        <v>330</v>
      </c>
      <c r="H1732" s="24" t="s">
        <v>109</v>
      </c>
      <c r="I1732" s="32" t="s">
        <v>152</v>
      </c>
      <c r="K1732" s="181"/>
      <c r="L1732" s="181"/>
    </row>
    <row r="1733" spans="1:13" x14ac:dyDescent="0.35">
      <c r="A1733" s="19">
        <v>45901</v>
      </c>
      <c r="B1733" s="20"/>
      <c r="C1733" s="20"/>
      <c r="D1733" s="20">
        <v>500000</v>
      </c>
      <c r="E1733" s="99" t="s">
        <v>861</v>
      </c>
      <c r="F1733" s="20">
        <f t="shared" si="26"/>
        <v>192016229</v>
      </c>
      <c r="G1733" s="7" t="s">
        <v>579</v>
      </c>
      <c r="H1733" s="24" t="s">
        <v>109</v>
      </c>
      <c r="I1733" s="32" t="s">
        <v>152</v>
      </c>
      <c r="K1733" s="181"/>
      <c r="L1733" s="181"/>
    </row>
    <row r="1734" spans="1:13" x14ac:dyDescent="0.35">
      <c r="A1734" s="19">
        <v>45901</v>
      </c>
      <c r="B1734" s="20"/>
      <c r="C1734" s="20"/>
      <c r="D1734" s="20">
        <v>25000</v>
      </c>
      <c r="E1734" s="99" t="s">
        <v>861</v>
      </c>
      <c r="F1734" s="20">
        <f t="shared" si="26"/>
        <v>192041229</v>
      </c>
      <c r="G1734" s="7" t="s">
        <v>330</v>
      </c>
      <c r="H1734" s="24" t="s">
        <v>109</v>
      </c>
      <c r="I1734" s="32" t="s">
        <v>152</v>
      </c>
      <c r="K1734" s="181"/>
      <c r="L1734" s="181"/>
    </row>
    <row r="1735" spans="1:13" x14ac:dyDescent="0.35">
      <c r="A1735" s="19">
        <v>45901</v>
      </c>
      <c r="B1735" s="20"/>
      <c r="C1735" s="20"/>
      <c r="D1735" s="20">
        <v>10000</v>
      </c>
      <c r="E1735" s="99" t="s">
        <v>861</v>
      </c>
      <c r="F1735" s="20">
        <f t="shared" si="26"/>
        <v>192051229</v>
      </c>
      <c r="G1735" s="7" t="s">
        <v>330</v>
      </c>
      <c r="H1735" s="24" t="s">
        <v>109</v>
      </c>
      <c r="I1735" s="32" t="s">
        <v>152</v>
      </c>
      <c r="K1735" s="181"/>
      <c r="L1735" s="181"/>
    </row>
    <row r="1736" spans="1:13" x14ac:dyDescent="0.35">
      <c r="A1736" s="19">
        <v>45901</v>
      </c>
      <c r="B1736" s="20"/>
      <c r="C1736" s="20"/>
      <c r="D1736" s="20">
        <v>20000</v>
      </c>
      <c r="E1736" s="99" t="s">
        <v>861</v>
      </c>
      <c r="F1736" s="20">
        <f t="shared" si="26"/>
        <v>192071229</v>
      </c>
      <c r="G1736" s="7" t="s">
        <v>330</v>
      </c>
      <c r="H1736" s="24" t="s">
        <v>109</v>
      </c>
      <c r="I1736" s="32" t="s">
        <v>152</v>
      </c>
      <c r="K1736" s="181"/>
      <c r="L1736" s="181"/>
    </row>
    <row r="1737" spans="1:13" x14ac:dyDescent="0.35">
      <c r="A1737" s="19">
        <v>45901</v>
      </c>
      <c r="B1737" s="20"/>
      <c r="C1737" s="20"/>
      <c r="D1737" s="20">
        <v>200000</v>
      </c>
      <c r="E1737" s="99" t="s">
        <v>861</v>
      </c>
      <c r="F1737" s="20">
        <f t="shared" si="26"/>
        <v>192271229</v>
      </c>
      <c r="G1737" s="7" t="s">
        <v>674</v>
      </c>
      <c r="H1737" s="24" t="s">
        <v>109</v>
      </c>
      <c r="I1737" s="32" t="s">
        <v>152</v>
      </c>
      <c r="K1737" s="181"/>
      <c r="L1737" s="181"/>
      <c r="M1737" s="160"/>
    </row>
    <row r="1738" spans="1:13" x14ac:dyDescent="0.35">
      <c r="A1738" s="19">
        <v>45901</v>
      </c>
      <c r="B1738" s="20"/>
      <c r="C1738" s="20"/>
      <c r="D1738" s="20">
        <v>350000</v>
      </c>
      <c r="E1738" s="99" t="s">
        <v>861</v>
      </c>
      <c r="F1738" s="20">
        <f t="shared" ref="F1738:F1801" si="27">+F1737+D1738-B1738</f>
        <v>192621229</v>
      </c>
      <c r="G1738" s="7" t="s">
        <v>740</v>
      </c>
      <c r="H1738" s="24" t="s">
        <v>109</v>
      </c>
      <c r="I1738" s="32" t="s">
        <v>152</v>
      </c>
      <c r="K1738" s="181"/>
      <c r="L1738" s="181"/>
      <c r="M1738" s="160"/>
    </row>
    <row r="1739" spans="1:13" x14ac:dyDescent="0.35">
      <c r="A1739" s="19">
        <v>45901</v>
      </c>
      <c r="B1739" s="20"/>
      <c r="C1739" s="20"/>
      <c r="D1739" s="20">
        <v>750000</v>
      </c>
      <c r="E1739" s="99" t="s">
        <v>861</v>
      </c>
      <c r="F1739" s="20">
        <f t="shared" si="27"/>
        <v>193371229</v>
      </c>
      <c r="G1739" s="7" t="s">
        <v>820</v>
      </c>
      <c r="H1739" s="24" t="s">
        <v>109</v>
      </c>
      <c r="I1739" s="32" t="s">
        <v>152</v>
      </c>
      <c r="K1739" s="181"/>
      <c r="L1739" s="181"/>
      <c r="M1739" s="160"/>
    </row>
    <row r="1740" spans="1:13" x14ac:dyDescent="0.35">
      <c r="A1740" s="19">
        <v>45902</v>
      </c>
      <c r="B1740" s="20"/>
      <c r="C1740" s="20"/>
      <c r="D1740" s="20">
        <v>20000</v>
      </c>
      <c r="E1740" s="99" t="s">
        <v>861</v>
      </c>
      <c r="F1740" s="20">
        <f t="shared" si="27"/>
        <v>193391229</v>
      </c>
      <c r="G1740" s="7" t="s">
        <v>330</v>
      </c>
      <c r="H1740" s="24" t="s">
        <v>109</v>
      </c>
      <c r="I1740" s="32" t="s">
        <v>152</v>
      </c>
      <c r="K1740" s="181"/>
      <c r="L1740" s="181"/>
    </row>
    <row r="1741" spans="1:13" x14ac:dyDescent="0.35">
      <c r="A1741" s="19">
        <v>45902</v>
      </c>
      <c r="B1741" s="20"/>
      <c r="C1741" s="20"/>
      <c r="D1741" s="20">
        <v>3879000</v>
      </c>
      <c r="E1741" s="99" t="s">
        <v>861</v>
      </c>
      <c r="F1741" s="20">
        <f t="shared" si="27"/>
        <v>197270229</v>
      </c>
      <c r="G1741" s="7"/>
      <c r="H1741" s="24" t="s">
        <v>107</v>
      </c>
      <c r="I1741" s="32" t="s">
        <v>152</v>
      </c>
      <c r="K1741" s="181"/>
      <c r="L1741" s="181"/>
    </row>
    <row r="1742" spans="1:13" x14ac:dyDescent="0.35">
      <c r="A1742" s="19">
        <v>45902</v>
      </c>
      <c r="B1742" s="20"/>
      <c r="C1742" s="20"/>
      <c r="D1742" s="20">
        <v>4524000</v>
      </c>
      <c r="E1742" s="99" t="s">
        <v>861</v>
      </c>
      <c r="F1742" s="20">
        <f t="shared" si="27"/>
        <v>201794229</v>
      </c>
      <c r="G1742" s="7"/>
      <c r="H1742" s="24" t="s">
        <v>109</v>
      </c>
      <c r="I1742" s="32" t="s">
        <v>152</v>
      </c>
      <c r="K1742" s="181"/>
      <c r="L1742" s="181"/>
    </row>
    <row r="1743" spans="1:13" x14ac:dyDescent="0.35">
      <c r="A1743" s="19"/>
      <c r="B1743" s="20"/>
      <c r="C1743" s="20">
        <v>8403000</v>
      </c>
      <c r="D1743" s="20"/>
      <c r="E1743" s="99"/>
      <c r="F1743" s="20">
        <f t="shared" si="27"/>
        <v>201794229</v>
      </c>
      <c r="G1743" s="7" t="s">
        <v>821</v>
      </c>
      <c r="H1743" s="24"/>
      <c r="I1743" s="32"/>
      <c r="K1743" s="181"/>
      <c r="L1743" s="181"/>
      <c r="M1743" s="160"/>
    </row>
    <row r="1744" spans="1:13" x14ac:dyDescent="0.35">
      <c r="A1744" s="19">
        <v>45903</v>
      </c>
      <c r="B1744" s="20"/>
      <c r="C1744" s="20"/>
      <c r="D1744" s="20">
        <v>200000</v>
      </c>
      <c r="E1744" s="99" t="s">
        <v>861</v>
      </c>
      <c r="F1744" s="20">
        <f t="shared" si="27"/>
        <v>201994229</v>
      </c>
      <c r="G1744" s="7" t="s">
        <v>333</v>
      </c>
      <c r="H1744" s="24" t="s">
        <v>109</v>
      </c>
      <c r="I1744" s="32" t="s">
        <v>152</v>
      </c>
      <c r="K1744" s="181"/>
      <c r="L1744" s="181"/>
      <c r="M1744" s="160"/>
    </row>
    <row r="1745" spans="1:13" x14ac:dyDescent="0.35">
      <c r="A1745" s="19">
        <v>45903</v>
      </c>
      <c r="B1745" s="20"/>
      <c r="C1745" s="20"/>
      <c r="D1745" s="20">
        <v>10000</v>
      </c>
      <c r="E1745" s="99" t="s">
        <v>861</v>
      </c>
      <c r="F1745" s="20">
        <f t="shared" si="27"/>
        <v>202004229</v>
      </c>
      <c r="G1745" s="7" t="s">
        <v>330</v>
      </c>
      <c r="H1745" s="24" t="s">
        <v>109</v>
      </c>
      <c r="I1745" s="32" t="s">
        <v>152</v>
      </c>
      <c r="K1745" s="181"/>
      <c r="L1745" s="181"/>
      <c r="M1745" s="160"/>
    </row>
    <row r="1746" spans="1:13" x14ac:dyDescent="0.35">
      <c r="A1746" s="19">
        <v>45903</v>
      </c>
      <c r="B1746" s="20"/>
      <c r="C1746" s="20"/>
      <c r="D1746" s="20">
        <v>20000</v>
      </c>
      <c r="E1746" s="99" t="s">
        <v>861</v>
      </c>
      <c r="F1746" s="20">
        <f t="shared" si="27"/>
        <v>202024229</v>
      </c>
      <c r="G1746" s="7" t="s">
        <v>330</v>
      </c>
      <c r="H1746" s="24" t="s">
        <v>109</v>
      </c>
      <c r="I1746" s="32" t="s">
        <v>152</v>
      </c>
      <c r="K1746" s="181"/>
      <c r="L1746" s="181"/>
    </row>
    <row r="1747" spans="1:13" x14ac:dyDescent="0.35">
      <c r="A1747" s="19">
        <v>45903</v>
      </c>
      <c r="B1747" s="20"/>
      <c r="C1747" s="20"/>
      <c r="D1747" s="20">
        <v>300000</v>
      </c>
      <c r="E1747" s="99" t="s">
        <v>861</v>
      </c>
      <c r="F1747" s="20">
        <f t="shared" si="27"/>
        <v>202324229</v>
      </c>
      <c r="G1747" s="7" t="s">
        <v>577</v>
      </c>
      <c r="H1747" s="24" t="s">
        <v>109</v>
      </c>
      <c r="I1747" s="32" t="s">
        <v>152</v>
      </c>
      <c r="K1747" s="181"/>
      <c r="L1747" s="181"/>
      <c r="M1747" s="160"/>
    </row>
    <row r="1748" spans="1:13" x14ac:dyDescent="0.35">
      <c r="A1748" s="19">
        <v>45903</v>
      </c>
      <c r="B1748" s="20"/>
      <c r="C1748" s="20"/>
      <c r="D1748" s="20">
        <v>150000</v>
      </c>
      <c r="E1748" s="99" t="s">
        <v>861</v>
      </c>
      <c r="F1748" s="20">
        <f t="shared" si="27"/>
        <v>202474229</v>
      </c>
      <c r="G1748" s="7" t="s">
        <v>603</v>
      </c>
      <c r="H1748" s="24" t="s">
        <v>109</v>
      </c>
      <c r="I1748" s="32" t="s">
        <v>152</v>
      </c>
      <c r="K1748" s="181"/>
      <c r="L1748" s="181"/>
      <c r="M1748" s="160"/>
    </row>
    <row r="1749" spans="1:13" x14ac:dyDescent="0.35">
      <c r="A1749" s="19">
        <v>45904</v>
      </c>
      <c r="B1749" s="20"/>
      <c r="C1749" s="20"/>
      <c r="D1749" s="20">
        <v>200000</v>
      </c>
      <c r="E1749" s="99" t="s">
        <v>861</v>
      </c>
      <c r="F1749" s="20">
        <f t="shared" si="27"/>
        <v>202674229</v>
      </c>
      <c r="G1749" s="7" t="s">
        <v>531</v>
      </c>
      <c r="H1749" s="24" t="s">
        <v>109</v>
      </c>
      <c r="I1749" s="32" t="s">
        <v>152</v>
      </c>
      <c r="K1749" s="181"/>
      <c r="L1749" s="181"/>
      <c r="M1749" s="160"/>
    </row>
    <row r="1750" spans="1:13" x14ac:dyDescent="0.35">
      <c r="A1750" s="19">
        <v>45904</v>
      </c>
      <c r="B1750" s="20"/>
      <c r="C1750" s="20"/>
      <c r="D1750" s="20">
        <v>10000</v>
      </c>
      <c r="E1750" s="99" t="s">
        <v>861</v>
      </c>
      <c r="F1750" s="20">
        <f t="shared" si="27"/>
        <v>202684229</v>
      </c>
      <c r="G1750" s="7" t="s">
        <v>330</v>
      </c>
      <c r="H1750" s="24" t="s">
        <v>109</v>
      </c>
      <c r="I1750" s="32" t="s">
        <v>152</v>
      </c>
      <c r="K1750" s="181"/>
      <c r="L1750" s="181"/>
    </row>
    <row r="1751" spans="1:13" x14ac:dyDescent="0.35">
      <c r="A1751" s="19">
        <v>45904</v>
      </c>
      <c r="B1751" s="20"/>
      <c r="C1751" s="20"/>
      <c r="D1751" s="20">
        <v>20000</v>
      </c>
      <c r="E1751" s="99" t="s">
        <v>861</v>
      </c>
      <c r="F1751" s="20">
        <f t="shared" si="27"/>
        <v>202704229</v>
      </c>
      <c r="G1751" s="7" t="s">
        <v>330</v>
      </c>
      <c r="H1751" s="24" t="s">
        <v>109</v>
      </c>
      <c r="I1751" s="32" t="s">
        <v>152</v>
      </c>
      <c r="K1751" s="181"/>
      <c r="L1751" s="181"/>
    </row>
    <row r="1752" spans="1:13" x14ac:dyDescent="0.35">
      <c r="A1752" s="19">
        <v>45904</v>
      </c>
      <c r="B1752" s="20"/>
      <c r="C1752" s="20"/>
      <c r="D1752" s="20">
        <v>30000</v>
      </c>
      <c r="E1752" s="99" t="s">
        <v>861</v>
      </c>
      <c r="F1752" s="20">
        <f t="shared" si="27"/>
        <v>202734229</v>
      </c>
      <c r="G1752" s="7" t="s">
        <v>330</v>
      </c>
      <c r="H1752" s="24" t="s">
        <v>109</v>
      </c>
      <c r="I1752" s="32" t="s">
        <v>152</v>
      </c>
      <c r="K1752" s="181"/>
      <c r="L1752" s="181"/>
    </row>
    <row r="1753" spans="1:13" x14ac:dyDescent="0.35">
      <c r="A1753" s="19">
        <v>45905</v>
      </c>
      <c r="B1753" s="20"/>
      <c r="C1753" s="20"/>
      <c r="D1753" s="20">
        <v>20000</v>
      </c>
      <c r="E1753" s="99" t="s">
        <v>861</v>
      </c>
      <c r="F1753" s="20">
        <f t="shared" si="27"/>
        <v>202754229</v>
      </c>
      <c r="G1753" s="7" t="s">
        <v>330</v>
      </c>
      <c r="H1753" s="24" t="s">
        <v>109</v>
      </c>
      <c r="I1753" s="32" t="s">
        <v>152</v>
      </c>
      <c r="K1753" s="181"/>
      <c r="L1753" s="181"/>
    </row>
    <row r="1754" spans="1:13" x14ac:dyDescent="0.35">
      <c r="A1754" s="19">
        <v>45905</v>
      </c>
      <c r="B1754" s="20"/>
      <c r="C1754" s="20"/>
      <c r="D1754" s="20">
        <v>50000</v>
      </c>
      <c r="E1754" s="99" t="s">
        <v>861</v>
      </c>
      <c r="F1754" s="20">
        <f t="shared" si="27"/>
        <v>202804229</v>
      </c>
      <c r="G1754" s="7" t="s">
        <v>330</v>
      </c>
      <c r="H1754" s="24" t="s">
        <v>109</v>
      </c>
      <c r="I1754" s="32" t="s">
        <v>152</v>
      </c>
      <c r="K1754" s="181"/>
      <c r="L1754" s="181"/>
    </row>
    <row r="1755" spans="1:13" x14ac:dyDescent="0.35">
      <c r="A1755" s="19">
        <v>45905</v>
      </c>
      <c r="B1755" s="20"/>
      <c r="C1755" s="20"/>
      <c r="D1755" s="20">
        <v>2000000</v>
      </c>
      <c r="E1755" s="99" t="s">
        <v>861</v>
      </c>
      <c r="F1755" s="20">
        <f t="shared" si="27"/>
        <v>204804229</v>
      </c>
      <c r="G1755" s="7" t="s">
        <v>745</v>
      </c>
      <c r="H1755" s="24" t="s">
        <v>109</v>
      </c>
      <c r="I1755" s="32" t="s">
        <v>152</v>
      </c>
      <c r="K1755" s="181"/>
      <c r="L1755" s="181"/>
    </row>
    <row r="1756" spans="1:13" x14ac:dyDescent="0.35">
      <c r="A1756" s="19">
        <v>45906</v>
      </c>
      <c r="B1756" s="20">
        <v>750000</v>
      </c>
      <c r="C1756" s="20"/>
      <c r="D1756" s="20"/>
      <c r="E1756" s="99" t="s">
        <v>861</v>
      </c>
      <c r="F1756" s="20">
        <f t="shared" si="27"/>
        <v>204054229</v>
      </c>
      <c r="G1756" s="7" t="s">
        <v>818</v>
      </c>
      <c r="H1756" s="24" t="s">
        <v>323</v>
      </c>
      <c r="I1756" s="32" t="s">
        <v>152</v>
      </c>
      <c r="K1756" s="181"/>
      <c r="L1756" s="181"/>
    </row>
    <row r="1757" spans="1:13" x14ac:dyDescent="0.35">
      <c r="A1757" s="19">
        <v>45906</v>
      </c>
      <c r="B1757" s="20">
        <v>6500</v>
      </c>
      <c r="C1757" s="20"/>
      <c r="D1757" s="20"/>
      <c r="E1757" s="99" t="s">
        <v>861</v>
      </c>
      <c r="F1757" s="20">
        <f t="shared" si="27"/>
        <v>204047729</v>
      </c>
      <c r="G1757" s="7" t="s">
        <v>818</v>
      </c>
      <c r="H1757" s="24" t="s">
        <v>323</v>
      </c>
      <c r="I1757" s="32" t="s">
        <v>152</v>
      </c>
      <c r="K1757" s="181"/>
      <c r="L1757" s="181"/>
    </row>
    <row r="1758" spans="1:13" x14ac:dyDescent="0.35">
      <c r="A1758" s="19">
        <v>45906</v>
      </c>
      <c r="B1758" s="20"/>
      <c r="C1758" s="20"/>
      <c r="D1758" s="20">
        <v>20000</v>
      </c>
      <c r="E1758" s="99" t="s">
        <v>861</v>
      </c>
      <c r="F1758" s="20">
        <f t="shared" si="27"/>
        <v>204067729</v>
      </c>
      <c r="G1758" s="7" t="s">
        <v>330</v>
      </c>
      <c r="H1758" s="24" t="s">
        <v>109</v>
      </c>
      <c r="I1758" s="32" t="s">
        <v>152</v>
      </c>
      <c r="K1758" s="181"/>
      <c r="L1758" s="181"/>
    </row>
    <row r="1759" spans="1:13" x14ac:dyDescent="0.35">
      <c r="A1759" s="19">
        <v>45906</v>
      </c>
      <c r="B1759" s="20"/>
      <c r="C1759" s="20"/>
      <c r="D1759" s="20">
        <v>50000</v>
      </c>
      <c r="E1759" s="99" t="s">
        <v>861</v>
      </c>
      <c r="F1759" s="20">
        <f t="shared" si="27"/>
        <v>204117729</v>
      </c>
      <c r="G1759" s="7" t="s">
        <v>330</v>
      </c>
      <c r="H1759" s="24" t="s">
        <v>109</v>
      </c>
      <c r="I1759" s="32" t="s">
        <v>152</v>
      </c>
      <c r="K1759" s="181"/>
      <c r="L1759" s="181"/>
    </row>
    <row r="1760" spans="1:13" x14ac:dyDescent="0.35">
      <c r="A1760" s="19">
        <v>45906</v>
      </c>
      <c r="B1760" s="20"/>
      <c r="C1760" s="20"/>
      <c r="D1760" s="20">
        <v>45000</v>
      </c>
      <c r="E1760" s="99" t="s">
        <v>861</v>
      </c>
      <c r="F1760" s="20">
        <f t="shared" si="27"/>
        <v>204162729</v>
      </c>
      <c r="G1760" s="7" t="s">
        <v>330</v>
      </c>
      <c r="H1760" s="24" t="s">
        <v>109</v>
      </c>
      <c r="I1760" s="32" t="s">
        <v>152</v>
      </c>
      <c r="K1760" s="181"/>
      <c r="L1760" s="181"/>
    </row>
    <row r="1761" spans="1:12" x14ac:dyDescent="0.35">
      <c r="A1761" s="19">
        <v>45906</v>
      </c>
      <c r="B1761" s="20"/>
      <c r="C1761" s="20"/>
      <c r="D1761" s="20">
        <v>50000</v>
      </c>
      <c r="E1761" s="99" t="s">
        <v>861</v>
      </c>
      <c r="F1761" s="20">
        <f t="shared" si="27"/>
        <v>204212729</v>
      </c>
      <c r="G1761" s="7" t="s">
        <v>330</v>
      </c>
      <c r="H1761" s="24" t="s">
        <v>109</v>
      </c>
      <c r="I1761" s="32" t="s">
        <v>152</v>
      </c>
      <c r="K1761" s="181"/>
      <c r="L1761" s="181"/>
    </row>
    <row r="1762" spans="1:12" x14ac:dyDescent="0.35">
      <c r="A1762" s="19">
        <v>45906</v>
      </c>
      <c r="B1762" s="20"/>
      <c r="C1762" s="20"/>
      <c r="D1762" s="20">
        <v>100000</v>
      </c>
      <c r="E1762" s="99" t="s">
        <v>861</v>
      </c>
      <c r="F1762" s="20">
        <f t="shared" si="27"/>
        <v>204312729</v>
      </c>
      <c r="G1762" s="7" t="s">
        <v>330</v>
      </c>
      <c r="H1762" s="24" t="s">
        <v>109</v>
      </c>
      <c r="I1762" s="32" t="s">
        <v>152</v>
      </c>
      <c r="K1762" s="181"/>
      <c r="L1762" s="181"/>
    </row>
    <row r="1763" spans="1:12" x14ac:dyDescent="0.35">
      <c r="A1763" s="19">
        <v>45906</v>
      </c>
      <c r="B1763" s="20"/>
      <c r="C1763" s="20"/>
      <c r="D1763" s="20">
        <v>5000</v>
      </c>
      <c r="E1763" s="99" t="s">
        <v>861</v>
      </c>
      <c r="F1763" s="20">
        <f t="shared" si="27"/>
        <v>204317729</v>
      </c>
      <c r="G1763" s="7" t="s">
        <v>330</v>
      </c>
      <c r="H1763" s="24" t="s">
        <v>109</v>
      </c>
      <c r="I1763" s="32" t="s">
        <v>152</v>
      </c>
      <c r="K1763" s="181"/>
      <c r="L1763" s="181"/>
    </row>
    <row r="1764" spans="1:12" x14ac:dyDescent="0.35">
      <c r="A1764" s="19">
        <v>45906</v>
      </c>
      <c r="B1764" s="20"/>
      <c r="C1764" s="20"/>
      <c r="D1764" s="20">
        <v>20000</v>
      </c>
      <c r="E1764" s="99" t="s">
        <v>861</v>
      </c>
      <c r="F1764" s="20">
        <f t="shared" si="27"/>
        <v>204337729</v>
      </c>
      <c r="G1764" s="7" t="s">
        <v>330</v>
      </c>
      <c r="H1764" s="24" t="s">
        <v>109</v>
      </c>
      <c r="I1764" s="32" t="s">
        <v>152</v>
      </c>
      <c r="K1764" s="181"/>
      <c r="L1764" s="181"/>
    </row>
    <row r="1765" spans="1:12" x14ac:dyDescent="0.35">
      <c r="A1765" s="19">
        <v>45906</v>
      </c>
      <c r="B1765" s="20"/>
      <c r="C1765" s="20"/>
      <c r="D1765" s="20">
        <v>99999</v>
      </c>
      <c r="E1765" s="99" t="s">
        <v>861</v>
      </c>
      <c r="F1765" s="20">
        <f t="shared" si="27"/>
        <v>204437728</v>
      </c>
      <c r="G1765" s="7" t="s">
        <v>330</v>
      </c>
      <c r="H1765" s="24" t="s">
        <v>109</v>
      </c>
      <c r="I1765" s="32" t="s">
        <v>152</v>
      </c>
      <c r="K1765" s="181"/>
      <c r="L1765" s="181"/>
    </row>
    <row r="1766" spans="1:12" x14ac:dyDescent="0.35">
      <c r="A1766" s="19">
        <v>45906</v>
      </c>
      <c r="B1766" s="20"/>
      <c r="C1766" s="20"/>
      <c r="D1766" s="20">
        <v>200000</v>
      </c>
      <c r="E1766" s="99" t="s">
        <v>861</v>
      </c>
      <c r="F1766" s="20">
        <f t="shared" si="27"/>
        <v>204637728</v>
      </c>
      <c r="G1766" s="7" t="s">
        <v>330</v>
      </c>
      <c r="H1766" s="24" t="s">
        <v>109</v>
      </c>
      <c r="I1766" s="32" t="s">
        <v>152</v>
      </c>
      <c r="K1766" s="181"/>
      <c r="L1766" s="181"/>
    </row>
    <row r="1767" spans="1:12" x14ac:dyDescent="0.35">
      <c r="A1767" s="19">
        <v>45906</v>
      </c>
      <c r="B1767" s="20"/>
      <c r="C1767" s="20"/>
      <c r="D1767" s="20">
        <v>700000</v>
      </c>
      <c r="E1767" s="99" t="s">
        <v>861</v>
      </c>
      <c r="F1767" s="20">
        <f t="shared" si="27"/>
        <v>205337728</v>
      </c>
      <c r="G1767" s="7" t="s">
        <v>825</v>
      </c>
      <c r="H1767" s="24" t="s">
        <v>109</v>
      </c>
      <c r="I1767" s="32" t="s">
        <v>152</v>
      </c>
      <c r="K1767" s="181"/>
      <c r="L1767" s="181"/>
    </row>
    <row r="1768" spans="1:12" x14ac:dyDescent="0.35">
      <c r="A1768" s="19">
        <v>45907</v>
      </c>
      <c r="B1768" s="20">
        <v>750000</v>
      </c>
      <c r="C1768" s="20"/>
      <c r="D1768" s="20"/>
      <c r="E1768" s="99" t="s">
        <v>861</v>
      </c>
      <c r="F1768" s="20">
        <f t="shared" si="27"/>
        <v>204587728</v>
      </c>
      <c r="G1768" s="7" t="s">
        <v>826</v>
      </c>
      <c r="H1768" s="24" t="s">
        <v>323</v>
      </c>
      <c r="I1768" s="32" t="s">
        <v>152</v>
      </c>
      <c r="K1768" s="181"/>
      <c r="L1768" s="181"/>
    </row>
    <row r="1769" spans="1:12" x14ac:dyDescent="0.35">
      <c r="A1769" s="19">
        <v>45907</v>
      </c>
      <c r="B1769" s="20">
        <v>6500</v>
      </c>
      <c r="C1769" s="20"/>
      <c r="D1769" s="20"/>
      <c r="E1769" s="99" t="s">
        <v>861</v>
      </c>
      <c r="F1769" s="20">
        <f t="shared" si="27"/>
        <v>204581228</v>
      </c>
      <c r="G1769" s="7" t="s">
        <v>826</v>
      </c>
      <c r="H1769" s="24" t="s">
        <v>323</v>
      </c>
      <c r="I1769" s="32" t="s">
        <v>152</v>
      </c>
      <c r="K1769" s="181"/>
      <c r="L1769" s="181"/>
    </row>
    <row r="1770" spans="1:12" x14ac:dyDescent="0.35">
      <c r="A1770" s="19">
        <v>45907</v>
      </c>
      <c r="B1770" s="20"/>
      <c r="C1770" s="20"/>
      <c r="D1770" s="20">
        <v>25000</v>
      </c>
      <c r="E1770" s="99" t="s">
        <v>861</v>
      </c>
      <c r="F1770" s="20">
        <f t="shared" si="27"/>
        <v>204606228</v>
      </c>
      <c r="G1770" s="7" t="s">
        <v>330</v>
      </c>
      <c r="H1770" s="24" t="s">
        <v>109</v>
      </c>
      <c r="I1770" s="32" t="s">
        <v>152</v>
      </c>
      <c r="K1770" s="181"/>
      <c r="L1770" s="181"/>
    </row>
    <row r="1771" spans="1:12" x14ac:dyDescent="0.35">
      <c r="A1771" s="19">
        <v>45907</v>
      </c>
      <c r="B1771" s="20"/>
      <c r="C1771" s="20"/>
      <c r="D1771" s="20">
        <v>20000</v>
      </c>
      <c r="E1771" s="99" t="s">
        <v>861</v>
      </c>
      <c r="F1771" s="20">
        <f t="shared" si="27"/>
        <v>204626228</v>
      </c>
      <c r="G1771" s="7" t="s">
        <v>330</v>
      </c>
      <c r="H1771" s="24" t="s">
        <v>109</v>
      </c>
      <c r="I1771" s="32" t="s">
        <v>152</v>
      </c>
      <c r="K1771" s="181"/>
      <c r="L1771" s="181"/>
    </row>
    <row r="1772" spans="1:12" x14ac:dyDescent="0.35">
      <c r="A1772" s="19">
        <v>45908</v>
      </c>
      <c r="B1772" s="20"/>
      <c r="C1772" s="20"/>
      <c r="D1772" s="20">
        <v>25000</v>
      </c>
      <c r="E1772" s="99" t="s">
        <v>861</v>
      </c>
      <c r="F1772" s="20">
        <f t="shared" si="27"/>
        <v>204651228</v>
      </c>
      <c r="G1772" s="7" t="s">
        <v>330</v>
      </c>
      <c r="H1772" s="24" t="s">
        <v>109</v>
      </c>
      <c r="I1772" s="32" t="s">
        <v>152</v>
      </c>
      <c r="K1772" s="181"/>
      <c r="L1772" s="181"/>
    </row>
    <row r="1773" spans="1:12" x14ac:dyDescent="0.35">
      <c r="A1773" s="19">
        <v>45908</v>
      </c>
      <c r="B1773" s="20"/>
      <c r="C1773" s="20"/>
      <c r="D1773" s="20">
        <v>20000</v>
      </c>
      <c r="E1773" s="99" t="s">
        <v>861</v>
      </c>
      <c r="F1773" s="20">
        <f t="shared" si="27"/>
        <v>204671228</v>
      </c>
      <c r="G1773" s="7" t="s">
        <v>330</v>
      </c>
      <c r="H1773" s="24" t="s">
        <v>109</v>
      </c>
      <c r="I1773" s="32" t="s">
        <v>152</v>
      </c>
      <c r="K1773" s="181"/>
      <c r="L1773" s="181"/>
    </row>
    <row r="1774" spans="1:12" x14ac:dyDescent="0.35">
      <c r="A1774" s="19">
        <v>45909</v>
      </c>
      <c r="B1774" s="20"/>
      <c r="C1774" s="20"/>
      <c r="D1774" s="20">
        <v>20000</v>
      </c>
      <c r="E1774" s="99" t="s">
        <v>861</v>
      </c>
      <c r="F1774" s="20">
        <f t="shared" si="27"/>
        <v>204691228</v>
      </c>
      <c r="G1774" s="7" t="s">
        <v>330</v>
      </c>
      <c r="H1774" s="24" t="s">
        <v>109</v>
      </c>
      <c r="I1774" s="32" t="s">
        <v>152</v>
      </c>
      <c r="K1774" s="181"/>
      <c r="L1774" s="181"/>
    </row>
    <row r="1775" spans="1:12" x14ac:dyDescent="0.35">
      <c r="A1775" s="19">
        <v>45909</v>
      </c>
      <c r="B1775" s="20"/>
      <c r="C1775" s="20"/>
      <c r="D1775" s="20">
        <f>3859000-950000</f>
        <v>2909000</v>
      </c>
      <c r="E1775" s="99" t="s">
        <v>861</v>
      </c>
      <c r="F1775" s="20">
        <f t="shared" si="27"/>
        <v>207600228</v>
      </c>
      <c r="G1775" s="7"/>
      <c r="H1775" s="24" t="s">
        <v>107</v>
      </c>
      <c r="I1775" s="32" t="s">
        <v>152</v>
      </c>
      <c r="K1775" s="181"/>
      <c r="L1775" s="181"/>
    </row>
    <row r="1776" spans="1:12" x14ac:dyDescent="0.35">
      <c r="A1776" s="19">
        <v>45909</v>
      </c>
      <c r="B1776" s="20"/>
      <c r="C1776" s="20"/>
      <c r="D1776" s="20">
        <v>3699000</v>
      </c>
      <c r="E1776" s="99" t="s">
        <v>861</v>
      </c>
      <c r="F1776" s="20">
        <f t="shared" si="27"/>
        <v>211299228</v>
      </c>
      <c r="G1776" s="7"/>
      <c r="H1776" s="24" t="s">
        <v>109</v>
      </c>
      <c r="I1776" s="32" t="s">
        <v>152</v>
      </c>
      <c r="K1776" s="181"/>
      <c r="L1776" s="181"/>
    </row>
    <row r="1777" spans="1:12" x14ac:dyDescent="0.35">
      <c r="A1777" s="19"/>
      <c r="B1777" s="20"/>
      <c r="C1777" s="20">
        <v>6608000</v>
      </c>
      <c r="D1777" s="20"/>
      <c r="E1777" s="99"/>
      <c r="F1777" s="20">
        <f t="shared" si="27"/>
        <v>211299228</v>
      </c>
      <c r="G1777" s="7" t="s">
        <v>827</v>
      </c>
      <c r="H1777" s="24"/>
      <c r="I1777" s="32"/>
      <c r="K1777" s="181"/>
      <c r="L1777" s="181"/>
    </row>
    <row r="1778" spans="1:12" x14ac:dyDescent="0.35">
      <c r="A1778" s="19">
        <v>45910</v>
      </c>
      <c r="B1778" s="20"/>
      <c r="C1778" s="20"/>
      <c r="D1778" s="20">
        <v>10000</v>
      </c>
      <c r="E1778" s="99" t="s">
        <v>861</v>
      </c>
      <c r="F1778" s="20">
        <f t="shared" si="27"/>
        <v>211309228</v>
      </c>
      <c r="G1778" s="7" t="s">
        <v>330</v>
      </c>
      <c r="H1778" s="24" t="s">
        <v>109</v>
      </c>
      <c r="I1778" s="32" t="s">
        <v>152</v>
      </c>
      <c r="K1778" s="181"/>
      <c r="L1778" s="181"/>
    </row>
    <row r="1779" spans="1:12" x14ac:dyDescent="0.35">
      <c r="A1779" s="19">
        <v>45910</v>
      </c>
      <c r="B1779" s="20"/>
      <c r="C1779" s="20"/>
      <c r="D1779" s="20">
        <v>400000</v>
      </c>
      <c r="E1779" s="99" t="s">
        <v>861</v>
      </c>
      <c r="F1779" s="20">
        <f t="shared" si="27"/>
        <v>211709228</v>
      </c>
      <c r="G1779" s="7" t="s">
        <v>600</v>
      </c>
      <c r="H1779" s="24" t="s">
        <v>109</v>
      </c>
      <c r="I1779" s="32" t="s">
        <v>152</v>
      </c>
      <c r="K1779" s="181"/>
      <c r="L1779" s="181"/>
    </row>
    <row r="1780" spans="1:12" x14ac:dyDescent="0.35">
      <c r="A1780" s="19">
        <v>45911</v>
      </c>
      <c r="B1780" s="20"/>
      <c r="C1780" s="20"/>
      <c r="D1780" s="20">
        <v>10000</v>
      </c>
      <c r="E1780" s="99" t="s">
        <v>861</v>
      </c>
      <c r="F1780" s="20">
        <f t="shared" si="27"/>
        <v>211719228</v>
      </c>
      <c r="G1780" s="7" t="s">
        <v>330</v>
      </c>
      <c r="H1780" s="24" t="s">
        <v>109</v>
      </c>
      <c r="I1780" s="32" t="s">
        <v>152</v>
      </c>
      <c r="K1780" s="181"/>
      <c r="L1780" s="181"/>
    </row>
    <row r="1781" spans="1:12" x14ac:dyDescent="0.35">
      <c r="A1781" s="19">
        <v>45911</v>
      </c>
      <c r="B1781" s="20"/>
      <c r="C1781" s="20"/>
      <c r="D1781" s="20">
        <v>20000</v>
      </c>
      <c r="E1781" s="99" t="s">
        <v>861</v>
      </c>
      <c r="F1781" s="20">
        <f t="shared" si="27"/>
        <v>211739228</v>
      </c>
      <c r="G1781" s="7" t="s">
        <v>330</v>
      </c>
      <c r="H1781" s="24" t="s">
        <v>109</v>
      </c>
      <c r="I1781" s="32" t="s">
        <v>152</v>
      </c>
      <c r="K1781" s="181"/>
      <c r="L1781" s="181"/>
    </row>
    <row r="1782" spans="1:12" x14ac:dyDescent="0.35">
      <c r="A1782" s="19">
        <v>45911</v>
      </c>
      <c r="B1782" s="20"/>
      <c r="C1782" s="20"/>
      <c r="D1782" s="20">
        <v>100000</v>
      </c>
      <c r="E1782" s="99" t="s">
        <v>861</v>
      </c>
      <c r="F1782" s="20">
        <f t="shared" si="27"/>
        <v>211839228</v>
      </c>
      <c r="G1782" s="7" t="s">
        <v>330</v>
      </c>
      <c r="H1782" s="24" t="s">
        <v>109</v>
      </c>
      <c r="I1782" s="32" t="s">
        <v>152</v>
      </c>
      <c r="K1782" s="181"/>
      <c r="L1782" s="181"/>
    </row>
    <row r="1783" spans="1:12" x14ac:dyDescent="0.35">
      <c r="A1783" s="19">
        <v>45911</v>
      </c>
      <c r="B1783" s="20"/>
      <c r="C1783" s="20"/>
      <c r="D1783" s="20">
        <v>500000</v>
      </c>
      <c r="E1783" s="99" t="s">
        <v>861</v>
      </c>
      <c r="F1783" s="20">
        <f t="shared" si="27"/>
        <v>212339228</v>
      </c>
      <c r="G1783" s="7" t="s">
        <v>828</v>
      </c>
      <c r="H1783" s="24" t="s">
        <v>109</v>
      </c>
      <c r="I1783" s="32" t="s">
        <v>152</v>
      </c>
      <c r="K1783" s="181"/>
      <c r="L1783" s="181"/>
    </row>
    <row r="1784" spans="1:12" x14ac:dyDescent="0.35">
      <c r="A1784" s="19">
        <v>45911</v>
      </c>
      <c r="B1784" s="20"/>
      <c r="C1784" s="20"/>
      <c r="D1784" s="20">
        <v>500000</v>
      </c>
      <c r="E1784" s="99" t="s">
        <v>861</v>
      </c>
      <c r="F1784" s="20">
        <f t="shared" si="27"/>
        <v>212839228</v>
      </c>
      <c r="G1784" s="7" t="s">
        <v>675</v>
      </c>
      <c r="H1784" s="24" t="s">
        <v>109</v>
      </c>
      <c r="I1784" s="32" t="s">
        <v>152</v>
      </c>
      <c r="K1784" s="181"/>
      <c r="L1784" s="181"/>
    </row>
    <row r="1785" spans="1:12" x14ac:dyDescent="0.35">
      <c r="A1785" s="19">
        <v>45912</v>
      </c>
      <c r="B1785" s="20"/>
      <c r="C1785" s="20"/>
      <c r="D1785" s="20">
        <v>1000</v>
      </c>
      <c r="E1785" s="99" t="s">
        <v>861</v>
      </c>
      <c r="F1785" s="20">
        <f t="shared" si="27"/>
        <v>212840228</v>
      </c>
      <c r="G1785" s="7" t="s">
        <v>330</v>
      </c>
      <c r="H1785" s="24" t="s">
        <v>109</v>
      </c>
      <c r="I1785" s="32" t="s">
        <v>152</v>
      </c>
      <c r="K1785" s="181"/>
      <c r="L1785" s="181"/>
    </row>
    <row r="1786" spans="1:12" x14ac:dyDescent="0.35">
      <c r="A1786" s="19">
        <v>45912</v>
      </c>
      <c r="B1786" s="20"/>
      <c r="C1786" s="20"/>
      <c r="D1786" s="20">
        <v>50000</v>
      </c>
      <c r="E1786" s="99" t="s">
        <v>861</v>
      </c>
      <c r="F1786" s="20">
        <f t="shared" si="27"/>
        <v>212890228</v>
      </c>
      <c r="G1786" s="7" t="s">
        <v>330</v>
      </c>
      <c r="H1786" s="24" t="s">
        <v>109</v>
      </c>
      <c r="I1786" s="32" t="s">
        <v>152</v>
      </c>
      <c r="K1786" s="181"/>
      <c r="L1786" s="181"/>
    </row>
    <row r="1787" spans="1:12" x14ac:dyDescent="0.35">
      <c r="A1787" s="19">
        <v>45912</v>
      </c>
      <c r="B1787" s="20"/>
      <c r="C1787" s="20"/>
      <c r="D1787" s="20">
        <v>10000</v>
      </c>
      <c r="E1787" s="99" t="s">
        <v>861</v>
      </c>
      <c r="F1787" s="20">
        <f t="shared" si="27"/>
        <v>212900228</v>
      </c>
      <c r="G1787" s="7" t="s">
        <v>330</v>
      </c>
      <c r="H1787" s="24" t="s">
        <v>109</v>
      </c>
      <c r="I1787" s="32" t="s">
        <v>152</v>
      </c>
      <c r="K1787" s="181"/>
      <c r="L1787" s="181"/>
    </row>
    <row r="1788" spans="1:12" x14ac:dyDescent="0.35">
      <c r="A1788" s="19">
        <v>45912</v>
      </c>
      <c r="B1788" s="20"/>
      <c r="C1788" s="20"/>
      <c r="D1788" s="20">
        <v>50000</v>
      </c>
      <c r="E1788" s="99" t="s">
        <v>861</v>
      </c>
      <c r="F1788" s="20">
        <f t="shared" si="27"/>
        <v>212950228</v>
      </c>
      <c r="G1788" s="7" t="s">
        <v>330</v>
      </c>
      <c r="H1788" s="24" t="s">
        <v>109</v>
      </c>
      <c r="I1788" s="32" t="s">
        <v>152</v>
      </c>
      <c r="K1788" s="181"/>
      <c r="L1788" s="181"/>
    </row>
    <row r="1789" spans="1:12" x14ac:dyDescent="0.35">
      <c r="A1789" s="19">
        <v>45912</v>
      </c>
      <c r="B1789" s="20"/>
      <c r="C1789" s="20"/>
      <c r="D1789" s="20">
        <v>20000</v>
      </c>
      <c r="E1789" s="99" t="s">
        <v>861</v>
      </c>
      <c r="F1789" s="20">
        <f t="shared" si="27"/>
        <v>212970228</v>
      </c>
      <c r="G1789" s="7" t="s">
        <v>330</v>
      </c>
      <c r="H1789" s="24" t="s">
        <v>109</v>
      </c>
      <c r="I1789" s="32" t="s">
        <v>152</v>
      </c>
      <c r="K1789" s="181"/>
      <c r="L1789" s="181"/>
    </row>
    <row r="1790" spans="1:12" x14ac:dyDescent="0.35">
      <c r="A1790" s="19">
        <v>45913</v>
      </c>
      <c r="B1790" s="20"/>
      <c r="C1790" s="20"/>
      <c r="D1790" s="20">
        <v>10000</v>
      </c>
      <c r="E1790" s="99" t="s">
        <v>861</v>
      </c>
      <c r="F1790" s="20">
        <f t="shared" si="27"/>
        <v>212980228</v>
      </c>
      <c r="G1790" s="7" t="s">
        <v>330</v>
      </c>
      <c r="H1790" s="24" t="s">
        <v>109</v>
      </c>
      <c r="I1790" s="32" t="s">
        <v>152</v>
      </c>
      <c r="K1790" s="181"/>
      <c r="L1790" s="181"/>
    </row>
    <row r="1791" spans="1:12" x14ac:dyDescent="0.35">
      <c r="A1791" s="19">
        <v>45913</v>
      </c>
      <c r="B1791" s="20"/>
      <c r="C1791" s="20"/>
      <c r="D1791" s="20">
        <v>101101</v>
      </c>
      <c r="E1791" s="99" t="s">
        <v>861</v>
      </c>
      <c r="F1791" s="20">
        <f t="shared" si="27"/>
        <v>213081329</v>
      </c>
      <c r="G1791" s="7" t="s">
        <v>330</v>
      </c>
      <c r="H1791" s="24" t="s">
        <v>109</v>
      </c>
      <c r="I1791" s="32" t="s">
        <v>152</v>
      </c>
      <c r="K1791" s="181"/>
      <c r="L1791" s="181"/>
    </row>
    <row r="1792" spans="1:12" x14ac:dyDescent="0.35">
      <c r="A1792" s="19">
        <v>45913</v>
      </c>
      <c r="B1792" s="20"/>
      <c r="C1792" s="20"/>
      <c r="D1792" s="20">
        <v>50000</v>
      </c>
      <c r="E1792" s="99" t="s">
        <v>861</v>
      </c>
      <c r="F1792" s="20">
        <f t="shared" si="27"/>
        <v>213131329</v>
      </c>
      <c r="G1792" s="7" t="s">
        <v>330</v>
      </c>
      <c r="H1792" s="24" t="s">
        <v>109</v>
      </c>
      <c r="I1792" s="32" t="s">
        <v>152</v>
      </c>
      <c r="K1792" s="181"/>
      <c r="L1792" s="181"/>
    </row>
    <row r="1793" spans="1:12" x14ac:dyDescent="0.35">
      <c r="A1793" s="19">
        <v>45913</v>
      </c>
      <c r="B1793" s="20"/>
      <c r="C1793" s="20"/>
      <c r="D1793" s="20">
        <v>50000</v>
      </c>
      <c r="E1793" s="99" t="s">
        <v>861</v>
      </c>
      <c r="F1793" s="20">
        <f t="shared" si="27"/>
        <v>213181329</v>
      </c>
      <c r="G1793" s="7" t="s">
        <v>330</v>
      </c>
      <c r="H1793" s="24" t="s">
        <v>109</v>
      </c>
      <c r="I1793" s="32" t="s">
        <v>152</v>
      </c>
      <c r="K1793" s="181"/>
      <c r="L1793" s="181"/>
    </row>
    <row r="1794" spans="1:12" x14ac:dyDescent="0.35">
      <c r="A1794" s="19">
        <v>45913</v>
      </c>
      <c r="B1794" s="20"/>
      <c r="C1794" s="20"/>
      <c r="D1794" s="20">
        <v>50000</v>
      </c>
      <c r="E1794" s="99" t="s">
        <v>861</v>
      </c>
      <c r="F1794" s="20">
        <f t="shared" si="27"/>
        <v>213231329</v>
      </c>
      <c r="G1794" s="7" t="s">
        <v>330</v>
      </c>
      <c r="H1794" s="24" t="s">
        <v>109</v>
      </c>
      <c r="I1794" s="32" t="s">
        <v>152</v>
      </c>
      <c r="K1794" s="181"/>
      <c r="L1794" s="181"/>
    </row>
    <row r="1795" spans="1:12" x14ac:dyDescent="0.35">
      <c r="A1795" s="19">
        <v>45913</v>
      </c>
      <c r="B1795" s="20"/>
      <c r="C1795" s="20"/>
      <c r="D1795" s="20">
        <v>50000</v>
      </c>
      <c r="E1795" s="99" t="s">
        <v>861</v>
      </c>
      <c r="F1795" s="20">
        <f t="shared" si="27"/>
        <v>213281329</v>
      </c>
      <c r="G1795" s="7" t="s">
        <v>330</v>
      </c>
      <c r="H1795" s="24" t="s">
        <v>109</v>
      </c>
      <c r="I1795" s="32" t="s">
        <v>152</v>
      </c>
      <c r="K1795" s="181"/>
      <c r="L1795" s="181"/>
    </row>
    <row r="1796" spans="1:12" x14ac:dyDescent="0.35">
      <c r="A1796" s="19">
        <v>45913</v>
      </c>
      <c r="B1796" s="20"/>
      <c r="C1796" s="20"/>
      <c r="D1796" s="20">
        <v>9000</v>
      </c>
      <c r="E1796" s="99" t="s">
        <v>861</v>
      </c>
      <c r="F1796" s="20">
        <f t="shared" si="27"/>
        <v>213290329</v>
      </c>
      <c r="G1796" s="7" t="s">
        <v>330</v>
      </c>
      <c r="H1796" s="24" t="s">
        <v>109</v>
      </c>
      <c r="I1796" s="32" t="s">
        <v>152</v>
      </c>
      <c r="K1796" s="181"/>
      <c r="L1796" s="181"/>
    </row>
    <row r="1797" spans="1:12" x14ac:dyDescent="0.35">
      <c r="A1797" s="19">
        <v>45913</v>
      </c>
      <c r="B1797" s="20"/>
      <c r="C1797" s="20"/>
      <c r="D1797" s="20">
        <v>20000</v>
      </c>
      <c r="E1797" s="99" t="s">
        <v>861</v>
      </c>
      <c r="F1797" s="20">
        <f t="shared" si="27"/>
        <v>213310329</v>
      </c>
      <c r="G1797" s="7" t="s">
        <v>330</v>
      </c>
      <c r="H1797" s="24" t="s">
        <v>109</v>
      </c>
      <c r="I1797" s="32" t="s">
        <v>152</v>
      </c>
      <c r="K1797" s="181"/>
      <c r="L1797" s="181"/>
    </row>
    <row r="1798" spans="1:12" x14ac:dyDescent="0.35">
      <c r="A1798" s="19">
        <v>45913</v>
      </c>
      <c r="B1798" s="20"/>
      <c r="C1798" s="20"/>
      <c r="D1798" s="20">
        <v>20000</v>
      </c>
      <c r="E1798" s="99" t="s">
        <v>861</v>
      </c>
      <c r="F1798" s="20">
        <f t="shared" si="27"/>
        <v>213330329</v>
      </c>
      <c r="G1798" s="7" t="s">
        <v>330</v>
      </c>
      <c r="H1798" s="24" t="s">
        <v>109</v>
      </c>
      <c r="I1798" s="32" t="s">
        <v>152</v>
      </c>
      <c r="K1798" s="181"/>
      <c r="L1798" s="181"/>
    </row>
    <row r="1799" spans="1:12" x14ac:dyDescent="0.35">
      <c r="A1799" s="19">
        <v>45914</v>
      </c>
      <c r="B1799" s="20">
        <v>750000</v>
      </c>
      <c r="C1799" s="20"/>
      <c r="D1799" s="20"/>
      <c r="E1799" s="99" t="s">
        <v>861</v>
      </c>
      <c r="F1799" s="20">
        <f t="shared" si="27"/>
        <v>212580329</v>
      </c>
      <c r="G1799" s="7" t="s">
        <v>830</v>
      </c>
      <c r="H1799" s="24" t="s">
        <v>323</v>
      </c>
      <c r="I1799" s="32" t="s">
        <v>152</v>
      </c>
      <c r="K1799" s="181"/>
      <c r="L1799" s="181"/>
    </row>
    <row r="1800" spans="1:12" x14ac:dyDescent="0.35">
      <c r="A1800" s="19">
        <v>45914</v>
      </c>
      <c r="B1800" s="20"/>
      <c r="C1800" s="20"/>
      <c r="D1800" s="20">
        <v>25000</v>
      </c>
      <c r="E1800" s="99" t="s">
        <v>861</v>
      </c>
      <c r="F1800" s="20">
        <f t="shared" si="27"/>
        <v>212605329</v>
      </c>
      <c r="G1800" s="7" t="s">
        <v>330</v>
      </c>
      <c r="H1800" s="24" t="s">
        <v>109</v>
      </c>
      <c r="I1800" s="32" t="s">
        <v>152</v>
      </c>
      <c r="K1800" s="181"/>
      <c r="L1800" s="181"/>
    </row>
    <row r="1801" spans="1:12" x14ac:dyDescent="0.35">
      <c r="A1801" s="19">
        <v>45914</v>
      </c>
      <c r="B1801" s="20"/>
      <c r="C1801" s="20"/>
      <c r="D1801" s="20">
        <v>20000</v>
      </c>
      <c r="E1801" s="99" t="s">
        <v>861</v>
      </c>
      <c r="F1801" s="20">
        <f t="shared" si="27"/>
        <v>212625329</v>
      </c>
      <c r="G1801" s="7" t="s">
        <v>330</v>
      </c>
      <c r="H1801" s="24" t="s">
        <v>109</v>
      </c>
      <c r="I1801" s="32" t="s">
        <v>152</v>
      </c>
      <c r="K1801" s="181"/>
      <c r="L1801" s="181"/>
    </row>
    <row r="1802" spans="1:12" x14ac:dyDescent="0.35">
      <c r="A1802" s="19">
        <v>45915</v>
      </c>
      <c r="B1802" s="20"/>
      <c r="C1802" s="20"/>
      <c r="D1802" s="20">
        <v>25000</v>
      </c>
      <c r="E1802" s="99" t="s">
        <v>861</v>
      </c>
      <c r="F1802" s="20">
        <f t="shared" ref="F1802:F1867" si="28">+F1801+D1802-B1802</f>
        <v>212650329</v>
      </c>
      <c r="G1802" s="7" t="s">
        <v>330</v>
      </c>
      <c r="H1802" s="24" t="s">
        <v>109</v>
      </c>
      <c r="I1802" s="32" t="s">
        <v>152</v>
      </c>
      <c r="K1802" s="181"/>
      <c r="L1802" s="181"/>
    </row>
    <row r="1803" spans="1:12" x14ac:dyDescent="0.35">
      <c r="A1803" s="19">
        <v>45915</v>
      </c>
      <c r="B1803" s="20"/>
      <c r="C1803" s="20"/>
      <c r="D1803" s="20">
        <v>10000</v>
      </c>
      <c r="E1803" s="99" t="s">
        <v>861</v>
      </c>
      <c r="F1803" s="20">
        <f t="shared" si="28"/>
        <v>212660329</v>
      </c>
      <c r="G1803" s="7" t="s">
        <v>330</v>
      </c>
      <c r="H1803" s="24" t="s">
        <v>109</v>
      </c>
      <c r="I1803" s="32" t="s">
        <v>152</v>
      </c>
      <c r="K1803" s="181"/>
      <c r="L1803" s="181"/>
    </row>
    <row r="1804" spans="1:12" x14ac:dyDescent="0.35">
      <c r="A1804" s="19">
        <v>45915</v>
      </c>
      <c r="B1804" s="20"/>
      <c r="C1804" s="20"/>
      <c r="D1804" s="20">
        <v>20000</v>
      </c>
      <c r="E1804" s="99" t="s">
        <v>861</v>
      </c>
      <c r="F1804" s="20">
        <f t="shared" si="28"/>
        <v>212680329</v>
      </c>
      <c r="G1804" s="7" t="s">
        <v>330</v>
      </c>
      <c r="H1804" s="24" t="s">
        <v>109</v>
      </c>
      <c r="I1804" s="32" t="s">
        <v>152</v>
      </c>
      <c r="K1804" s="181"/>
      <c r="L1804" s="181"/>
    </row>
    <row r="1805" spans="1:12" x14ac:dyDescent="0.35">
      <c r="A1805" s="19">
        <v>45916</v>
      </c>
      <c r="B1805" s="20">
        <v>20000000</v>
      </c>
      <c r="C1805" s="20"/>
      <c r="D1805" s="20"/>
      <c r="E1805" s="99" t="s">
        <v>861</v>
      </c>
      <c r="F1805" s="20">
        <f t="shared" si="28"/>
        <v>192680329</v>
      </c>
      <c r="G1805" s="7" t="s">
        <v>831</v>
      </c>
      <c r="H1805" s="24" t="s">
        <v>201</v>
      </c>
      <c r="I1805" s="32" t="s">
        <v>152</v>
      </c>
      <c r="K1805" s="181"/>
      <c r="L1805" s="181"/>
    </row>
    <row r="1806" spans="1:12" x14ac:dyDescent="0.35">
      <c r="A1806" s="19">
        <v>45916</v>
      </c>
      <c r="B1806" s="20">
        <v>3500000</v>
      </c>
      <c r="C1806" s="20"/>
      <c r="D1806" s="20"/>
      <c r="E1806" s="99" t="s">
        <v>861</v>
      </c>
      <c r="F1806" s="20">
        <f t="shared" si="28"/>
        <v>189180329</v>
      </c>
      <c r="G1806" s="7" t="s">
        <v>832</v>
      </c>
      <c r="H1806" s="24" t="s">
        <v>322</v>
      </c>
      <c r="I1806" s="32" t="s">
        <v>152</v>
      </c>
      <c r="K1806" s="181"/>
      <c r="L1806" s="181"/>
    </row>
    <row r="1807" spans="1:12" x14ac:dyDescent="0.35">
      <c r="A1807" s="19">
        <v>45916</v>
      </c>
      <c r="B1807" s="20">
        <v>6500</v>
      </c>
      <c r="C1807" s="20"/>
      <c r="D1807" s="20"/>
      <c r="E1807" s="99" t="s">
        <v>861</v>
      </c>
      <c r="F1807" s="20">
        <f t="shared" si="28"/>
        <v>189173829</v>
      </c>
      <c r="G1807" s="7" t="s">
        <v>832</v>
      </c>
      <c r="H1807" s="24" t="s">
        <v>322</v>
      </c>
      <c r="I1807" s="32" t="s">
        <v>152</v>
      </c>
      <c r="K1807" s="181"/>
      <c r="L1807" s="181"/>
    </row>
    <row r="1808" spans="1:12" x14ac:dyDescent="0.35">
      <c r="A1808" s="19">
        <v>45916</v>
      </c>
      <c r="B1808" s="20"/>
      <c r="C1808" s="20"/>
      <c r="D1808" s="20">
        <v>20000</v>
      </c>
      <c r="E1808" s="99" t="s">
        <v>861</v>
      </c>
      <c r="F1808" s="20">
        <f t="shared" si="28"/>
        <v>189193829</v>
      </c>
      <c r="G1808" s="7" t="s">
        <v>330</v>
      </c>
      <c r="H1808" s="24" t="s">
        <v>109</v>
      </c>
      <c r="I1808" s="32" t="s">
        <v>152</v>
      </c>
      <c r="K1808" s="181"/>
      <c r="L1808" s="181"/>
    </row>
    <row r="1809" spans="1:12" x14ac:dyDescent="0.35">
      <c r="A1809" s="19">
        <v>45917</v>
      </c>
      <c r="B1809" s="20"/>
      <c r="C1809" s="20"/>
      <c r="D1809" s="20">
        <v>10000</v>
      </c>
      <c r="E1809" s="99" t="s">
        <v>861</v>
      </c>
      <c r="F1809" s="20">
        <f t="shared" si="28"/>
        <v>189203829</v>
      </c>
      <c r="G1809" s="7" t="s">
        <v>330</v>
      </c>
      <c r="H1809" s="24" t="s">
        <v>109</v>
      </c>
      <c r="I1809" s="32" t="s">
        <v>152</v>
      </c>
      <c r="K1809" s="181"/>
      <c r="L1809" s="181"/>
    </row>
    <row r="1810" spans="1:12" x14ac:dyDescent="0.35">
      <c r="A1810" s="19">
        <v>45917</v>
      </c>
      <c r="B1810" s="20"/>
      <c r="C1810" s="20"/>
      <c r="D1810" s="20">
        <v>100000</v>
      </c>
      <c r="E1810" s="99" t="s">
        <v>861</v>
      </c>
      <c r="F1810" s="20">
        <f t="shared" si="28"/>
        <v>189303829</v>
      </c>
      <c r="G1810" s="7" t="s">
        <v>373</v>
      </c>
      <c r="H1810" s="24" t="s">
        <v>109</v>
      </c>
      <c r="I1810" s="32" t="s">
        <v>152</v>
      </c>
      <c r="K1810" s="181"/>
      <c r="L1810" s="181"/>
    </row>
    <row r="1811" spans="1:12" x14ac:dyDescent="0.35">
      <c r="A1811" s="19">
        <v>45918</v>
      </c>
      <c r="B1811" s="20"/>
      <c r="C1811" s="20"/>
      <c r="D1811" s="20">
        <v>20000</v>
      </c>
      <c r="E1811" s="99" t="s">
        <v>861</v>
      </c>
      <c r="F1811" s="20">
        <f t="shared" si="28"/>
        <v>189323829</v>
      </c>
      <c r="G1811" s="7" t="s">
        <v>330</v>
      </c>
      <c r="H1811" s="24" t="s">
        <v>109</v>
      </c>
      <c r="I1811" s="32" t="s">
        <v>152</v>
      </c>
      <c r="K1811" s="181"/>
      <c r="L1811" s="181"/>
    </row>
    <row r="1812" spans="1:12" x14ac:dyDescent="0.35">
      <c r="A1812" s="19">
        <v>45918</v>
      </c>
      <c r="B1812" s="20"/>
      <c r="C1812" s="20"/>
      <c r="D1812" s="20">
        <v>10000</v>
      </c>
      <c r="E1812" s="99" t="s">
        <v>861</v>
      </c>
      <c r="F1812" s="20">
        <f t="shared" si="28"/>
        <v>189333829</v>
      </c>
      <c r="G1812" s="7" t="s">
        <v>330</v>
      </c>
      <c r="H1812" s="24" t="s">
        <v>109</v>
      </c>
      <c r="I1812" s="32" t="s">
        <v>152</v>
      </c>
      <c r="K1812" s="181"/>
      <c r="L1812" s="181"/>
    </row>
    <row r="1813" spans="1:12" x14ac:dyDescent="0.35">
      <c r="A1813" s="19">
        <v>45918</v>
      </c>
      <c r="B1813" s="20">
        <v>700000</v>
      </c>
      <c r="C1813" s="20"/>
      <c r="D1813" s="20"/>
      <c r="E1813" s="99" t="s">
        <v>861</v>
      </c>
      <c r="F1813" s="20">
        <f t="shared" si="28"/>
        <v>188633829</v>
      </c>
      <c r="G1813" s="7" t="s">
        <v>836</v>
      </c>
      <c r="H1813" s="24" t="s">
        <v>322</v>
      </c>
      <c r="I1813" s="32" t="s">
        <v>152</v>
      </c>
      <c r="K1813" s="181"/>
      <c r="L1813" s="181"/>
    </row>
    <row r="1814" spans="1:12" x14ac:dyDescent="0.35">
      <c r="A1814" s="19">
        <v>45918</v>
      </c>
      <c r="B1814" s="20">
        <v>6500</v>
      </c>
      <c r="C1814" s="20"/>
      <c r="D1814" s="20"/>
      <c r="E1814" s="99" t="s">
        <v>861</v>
      </c>
      <c r="F1814" s="20">
        <f t="shared" si="28"/>
        <v>188627329</v>
      </c>
      <c r="G1814" s="7" t="s">
        <v>836</v>
      </c>
      <c r="H1814" s="24" t="s">
        <v>322</v>
      </c>
      <c r="I1814" s="32" t="s">
        <v>152</v>
      </c>
      <c r="K1814" s="181"/>
      <c r="L1814" s="181"/>
    </row>
    <row r="1815" spans="1:12" x14ac:dyDescent="0.35">
      <c r="A1815" s="19">
        <v>45919</v>
      </c>
      <c r="B1815" s="20"/>
      <c r="C1815" s="20"/>
      <c r="D1815" s="20">
        <v>20000</v>
      </c>
      <c r="E1815" s="99" t="s">
        <v>861</v>
      </c>
      <c r="F1815" s="20">
        <f t="shared" si="28"/>
        <v>188647329</v>
      </c>
      <c r="G1815" s="7" t="s">
        <v>330</v>
      </c>
      <c r="H1815" s="24" t="s">
        <v>109</v>
      </c>
      <c r="I1815" s="32" t="s">
        <v>152</v>
      </c>
      <c r="K1815" s="181"/>
      <c r="L1815" s="181"/>
    </row>
    <row r="1816" spans="1:12" x14ac:dyDescent="0.35">
      <c r="A1816" s="19">
        <v>45919</v>
      </c>
      <c r="B1816" s="20"/>
      <c r="C1816" s="20"/>
      <c r="D1816" s="20">
        <v>50000</v>
      </c>
      <c r="E1816" s="99" t="s">
        <v>861</v>
      </c>
      <c r="F1816" s="20">
        <f t="shared" si="28"/>
        <v>188697329</v>
      </c>
      <c r="G1816" s="7" t="s">
        <v>330</v>
      </c>
      <c r="H1816" s="24" t="s">
        <v>109</v>
      </c>
      <c r="I1816" s="32" t="s">
        <v>152</v>
      </c>
      <c r="K1816" s="181"/>
      <c r="L1816" s="181"/>
    </row>
    <row r="1817" spans="1:12" x14ac:dyDescent="0.35">
      <c r="A1817" s="19">
        <v>45919</v>
      </c>
      <c r="B1817" s="20"/>
      <c r="C1817" s="20"/>
      <c r="D1817" s="20">
        <v>20000</v>
      </c>
      <c r="E1817" s="99" t="s">
        <v>861</v>
      </c>
      <c r="F1817" s="20">
        <f t="shared" si="28"/>
        <v>188717329</v>
      </c>
      <c r="G1817" s="7" t="s">
        <v>330</v>
      </c>
      <c r="H1817" s="24" t="s">
        <v>109</v>
      </c>
      <c r="I1817" s="32" t="s">
        <v>152</v>
      </c>
      <c r="K1817" s="181"/>
      <c r="L1817" s="181"/>
    </row>
    <row r="1818" spans="1:12" x14ac:dyDescent="0.35">
      <c r="A1818" s="19">
        <v>45919</v>
      </c>
      <c r="B1818" s="20"/>
      <c r="C1818" s="20"/>
      <c r="D1818" s="20">
        <v>100000</v>
      </c>
      <c r="E1818" s="99" t="s">
        <v>861</v>
      </c>
      <c r="F1818" s="20">
        <f t="shared" si="28"/>
        <v>188817329</v>
      </c>
      <c r="G1818" s="7" t="s">
        <v>330</v>
      </c>
      <c r="H1818" s="24" t="s">
        <v>109</v>
      </c>
      <c r="I1818" s="32" t="s">
        <v>152</v>
      </c>
      <c r="K1818" s="181"/>
      <c r="L1818" s="181"/>
    </row>
    <row r="1819" spans="1:12" x14ac:dyDescent="0.35">
      <c r="A1819" s="19">
        <v>45919</v>
      </c>
      <c r="B1819" s="20"/>
      <c r="C1819" s="20"/>
      <c r="D1819" s="20">
        <v>100000</v>
      </c>
      <c r="E1819" s="99" t="s">
        <v>861</v>
      </c>
      <c r="F1819" s="20">
        <f t="shared" si="28"/>
        <v>188917329</v>
      </c>
      <c r="G1819" s="7" t="s">
        <v>330</v>
      </c>
      <c r="H1819" s="24" t="s">
        <v>109</v>
      </c>
      <c r="I1819" s="32" t="s">
        <v>152</v>
      </c>
      <c r="K1819" s="181"/>
      <c r="L1819" s="181"/>
    </row>
    <row r="1820" spans="1:12" x14ac:dyDescent="0.35">
      <c r="A1820" s="19">
        <v>45919</v>
      </c>
      <c r="B1820" s="20"/>
      <c r="C1820" s="20"/>
      <c r="D1820" s="20">
        <v>40000</v>
      </c>
      <c r="E1820" s="99" t="s">
        <v>861</v>
      </c>
      <c r="F1820" s="20">
        <f t="shared" si="28"/>
        <v>188957329</v>
      </c>
      <c r="G1820" s="7" t="s">
        <v>330</v>
      </c>
      <c r="H1820" s="24" t="s">
        <v>109</v>
      </c>
      <c r="I1820" s="32" t="s">
        <v>152</v>
      </c>
      <c r="K1820" s="181"/>
      <c r="L1820" s="181"/>
    </row>
    <row r="1821" spans="1:12" x14ac:dyDescent="0.35">
      <c r="A1821" s="19">
        <v>45920</v>
      </c>
      <c r="B1821" s="20">
        <v>750000</v>
      </c>
      <c r="C1821" s="20"/>
      <c r="D1821" s="20"/>
      <c r="E1821" s="99" t="s">
        <v>861</v>
      </c>
      <c r="F1821" s="20">
        <f t="shared" si="28"/>
        <v>188207329</v>
      </c>
      <c r="G1821" s="7" t="s">
        <v>837</v>
      </c>
      <c r="H1821" s="24" t="s">
        <v>323</v>
      </c>
      <c r="I1821" s="32" t="s">
        <v>152</v>
      </c>
      <c r="K1821" s="181"/>
      <c r="L1821" s="181"/>
    </row>
    <row r="1822" spans="1:12" x14ac:dyDescent="0.35">
      <c r="A1822" s="19">
        <v>45920</v>
      </c>
      <c r="B1822" s="20"/>
      <c r="C1822" s="20"/>
      <c r="D1822" s="20">
        <v>4700</v>
      </c>
      <c r="E1822" s="99" t="s">
        <v>861</v>
      </c>
      <c r="F1822" s="20">
        <f t="shared" si="28"/>
        <v>188212029</v>
      </c>
      <c r="G1822" s="7" t="s">
        <v>330</v>
      </c>
      <c r="H1822" s="24" t="s">
        <v>109</v>
      </c>
      <c r="I1822" s="32" t="s">
        <v>152</v>
      </c>
      <c r="K1822" s="181"/>
      <c r="L1822" s="181"/>
    </row>
    <row r="1823" spans="1:12" x14ac:dyDescent="0.35">
      <c r="A1823" s="19">
        <v>45920</v>
      </c>
      <c r="B1823" s="20"/>
      <c r="C1823" s="20"/>
      <c r="D1823" s="20">
        <v>100000</v>
      </c>
      <c r="E1823" s="99" t="s">
        <v>861</v>
      </c>
      <c r="F1823" s="20">
        <f t="shared" si="28"/>
        <v>188312029</v>
      </c>
      <c r="G1823" s="7" t="s">
        <v>330</v>
      </c>
      <c r="H1823" s="24" t="s">
        <v>109</v>
      </c>
      <c r="I1823" s="32" t="s">
        <v>152</v>
      </c>
      <c r="K1823" s="181"/>
      <c r="L1823" s="181"/>
    </row>
    <row r="1824" spans="1:12" x14ac:dyDescent="0.35">
      <c r="A1824" s="19">
        <v>45920</v>
      </c>
      <c r="B1824" s="20"/>
      <c r="C1824" s="20"/>
      <c r="D1824" s="20">
        <v>50000</v>
      </c>
      <c r="E1824" s="99" t="s">
        <v>861</v>
      </c>
      <c r="F1824" s="20">
        <f t="shared" si="28"/>
        <v>188362029</v>
      </c>
      <c r="G1824" s="7" t="s">
        <v>330</v>
      </c>
      <c r="H1824" s="24" t="s">
        <v>109</v>
      </c>
      <c r="I1824" s="32" t="s">
        <v>152</v>
      </c>
      <c r="K1824" s="181"/>
      <c r="L1824" s="181"/>
    </row>
    <row r="1825" spans="1:12" x14ac:dyDescent="0.35">
      <c r="A1825" s="19">
        <v>45920</v>
      </c>
      <c r="B1825" s="20"/>
      <c r="C1825" s="20"/>
      <c r="D1825" s="20">
        <v>5000</v>
      </c>
      <c r="E1825" s="99" t="s">
        <v>861</v>
      </c>
      <c r="F1825" s="20">
        <f t="shared" si="28"/>
        <v>188367029</v>
      </c>
      <c r="G1825" s="7" t="s">
        <v>330</v>
      </c>
      <c r="H1825" s="24" t="s">
        <v>109</v>
      </c>
      <c r="I1825" s="32" t="s">
        <v>152</v>
      </c>
      <c r="K1825" s="181"/>
      <c r="L1825" s="181"/>
    </row>
    <row r="1826" spans="1:12" x14ac:dyDescent="0.35">
      <c r="A1826" s="19">
        <v>45920</v>
      </c>
      <c r="B1826" s="20"/>
      <c r="C1826" s="20"/>
      <c r="D1826" s="20">
        <v>20000</v>
      </c>
      <c r="E1826" s="99" t="s">
        <v>861</v>
      </c>
      <c r="F1826" s="20">
        <f t="shared" si="28"/>
        <v>188387029</v>
      </c>
      <c r="G1826" s="7" t="s">
        <v>330</v>
      </c>
      <c r="H1826" s="24" t="s">
        <v>109</v>
      </c>
      <c r="I1826" s="32" t="s">
        <v>152</v>
      </c>
      <c r="K1826" s="181"/>
      <c r="L1826" s="181"/>
    </row>
    <row r="1827" spans="1:12" x14ac:dyDescent="0.35">
      <c r="A1827" s="19">
        <v>45921</v>
      </c>
      <c r="B1827" s="20"/>
      <c r="C1827" s="20"/>
      <c r="D1827" s="20">
        <v>20000</v>
      </c>
      <c r="E1827" s="99" t="s">
        <v>861</v>
      </c>
      <c r="F1827" s="20">
        <f t="shared" si="28"/>
        <v>188407029</v>
      </c>
      <c r="G1827" s="7" t="s">
        <v>330</v>
      </c>
      <c r="H1827" s="24" t="s">
        <v>109</v>
      </c>
      <c r="I1827" s="32" t="s">
        <v>152</v>
      </c>
      <c r="K1827" s="181"/>
      <c r="L1827" s="181"/>
    </row>
    <row r="1828" spans="1:12" x14ac:dyDescent="0.35">
      <c r="A1828" s="19">
        <v>45922</v>
      </c>
      <c r="B1828" s="20"/>
      <c r="C1828" s="20"/>
      <c r="D1828" s="20">
        <v>8700</v>
      </c>
      <c r="E1828" s="99" t="s">
        <v>861</v>
      </c>
      <c r="F1828" s="20">
        <f t="shared" si="28"/>
        <v>188415729</v>
      </c>
      <c r="G1828" s="7" t="s">
        <v>330</v>
      </c>
      <c r="H1828" s="24" t="s">
        <v>109</v>
      </c>
      <c r="I1828" s="32" t="s">
        <v>152</v>
      </c>
      <c r="K1828" s="181"/>
      <c r="L1828" s="181"/>
    </row>
    <row r="1829" spans="1:12" x14ac:dyDescent="0.35">
      <c r="A1829" s="19">
        <v>45922</v>
      </c>
      <c r="B1829" s="20"/>
      <c r="C1829" s="20"/>
      <c r="D1829" s="20">
        <v>20000</v>
      </c>
      <c r="E1829" s="99" t="s">
        <v>861</v>
      </c>
      <c r="F1829" s="20">
        <f t="shared" si="28"/>
        <v>188435729</v>
      </c>
      <c r="G1829" s="7" t="s">
        <v>330</v>
      </c>
      <c r="H1829" s="24" t="s">
        <v>109</v>
      </c>
      <c r="I1829" s="32" t="s">
        <v>152</v>
      </c>
      <c r="K1829" s="181"/>
      <c r="L1829" s="181"/>
    </row>
    <row r="1830" spans="1:12" x14ac:dyDescent="0.35">
      <c r="A1830" s="19">
        <v>45923</v>
      </c>
      <c r="B1830" s="20"/>
      <c r="C1830" s="20"/>
      <c r="D1830" s="20">
        <v>20000</v>
      </c>
      <c r="E1830" s="99" t="s">
        <v>861</v>
      </c>
      <c r="F1830" s="20">
        <f t="shared" si="28"/>
        <v>188455729</v>
      </c>
      <c r="G1830" s="7" t="s">
        <v>330</v>
      </c>
      <c r="H1830" s="24" t="s">
        <v>109</v>
      </c>
      <c r="I1830" s="32" t="s">
        <v>152</v>
      </c>
      <c r="K1830" s="181"/>
      <c r="L1830" s="181"/>
    </row>
    <row r="1831" spans="1:12" x14ac:dyDescent="0.35">
      <c r="A1831" s="19">
        <v>45923</v>
      </c>
      <c r="B1831" s="20"/>
      <c r="C1831" s="20"/>
      <c r="D1831" s="20">
        <v>2992000</v>
      </c>
      <c r="E1831" s="99" t="s">
        <v>861</v>
      </c>
      <c r="F1831" s="20">
        <f t="shared" si="28"/>
        <v>191447729</v>
      </c>
      <c r="G1831" s="7"/>
      <c r="H1831" s="24" t="s">
        <v>107</v>
      </c>
      <c r="I1831" s="32" t="s">
        <v>152</v>
      </c>
      <c r="K1831" s="181"/>
      <c r="L1831" s="181"/>
    </row>
    <row r="1832" spans="1:12" x14ac:dyDescent="0.35">
      <c r="A1832" s="19">
        <v>45923</v>
      </c>
      <c r="B1832" s="20"/>
      <c r="C1832" s="20"/>
      <c r="D1832" s="20">
        <v>818000</v>
      </c>
      <c r="E1832" s="99" t="s">
        <v>861</v>
      </c>
      <c r="F1832" s="20">
        <f t="shared" si="28"/>
        <v>192265729</v>
      </c>
      <c r="G1832" s="7"/>
      <c r="H1832" s="24" t="s">
        <v>109</v>
      </c>
      <c r="I1832" s="32" t="s">
        <v>152</v>
      </c>
      <c r="K1832" s="181"/>
      <c r="L1832" s="181"/>
    </row>
    <row r="1833" spans="1:12" x14ac:dyDescent="0.35">
      <c r="A1833" s="19"/>
      <c r="B1833" s="20"/>
      <c r="C1833" s="20">
        <v>3810000</v>
      </c>
      <c r="D1833" s="20"/>
      <c r="E1833" s="99"/>
      <c r="F1833" s="20">
        <f t="shared" si="28"/>
        <v>192265729</v>
      </c>
      <c r="G1833" s="7" t="s">
        <v>838</v>
      </c>
      <c r="H1833" s="24"/>
      <c r="I1833" s="32"/>
      <c r="K1833" s="181"/>
      <c r="L1833" s="181"/>
    </row>
    <row r="1834" spans="1:12" x14ac:dyDescent="0.35">
      <c r="A1834" s="19">
        <v>45924</v>
      </c>
      <c r="B1834" s="20"/>
      <c r="C1834" s="20"/>
      <c r="D1834" s="20">
        <v>20000</v>
      </c>
      <c r="E1834" s="99" t="s">
        <v>861</v>
      </c>
      <c r="F1834" s="20">
        <f t="shared" si="28"/>
        <v>192285729</v>
      </c>
      <c r="G1834" s="7" t="s">
        <v>330</v>
      </c>
      <c r="H1834" s="24" t="s">
        <v>109</v>
      </c>
      <c r="I1834" s="32" t="s">
        <v>152</v>
      </c>
      <c r="K1834" s="181"/>
      <c r="L1834" s="181"/>
    </row>
    <row r="1835" spans="1:12" x14ac:dyDescent="0.35">
      <c r="A1835" s="19">
        <v>45925</v>
      </c>
      <c r="B1835" s="20"/>
      <c r="C1835" s="20"/>
      <c r="D1835" s="20">
        <v>200000</v>
      </c>
      <c r="E1835" s="99" t="s">
        <v>861</v>
      </c>
      <c r="F1835" s="20">
        <f t="shared" si="28"/>
        <v>192485729</v>
      </c>
      <c r="G1835" s="7" t="s">
        <v>839</v>
      </c>
      <c r="H1835" s="24" t="s">
        <v>140</v>
      </c>
      <c r="I1835" s="32" t="s">
        <v>152</v>
      </c>
      <c r="K1835" s="181"/>
      <c r="L1835" s="181"/>
    </row>
    <row r="1836" spans="1:12" x14ac:dyDescent="0.35">
      <c r="A1836" s="19">
        <v>45925</v>
      </c>
      <c r="B1836" s="20"/>
      <c r="C1836" s="20"/>
      <c r="D1836" s="20">
        <v>20000</v>
      </c>
      <c r="E1836" s="99" t="s">
        <v>861</v>
      </c>
      <c r="F1836" s="20">
        <f t="shared" si="28"/>
        <v>192505729</v>
      </c>
      <c r="G1836" s="7" t="s">
        <v>330</v>
      </c>
      <c r="H1836" s="24" t="s">
        <v>109</v>
      </c>
      <c r="I1836" s="32" t="s">
        <v>152</v>
      </c>
      <c r="K1836" s="181"/>
      <c r="L1836" s="181"/>
    </row>
    <row r="1837" spans="1:12" x14ac:dyDescent="0.35">
      <c r="A1837" s="19">
        <v>45925</v>
      </c>
      <c r="B1837" s="20"/>
      <c r="C1837" s="20"/>
      <c r="D1837" s="20">
        <v>1000000</v>
      </c>
      <c r="E1837" s="99" t="s">
        <v>861</v>
      </c>
      <c r="F1837" s="20">
        <f t="shared" si="28"/>
        <v>193505729</v>
      </c>
      <c r="G1837" s="7" t="s">
        <v>609</v>
      </c>
      <c r="H1837" s="24" t="s">
        <v>109</v>
      </c>
      <c r="I1837" s="32" t="s">
        <v>152</v>
      </c>
      <c r="K1837" s="181"/>
      <c r="L1837" s="181"/>
    </row>
    <row r="1838" spans="1:12" x14ac:dyDescent="0.35">
      <c r="A1838" s="19">
        <v>45926</v>
      </c>
      <c r="B1838" s="20"/>
      <c r="C1838" s="20"/>
      <c r="D1838" s="20">
        <v>100000</v>
      </c>
      <c r="E1838" s="99" t="s">
        <v>861</v>
      </c>
      <c r="F1838" s="20">
        <f t="shared" si="28"/>
        <v>193605729</v>
      </c>
      <c r="G1838" s="7" t="s">
        <v>424</v>
      </c>
      <c r="H1838" s="24" t="s">
        <v>109</v>
      </c>
      <c r="I1838" s="32" t="s">
        <v>152</v>
      </c>
      <c r="K1838" s="181"/>
      <c r="L1838" s="181"/>
    </row>
    <row r="1839" spans="1:12" x14ac:dyDescent="0.35">
      <c r="A1839" s="19">
        <v>45926</v>
      </c>
      <c r="B1839" s="20"/>
      <c r="C1839" s="20"/>
      <c r="D1839" s="20">
        <v>1000000</v>
      </c>
      <c r="E1839" s="99" t="s">
        <v>861</v>
      </c>
      <c r="F1839" s="20">
        <f t="shared" si="28"/>
        <v>194605729</v>
      </c>
      <c r="G1839" s="7" t="s">
        <v>561</v>
      </c>
      <c r="H1839" s="24" t="s">
        <v>109</v>
      </c>
      <c r="I1839" s="32" t="s">
        <v>152</v>
      </c>
      <c r="K1839" s="181"/>
      <c r="L1839" s="181"/>
    </row>
    <row r="1840" spans="1:12" x14ac:dyDescent="0.35">
      <c r="A1840" s="19">
        <v>45926</v>
      </c>
      <c r="B1840" s="20"/>
      <c r="C1840" s="20"/>
      <c r="D1840" s="20">
        <v>20000</v>
      </c>
      <c r="E1840" s="99" t="s">
        <v>861</v>
      </c>
      <c r="F1840" s="20">
        <f t="shared" si="28"/>
        <v>194625729</v>
      </c>
      <c r="G1840" s="7" t="s">
        <v>330</v>
      </c>
      <c r="H1840" s="24" t="s">
        <v>109</v>
      </c>
      <c r="I1840" s="32" t="s">
        <v>152</v>
      </c>
      <c r="K1840" s="181"/>
      <c r="L1840" s="181"/>
    </row>
    <row r="1841" spans="1:12" x14ac:dyDescent="0.35">
      <c r="A1841" s="19">
        <v>45926</v>
      </c>
      <c r="B1841" s="20"/>
      <c r="C1841" s="20"/>
      <c r="D1841" s="20">
        <v>1011</v>
      </c>
      <c r="E1841" s="99" t="s">
        <v>861</v>
      </c>
      <c r="F1841" s="20">
        <f t="shared" si="28"/>
        <v>194626740</v>
      </c>
      <c r="G1841" s="7" t="s">
        <v>330</v>
      </c>
      <c r="H1841" s="24" t="s">
        <v>109</v>
      </c>
      <c r="I1841" s="32" t="s">
        <v>152</v>
      </c>
      <c r="K1841" s="181"/>
      <c r="L1841" s="181"/>
    </row>
    <row r="1842" spans="1:12" x14ac:dyDescent="0.35">
      <c r="A1842" s="19">
        <v>45926</v>
      </c>
      <c r="B1842" s="20"/>
      <c r="C1842" s="20"/>
      <c r="D1842" s="20">
        <v>5000000</v>
      </c>
      <c r="E1842" s="99" t="s">
        <v>861</v>
      </c>
      <c r="F1842" s="20">
        <f t="shared" si="28"/>
        <v>199626740</v>
      </c>
      <c r="G1842" s="7"/>
      <c r="H1842" s="24" t="s">
        <v>105</v>
      </c>
      <c r="I1842" s="32" t="s">
        <v>152</v>
      </c>
      <c r="K1842" s="181"/>
      <c r="L1842" s="181"/>
    </row>
    <row r="1843" spans="1:12" x14ac:dyDescent="0.35">
      <c r="A1843" s="19">
        <v>45926</v>
      </c>
      <c r="B1843" s="20"/>
      <c r="C1843" s="20"/>
      <c r="D1843" s="20">
        <v>5000000</v>
      </c>
      <c r="E1843" s="99" t="s">
        <v>861</v>
      </c>
      <c r="F1843" s="20">
        <f t="shared" si="28"/>
        <v>204626740</v>
      </c>
      <c r="G1843" s="7"/>
      <c r="H1843" s="24" t="s">
        <v>109</v>
      </c>
      <c r="I1843" s="32" t="s">
        <v>152</v>
      </c>
      <c r="K1843" s="181"/>
      <c r="L1843" s="181"/>
    </row>
    <row r="1844" spans="1:12" x14ac:dyDescent="0.35">
      <c r="A1844" s="19"/>
      <c r="B1844" s="20"/>
      <c r="C1844" s="20">
        <v>10000000</v>
      </c>
      <c r="D1844" s="20"/>
      <c r="E1844" s="99"/>
      <c r="F1844" s="20">
        <f t="shared" si="28"/>
        <v>204626740</v>
      </c>
      <c r="G1844" s="7" t="s">
        <v>855</v>
      </c>
      <c r="H1844" s="24"/>
      <c r="I1844" s="32"/>
      <c r="K1844" s="181"/>
      <c r="L1844" s="181"/>
    </row>
    <row r="1845" spans="1:12" x14ac:dyDescent="0.35">
      <c r="A1845" s="19">
        <v>45926</v>
      </c>
      <c r="B1845" s="20">
        <v>750000</v>
      </c>
      <c r="C1845" s="20"/>
      <c r="D1845" s="20"/>
      <c r="E1845" s="99" t="s">
        <v>861</v>
      </c>
      <c r="F1845" s="20">
        <f t="shared" si="28"/>
        <v>203876740</v>
      </c>
      <c r="G1845" s="7" t="s">
        <v>856</v>
      </c>
      <c r="H1845" s="24" t="s">
        <v>203</v>
      </c>
      <c r="I1845" s="32" t="s">
        <v>152</v>
      </c>
      <c r="K1845" s="181"/>
      <c r="L1845" s="181"/>
    </row>
    <row r="1846" spans="1:12" x14ac:dyDescent="0.35">
      <c r="A1846" s="19">
        <v>45926</v>
      </c>
      <c r="B1846" s="20">
        <v>6500</v>
      </c>
      <c r="C1846" s="20"/>
      <c r="D1846" s="20"/>
      <c r="E1846" s="99" t="s">
        <v>861</v>
      </c>
      <c r="F1846" s="20">
        <f t="shared" si="28"/>
        <v>203870240</v>
      </c>
      <c r="G1846" s="7" t="s">
        <v>856</v>
      </c>
      <c r="H1846" s="24" t="s">
        <v>203</v>
      </c>
      <c r="I1846" s="32" t="s">
        <v>152</v>
      </c>
      <c r="K1846" s="181"/>
      <c r="L1846" s="181"/>
    </row>
    <row r="1847" spans="1:12" x14ac:dyDescent="0.35">
      <c r="A1847" s="19">
        <v>45927</v>
      </c>
      <c r="B1847" s="20">
        <v>750000</v>
      </c>
      <c r="C1847" s="20"/>
      <c r="D1847" s="20"/>
      <c r="E1847" s="99" t="s">
        <v>861</v>
      </c>
      <c r="F1847" s="20">
        <f t="shared" si="28"/>
        <v>203120240</v>
      </c>
      <c r="G1847" s="7" t="s">
        <v>842</v>
      </c>
      <c r="H1847" s="24" t="s">
        <v>323</v>
      </c>
      <c r="I1847" s="32" t="s">
        <v>152</v>
      </c>
      <c r="K1847" s="181"/>
      <c r="L1847" s="181"/>
    </row>
    <row r="1848" spans="1:12" x14ac:dyDescent="0.35">
      <c r="A1848" s="19">
        <v>45927</v>
      </c>
      <c r="B1848" s="20">
        <v>6500</v>
      </c>
      <c r="C1848" s="20"/>
      <c r="D1848" s="20"/>
      <c r="E1848" s="99" t="s">
        <v>861</v>
      </c>
      <c r="F1848" s="20">
        <f t="shared" si="28"/>
        <v>203113740</v>
      </c>
      <c r="G1848" s="7" t="s">
        <v>842</v>
      </c>
      <c r="H1848" s="24" t="s">
        <v>323</v>
      </c>
      <c r="I1848" s="32" t="s">
        <v>152</v>
      </c>
      <c r="K1848" s="181"/>
      <c r="L1848" s="181"/>
    </row>
    <row r="1849" spans="1:12" x14ac:dyDescent="0.35">
      <c r="A1849" s="19">
        <v>45927</v>
      </c>
      <c r="B1849" s="20"/>
      <c r="C1849" s="20"/>
      <c r="D1849" s="20">
        <v>50000</v>
      </c>
      <c r="E1849" s="99" t="s">
        <v>861</v>
      </c>
      <c r="F1849" s="20">
        <f t="shared" si="28"/>
        <v>203163740</v>
      </c>
      <c r="G1849" s="7" t="s">
        <v>330</v>
      </c>
      <c r="H1849" s="24" t="s">
        <v>109</v>
      </c>
      <c r="I1849" s="32" t="s">
        <v>152</v>
      </c>
      <c r="K1849" s="181"/>
      <c r="L1849" s="181"/>
    </row>
    <row r="1850" spans="1:12" x14ac:dyDescent="0.35">
      <c r="A1850" s="19">
        <v>45927</v>
      </c>
      <c r="B1850" s="20"/>
      <c r="C1850" s="20"/>
      <c r="D1850" s="20">
        <v>100000</v>
      </c>
      <c r="E1850" s="99" t="s">
        <v>861</v>
      </c>
      <c r="F1850" s="20">
        <f t="shared" si="28"/>
        <v>203263740</v>
      </c>
      <c r="G1850" s="7" t="s">
        <v>330</v>
      </c>
      <c r="H1850" s="24" t="s">
        <v>109</v>
      </c>
      <c r="I1850" s="32" t="s">
        <v>152</v>
      </c>
      <c r="K1850" s="181"/>
      <c r="L1850" s="181"/>
    </row>
    <row r="1851" spans="1:12" x14ac:dyDescent="0.35">
      <c r="A1851" s="19">
        <v>45927</v>
      </c>
      <c r="B1851" s="20"/>
      <c r="C1851" s="20"/>
      <c r="D1851" s="20">
        <v>5000</v>
      </c>
      <c r="E1851" s="99" t="s">
        <v>861</v>
      </c>
      <c r="F1851" s="20">
        <f t="shared" si="28"/>
        <v>203268740</v>
      </c>
      <c r="G1851" s="7" t="s">
        <v>330</v>
      </c>
      <c r="H1851" s="24" t="s">
        <v>109</v>
      </c>
      <c r="I1851" s="32" t="s">
        <v>152</v>
      </c>
      <c r="K1851" s="181"/>
      <c r="L1851" s="181"/>
    </row>
    <row r="1852" spans="1:12" x14ac:dyDescent="0.35">
      <c r="A1852" s="19">
        <v>45927</v>
      </c>
      <c r="B1852" s="20"/>
      <c r="C1852" s="20"/>
      <c r="D1852" s="20">
        <v>4000</v>
      </c>
      <c r="E1852" s="99" t="s">
        <v>861</v>
      </c>
      <c r="F1852" s="20">
        <f t="shared" si="28"/>
        <v>203272740</v>
      </c>
      <c r="G1852" s="7" t="s">
        <v>330</v>
      </c>
      <c r="H1852" s="24" t="s">
        <v>109</v>
      </c>
      <c r="I1852" s="32" t="s">
        <v>152</v>
      </c>
      <c r="K1852" s="181"/>
      <c r="L1852" s="181"/>
    </row>
    <row r="1853" spans="1:12" x14ac:dyDescent="0.35">
      <c r="A1853" s="19">
        <v>45927</v>
      </c>
      <c r="B1853" s="20"/>
      <c r="C1853" s="20"/>
      <c r="D1853" s="20">
        <v>100000</v>
      </c>
      <c r="E1853" s="99" t="s">
        <v>861</v>
      </c>
      <c r="F1853" s="20">
        <f t="shared" si="28"/>
        <v>203372740</v>
      </c>
      <c r="G1853" s="7" t="s">
        <v>330</v>
      </c>
      <c r="H1853" s="24" t="s">
        <v>109</v>
      </c>
      <c r="I1853" s="32" t="s">
        <v>152</v>
      </c>
      <c r="K1853" s="181"/>
      <c r="L1853" s="181"/>
    </row>
    <row r="1854" spans="1:12" x14ac:dyDescent="0.35">
      <c r="A1854" s="19">
        <v>45927</v>
      </c>
      <c r="B1854" s="20"/>
      <c r="C1854" s="20"/>
      <c r="D1854" s="20">
        <v>20000</v>
      </c>
      <c r="E1854" s="99" t="s">
        <v>861</v>
      </c>
      <c r="F1854" s="20">
        <f t="shared" si="28"/>
        <v>203392740</v>
      </c>
      <c r="G1854" s="7" t="s">
        <v>330</v>
      </c>
      <c r="H1854" s="24" t="s">
        <v>109</v>
      </c>
      <c r="I1854" s="32" t="s">
        <v>152</v>
      </c>
      <c r="K1854" s="181"/>
      <c r="L1854" s="181"/>
    </row>
    <row r="1855" spans="1:12" x14ac:dyDescent="0.35">
      <c r="A1855" s="19">
        <v>45927</v>
      </c>
      <c r="B1855" s="20"/>
      <c r="C1855" s="20"/>
      <c r="D1855" s="20">
        <v>20000</v>
      </c>
      <c r="E1855" s="99" t="s">
        <v>861</v>
      </c>
      <c r="F1855" s="20">
        <f t="shared" si="28"/>
        <v>203412740</v>
      </c>
      <c r="G1855" s="7" t="s">
        <v>330</v>
      </c>
      <c r="H1855" s="24" t="s">
        <v>109</v>
      </c>
      <c r="I1855" s="32" t="s">
        <v>152</v>
      </c>
      <c r="K1855" s="181"/>
      <c r="L1855" s="181"/>
    </row>
    <row r="1856" spans="1:12" x14ac:dyDescent="0.35">
      <c r="A1856" s="19">
        <v>45927</v>
      </c>
      <c r="B1856" s="20"/>
      <c r="C1856" s="20"/>
      <c r="D1856" s="20">
        <v>20000</v>
      </c>
      <c r="E1856" s="99" t="s">
        <v>861</v>
      </c>
      <c r="F1856" s="20">
        <f t="shared" si="28"/>
        <v>203432740</v>
      </c>
      <c r="G1856" s="7" t="s">
        <v>330</v>
      </c>
      <c r="H1856" s="24" t="s">
        <v>109</v>
      </c>
      <c r="I1856" s="32" t="s">
        <v>152</v>
      </c>
      <c r="K1856" s="181"/>
      <c r="L1856" s="181"/>
    </row>
    <row r="1857" spans="1:12" x14ac:dyDescent="0.35">
      <c r="A1857" s="19">
        <v>45927</v>
      </c>
      <c r="B1857" s="20">
        <v>1000000</v>
      </c>
      <c r="C1857" s="20"/>
      <c r="D1857" s="20"/>
      <c r="E1857" s="99" t="s">
        <v>861</v>
      </c>
      <c r="F1857" s="20">
        <f t="shared" si="28"/>
        <v>202432740</v>
      </c>
      <c r="G1857" s="7" t="s">
        <v>843</v>
      </c>
      <c r="H1857" s="24" t="s">
        <v>325</v>
      </c>
      <c r="I1857" s="32" t="s">
        <v>152</v>
      </c>
      <c r="K1857" s="181"/>
      <c r="L1857" s="181"/>
    </row>
    <row r="1858" spans="1:12" x14ac:dyDescent="0.35">
      <c r="A1858" s="19">
        <v>45927</v>
      </c>
      <c r="B1858" s="20">
        <v>6500</v>
      </c>
      <c r="C1858" s="20"/>
      <c r="D1858" s="20"/>
      <c r="E1858" s="99" t="s">
        <v>861</v>
      </c>
      <c r="F1858" s="20">
        <f t="shared" si="28"/>
        <v>202426240</v>
      </c>
      <c r="G1858" s="7" t="s">
        <v>843</v>
      </c>
      <c r="H1858" s="24" t="s">
        <v>325</v>
      </c>
      <c r="I1858" s="32" t="s">
        <v>152</v>
      </c>
      <c r="K1858" s="181"/>
      <c r="L1858" s="181"/>
    </row>
    <row r="1859" spans="1:12" x14ac:dyDescent="0.35">
      <c r="A1859" s="19">
        <v>45927</v>
      </c>
      <c r="B1859" s="20">
        <v>2000000</v>
      </c>
      <c r="C1859" s="20"/>
      <c r="D1859" s="20"/>
      <c r="E1859" s="99" t="s">
        <v>861</v>
      </c>
      <c r="F1859" s="20">
        <f t="shared" si="28"/>
        <v>200426240</v>
      </c>
      <c r="G1859" s="7" t="s">
        <v>844</v>
      </c>
      <c r="H1859" s="24" t="s">
        <v>323</v>
      </c>
      <c r="I1859" s="32" t="s">
        <v>152</v>
      </c>
      <c r="K1859" s="181"/>
      <c r="L1859" s="181"/>
    </row>
    <row r="1860" spans="1:12" x14ac:dyDescent="0.35">
      <c r="A1860" s="19">
        <v>45927</v>
      </c>
      <c r="B1860" s="20">
        <v>6500</v>
      </c>
      <c r="C1860" s="20"/>
      <c r="D1860" s="20"/>
      <c r="E1860" s="99" t="s">
        <v>861</v>
      </c>
      <c r="F1860" s="20">
        <f t="shared" si="28"/>
        <v>200419740</v>
      </c>
      <c r="G1860" s="7" t="s">
        <v>844</v>
      </c>
      <c r="H1860" s="24" t="s">
        <v>323</v>
      </c>
      <c r="I1860" s="32" t="s">
        <v>152</v>
      </c>
      <c r="K1860" s="181"/>
      <c r="L1860" s="181"/>
    </row>
    <row r="1861" spans="1:12" x14ac:dyDescent="0.35">
      <c r="A1861" s="19">
        <v>45927</v>
      </c>
      <c r="B1861" s="20">
        <v>550000</v>
      </c>
      <c r="C1861" s="20"/>
      <c r="D1861" s="20"/>
      <c r="E1861" s="99" t="s">
        <v>861</v>
      </c>
      <c r="F1861" s="20">
        <f t="shared" si="28"/>
        <v>199869740</v>
      </c>
      <c r="G1861" s="7" t="s">
        <v>845</v>
      </c>
      <c r="H1861" s="24" t="s">
        <v>325</v>
      </c>
      <c r="I1861" s="32" t="s">
        <v>152</v>
      </c>
      <c r="K1861" s="181"/>
      <c r="L1861" s="181"/>
    </row>
    <row r="1862" spans="1:12" x14ac:dyDescent="0.35">
      <c r="A1862" s="19">
        <v>45927</v>
      </c>
      <c r="B1862" s="20">
        <v>6500</v>
      </c>
      <c r="C1862" s="20"/>
      <c r="D1862" s="20"/>
      <c r="E1862" s="99" t="s">
        <v>861</v>
      </c>
      <c r="F1862" s="20">
        <f t="shared" si="28"/>
        <v>199863240</v>
      </c>
      <c r="G1862" s="7" t="s">
        <v>845</v>
      </c>
      <c r="H1862" s="24" t="s">
        <v>325</v>
      </c>
      <c r="I1862" s="32" t="s">
        <v>152</v>
      </c>
      <c r="K1862" s="181"/>
      <c r="L1862" s="181"/>
    </row>
    <row r="1863" spans="1:12" x14ac:dyDescent="0.35">
      <c r="A1863" s="19">
        <v>45927</v>
      </c>
      <c r="B1863" s="20">
        <v>2700000</v>
      </c>
      <c r="C1863" s="20"/>
      <c r="D1863" s="20"/>
      <c r="E1863" s="99" t="s">
        <v>861</v>
      </c>
      <c r="F1863" s="20">
        <f t="shared" si="28"/>
        <v>197163240</v>
      </c>
      <c r="G1863" s="7" t="s">
        <v>846</v>
      </c>
      <c r="H1863" s="24" t="s">
        <v>201</v>
      </c>
      <c r="I1863" s="32" t="s">
        <v>152</v>
      </c>
      <c r="K1863" s="181"/>
      <c r="L1863" s="181"/>
    </row>
    <row r="1864" spans="1:12" x14ac:dyDescent="0.35">
      <c r="A1864" s="19">
        <v>45927</v>
      </c>
      <c r="B1864" s="20">
        <v>6500</v>
      </c>
      <c r="C1864" s="20"/>
      <c r="D1864" s="20"/>
      <c r="E1864" s="99" t="s">
        <v>861</v>
      </c>
      <c r="F1864" s="20">
        <f t="shared" si="28"/>
        <v>197156740</v>
      </c>
      <c r="G1864" s="7" t="s">
        <v>846</v>
      </c>
      <c r="H1864" s="24" t="s">
        <v>201</v>
      </c>
      <c r="I1864" s="32" t="s">
        <v>152</v>
      </c>
      <c r="K1864" s="181"/>
      <c r="L1864" s="181"/>
    </row>
    <row r="1865" spans="1:12" x14ac:dyDescent="0.35">
      <c r="A1865" s="19">
        <v>45927</v>
      </c>
      <c r="B1865" s="20">
        <v>2250000</v>
      </c>
      <c r="C1865" s="20"/>
      <c r="D1865" s="20"/>
      <c r="E1865" s="99" t="s">
        <v>861</v>
      </c>
      <c r="F1865" s="20">
        <f t="shared" si="28"/>
        <v>194906740</v>
      </c>
      <c r="G1865" s="7" t="s">
        <v>847</v>
      </c>
      <c r="H1865" s="24" t="s">
        <v>325</v>
      </c>
      <c r="I1865" s="32" t="s">
        <v>152</v>
      </c>
      <c r="K1865" s="181"/>
      <c r="L1865" s="181"/>
    </row>
    <row r="1866" spans="1:12" x14ac:dyDescent="0.35">
      <c r="A1866" s="19">
        <v>45927</v>
      </c>
      <c r="B1866" s="20">
        <v>6500</v>
      </c>
      <c r="C1866" s="20"/>
      <c r="D1866" s="20"/>
      <c r="E1866" s="99" t="s">
        <v>861</v>
      </c>
      <c r="F1866" s="20">
        <f t="shared" si="28"/>
        <v>194900240</v>
      </c>
      <c r="G1866" s="7" t="s">
        <v>847</v>
      </c>
      <c r="H1866" s="24" t="s">
        <v>325</v>
      </c>
      <c r="I1866" s="32" t="s">
        <v>152</v>
      </c>
      <c r="K1866" s="181"/>
      <c r="L1866" s="181"/>
    </row>
    <row r="1867" spans="1:12" x14ac:dyDescent="0.35">
      <c r="A1867" s="19">
        <v>45927</v>
      </c>
      <c r="B1867" s="20">
        <v>4000000</v>
      </c>
      <c r="C1867" s="20"/>
      <c r="D1867" s="20"/>
      <c r="E1867" s="99" t="s">
        <v>861</v>
      </c>
      <c r="F1867" s="20">
        <f t="shared" si="28"/>
        <v>190900240</v>
      </c>
      <c r="G1867" s="7" t="s">
        <v>848</v>
      </c>
      <c r="H1867" s="24" t="s">
        <v>201</v>
      </c>
      <c r="I1867" s="32" t="s">
        <v>152</v>
      </c>
      <c r="K1867" s="181"/>
      <c r="L1867" s="181"/>
    </row>
    <row r="1868" spans="1:12" x14ac:dyDescent="0.35">
      <c r="A1868" s="19">
        <v>45927</v>
      </c>
      <c r="B1868" s="20">
        <v>6500</v>
      </c>
      <c r="C1868" s="20"/>
      <c r="D1868" s="20"/>
      <c r="E1868" s="99" t="s">
        <v>861</v>
      </c>
      <c r="F1868" s="20">
        <f t="shared" ref="F1868:F1931" si="29">+F1867+D1868-B1868</f>
        <v>190893740</v>
      </c>
      <c r="G1868" s="7" t="s">
        <v>848</v>
      </c>
      <c r="H1868" s="24" t="s">
        <v>201</v>
      </c>
      <c r="I1868" s="32" t="s">
        <v>152</v>
      </c>
      <c r="K1868" s="181"/>
      <c r="L1868" s="181"/>
    </row>
    <row r="1869" spans="1:12" x14ac:dyDescent="0.35">
      <c r="A1869" s="19">
        <v>45927</v>
      </c>
      <c r="B1869" s="20">
        <v>2500000</v>
      </c>
      <c r="C1869" s="20"/>
      <c r="D1869" s="20"/>
      <c r="E1869" s="99" t="s">
        <v>861</v>
      </c>
      <c r="F1869" s="20">
        <f t="shared" si="29"/>
        <v>188393740</v>
      </c>
      <c r="G1869" s="7" t="s">
        <v>849</v>
      </c>
      <c r="H1869" s="24" t="s">
        <v>325</v>
      </c>
      <c r="I1869" s="32" t="s">
        <v>152</v>
      </c>
      <c r="K1869" s="181"/>
      <c r="L1869" s="181"/>
    </row>
    <row r="1870" spans="1:12" x14ac:dyDescent="0.35">
      <c r="A1870" s="19">
        <v>45927</v>
      </c>
      <c r="B1870" s="20">
        <v>6500</v>
      </c>
      <c r="C1870" s="20"/>
      <c r="D1870" s="20"/>
      <c r="E1870" s="99" t="s">
        <v>861</v>
      </c>
      <c r="F1870" s="20">
        <f t="shared" si="29"/>
        <v>188387240</v>
      </c>
      <c r="G1870" s="7" t="s">
        <v>849</v>
      </c>
      <c r="H1870" s="24" t="s">
        <v>325</v>
      </c>
      <c r="I1870" s="32" t="s">
        <v>152</v>
      </c>
      <c r="K1870" s="181"/>
      <c r="L1870" s="181"/>
    </row>
    <row r="1871" spans="1:12" x14ac:dyDescent="0.35">
      <c r="A1871" s="19">
        <v>45927</v>
      </c>
      <c r="B1871" s="20">
        <v>3500000</v>
      </c>
      <c r="C1871" s="20"/>
      <c r="D1871" s="20"/>
      <c r="E1871" s="99" t="s">
        <v>861</v>
      </c>
      <c r="F1871" s="20">
        <f t="shared" si="29"/>
        <v>184887240</v>
      </c>
      <c r="G1871" s="7" t="s">
        <v>850</v>
      </c>
      <c r="H1871" s="24" t="s">
        <v>325</v>
      </c>
      <c r="I1871" s="32" t="s">
        <v>152</v>
      </c>
      <c r="K1871" s="181"/>
      <c r="L1871" s="181"/>
    </row>
    <row r="1872" spans="1:12" x14ac:dyDescent="0.35">
      <c r="A1872" s="19">
        <v>45927</v>
      </c>
      <c r="B1872" s="20">
        <v>6500</v>
      </c>
      <c r="C1872" s="20"/>
      <c r="D1872" s="20"/>
      <c r="E1872" s="99" t="s">
        <v>861</v>
      </c>
      <c r="F1872" s="20">
        <f t="shared" si="29"/>
        <v>184880740</v>
      </c>
      <c r="G1872" s="7" t="s">
        <v>850</v>
      </c>
      <c r="H1872" s="24" t="s">
        <v>325</v>
      </c>
      <c r="I1872" s="32" t="s">
        <v>152</v>
      </c>
      <c r="K1872" s="181"/>
      <c r="L1872" s="181"/>
    </row>
    <row r="1873" spans="1:12" x14ac:dyDescent="0.35">
      <c r="A1873" s="19">
        <v>45929</v>
      </c>
      <c r="B1873" s="20">
        <v>2750000</v>
      </c>
      <c r="C1873" s="20"/>
      <c r="D1873" s="20"/>
      <c r="E1873" s="99" t="s">
        <v>861</v>
      </c>
      <c r="F1873" s="20">
        <f t="shared" si="29"/>
        <v>182130740</v>
      </c>
      <c r="G1873" s="7" t="s">
        <v>851</v>
      </c>
      <c r="H1873" s="24" t="s">
        <v>325</v>
      </c>
      <c r="I1873" s="32" t="s">
        <v>152</v>
      </c>
      <c r="K1873" s="181"/>
      <c r="L1873" s="181"/>
    </row>
    <row r="1874" spans="1:12" x14ac:dyDescent="0.35">
      <c r="A1874" s="19">
        <v>45928</v>
      </c>
      <c r="B1874" s="20">
        <v>1000000</v>
      </c>
      <c r="C1874" s="20"/>
      <c r="D1874" s="20"/>
      <c r="E1874" s="99" t="s">
        <v>861</v>
      </c>
      <c r="F1874" s="20">
        <f t="shared" si="29"/>
        <v>181130740</v>
      </c>
      <c r="G1874" s="7" t="s">
        <v>852</v>
      </c>
      <c r="H1874" s="24" t="s">
        <v>323</v>
      </c>
      <c r="I1874" s="32" t="s">
        <v>152</v>
      </c>
      <c r="K1874" s="181"/>
      <c r="L1874" s="181"/>
    </row>
    <row r="1875" spans="1:12" x14ac:dyDescent="0.35">
      <c r="A1875" s="19">
        <v>45928</v>
      </c>
      <c r="B1875" s="20">
        <v>6500</v>
      </c>
      <c r="C1875" s="20"/>
      <c r="D1875" s="20"/>
      <c r="E1875" s="99" t="s">
        <v>861</v>
      </c>
      <c r="F1875" s="20">
        <f t="shared" si="29"/>
        <v>181124240</v>
      </c>
      <c r="G1875" s="7" t="s">
        <v>852</v>
      </c>
      <c r="H1875" s="24" t="s">
        <v>323</v>
      </c>
      <c r="I1875" s="32" t="s">
        <v>152</v>
      </c>
      <c r="K1875" s="181"/>
      <c r="L1875" s="181"/>
    </row>
    <row r="1876" spans="1:12" x14ac:dyDescent="0.35">
      <c r="A1876" s="19">
        <v>45928</v>
      </c>
      <c r="B1876" s="20"/>
      <c r="C1876" s="20"/>
      <c r="D1876" s="20">
        <v>25000</v>
      </c>
      <c r="E1876" s="99" t="s">
        <v>861</v>
      </c>
      <c r="F1876" s="20">
        <f t="shared" si="29"/>
        <v>181149240</v>
      </c>
      <c r="G1876" s="7" t="s">
        <v>330</v>
      </c>
      <c r="H1876" s="24" t="s">
        <v>109</v>
      </c>
      <c r="I1876" s="32" t="s">
        <v>152</v>
      </c>
      <c r="K1876" s="181"/>
      <c r="L1876" s="181"/>
    </row>
    <row r="1877" spans="1:12" x14ac:dyDescent="0.35">
      <c r="A1877" s="19">
        <v>45929</v>
      </c>
      <c r="B1877" s="20"/>
      <c r="C1877" s="20"/>
      <c r="D1877" s="20">
        <v>20000</v>
      </c>
      <c r="E1877" s="99" t="s">
        <v>861</v>
      </c>
      <c r="F1877" s="20">
        <f t="shared" si="29"/>
        <v>181169240</v>
      </c>
      <c r="G1877" s="7" t="s">
        <v>330</v>
      </c>
      <c r="H1877" s="24" t="s">
        <v>109</v>
      </c>
      <c r="I1877" s="32" t="s">
        <v>152</v>
      </c>
      <c r="K1877" s="181"/>
      <c r="L1877" s="181"/>
    </row>
    <row r="1878" spans="1:12" x14ac:dyDescent="0.35">
      <c r="A1878" s="19">
        <v>45929</v>
      </c>
      <c r="B1878" s="20"/>
      <c r="C1878" s="20"/>
      <c r="D1878" s="20">
        <v>25000</v>
      </c>
      <c r="E1878" s="99" t="s">
        <v>861</v>
      </c>
      <c r="F1878" s="20">
        <f t="shared" si="29"/>
        <v>181194240</v>
      </c>
      <c r="G1878" s="7" t="s">
        <v>330</v>
      </c>
      <c r="H1878" s="24" t="s">
        <v>109</v>
      </c>
      <c r="I1878" s="32" t="s">
        <v>152</v>
      </c>
      <c r="K1878" s="181"/>
      <c r="L1878" s="181"/>
    </row>
    <row r="1879" spans="1:12" x14ac:dyDescent="0.35">
      <c r="A1879" s="19">
        <v>45929</v>
      </c>
      <c r="B1879" s="20"/>
      <c r="C1879" s="20"/>
      <c r="D1879" s="20">
        <v>10000</v>
      </c>
      <c r="E1879" s="99" t="s">
        <v>861</v>
      </c>
      <c r="F1879" s="20">
        <f t="shared" si="29"/>
        <v>181204240</v>
      </c>
      <c r="G1879" s="7" t="s">
        <v>330</v>
      </c>
      <c r="H1879" s="24" t="s">
        <v>109</v>
      </c>
      <c r="I1879" s="32" t="s">
        <v>152</v>
      </c>
      <c r="K1879" s="181"/>
      <c r="L1879" s="181"/>
    </row>
    <row r="1880" spans="1:12" x14ac:dyDescent="0.35">
      <c r="A1880" s="19">
        <v>45930</v>
      </c>
      <c r="B1880" s="20"/>
      <c r="C1880" s="20"/>
      <c r="D1880" s="20">
        <v>30000</v>
      </c>
      <c r="E1880" s="99" t="s">
        <v>861</v>
      </c>
      <c r="F1880" s="20">
        <f t="shared" si="29"/>
        <v>181234240</v>
      </c>
      <c r="G1880" s="7" t="s">
        <v>330</v>
      </c>
      <c r="H1880" s="24" t="s">
        <v>109</v>
      </c>
      <c r="I1880" s="32" t="s">
        <v>152</v>
      </c>
      <c r="K1880" s="181"/>
      <c r="L1880" s="181"/>
    </row>
    <row r="1881" spans="1:12" x14ac:dyDescent="0.35">
      <c r="A1881" s="19">
        <v>45930</v>
      </c>
      <c r="B1881" s="20"/>
      <c r="C1881" s="20"/>
      <c r="D1881" s="20">
        <v>1011</v>
      </c>
      <c r="E1881" s="99" t="s">
        <v>861</v>
      </c>
      <c r="F1881" s="20">
        <f t="shared" si="29"/>
        <v>181235251</v>
      </c>
      <c r="G1881" s="7" t="s">
        <v>330</v>
      </c>
      <c r="H1881" s="24" t="s">
        <v>109</v>
      </c>
      <c r="I1881" s="32" t="s">
        <v>152</v>
      </c>
      <c r="K1881" s="181"/>
      <c r="L1881" s="181"/>
    </row>
    <row r="1882" spans="1:12" x14ac:dyDescent="0.35">
      <c r="A1882" s="19">
        <v>45930</v>
      </c>
      <c r="B1882" s="20"/>
      <c r="C1882" s="20"/>
      <c r="D1882" s="20">
        <v>20000</v>
      </c>
      <c r="E1882" s="99" t="s">
        <v>861</v>
      </c>
      <c r="F1882" s="20">
        <f t="shared" si="29"/>
        <v>181255251</v>
      </c>
      <c r="G1882" s="7" t="s">
        <v>330</v>
      </c>
      <c r="H1882" s="24" t="s">
        <v>109</v>
      </c>
      <c r="I1882" s="32" t="s">
        <v>152</v>
      </c>
      <c r="K1882" s="181"/>
      <c r="L1882" s="181"/>
    </row>
    <row r="1883" spans="1:12" x14ac:dyDescent="0.35">
      <c r="A1883" s="19">
        <v>45930</v>
      </c>
      <c r="B1883" s="20"/>
      <c r="C1883" s="20"/>
      <c r="D1883" s="20">
        <f>3763000-950000</f>
        <v>2813000</v>
      </c>
      <c r="E1883" s="99" t="s">
        <v>861</v>
      </c>
      <c r="F1883" s="20">
        <f t="shared" si="29"/>
        <v>184068251</v>
      </c>
      <c r="G1883" s="7"/>
      <c r="H1883" s="24" t="s">
        <v>107</v>
      </c>
      <c r="I1883" s="32" t="s">
        <v>152</v>
      </c>
      <c r="K1883" s="181"/>
      <c r="L1883" s="181"/>
    </row>
    <row r="1884" spans="1:12" x14ac:dyDescent="0.35">
      <c r="A1884" s="19">
        <v>45930</v>
      </c>
      <c r="B1884" s="20"/>
      <c r="C1884" s="20"/>
      <c r="D1884" s="20">
        <v>757000</v>
      </c>
      <c r="E1884" s="99" t="s">
        <v>861</v>
      </c>
      <c r="F1884" s="20">
        <f t="shared" si="29"/>
        <v>184825251</v>
      </c>
      <c r="G1884" s="7"/>
      <c r="H1884" s="24" t="s">
        <v>109</v>
      </c>
      <c r="I1884" s="32" t="s">
        <v>152</v>
      </c>
      <c r="K1884" s="181"/>
      <c r="L1884" s="181"/>
    </row>
    <row r="1885" spans="1:12" x14ac:dyDescent="0.35">
      <c r="A1885" s="19"/>
      <c r="B1885" s="20"/>
      <c r="C1885" s="20">
        <v>3570000</v>
      </c>
      <c r="D1885" s="20"/>
      <c r="E1885" s="99"/>
      <c r="F1885" s="20">
        <f t="shared" si="29"/>
        <v>184825251</v>
      </c>
      <c r="G1885" s="7" t="s">
        <v>853</v>
      </c>
      <c r="H1885" s="24"/>
      <c r="I1885" s="32"/>
      <c r="K1885" s="181"/>
      <c r="L1885" s="181"/>
    </row>
    <row r="1886" spans="1:12" x14ac:dyDescent="0.35">
      <c r="A1886" s="19">
        <v>45930</v>
      </c>
      <c r="B1886" s="20"/>
      <c r="C1886" s="20"/>
      <c r="D1886" s="20">
        <v>300000</v>
      </c>
      <c r="E1886" s="99" t="s">
        <v>861</v>
      </c>
      <c r="F1886" s="20">
        <f t="shared" si="29"/>
        <v>185125251</v>
      </c>
      <c r="G1886" s="7" t="s">
        <v>854</v>
      </c>
      <c r="H1886" s="24" t="s">
        <v>109</v>
      </c>
      <c r="I1886" s="32" t="s">
        <v>152</v>
      </c>
      <c r="K1886" s="181"/>
      <c r="L1886" s="181"/>
    </row>
    <row r="1887" spans="1:12" x14ac:dyDescent="0.35">
      <c r="A1887" s="19">
        <v>45931</v>
      </c>
      <c r="B1887" s="20"/>
      <c r="C1887" s="20"/>
      <c r="D1887" s="20">
        <v>500000</v>
      </c>
      <c r="E1887" s="99" t="s">
        <v>893</v>
      </c>
      <c r="F1887" s="20">
        <f t="shared" si="29"/>
        <v>185625251</v>
      </c>
      <c r="G1887" s="7" t="s">
        <v>579</v>
      </c>
      <c r="H1887" s="24" t="s">
        <v>109</v>
      </c>
      <c r="I1887" s="32" t="s">
        <v>152</v>
      </c>
      <c r="K1887" s="181"/>
      <c r="L1887" s="181"/>
    </row>
    <row r="1888" spans="1:12" x14ac:dyDescent="0.35">
      <c r="A1888" s="19">
        <v>45931</v>
      </c>
      <c r="B1888" s="20"/>
      <c r="C1888" s="20"/>
      <c r="D1888" s="20">
        <v>20000</v>
      </c>
      <c r="E1888" s="99" t="s">
        <v>893</v>
      </c>
      <c r="F1888" s="20">
        <f t="shared" si="29"/>
        <v>185645251</v>
      </c>
      <c r="G1888" s="7" t="s">
        <v>330</v>
      </c>
      <c r="H1888" s="24" t="s">
        <v>109</v>
      </c>
      <c r="I1888" s="32" t="s">
        <v>152</v>
      </c>
      <c r="K1888" s="181"/>
      <c r="L1888" s="181"/>
    </row>
    <row r="1889" spans="1:12" x14ac:dyDescent="0.35">
      <c r="A1889" s="19">
        <v>45931</v>
      </c>
      <c r="B1889" s="20"/>
      <c r="C1889" s="20"/>
      <c r="D1889" s="20">
        <v>200000</v>
      </c>
      <c r="E1889" s="99" t="s">
        <v>893</v>
      </c>
      <c r="F1889" s="20">
        <f t="shared" si="29"/>
        <v>185845251</v>
      </c>
      <c r="G1889" s="7" t="s">
        <v>866</v>
      </c>
      <c r="H1889" s="24" t="s">
        <v>109</v>
      </c>
      <c r="I1889" s="32" t="s">
        <v>152</v>
      </c>
      <c r="K1889" s="181"/>
      <c r="L1889" s="181"/>
    </row>
    <row r="1890" spans="1:12" x14ac:dyDescent="0.35">
      <c r="A1890" s="19">
        <v>45931</v>
      </c>
      <c r="B1890" s="20"/>
      <c r="C1890" s="20"/>
      <c r="D1890" s="20">
        <v>350000</v>
      </c>
      <c r="E1890" s="99" t="s">
        <v>893</v>
      </c>
      <c r="F1890" s="20">
        <f t="shared" si="29"/>
        <v>186195251</v>
      </c>
      <c r="G1890" s="7" t="s">
        <v>740</v>
      </c>
      <c r="H1890" s="24" t="s">
        <v>109</v>
      </c>
      <c r="I1890" s="32" t="s">
        <v>152</v>
      </c>
      <c r="K1890" s="181"/>
      <c r="L1890" s="181"/>
    </row>
    <row r="1891" spans="1:12" x14ac:dyDescent="0.35">
      <c r="A1891" s="19">
        <v>45933</v>
      </c>
      <c r="B1891" s="20"/>
      <c r="C1891" s="20"/>
      <c r="D1891" s="20">
        <v>200000</v>
      </c>
      <c r="E1891" s="99" t="s">
        <v>893</v>
      </c>
      <c r="F1891" s="20">
        <f t="shared" si="29"/>
        <v>186395251</v>
      </c>
      <c r="G1891" s="7" t="s">
        <v>333</v>
      </c>
      <c r="H1891" s="24" t="s">
        <v>109</v>
      </c>
      <c r="I1891" s="32" t="s">
        <v>152</v>
      </c>
      <c r="K1891" s="181"/>
      <c r="L1891" s="181"/>
    </row>
    <row r="1892" spans="1:12" x14ac:dyDescent="0.35">
      <c r="A1892" s="19">
        <v>45933</v>
      </c>
      <c r="B1892" s="20"/>
      <c r="C1892" s="20"/>
      <c r="D1892" s="20">
        <v>100000</v>
      </c>
      <c r="E1892" s="99" t="s">
        <v>893</v>
      </c>
      <c r="F1892" s="20">
        <f t="shared" si="29"/>
        <v>186495251</v>
      </c>
      <c r="G1892" s="7" t="s">
        <v>330</v>
      </c>
      <c r="H1892" s="24" t="s">
        <v>109</v>
      </c>
      <c r="I1892" s="32" t="s">
        <v>152</v>
      </c>
      <c r="K1892" s="181"/>
      <c r="L1892" s="181"/>
    </row>
    <row r="1893" spans="1:12" x14ac:dyDescent="0.35">
      <c r="A1893" s="19">
        <v>45934</v>
      </c>
      <c r="B1893" s="20">
        <v>750000</v>
      </c>
      <c r="C1893" s="20"/>
      <c r="D1893" s="20"/>
      <c r="E1893" s="99" t="s">
        <v>893</v>
      </c>
      <c r="F1893" s="20">
        <f t="shared" si="29"/>
        <v>185745251</v>
      </c>
      <c r="G1893" s="7" t="s">
        <v>818</v>
      </c>
      <c r="H1893" s="24" t="s">
        <v>323</v>
      </c>
      <c r="I1893" s="32" t="s">
        <v>152</v>
      </c>
      <c r="K1893" s="181"/>
      <c r="L1893" s="181"/>
    </row>
    <row r="1894" spans="1:12" x14ac:dyDescent="0.35">
      <c r="A1894" s="19">
        <v>45934</v>
      </c>
      <c r="B1894" s="20">
        <v>6500</v>
      </c>
      <c r="C1894" s="20"/>
      <c r="D1894" s="20"/>
      <c r="E1894" s="99" t="s">
        <v>893</v>
      </c>
      <c r="F1894" s="20">
        <f t="shared" si="29"/>
        <v>185738751</v>
      </c>
      <c r="G1894" s="7" t="s">
        <v>818</v>
      </c>
      <c r="H1894" s="24" t="s">
        <v>323</v>
      </c>
      <c r="I1894" s="32" t="s">
        <v>152</v>
      </c>
      <c r="K1894" s="181"/>
      <c r="L1894" s="181"/>
    </row>
    <row r="1895" spans="1:12" x14ac:dyDescent="0.35">
      <c r="A1895" s="19">
        <v>45934</v>
      </c>
      <c r="B1895" s="20"/>
      <c r="C1895" s="20"/>
      <c r="D1895" s="20">
        <v>100000</v>
      </c>
      <c r="E1895" s="99" t="s">
        <v>893</v>
      </c>
      <c r="F1895" s="20">
        <f t="shared" si="29"/>
        <v>185838751</v>
      </c>
      <c r="G1895" s="7" t="s">
        <v>330</v>
      </c>
      <c r="H1895" s="24" t="s">
        <v>109</v>
      </c>
      <c r="I1895" s="32" t="s">
        <v>152</v>
      </c>
      <c r="K1895" s="181"/>
      <c r="L1895" s="181"/>
    </row>
    <row r="1896" spans="1:12" x14ac:dyDescent="0.35">
      <c r="A1896" s="19">
        <v>45934</v>
      </c>
      <c r="B1896" s="20"/>
      <c r="C1896" s="20"/>
      <c r="D1896" s="20">
        <v>20000</v>
      </c>
      <c r="E1896" s="99" t="s">
        <v>893</v>
      </c>
      <c r="F1896" s="20">
        <f t="shared" si="29"/>
        <v>185858751</v>
      </c>
      <c r="G1896" s="7" t="s">
        <v>330</v>
      </c>
      <c r="H1896" s="24" t="s">
        <v>109</v>
      </c>
      <c r="I1896" s="32" t="s">
        <v>152</v>
      </c>
      <c r="K1896" s="181"/>
      <c r="L1896" s="181"/>
    </row>
    <row r="1897" spans="1:12" x14ac:dyDescent="0.35">
      <c r="A1897" s="19">
        <v>45934</v>
      </c>
      <c r="B1897" s="20"/>
      <c r="C1897" s="20"/>
      <c r="D1897" s="20">
        <v>25000</v>
      </c>
      <c r="E1897" s="99" t="s">
        <v>893</v>
      </c>
      <c r="F1897" s="20">
        <f t="shared" si="29"/>
        <v>185883751</v>
      </c>
      <c r="G1897" s="7" t="s">
        <v>330</v>
      </c>
      <c r="H1897" s="24" t="s">
        <v>109</v>
      </c>
      <c r="I1897" s="32" t="s">
        <v>152</v>
      </c>
      <c r="K1897" s="181"/>
      <c r="L1897" s="181"/>
    </row>
    <row r="1898" spans="1:12" x14ac:dyDescent="0.35">
      <c r="A1898" s="19">
        <v>45934</v>
      </c>
      <c r="B1898" s="20"/>
      <c r="C1898" s="20"/>
      <c r="D1898" s="20">
        <v>100000</v>
      </c>
      <c r="E1898" s="99" t="s">
        <v>893</v>
      </c>
      <c r="F1898" s="20">
        <f t="shared" si="29"/>
        <v>185983751</v>
      </c>
      <c r="G1898" s="7" t="s">
        <v>330</v>
      </c>
      <c r="H1898" s="24" t="s">
        <v>109</v>
      </c>
      <c r="I1898" s="32" t="s">
        <v>152</v>
      </c>
      <c r="K1898" s="181"/>
      <c r="L1898" s="181"/>
    </row>
    <row r="1899" spans="1:12" x14ac:dyDescent="0.35">
      <c r="A1899" s="19">
        <v>45934</v>
      </c>
      <c r="B1899" s="20"/>
      <c r="C1899" s="20"/>
      <c r="D1899" s="20">
        <v>50000</v>
      </c>
      <c r="E1899" s="99" t="s">
        <v>893</v>
      </c>
      <c r="F1899" s="20">
        <f t="shared" si="29"/>
        <v>186033751</v>
      </c>
      <c r="G1899" s="7" t="s">
        <v>330</v>
      </c>
      <c r="H1899" s="24" t="s">
        <v>109</v>
      </c>
      <c r="I1899" s="32" t="s">
        <v>152</v>
      </c>
      <c r="K1899" s="181"/>
      <c r="L1899" s="181"/>
    </row>
    <row r="1900" spans="1:12" x14ac:dyDescent="0.35">
      <c r="A1900" s="19">
        <v>45934</v>
      </c>
      <c r="B1900" s="20">
        <v>1143500</v>
      </c>
      <c r="C1900" s="20"/>
      <c r="D1900" s="20"/>
      <c r="E1900" s="99" t="s">
        <v>893</v>
      </c>
      <c r="F1900" s="20">
        <f t="shared" si="29"/>
        <v>184890251</v>
      </c>
      <c r="G1900" s="7" t="s">
        <v>867</v>
      </c>
      <c r="H1900" s="24" t="s">
        <v>322</v>
      </c>
      <c r="I1900" s="32" t="s">
        <v>152</v>
      </c>
      <c r="K1900" s="181"/>
      <c r="L1900" s="181"/>
    </row>
    <row r="1901" spans="1:12" x14ac:dyDescent="0.35">
      <c r="A1901" s="19">
        <v>45934</v>
      </c>
      <c r="B1901" s="20">
        <v>6500</v>
      </c>
      <c r="C1901" s="20"/>
      <c r="D1901" s="20"/>
      <c r="E1901" s="99" t="s">
        <v>893</v>
      </c>
      <c r="F1901" s="20">
        <f t="shared" si="29"/>
        <v>184883751</v>
      </c>
      <c r="G1901" s="7" t="s">
        <v>868</v>
      </c>
      <c r="H1901" s="24" t="s">
        <v>322</v>
      </c>
      <c r="I1901" s="32" t="s">
        <v>152</v>
      </c>
      <c r="K1901" s="181"/>
      <c r="L1901" s="181"/>
    </row>
    <row r="1902" spans="1:12" x14ac:dyDescent="0.35">
      <c r="A1902" s="19">
        <v>45934</v>
      </c>
      <c r="B1902" s="20"/>
      <c r="C1902" s="20"/>
      <c r="D1902" s="20">
        <v>500000</v>
      </c>
      <c r="E1902" s="99" t="s">
        <v>893</v>
      </c>
      <c r="F1902" s="20">
        <f t="shared" si="29"/>
        <v>185383751</v>
      </c>
      <c r="G1902" s="7" t="s">
        <v>675</v>
      </c>
      <c r="H1902" s="24" t="s">
        <v>109</v>
      </c>
      <c r="I1902" s="32" t="s">
        <v>152</v>
      </c>
      <c r="K1902" s="181"/>
      <c r="L1902" s="181"/>
    </row>
    <row r="1903" spans="1:12" x14ac:dyDescent="0.35">
      <c r="A1903" s="19">
        <v>45935</v>
      </c>
      <c r="B1903" s="20">
        <v>750000</v>
      </c>
      <c r="C1903" s="20"/>
      <c r="D1903" s="20"/>
      <c r="E1903" s="99" t="s">
        <v>893</v>
      </c>
      <c r="F1903" s="20">
        <f t="shared" si="29"/>
        <v>184633751</v>
      </c>
      <c r="G1903" s="7" t="s">
        <v>869</v>
      </c>
      <c r="H1903" s="24" t="s">
        <v>323</v>
      </c>
      <c r="I1903" s="32" t="s">
        <v>152</v>
      </c>
      <c r="K1903" s="181"/>
      <c r="L1903" s="181"/>
    </row>
    <row r="1904" spans="1:12" x14ac:dyDescent="0.35">
      <c r="A1904" s="19">
        <v>45935</v>
      </c>
      <c r="B1904" s="20">
        <v>6500</v>
      </c>
      <c r="C1904" s="20"/>
      <c r="D1904" s="20"/>
      <c r="E1904" s="99" t="s">
        <v>893</v>
      </c>
      <c r="F1904" s="20">
        <f t="shared" si="29"/>
        <v>184627251</v>
      </c>
      <c r="G1904" s="7" t="s">
        <v>869</v>
      </c>
      <c r="H1904" s="24" t="s">
        <v>323</v>
      </c>
      <c r="I1904" s="32" t="s">
        <v>152</v>
      </c>
      <c r="K1904" s="181"/>
      <c r="L1904" s="181"/>
    </row>
    <row r="1905" spans="1:12" x14ac:dyDescent="0.35">
      <c r="A1905" s="19">
        <v>45935</v>
      </c>
      <c r="B1905" s="20"/>
      <c r="C1905" s="20"/>
      <c r="D1905" s="20">
        <v>20000</v>
      </c>
      <c r="E1905" s="99" t="s">
        <v>893</v>
      </c>
      <c r="F1905" s="20">
        <f t="shared" si="29"/>
        <v>184647251</v>
      </c>
      <c r="G1905" s="7" t="s">
        <v>330</v>
      </c>
      <c r="H1905" s="24" t="s">
        <v>109</v>
      </c>
      <c r="I1905" s="32" t="s">
        <v>152</v>
      </c>
      <c r="K1905" s="181"/>
      <c r="L1905" s="181"/>
    </row>
    <row r="1906" spans="1:12" x14ac:dyDescent="0.35">
      <c r="A1906" s="19">
        <v>45935</v>
      </c>
      <c r="B1906" s="20"/>
      <c r="C1906" s="20"/>
      <c r="D1906" s="20">
        <v>10000</v>
      </c>
      <c r="E1906" s="99" t="s">
        <v>893</v>
      </c>
      <c r="F1906" s="20">
        <f t="shared" si="29"/>
        <v>184657251</v>
      </c>
      <c r="G1906" s="7" t="s">
        <v>330</v>
      </c>
      <c r="H1906" s="24" t="s">
        <v>109</v>
      </c>
      <c r="I1906" s="32" t="s">
        <v>152</v>
      </c>
      <c r="K1906" s="181"/>
      <c r="L1906" s="181"/>
    </row>
    <row r="1907" spans="1:12" x14ac:dyDescent="0.35">
      <c r="A1907" s="19">
        <v>45935</v>
      </c>
      <c r="B1907" s="20"/>
      <c r="C1907" s="20"/>
      <c r="D1907" s="20">
        <v>200000</v>
      </c>
      <c r="E1907" s="99" t="s">
        <v>893</v>
      </c>
      <c r="F1907" s="20">
        <f t="shared" si="29"/>
        <v>184857251</v>
      </c>
      <c r="G1907" s="7" t="s">
        <v>531</v>
      </c>
      <c r="H1907" s="24" t="s">
        <v>109</v>
      </c>
      <c r="I1907" s="32" t="s">
        <v>152</v>
      </c>
      <c r="K1907" s="181"/>
      <c r="L1907" s="181"/>
    </row>
    <row r="1908" spans="1:12" x14ac:dyDescent="0.35">
      <c r="A1908" s="19">
        <v>45936</v>
      </c>
      <c r="B1908" s="20"/>
      <c r="C1908" s="20"/>
      <c r="D1908" s="20">
        <v>20000</v>
      </c>
      <c r="E1908" s="99" t="s">
        <v>893</v>
      </c>
      <c r="F1908" s="20">
        <f t="shared" si="29"/>
        <v>184877251</v>
      </c>
      <c r="G1908" s="7" t="s">
        <v>330</v>
      </c>
      <c r="H1908" s="24" t="s">
        <v>109</v>
      </c>
      <c r="I1908" s="32" t="s">
        <v>152</v>
      </c>
      <c r="K1908" s="181"/>
      <c r="L1908" s="181"/>
    </row>
    <row r="1909" spans="1:12" x14ac:dyDescent="0.35">
      <c r="A1909" s="19">
        <v>45936</v>
      </c>
      <c r="B1909" s="20">
        <v>1000000</v>
      </c>
      <c r="C1909" s="20"/>
      <c r="D1909" s="20"/>
      <c r="E1909" s="99" t="s">
        <v>893</v>
      </c>
      <c r="F1909" s="20">
        <f t="shared" si="29"/>
        <v>183877251</v>
      </c>
      <c r="G1909" s="7" t="s">
        <v>870</v>
      </c>
      <c r="H1909" s="24" t="s">
        <v>203</v>
      </c>
      <c r="I1909" s="32" t="s">
        <v>152</v>
      </c>
      <c r="K1909" s="181"/>
      <c r="L1909" s="181"/>
    </row>
    <row r="1910" spans="1:12" x14ac:dyDescent="0.35">
      <c r="A1910" s="19">
        <v>45936</v>
      </c>
      <c r="B1910" s="20">
        <v>6500</v>
      </c>
      <c r="C1910" s="20"/>
      <c r="D1910" s="20"/>
      <c r="E1910" s="99" t="s">
        <v>893</v>
      </c>
      <c r="F1910" s="20">
        <f t="shared" si="29"/>
        <v>183870751</v>
      </c>
      <c r="G1910" s="7" t="s">
        <v>870</v>
      </c>
      <c r="H1910" s="24" t="s">
        <v>203</v>
      </c>
      <c r="I1910" s="32" t="s">
        <v>152</v>
      </c>
      <c r="K1910" s="181"/>
      <c r="L1910" s="181"/>
    </row>
    <row r="1911" spans="1:12" x14ac:dyDescent="0.35">
      <c r="A1911" s="19">
        <v>45937</v>
      </c>
      <c r="B1911" s="20"/>
      <c r="C1911" s="20"/>
      <c r="D1911" s="20">
        <v>20000</v>
      </c>
      <c r="E1911" s="99" t="s">
        <v>893</v>
      </c>
      <c r="F1911" s="20">
        <f t="shared" si="29"/>
        <v>183890751</v>
      </c>
      <c r="G1911" s="7" t="s">
        <v>330</v>
      </c>
      <c r="H1911" s="24" t="s">
        <v>109</v>
      </c>
      <c r="I1911" s="32" t="s">
        <v>152</v>
      </c>
      <c r="K1911" s="181"/>
      <c r="L1911" s="181"/>
    </row>
    <row r="1912" spans="1:12" x14ac:dyDescent="0.35">
      <c r="A1912" s="19">
        <v>45937</v>
      </c>
      <c r="B1912" s="20"/>
      <c r="C1912" s="20"/>
      <c r="D1912" s="20">
        <f>2969000-950000</f>
        <v>2019000</v>
      </c>
      <c r="E1912" s="99" t="s">
        <v>893</v>
      </c>
      <c r="F1912" s="20">
        <f t="shared" si="29"/>
        <v>185909751</v>
      </c>
      <c r="G1912" s="7"/>
      <c r="H1912" s="24" t="s">
        <v>107</v>
      </c>
      <c r="I1912" s="32" t="s">
        <v>152</v>
      </c>
      <c r="K1912" s="181"/>
      <c r="L1912" s="181"/>
    </row>
    <row r="1913" spans="1:12" x14ac:dyDescent="0.35">
      <c r="A1913" s="19">
        <v>45937</v>
      </c>
      <c r="B1913" s="20"/>
      <c r="C1913" s="20"/>
      <c r="D1913" s="20">
        <v>1150000</v>
      </c>
      <c r="E1913" s="99" t="s">
        <v>893</v>
      </c>
      <c r="F1913" s="20">
        <f t="shared" si="29"/>
        <v>187059751</v>
      </c>
      <c r="G1913" s="7"/>
      <c r="H1913" s="24" t="s">
        <v>109</v>
      </c>
      <c r="I1913" s="32" t="s">
        <v>152</v>
      </c>
      <c r="K1913" s="181"/>
      <c r="L1913" s="181"/>
    </row>
    <row r="1914" spans="1:12" x14ac:dyDescent="0.35">
      <c r="A1914" s="19"/>
      <c r="B1914" s="20"/>
      <c r="C1914" s="20">
        <v>3169000</v>
      </c>
      <c r="D1914" s="20"/>
      <c r="E1914" s="99"/>
      <c r="F1914" s="20">
        <f t="shared" si="29"/>
        <v>187059751</v>
      </c>
      <c r="G1914" s="7" t="s">
        <v>871</v>
      </c>
      <c r="H1914" s="24"/>
      <c r="I1914" s="32"/>
      <c r="K1914" s="181"/>
      <c r="L1914" s="181"/>
    </row>
    <row r="1915" spans="1:12" x14ac:dyDescent="0.35">
      <c r="A1915" s="19">
        <v>45938</v>
      </c>
      <c r="B1915" s="20"/>
      <c r="C1915" s="20"/>
      <c r="D1915" s="20">
        <v>20000</v>
      </c>
      <c r="E1915" s="99" t="s">
        <v>893</v>
      </c>
      <c r="F1915" s="20">
        <f t="shared" si="29"/>
        <v>187079751</v>
      </c>
      <c r="G1915" s="7" t="s">
        <v>330</v>
      </c>
      <c r="H1915" s="24" t="s">
        <v>109</v>
      </c>
      <c r="I1915" s="32" t="s">
        <v>152</v>
      </c>
      <c r="K1915" s="181"/>
      <c r="L1915" s="181"/>
    </row>
    <row r="1916" spans="1:12" x14ac:dyDescent="0.35">
      <c r="A1916" s="19">
        <v>45938</v>
      </c>
      <c r="B1916" s="20"/>
      <c r="C1916" s="20"/>
      <c r="D1916" s="20">
        <v>400000</v>
      </c>
      <c r="E1916" s="99" t="s">
        <v>893</v>
      </c>
      <c r="F1916" s="20">
        <f t="shared" si="29"/>
        <v>187479751</v>
      </c>
      <c r="G1916" s="7" t="s">
        <v>600</v>
      </c>
      <c r="H1916" s="24" t="s">
        <v>109</v>
      </c>
      <c r="I1916" s="32" t="s">
        <v>152</v>
      </c>
      <c r="K1916" s="181"/>
      <c r="L1916" s="181"/>
    </row>
    <row r="1917" spans="1:12" x14ac:dyDescent="0.35">
      <c r="A1917" s="19">
        <v>45939</v>
      </c>
      <c r="B1917" s="20"/>
      <c r="C1917" s="20"/>
      <c r="D1917" s="20">
        <v>20000</v>
      </c>
      <c r="E1917" s="99" t="s">
        <v>893</v>
      </c>
      <c r="F1917" s="20">
        <f t="shared" si="29"/>
        <v>187499751</v>
      </c>
      <c r="G1917" s="7" t="s">
        <v>330</v>
      </c>
      <c r="H1917" s="24" t="s">
        <v>109</v>
      </c>
      <c r="I1917" s="32" t="s">
        <v>152</v>
      </c>
      <c r="K1917" s="181"/>
      <c r="L1917" s="181"/>
    </row>
    <row r="1918" spans="1:12" x14ac:dyDescent="0.35">
      <c r="A1918" s="19">
        <v>45940</v>
      </c>
      <c r="B1918" s="20"/>
      <c r="C1918" s="20"/>
      <c r="D1918" s="20">
        <v>40000</v>
      </c>
      <c r="E1918" s="99" t="s">
        <v>893</v>
      </c>
      <c r="F1918" s="20">
        <f t="shared" si="29"/>
        <v>187539751</v>
      </c>
      <c r="G1918" s="7" t="s">
        <v>330</v>
      </c>
      <c r="H1918" s="24" t="s">
        <v>109</v>
      </c>
      <c r="I1918" s="32" t="s">
        <v>152</v>
      </c>
      <c r="K1918" s="181"/>
      <c r="L1918" s="181"/>
    </row>
    <row r="1919" spans="1:12" x14ac:dyDescent="0.35">
      <c r="A1919" s="19">
        <v>45940</v>
      </c>
      <c r="B1919" s="20"/>
      <c r="C1919" s="20"/>
      <c r="D1919" s="20">
        <v>20000</v>
      </c>
      <c r="E1919" s="99" t="s">
        <v>893</v>
      </c>
      <c r="F1919" s="20">
        <f t="shared" si="29"/>
        <v>187559751</v>
      </c>
      <c r="G1919" s="7" t="s">
        <v>330</v>
      </c>
      <c r="H1919" s="24" t="s">
        <v>109</v>
      </c>
      <c r="I1919" s="32" t="s">
        <v>152</v>
      </c>
      <c r="K1919" s="181"/>
      <c r="L1919" s="181"/>
    </row>
    <row r="1920" spans="1:12" x14ac:dyDescent="0.35">
      <c r="A1920" s="19">
        <v>45940</v>
      </c>
      <c r="B1920" s="20"/>
      <c r="C1920" s="20"/>
      <c r="D1920" s="20">
        <v>2000000</v>
      </c>
      <c r="E1920" s="99" t="s">
        <v>893</v>
      </c>
      <c r="F1920" s="20">
        <f t="shared" si="29"/>
        <v>189559751</v>
      </c>
      <c r="G1920" s="7" t="s">
        <v>425</v>
      </c>
      <c r="H1920" s="24" t="s">
        <v>109</v>
      </c>
      <c r="I1920" s="32" t="s">
        <v>152</v>
      </c>
      <c r="K1920" s="181"/>
      <c r="L1920" s="181"/>
    </row>
    <row r="1921" spans="1:12" x14ac:dyDescent="0.35">
      <c r="A1921" s="19">
        <v>45941</v>
      </c>
      <c r="B1921" s="20">
        <v>750000</v>
      </c>
      <c r="C1921" s="20"/>
      <c r="D1921" s="20"/>
      <c r="E1921" s="99" t="s">
        <v>893</v>
      </c>
      <c r="F1921" s="20">
        <f t="shared" si="29"/>
        <v>188809751</v>
      </c>
      <c r="G1921" s="7" t="s">
        <v>620</v>
      </c>
      <c r="H1921" s="24" t="s">
        <v>323</v>
      </c>
      <c r="I1921" s="32" t="s">
        <v>152</v>
      </c>
      <c r="K1921" s="181"/>
      <c r="L1921" s="181"/>
    </row>
    <row r="1922" spans="1:12" x14ac:dyDescent="0.35">
      <c r="A1922" s="19">
        <v>45941</v>
      </c>
      <c r="B1922" s="20">
        <v>6500</v>
      </c>
      <c r="C1922" s="20"/>
      <c r="D1922" s="20"/>
      <c r="E1922" s="99" t="s">
        <v>893</v>
      </c>
      <c r="F1922" s="20">
        <f t="shared" si="29"/>
        <v>188803251</v>
      </c>
      <c r="G1922" s="7" t="s">
        <v>620</v>
      </c>
      <c r="H1922" s="24" t="s">
        <v>323</v>
      </c>
      <c r="I1922" s="32" t="s">
        <v>152</v>
      </c>
      <c r="K1922" s="181"/>
      <c r="L1922" s="181"/>
    </row>
    <row r="1923" spans="1:12" x14ac:dyDescent="0.35">
      <c r="A1923" s="19">
        <v>45941</v>
      </c>
      <c r="B1923" s="20"/>
      <c r="C1923" s="20"/>
      <c r="D1923" s="20">
        <v>10000</v>
      </c>
      <c r="E1923" s="99" t="s">
        <v>893</v>
      </c>
      <c r="F1923" s="20">
        <f t="shared" si="29"/>
        <v>188813251</v>
      </c>
      <c r="G1923" s="7" t="s">
        <v>330</v>
      </c>
      <c r="H1923" s="24" t="s">
        <v>109</v>
      </c>
      <c r="I1923" s="32" t="s">
        <v>152</v>
      </c>
      <c r="K1923" s="181"/>
      <c r="L1923" s="181"/>
    </row>
    <row r="1924" spans="1:12" x14ac:dyDescent="0.35">
      <c r="A1924" s="19">
        <v>45941</v>
      </c>
      <c r="B1924" s="20"/>
      <c r="C1924" s="20"/>
      <c r="D1924" s="20">
        <v>25000</v>
      </c>
      <c r="E1924" s="99" t="s">
        <v>893</v>
      </c>
      <c r="F1924" s="20">
        <f t="shared" si="29"/>
        <v>188838251</v>
      </c>
      <c r="G1924" s="7" t="s">
        <v>330</v>
      </c>
      <c r="H1924" s="24" t="s">
        <v>109</v>
      </c>
      <c r="I1924" s="32" t="s">
        <v>152</v>
      </c>
      <c r="K1924" s="181"/>
      <c r="L1924" s="181"/>
    </row>
    <row r="1925" spans="1:12" x14ac:dyDescent="0.35">
      <c r="A1925" s="19">
        <v>45941</v>
      </c>
      <c r="B1925" s="20"/>
      <c r="C1925" s="20"/>
      <c r="D1925" s="20">
        <v>100000</v>
      </c>
      <c r="E1925" s="99" t="s">
        <v>893</v>
      </c>
      <c r="F1925" s="20">
        <f t="shared" si="29"/>
        <v>188938251</v>
      </c>
      <c r="G1925" s="7" t="s">
        <v>330</v>
      </c>
      <c r="H1925" s="24" t="s">
        <v>109</v>
      </c>
      <c r="I1925" s="32" t="s">
        <v>152</v>
      </c>
      <c r="K1925" s="181"/>
      <c r="L1925" s="181"/>
    </row>
    <row r="1926" spans="1:12" x14ac:dyDescent="0.35">
      <c r="A1926" s="19">
        <v>45941</v>
      </c>
      <c r="B1926" s="20"/>
      <c r="C1926" s="20"/>
      <c r="D1926" s="20">
        <v>100000</v>
      </c>
      <c r="E1926" s="99" t="s">
        <v>893</v>
      </c>
      <c r="F1926" s="20">
        <f t="shared" si="29"/>
        <v>189038251</v>
      </c>
      <c r="G1926" s="7" t="s">
        <v>330</v>
      </c>
      <c r="H1926" s="24" t="s">
        <v>109</v>
      </c>
      <c r="I1926" s="32" t="s">
        <v>152</v>
      </c>
      <c r="K1926" s="181"/>
      <c r="L1926" s="181"/>
    </row>
    <row r="1927" spans="1:12" x14ac:dyDescent="0.35">
      <c r="A1927" s="19">
        <v>45941</v>
      </c>
      <c r="B1927" s="20"/>
      <c r="C1927" s="20"/>
      <c r="D1927" s="20">
        <v>100000</v>
      </c>
      <c r="E1927" s="99" t="s">
        <v>893</v>
      </c>
      <c r="F1927" s="20">
        <f t="shared" si="29"/>
        <v>189138251</v>
      </c>
      <c r="G1927" s="7" t="s">
        <v>330</v>
      </c>
      <c r="H1927" s="24" t="s">
        <v>109</v>
      </c>
      <c r="I1927" s="32" t="s">
        <v>152</v>
      </c>
      <c r="K1927" s="181"/>
      <c r="L1927" s="181"/>
    </row>
    <row r="1928" spans="1:12" x14ac:dyDescent="0.35">
      <c r="A1928" s="19">
        <v>45941</v>
      </c>
      <c r="B1928" s="20"/>
      <c r="C1928" s="20"/>
      <c r="D1928" s="20">
        <v>50000</v>
      </c>
      <c r="E1928" s="99" t="s">
        <v>893</v>
      </c>
      <c r="F1928" s="20">
        <f t="shared" si="29"/>
        <v>189188251</v>
      </c>
      <c r="G1928" s="7" t="s">
        <v>330</v>
      </c>
      <c r="H1928" s="24" t="s">
        <v>109</v>
      </c>
      <c r="I1928" s="32" t="s">
        <v>152</v>
      </c>
      <c r="K1928" s="181"/>
      <c r="L1928" s="181"/>
    </row>
    <row r="1929" spans="1:12" x14ac:dyDescent="0.35">
      <c r="A1929" s="19">
        <v>45941</v>
      </c>
      <c r="B1929" s="20"/>
      <c r="C1929" s="20"/>
      <c r="D1929" s="20">
        <v>20000</v>
      </c>
      <c r="E1929" s="99" t="s">
        <v>893</v>
      </c>
      <c r="F1929" s="20">
        <f t="shared" si="29"/>
        <v>189208251</v>
      </c>
      <c r="G1929" s="7" t="s">
        <v>330</v>
      </c>
      <c r="H1929" s="24" t="s">
        <v>109</v>
      </c>
      <c r="I1929" s="32" t="s">
        <v>152</v>
      </c>
      <c r="K1929" s="181"/>
      <c r="L1929" s="181"/>
    </row>
    <row r="1930" spans="1:12" x14ac:dyDescent="0.35">
      <c r="A1930" s="19">
        <v>45941</v>
      </c>
      <c r="B1930" s="20"/>
      <c r="C1930" s="20"/>
      <c r="D1930" s="20">
        <v>50000</v>
      </c>
      <c r="E1930" s="99" t="s">
        <v>893</v>
      </c>
      <c r="F1930" s="20">
        <f t="shared" si="29"/>
        <v>189258251</v>
      </c>
      <c r="G1930" s="7" t="s">
        <v>330</v>
      </c>
      <c r="H1930" s="24" t="s">
        <v>109</v>
      </c>
      <c r="I1930" s="32" t="s">
        <v>152</v>
      </c>
      <c r="K1930" s="181"/>
      <c r="L1930" s="181"/>
    </row>
    <row r="1931" spans="1:12" x14ac:dyDescent="0.35">
      <c r="A1931" s="19">
        <v>45941</v>
      </c>
      <c r="B1931" s="20"/>
      <c r="C1931" s="20"/>
      <c r="D1931" s="20">
        <v>5000</v>
      </c>
      <c r="E1931" s="99" t="s">
        <v>893</v>
      </c>
      <c r="F1931" s="20">
        <f t="shared" si="29"/>
        <v>189263251</v>
      </c>
      <c r="G1931" s="7" t="s">
        <v>330</v>
      </c>
      <c r="H1931" s="24" t="s">
        <v>109</v>
      </c>
      <c r="I1931" s="32" t="s">
        <v>152</v>
      </c>
      <c r="K1931" s="181"/>
      <c r="L1931" s="181"/>
    </row>
    <row r="1932" spans="1:12" x14ac:dyDescent="0.35">
      <c r="A1932" s="19">
        <v>45941</v>
      </c>
      <c r="B1932" s="20"/>
      <c r="C1932" s="20"/>
      <c r="D1932" s="20">
        <v>20000</v>
      </c>
      <c r="E1932" s="99" t="s">
        <v>893</v>
      </c>
      <c r="F1932" s="20">
        <f t="shared" ref="F1932:F1995" si="30">+F1931+D1932-B1932</f>
        <v>189283251</v>
      </c>
      <c r="G1932" s="7" t="s">
        <v>330</v>
      </c>
      <c r="H1932" s="24" t="s">
        <v>109</v>
      </c>
      <c r="I1932" s="32" t="s">
        <v>152</v>
      </c>
      <c r="K1932" s="181"/>
      <c r="L1932" s="181"/>
    </row>
    <row r="1933" spans="1:12" x14ac:dyDescent="0.35">
      <c r="A1933" s="19">
        <v>45942</v>
      </c>
      <c r="B1933" s="20">
        <v>750000</v>
      </c>
      <c r="C1933" s="20"/>
      <c r="D1933" s="20"/>
      <c r="E1933" s="99" t="s">
        <v>893</v>
      </c>
      <c r="F1933" s="20">
        <f t="shared" si="30"/>
        <v>188533251</v>
      </c>
      <c r="G1933" s="7" t="s">
        <v>624</v>
      </c>
      <c r="H1933" s="24" t="s">
        <v>323</v>
      </c>
      <c r="I1933" s="32" t="s">
        <v>152</v>
      </c>
      <c r="K1933" s="181"/>
      <c r="L1933" s="181"/>
    </row>
    <row r="1934" spans="1:12" x14ac:dyDescent="0.35">
      <c r="A1934" s="19">
        <v>45942</v>
      </c>
      <c r="B1934" s="20"/>
      <c r="C1934" s="20"/>
      <c r="D1934" s="20">
        <v>1011</v>
      </c>
      <c r="E1934" s="99" t="s">
        <v>893</v>
      </c>
      <c r="F1934" s="20">
        <f t="shared" si="30"/>
        <v>188534262</v>
      </c>
      <c r="G1934" s="7" t="s">
        <v>330</v>
      </c>
      <c r="H1934" s="24" t="s">
        <v>109</v>
      </c>
      <c r="I1934" s="32" t="s">
        <v>152</v>
      </c>
      <c r="K1934" s="181"/>
      <c r="L1934" s="181"/>
    </row>
    <row r="1935" spans="1:12" x14ac:dyDescent="0.35">
      <c r="A1935" s="19">
        <v>45942</v>
      </c>
      <c r="B1935" s="20"/>
      <c r="C1935" s="20"/>
      <c r="D1935" s="20">
        <v>943500</v>
      </c>
      <c r="E1935" s="99" t="s">
        <v>893</v>
      </c>
      <c r="F1935" s="20">
        <f t="shared" si="30"/>
        <v>189477762</v>
      </c>
      <c r="G1935" s="7" t="s">
        <v>872</v>
      </c>
      <c r="H1935" s="24" t="s">
        <v>109</v>
      </c>
      <c r="I1935" s="32" t="s">
        <v>152</v>
      </c>
      <c r="K1935" s="181"/>
      <c r="L1935" s="181"/>
    </row>
    <row r="1936" spans="1:12" x14ac:dyDescent="0.35">
      <c r="A1936" s="19">
        <v>45943</v>
      </c>
      <c r="B1936" s="20"/>
      <c r="C1936" s="20"/>
      <c r="D1936" s="20">
        <v>10000</v>
      </c>
      <c r="E1936" s="99" t="s">
        <v>893</v>
      </c>
      <c r="F1936" s="20">
        <f t="shared" si="30"/>
        <v>189487762</v>
      </c>
      <c r="G1936" s="7" t="s">
        <v>330</v>
      </c>
      <c r="H1936" s="24" t="s">
        <v>109</v>
      </c>
      <c r="I1936" s="32" t="s">
        <v>152</v>
      </c>
      <c r="K1936" s="181"/>
      <c r="L1936" s="181"/>
    </row>
    <row r="1937" spans="1:12" x14ac:dyDescent="0.35">
      <c r="A1937" s="19">
        <v>45943</v>
      </c>
      <c r="B1937" s="20"/>
      <c r="C1937" s="20"/>
      <c r="D1937" s="20">
        <v>20000</v>
      </c>
      <c r="E1937" s="99" t="s">
        <v>893</v>
      </c>
      <c r="F1937" s="20">
        <f t="shared" si="30"/>
        <v>189507762</v>
      </c>
      <c r="G1937" s="7" t="s">
        <v>330</v>
      </c>
      <c r="H1937" s="24" t="s">
        <v>109</v>
      </c>
      <c r="I1937" s="32" t="s">
        <v>152</v>
      </c>
      <c r="K1937" s="181"/>
      <c r="L1937" s="181"/>
    </row>
    <row r="1938" spans="1:12" x14ac:dyDescent="0.35">
      <c r="A1938" s="19">
        <v>45944</v>
      </c>
      <c r="B1938" s="20"/>
      <c r="C1938" s="20"/>
      <c r="D1938" s="20">
        <v>10000</v>
      </c>
      <c r="E1938" s="99" t="s">
        <v>893</v>
      </c>
      <c r="F1938" s="20">
        <f t="shared" si="30"/>
        <v>189517762</v>
      </c>
      <c r="G1938" s="7" t="s">
        <v>330</v>
      </c>
      <c r="H1938" s="24" t="s">
        <v>109</v>
      </c>
      <c r="I1938" s="32" t="s">
        <v>152</v>
      </c>
      <c r="K1938" s="181"/>
      <c r="L1938" s="181"/>
    </row>
    <row r="1939" spans="1:12" x14ac:dyDescent="0.35">
      <c r="A1939" s="19">
        <v>45944</v>
      </c>
      <c r="B1939" s="20"/>
      <c r="C1939" s="20"/>
      <c r="D1939" s="20">
        <f>3345000-950000+15000</f>
        <v>2410000</v>
      </c>
      <c r="E1939" s="99" t="s">
        <v>893</v>
      </c>
      <c r="F1939" s="20">
        <f t="shared" si="30"/>
        <v>191927762</v>
      </c>
      <c r="G1939" s="7"/>
      <c r="H1939" s="24" t="s">
        <v>107</v>
      </c>
      <c r="I1939" s="32" t="s">
        <v>152</v>
      </c>
      <c r="K1939" s="181"/>
      <c r="L1939" s="181"/>
    </row>
    <row r="1940" spans="1:12" x14ac:dyDescent="0.35">
      <c r="A1940" s="19">
        <v>45944</v>
      </c>
      <c r="B1940" s="20"/>
      <c r="C1940" s="20"/>
      <c r="D1940" s="20">
        <v>990000</v>
      </c>
      <c r="E1940" s="99" t="s">
        <v>893</v>
      </c>
      <c r="F1940" s="20">
        <f t="shared" si="30"/>
        <v>192917762</v>
      </c>
      <c r="G1940" s="7"/>
      <c r="H1940" s="24" t="s">
        <v>109</v>
      </c>
      <c r="I1940" s="32" t="s">
        <v>152</v>
      </c>
      <c r="K1940" s="181"/>
      <c r="L1940" s="181"/>
    </row>
    <row r="1941" spans="1:12" x14ac:dyDescent="0.35">
      <c r="A1941" s="19"/>
      <c r="B1941" s="20"/>
      <c r="C1941" s="20">
        <v>3400000</v>
      </c>
      <c r="D1941" s="20"/>
      <c r="E1941" s="99"/>
      <c r="F1941" s="20">
        <f t="shared" si="30"/>
        <v>192917762</v>
      </c>
      <c r="G1941" s="7" t="s">
        <v>873</v>
      </c>
      <c r="H1941" s="24"/>
      <c r="I1941" s="32"/>
      <c r="K1941" s="181"/>
      <c r="L1941" s="181"/>
    </row>
    <row r="1942" spans="1:12" x14ac:dyDescent="0.35">
      <c r="A1942" s="19">
        <v>45944</v>
      </c>
      <c r="B1942" s="20"/>
      <c r="C1942" s="20"/>
      <c r="D1942" s="20">
        <v>100000</v>
      </c>
      <c r="E1942" s="99" t="s">
        <v>893</v>
      </c>
      <c r="F1942" s="20">
        <f t="shared" si="30"/>
        <v>193017762</v>
      </c>
      <c r="G1942" s="7" t="s">
        <v>373</v>
      </c>
      <c r="H1942" s="24" t="s">
        <v>109</v>
      </c>
      <c r="I1942" s="32" t="s">
        <v>152</v>
      </c>
      <c r="K1942" s="181"/>
      <c r="L1942" s="181"/>
    </row>
    <row r="1943" spans="1:12" x14ac:dyDescent="0.35">
      <c r="A1943" s="19">
        <v>45945</v>
      </c>
      <c r="B1943" s="20"/>
      <c r="C1943" s="20"/>
      <c r="D1943" s="20">
        <v>1011</v>
      </c>
      <c r="E1943" s="99" t="s">
        <v>893</v>
      </c>
      <c r="F1943" s="20">
        <f t="shared" si="30"/>
        <v>193018773</v>
      </c>
      <c r="G1943" s="7" t="s">
        <v>330</v>
      </c>
      <c r="H1943" s="24" t="s">
        <v>109</v>
      </c>
      <c r="I1943" s="32" t="s">
        <v>152</v>
      </c>
      <c r="K1943" s="181"/>
      <c r="L1943" s="181"/>
    </row>
    <row r="1944" spans="1:12" x14ac:dyDescent="0.35">
      <c r="A1944" s="19">
        <v>45945</v>
      </c>
      <c r="B1944" s="20"/>
      <c r="C1944" s="20"/>
      <c r="D1944" s="20">
        <v>10000</v>
      </c>
      <c r="E1944" s="99" t="s">
        <v>893</v>
      </c>
      <c r="F1944" s="20">
        <f t="shared" si="30"/>
        <v>193028773</v>
      </c>
      <c r="G1944" s="7" t="s">
        <v>330</v>
      </c>
      <c r="H1944" s="24" t="s">
        <v>109</v>
      </c>
      <c r="I1944" s="32" t="s">
        <v>152</v>
      </c>
      <c r="K1944" s="181"/>
      <c r="L1944" s="181"/>
    </row>
    <row r="1945" spans="1:12" x14ac:dyDescent="0.35">
      <c r="A1945" s="19">
        <v>45945</v>
      </c>
      <c r="B1945" s="20"/>
      <c r="C1945" s="20"/>
      <c r="D1945" s="20">
        <v>20000</v>
      </c>
      <c r="E1945" s="99" t="s">
        <v>893</v>
      </c>
      <c r="F1945" s="20">
        <f t="shared" si="30"/>
        <v>193048773</v>
      </c>
      <c r="G1945" s="7" t="s">
        <v>330</v>
      </c>
      <c r="H1945" s="24" t="s">
        <v>109</v>
      </c>
      <c r="I1945" s="32" t="s">
        <v>152</v>
      </c>
      <c r="K1945" s="181"/>
      <c r="L1945" s="181"/>
    </row>
    <row r="1946" spans="1:12" x14ac:dyDescent="0.35">
      <c r="A1946" s="19">
        <v>45945</v>
      </c>
      <c r="B1946" s="20"/>
      <c r="C1946" s="20"/>
      <c r="D1946" s="20">
        <v>100000</v>
      </c>
      <c r="E1946" s="99" t="s">
        <v>893</v>
      </c>
      <c r="F1946" s="20">
        <f t="shared" si="30"/>
        <v>193148773</v>
      </c>
      <c r="G1946" s="7" t="s">
        <v>330</v>
      </c>
      <c r="H1946" s="24" t="s">
        <v>109</v>
      </c>
      <c r="I1946" s="32" t="s">
        <v>152</v>
      </c>
      <c r="K1946" s="181"/>
      <c r="L1946" s="181"/>
    </row>
    <row r="1947" spans="1:12" x14ac:dyDescent="0.35">
      <c r="A1947" s="19">
        <v>45946</v>
      </c>
      <c r="B1947" s="20"/>
      <c r="C1947" s="20"/>
      <c r="D1947" s="20">
        <v>10000</v>
      </c>
      <c r="E1947" s="99" t="s">
        <v>893</v>
      </c>
      <c r="F1947" s="20">
        <f t="shared" si="30"/>
        <v>193158773</v>
      </c>
      <c r="G1947" s="7" t="s">
        <v>330</v>
      </c>
      <c r="H1947" s="24" t="s">
        <v>109</v>
      </c>
      <c r="I1947" s="32" t="s">
        <v>152</v>
      </c>
      <c r="K1947" s="181"/>
      <c r="L1947" s="181"/>
    </row>
    <row r="1948" spans="1:12" x14ac:dyDescent="0.35">
      <c r="A1948" s="19">
        <v>45946</v>
      </c>
      <c r="B1948" s="20"/>
      <c r="C1948" s="20"/>
      <c r="D1948" s="20">
        <v>20000</v>
      </c>
      <c r="E1948" s="99" t="s">
        <v>893</v>
      </c>
      <c r="F1948" s="20">
        <f t="shared" si="30"/>
        <v>193178773</v>
      </c>
      <c r="G1948" s="7" t="s">
        <v>330</v>
      </c>
      <c r="H1948" s="24" t="s">
        <v>109</v>
      </c>
      <c r="I1948" s="32" t="s">
        <v>152</v>
      </c>
      <c r="K1948" s="181"/>
      <c r="L1948" s="181"/>
    </row>
    <row r="1949" spans="1:12" x14ac:dyDescent="0.35">
      <c r="A1949" s="19">
        <v>45947</v>
      </c>
      <c r="B1949" s="20"/>
      <c r="C1949" s="20"/>
      <c r="D1949" s="20">
        <v>10000</v>
      </c>
      <c r="E1949" s="99" t="s">
        <v>893</v>
      </c>
      <c r="F1949" s="20">
        <f t="shared" si="30"/>
        <v>193188773</v>
      </c>
      <c r="G1949" s="7" t="s">
        <v>330</v>
      </c>
      <c r="H1949" s="24" t="s">
        <v>109</v>
      </c>
      <c r="I1949" s="32" t="s">
        <v>152</v>
      </c>
      <c r="K1949" s="181"/>
      <c r="L1949" s="181"/>
    </row>
    <row r="1950" spans="1:12" x14ac:dyDescent="0.35">
      <c r="A1950" s="19">
        <v>45947</v>
      </c>
      <c r="B1950" s="20"/>
      <c r="C1950" s="20"/>
      <c r="D1950" s="20">
        <v>1011</v>
      </c>
      <c r="E1950" s="99" t="s">
        <v>893</v>
      </c>
      <c r="F1950" s="20">
        <f t="shared" si="30"/>
        <v>193189784</v>
      </c>
      <c r="G1950" s="7" t="s">
        <v>330</v>
      </c>
      <c r="H1950" s="24" t="s">
        <v>109</v>
      </c>
      <c r="I1950" s="32" t="s">
        <v>152</v>
      </c>
      <c r="K1950" s="181"/>
      <c r="L1950" s="181"/>
    </row>
    <row r="1951" spans="1:12" x14ac:dyDescent="0.35">
      <c r="A1951" s="19">
        <v>45947</v>
      </c>
      <c r="B1951" s="20"/>
      <c r="C1951" s="20"/>
      <c r="D1951" s="20">
        <v>20000</v>
      </c>
      <c r="E1951" s="99" t="s">
        <v>893</v>
      </c>
      <c r="F1951" s="20">
        <f t="shared" si="30"/>
        <v>193209784</v>
      </c>
      <c r="G1951" s="7" t="s">
        <v>330</v>
      </c>
      <c r="H1951" s="24" t="s">
        <v>109</v>
      </c>
      <c r="I1951" s="32" t="s">
        <v>152</v>
      </c>
      <c r="K1951" s="181"/>
      <c r="L1951" s="181"/>
    </row>
    <row r="1952" spans="1:12" x14ac:dyDescent="0.35">
      <c r="A1952" s="19">
        <v>45948</v>
      </c>
      <c r="B1952" s="20">
        <v>750000</v>
      </c>
      <c r="C1952" s="20"/>
      <c r="D1952" s="20"/>
      <c r="E1952" s="99" t="s">
        <v>893</v>
      </c>
      <c r="F1952" s="20">
        <f t="shared" si="30"/>
        <v>192459784</v>
      </c>
      <c r="G1952" s="7" t="s">
        <v>837</v>
      </c>
      <c r="H1952" s="24" t="s">
        <v>323</v>
      </c>
      <c r="I1952" s="32" t="s">
        <v>152</v>
      </c>
      <c r="K1952" s="181"/>
      <c r="L1952" s="181"/>
    </row>
    <row r="1953" spans="1:12" x14ac:dyDescent="0.35">
      <c r="A1953" s="19">
        <v>45948</v>
      </c>
      <c r="B1953" s="20"/>
      <c r="C1953" s="20"/>
      <c r="D1953" s="20">
        <v>20000</v>
      </c>
      <c r="E1953" s="99" t="s">
        <v>893</v>
      </c>
      <c r="F1953" s="20">
        <f t="shared" si="30"/>
        <v>192479784</v>
      </c>
      <c r="G1953" s="7" t="s">
        <v>330</v>
      </c>
      <c r="H1953" s="24" t="s">
        <v>109</v>
      </c>
      <c r="I1953" s="32" t="s">
        <v>152</v>
      </c>
      <c r="K1953" s="181"/>
      <c r="L1953" s="181"/>
    </row>
    <row r="1954" spans="1:12" x14ac:dyDescent="0.35">
      <c r="A1954" s="19">
        <v>45948</v>
      </c>
      <c r="B1954" s="20"/>
      <c r="C1954" s="20"/>
      <c r="D1954" s="20">
        <v>10000</v>
      </c>
      <c r="E1954" s="99" t="s">
        <v>893</v>
      </c>
      <c r="F1954" s="20">
        <f t="shared" si="30"/>
        <v>192489784</v>
      </c>
      <c r="G1954" s="7" t="s">
        <v>330</v>
      </c>
      <c r="H1954" s="24" t="s">
        <v>109</v>
      </c>
      <c r="I1954" s="32" t="s">
        <v>152</v>
      </c>
      <c r="K1954" s="181"/>
      <c r="L1954" s="181"/>
    </row>
    <row r="1955" spans="1:12" x14ac:dyDescent="0.35">
      <c r="A1955" s="19">
        <v>45948</v>
      </c>
      <c r="B1955" s="20"/>
      <c r="C1955" s="20"/>
      <c r="D1955" s="20">
        <v>5000</v>
      </c>
      <c r="E1955" s="99" t="s">
        <v>893</v>
      </c>
      <c r="F1955" s="20">
        <f t="shared" si="30"/>
        <v>192494784</v>
      </c>
      <c r="G1955" s="7" t="s">
        <v>330</v>
      </c>
      <c r="H1955" s="24" t="s">
        <v>109</v>
      </c>
      <c r="I1955" s="32" t="s">
        <v>152</v>
      </c>
      <c r="K1955" s="181"/>
      <c r="L1955" s="181"/>
    </row>
    <row r="1956" spans="1:12" x14ac:dyDescent="0.35">
      <c r="A1956" s="19">
        <v>45948</v>
      </c>
      <c r="B1956" s="20"/>
      <c r="C1956" s="20"/>
      <c r="D1956" s="20">
        <v>20000</v>
      </c>
      <c r="E1956" s="99" t="s">
        <v>893</v>
      </c>
      <c r="F1956" s="20">
        <f t="shared" si="30"/>
        <v>192514784</v>
      </c>
      <c r="G1956" s="7" t="s">
        <v>330</v>
      </c>
      <c r="H1956" s="24" t="s">
        <v>109</v>
      </c>
      <c r="I1956" s="32" t="s">
        <v>152</v>
      </c>
      <c r="K1956" s="181"/>
      <c r="L1956" s="181"/>
    </row>
    <row r="1957" spans="1:12" x14ac:dyDescent="0.35">
      <c r="A1957" s="19">
        <v>45948</v>
      </c>
      <c r="B1957" s="20"/>
      <c r="C1957" s="20"/>
      <c r="D1957" s="20">
        <v>100000</v>
      </c>
      <c r="E1957" s="99" t="s">
        <v>893</v>
      </c>
      <c r="F1957" s="20">
        <f t="shared" si="30"/>
        <v>192614784</v>
      </c>
      <c r="G1957" s="7" t="s">
        <v>330</v>
      </c>
      <c r="H1957" s="24" t="s">
        <v>109</v>
      </c>
      <c r="I1957" s="32" t="s">
        <v>152</v>
      </c>
      <c r="K1957" s="181"/>
      <c r="L1957" s="181"/>
    </row>
    <row r="1958" spans="1:12" x14ac:dyDescent="0.35">
      <c r="A1958" s="19">
        <v>45948</v>
      </c>
      <c r="B1958" s="20"/>
      <c r="C1958" s="20"/>
      <c r="D1958" s="20">
        <v>1011</v>
      </c>
      <c r="E1958" s="99" t="s">
        <v>893</v>
      </c>
      <c r="F1958" s="20">
        <f t="shared" si="30"/>
        <v>192615795</v>
      </c>
      <c r="G1958" s="7" t="s">
        <v>330</v>
      </c>
      <c r="H1958" s="24" t="s">
        <v>109</v>
      </c>
      <c r="I1958" s="32" t="s">
        <v>152</v>
      </c>
      <c r="K1958" s="181"/>
      <c r="L1958" s="181"/>
    </row>
    <row r="1959" spans="1:12" x14ac:dyDescent="0.35">
      <c r="A1959" s="19">
        <v>45949</v>
      </c>
      <c r="B1959" s="20">
        <v>750000</v>
      </c>
      <c r="C1959" s="20"/>
      <c r="D1959" s="20"/>
      <c r="E1959" s="99" t="s">
        <v>893</v>
      </c>
      <c r="F1959" s="20">
        <f t="shared" si="30"/>
        <v>191865795</v>
      </c>
      <c r="G1959" s="7" t="s">
        <v>714</v>
      </c>
      <c r="H1959" s="24" t="s">
        <v>323</v>
      </c>
      <c r="I1959" s="32" t="s">
        <v>152</v>
      </c>
      <c r="K1959" s="181"/>
      <c r="L1959" s="181"/>
    </row>
    <row r="1960" spans="1:12" x14ac:dyDescent="0.35">
      <c r="A1960" s="19">
        <v>45949</v>
      </c>
      <c r="B1960" s="20">
        <v>6500</v>
      </c>
      <c r="C1960" s="20"/>
      <c r="D1960" s="20"/>
      <c r="E1960" s="99" t="s">
        <v>893</v>
      </c>
      <c r="F1960" s="20">
        <f t="shared" si="30"/>
        <v>191859295</v>
      </c>
      <c r="G1960" s="7" t="s">
        <v>714</v>
      </c>
      <c r="H1960" s="24" t="s">
        <v>323</v>
      </c>
      <c r="I1960" s="32" t="s">
        <v>152</v>
      </c>
      <c r="K1960" s="181"/>
      <c r="L1960" s="181"/>
    </row>
    <row r="1961" spans="1:12" x14ac:dyDescent="0.35">
      <c r="A1961" s="19">
        <v>45949</v>
      </c>
      <c r="B1961" s="20"/>
      <c r="C1961" s="20"/>
      <c r="D1961" s="20">
        <v>25000</v>
      </c>
      <c r="E1961" s="99" t="s">
        <v>893</v>
      </c>
      <c r="F1961" s="20">
        <f t="shared" si="30"/>
        <v>191884295</v>
      </c>
      <c r="G1961" s="7" t="s">
        <v>330</v>
      </c>
      <c r="H1961" s="24" t="s">
        <v>109</v>
      </c>
      <c r="I1961" s="32" t="s">
        <v>152</v>
      </c>
      <c r="K1961" s="181"/>
      <c r="L1961" s="181"/>
    </row>
    <row r="1962" spans="1:12" x14ac:dyDescent="0.35">
      <c r="A1962" s="19">
        <v>45949</v>
      </c>
      <c r="B1962" s="20"/>
      <c r="C1962" s="20"/>
      <c r="D1962" s="20">
        <v>20000</v>
      </c>
      <c r="E1962" s="99" t="s">
        <v>893</v>
      </c>
      <c r="F1962" s="20">
        <f t="shared" si="30"/>
        <v>191904295</v>
      </c>
      <c r="G1962" s="7" t="s">
        <v>330</v>
      </c>
      <c r="H1962" s="24" t="s">
        <v>109</v>
      </c>
      <c r="I1962" s="32" t="s">
        <v>152</v>
      </c>
      <c r="K1962" s="181"/>
      <c r="L1962" s="181"/>
    </row>
    <row r="1963" spans="1:12" x14ac:dyDescent="0.35">
      <c r="A1963" s="19">
        <v>45949</v>
      </c>
      <c r="B1963" s="20"/>
      <c r="C1963" s="20"/>
      <c r="D1963" s="20">
        <v>10000</v>
      </c>
      <c r="E1963" s="99" t="s">
        <v>893</v>
      </c>
      <c r="F1963" s="20">
        <f t="shared" si="30"/>
        <v>191914295</v>
      </c>
      <c r="G1963" s="7" t="s">
        <v>330</v>
      </c>
      <c r="H1963" s="24" t="s">
        <v>109</v>
      </c>
      <c r="I1963" s="32" t="s">
        <v>152</v>
      </c>
      <c r="K1963" s="181"/>
      <c r="L1963" s="181"/>
    </row>
    <row r="1964" spans="1:12" x14ac:dyDescent="0.35">
      <c r="A1964" s="19">
        <v>45950</v>
      </c>
      <c r="B1964" s="20"/>
      <c r="C1964" s="20"/>
      <c r="D1964" s="20">
        <v>100000</v>
      </c>
      <c r="E1964" s="99" t="s">
        <v>893</v>
      </c>
      <c r="F1964" s="20">
        <f t="shared" si="30"/>
        <v>192014295</v>
      </c>
      <c r="G1964" s="7" t="s">
        <v>330</v>
      </c>
      <c r="H1964" s="24" t="s">
        <v>109</v>
      </c>
      <c r="I1964" s="32" t="s">
        <v>152</v>
      </c>
      <c r="K1964" s="181"/>
      <c r="L1964" s="181"/>
    </row>
    <row r="1965" spans="1:12" x14ac:dyDescent="0.35">
      <c r="A1965" s="19">
        <v>45950</v>
      </c>
      <c r="B1965" s="20"/>
      <c r="C1965" s="20"/>
      <c r="D1965" s="20">
        <v>20000</v>
      </c>
      <c r="E1965" s="99" t="s">
        <v>893</v>
      </c>
      <c r="F1965" s="20">
        <f t="shared" si="30"/>
        <v>192034295</v>
      </c>
      <c r="G1965" s="7" t="s">
        <v>330</v>
      </c>
      <c r="H1965" s="24" t="s">
        <v>109</v>
      </c>
      <c r="I1965" s="32" t="s">
        <v>152</v>
      </c>
      <c r="K1965" s="181"/>
      <c r="L1965" s="181"/>
    </row>
    <row r="1966" spans="1:12" x14ac:dyDescent="0.35">
      <c r="A1966" s="19">
        <v>45950</v>
      </c>
      <c r="B1966" s="20"/>
      <c r="C1966" s="20"/>
      <c r="D1966" s="20">
        <v>25000</v>
      </c>
      <c r="E1966" s="99" t="s">
        <v>893</v>
      </c>
      <c r="F1966" s="20">
        <f t="shared" si="30"/>
        <v>192059295</v>
      </c>
      <c r="G1966" s="7" t="s">
        <v>330</v>
      </c>
      <c r="H1966" s="24" t="s">
        <v>109</v>
      </c>
      <c r="I1966" s="32" t="s">
        <v>152</v>
      </c>
      <c r="K1966" s="181"/>
      <c r="L1966" s="181"/>
    </row>
    <row r="1967" spans="1:12" x14ac:dyDescent="0.35">
      <c r="A1967" s="19">
        <v>45951</v>
      </c>
      <c r="B1967" s="20"/>
      <c r="C1967" s="20"/>
      <c r="D1967" s="20">
        <v>20000</v>
      </c>
      <c r="E1967" s="99" t="s">
        <v>893</v>
      </c>
      <c r="F1967" s="20">
        <f t="shared" si="30"/>
        <v>192079295</v>
      </c>
      <c r="G1967" s="7" t="s">
        <v>330</v>
      </c>
      <c r="H1967" s="24" t="s">
        <v>109</v>
      </c>
      <c r="I1967" s="32" t="s">
        <v>152</v>
      </c>
      <c r="K1967" s="181"/>
      <c r="L1967" s="181"/>
    </row>
    <row r="1968" spans="1:12" x14ac:dyDescent="0.35">
      <c r="A1968" s="19">
        <v>45951</v>
      </c>
      <c r="B1968" s="20"/>
      <c r="C1968" s="20"/>
      <c r="D1968" s="20">
        <v>50000</v>
      </c>
      <c r="E1968" s="99" t="s">
        <v>893</v>
      </c>
      <c r="F1968" s="20">
        <f t="shared" si="30"/>
        <v>192129295</v>
      </c>
      <c r="G1968" s="7" t="s">
        <v>330</v>
      </c>
      <c r="H1968" s="24" t="s">
        <v>109</v>
      </c>
      <c r="I1968" s="32" t="s">
        <v>152</v>
      </c>
      <c r="K1968" s="181"/>
      <c r="L1968" s="181"/>
    </row>
    <row r="1969" spans="1:12" x14ac:dyDescent="0.35">
      <c r="A1969" s="19">
        <v>45951</v>
      </c>
      <c r="B1969" s="20"/>
      <c r="C1969" s="20"/>
      <c r="D1969" s="20">
        <v>1011</v>
      </c>
      <c r="E1969" s="99" t="s">
        <v>893</v>
      </c>
      <c r="F1969" s="20">
        <f t="shared" si="30"/>
        <v>192130306</v>
      </c>
      <c r="G1969" s="7" t="s">
        <v>330</v>
      </c>
      <c r="H1969" s="24" t="s">
        <v>109</v>
      </c>
      <c r="I1969" s="32" t="s">
        <v>152</v>
      </c>
      <c r="K1969" s="181"/>
      <c r="L1969" s="181"/>
    </row>
    <row r="1970" spans="1:12" x14ac:dyDescent="0.35">
      <c r="A1970" s="19">
        <v>45951</v>
      </c>
      <c r="B1970" s="20"/>
      <c r="C1970" s="20"/>
      <c r="D1970" s="20">
        <f>2890000-1115000</f>
        <v>1775000</v>
      </c>
      <c r="E1970" s="99" t="s">
        <v>893</v>
      </c>
      <c r="F1970" s="20">
        <f t="shared" si="30"/>
        <v>193905306</v>
      </c>
      <c r="G1970" s="7"/>
      <c r="H1970" s="24" t="s">
        <v>107</v>
      </c>
      <c r="I1970" s="32" t="s">
        <v>152</v>
      </c>
      <c r="K1970" s="181"/>
      <c r="L1970" s="181"/>
    </row>
    <row r="1971" spans="1:12" x14ac:dyDescent="0.35">
      <c r="A1971" s="19">
        <v>45951</v>
      </c>
      <c r="B1971" s="20"/>
      <c r="C1971" s="20"/>
      <c r="D1971" s="20">
        <v>1527000</v>
      </c>
      <c r="E1971" s="99" t="s">
        <v>893</v>
      </c>
      <c r="F1971" s="20">
        <f t="shared" si="30"/>
        <v>195432306</v>
      </c>
      <c r="G1971" s="7"/>
      <c r="H1971" s="24" t="s">
        <v>109</v>
      </c>
      <c r="I1971" s="32" t="s">
        <v>152</v>
      </c>
      <c r="K1971" s="181"/>
      <c r="L1971" s="181"/>
    </row>
    <row r="1972" spans="1:12" x14ac:dyDescent="0.35">
      <c r="A1972" s="19"/>
      <c r="B1972" s="20"/>
      <c r="C1972" s="20">
        <v>3302000</v>
      </c>
      <c r="D1972" s="20"/>
      <c r="E1972" s="99"/>
      <c r="F1972" s="20">
        <f t="shared" si="30"/>
        <v>195432306</v>
      </c>
      <c r="G1972" s="7" t="s">
        <v>874</v>
      </c>
      <c r="H1972" s="24"/>
      <c r="I1972" s="32"/>
      <c r="K1972" s="181"/>
      <c r="L1972" s="181"/>
    </row>
    <row r="1973" spans="1:12" x14ac:dyDescent="0.35">
      <c r="A1973" s="19">
        <v>45952</v>
      </c>
      <c r="B1973" s="20"/>
      <c r="C1973" s="20"/>
      <c r="D1973" s="20">
        <v>20000</v>
      </c>
      <c r="E1973" s="99" t="s">
        <v>893</v>
      </c>
      <c r="F1973" s="20">
        <f t="shared" si="30"/>
        <v>195452306</v>
      </c>
      <c r="G1973" s="7" t="s">
        <v>330</v>
      </c>
      <c r="H1973" s="24" t="s">
        <v>109</v>
      </c>
      <c r="I1973" s="32" t="s">
        <v>152</v>
      </c>
      <c r="K1973" s="181"/>
      <c r="L1973" s="181"/>
    </row>
    <row r="1974" spans="1:12" x14ac:dyDescent="0.35">
      <c r="A1974" s="19">
        <v>45953</v>
      </c>
      <c r="B1974" s="20"/>
      <c r="C1974" s="20"/>
      <c r="D1974" s="20">
        <v>10000</v>
      </c>
      <c r="E1974" s="99" t="s">
        <v>893</v>
      </c>
      <c r="F1974" s="20">
        <f t="shared" si="30"/>
        <v>195462306</v>
      </c>
      <c r="G1974" s="7" t="s">
        <v>330</v>
      </c>
      <c r="H1974" s="24" t="s">
        <v>109</v>
      </c>
      <c r="I1974" s="32" t="s">
        <v>152</v>
      </c>
      <c r="K1974" s="181"/>
      <c r="L1974" s="181"/>
    </row>
    <row r="1975" spans="1:12" x14ac:dyDescent="0.35">
      <c r="A1975" s="19">
        <v>45953</v>
      </c>
      <c r="B1975" s="20"/>
      <c r="C1975" s="20"/>
      <c r="D1975" s="20">
        <v>20000</v>
      </c>
      <c r="E1975" s="99" t="s">
        <v>893</v>
      </c>
      <c r="F1975" s="20">
        <f t="shared" si="30"/>
        <v>195482306</v>
      </c>
      <c r="G1975" s="7" t="s">
        <v>330</v>
      </c>
      <c r="H1975" s="24" t="s">
        <v>109</v>
      </c>
      <c r="I1975" s="32" t="s">
        <v>152</v>
      </c>
      <c r="K1975" s="181"/>
      <c r="L1975" s="181"/>
    </row>
    <row r="1976" spans="1:12" x14ac:dyDescent="0.35">
      <c r="A1976" s="19">
        <v>45954</v>
      </c>
      <c r="B1976" s="20"/>
      <c r="C1976" s="20"/>
      <c r="D1976" s="20">
        <v>10000</v>
      </c>
      <c r="E1976" s="99" t="s">
        <v>893</v>
      </c>
      <c r="F1976" s="20">
        <f t="shared" si="30"/>
        <v>195492306</v>
      </c>
      <c r="G1976" s="7" t="s">
        <v>330</v>
      </c>
      <c r="H1976" s="24" t="s">
        <v>109</v>
      </c>
      <c r="I1976" s="32" t="s">
        <v>152</v>
      </c>
      <c r="K1976" s="181"/>
      <c r="L1976" s="181"/>
    </row>
    <row r="1977" spans="1:12" x14ac:dyDescent="0.35">
      <c r="A1977" s="19">
        <v>45954</v>
      </c>
      <c r="B1977" s="20"/>
      <c r="C1977" s="20"/>
      <c r="D1977" s="20">
        <v>1000000</v>
      </c>
      <c r="E1977" s="99" t="s">
        <v>893</v>
      </c>
      <c r="F1977" s="20">
        <f t="shared" si="30"/>
        <v>196492306</v>
      </c>
      <c r="G1977" s="7" t="s">
        <v>609</v>
      </c>
      <c r="H1977" s="24" t="s">
        <v>109</v>
      </c>
      <c r="I1977" s="32" t="s">
        <v>152</v>
      </c>
      <c r="K1977" s="181"/>
      <c r="L1977" s="181"/>
    </row>
    <row r="1978" spans="1:12" x14ac:dyDescent="0.35">
      <c r="A1978" s="19">
        <v>45954</v>
      </c>
      <c r="B1978" s="20"/>
      <c r="C1978" s="20"/>
      <c r="D1978" s="20">
        <v>1000000</v>
      </c>
      <c r="E1978" s="99" t="s">
        <v>893</v>
      </c>
      <c r="F1978" s="20">
        <f t="shared" si="30"/>
        <v>197492306</v>
      </c>
      <c r="G1978" s="7" t="s">
        <v>561</v>
      </c>
      <c r="H1978" s="24" t="s">
        <v>109</v>
      </c>
      <c r="I1978" s="32" t="s">
        <v>152</v>
      </c>
      <c r="K1978" s="181"/>
      <c r="L1978" s="181"/>
    </row>
    <row r="1979" spans="1:12" x14ac:dyDescent="0.35">
      <c r="A1979" s="19">
        <v>45954</v>
      </c>
      <c r="B1979" s="20">
        <v>500000</v>
      </c>
      <c r="C1979" s="20"/>
      <c r="D1979" s="20"/>
      <c r="E1979" s="99" t="s">
        <v>893</v>
      </c>
      <c r="F1979" s="20">
        <f t="shared" si="30"/>
        <v>196992306</v>
      </c>
      <c r="G1979" s="7" t="s">
        <v>875</v>
      </c>
      <c r="H1979" s="24" t="s">
        <v>323</v>
      </c>
      <c r="I1979" s="32" t="s">
        <v>152</v>
      </c>
      <c r="K1979" s="181"/>
      <c r="L1979" s="181"/>
    </row>
    <row r="1980" spans="1:12" x14ac:dyDescent="0.35">
      <c r="A1980" s="19">
        <v>45954</v>
      </c>
      <c r="B1980" s="20">
        <v>6500</v>
      </c>
      <c r="C1980" s="20"/>
      <c r="D1980" s="20"/>
      <c r="E1980" s="99" t="s">
        <v>893</v>
      </c>
      <c r="F1980" s="20">
        <f t="shared" si="30"/>
        <v>196985806</v>
      </c>
      <c r="G1980" s="7" t="s">
        <v>875</v>
      </c>
      <c r="H1980" s="24" t="s">
        <v>323</v>
      </c>
      <c r="I1980" s="32" t="s">
        <v>152</v>
      </c>
      <c r="K1980" s="181"/>
      <c r="L1980" s="181"/>
    </row>
    <row r="1981" spans="1:12" x14ac:dyDescent="0.35">
      <c r="A1981" s="19">
        <v>45955</v>
      </c>
      <c r="B1981" s="20">
        <v>750000</v>
      </c>
      <c r="C1981" s="20"/>
      <c r="D1981" s="20"/>
      <c r="E1981" s="99" t="s">
        <v>893</v>
      </c>
      <c r="F1981" s="20">
        <f t="shared" si="30"/>
        <v>196235806</v>
      </c>
      <c r="G1981" s="7" t="s">
        <v>876</v>
      </c>
      <c r="H1981" s="24" t="s">
        <v>323</v>
      </c>
      <c r="I1981" s="32" t="s">
        <v>152</v>
      </c>
      <c r="K1981" s="181"/>
      <c r="L1981" s="181"/>
    </row>
    <row r="1982" spans="1:12" x14ac:dyDescent="0.35">
      <c r="A1982" s="19">
        <v>45955</v>
      </c>
      <c r="B1982" s="20">
        <v>6500</v>
      </c>
      <c r="C1982" s="20"/>
      <c r="D1982" s="20"/>
      <c r="E1982" s="99" t="s">
        <v>893</v>
      </c>
      <c r="F1982" s="20">
        <f t="shared" si="30"/>
        <v>196229306</v>
      </c>
      <c r="G1982" s="7" t="s">
        <v>876</v>
      </c>
      <c r="H1982" s="24" t="s">
        <v>323</v>
      </c>
      <c r="I1982" s="32" t="s">
        <v>152</v>
      </c>
      <c r="K1982" s="181"/>
      <c r="L1982" s="181"/>
    </row>
    <row r="1983" spans="1:12" x14ac:dyDescent="0.35">
      <c r="A1983" s="19">
        <v>45955</v>
      </c>
      <c r="B1983" s="20"/>
      <c r="C1983" s="20"/>
      <c r="D1983" s="20">
        <v>200000</v>
      </c>
      <c r="E1983" s="99" t="s">
        <v>893</v>
      </c>
      <c r="F1983" s="20">
        <f t="shared" si="30"/>
        <v>196429306</v>
      </c>
      <c r="G1983" s="7" t="s">
        <v>877</v>
      </c>
      <c r="H1983" s="24" t="s">
        <v>140</v>
      </c>
      <c r="I1983" s="32" t="s">
        <v>152</v>
      </c>
      <c r="K1983" s="181"/>
      <c r="L1983" s="181"/>
    </row>
    <row r="1984" spans="1:12" x14ac:dyDescent="0.35">
      <c r="A1984" s="19">
        <v>45955</v>
      </c>
      <c r="B1984" s="20"/>
      <c r="C1984" s="20"/>
      <c r="D1984" s="20">
        <v>20000</v>
      </c>
      <c r="E1984" s="99" t="s">
        <v>893</v>
      </c>
      <c r="F1984" s="20">
        <f t="shared" si="30"/>
        <v>196449306</v>
      </c>
      <c r="G1984" s="7" t="s">
        <v>330</v>
      </c>
      <c r="H1984" s="24" t="s">
        <v>109</v>
      </c>
      <c r="I1984" s="32" t="s">
        <v>152</v>
      </c>
      <c r="K1984" s="181"/>
      <c r="L1984" s="181"/>
    </row>
    <row r="1985" spans="1:12" x14ac:dyDescent="0.35">
      <c r="A1985" s="19">
        <v>45955</v>
      </c>
      <c r="B1985" s="20"/>
      <c r="C1985" s="20"/>
      <c r="D1985" s="20">
        <v>15000</v>
      </c>
      <c r="E1985" s="99" t="s">
        <v>893</v>
      </c>
      <c r="F1985" s="20">
        <f t="shared" si="30"/>
        <v>196464306</v>
      </c>
      <c r="G1985" s="7" t="s">
        <v>330</v>
      </c>
      <c r="H1985" s="24" t="s">
        <v>109</v>
      </c>
      <c r="I1985" s="32" t="s">
        <v>152</v>
      </c>
      <c r="K1985" s="181"/>
      <c r="L1985" s="181"/>
    </row>
    <row r="1986" spans="1:12" x14ac:dyDescent="0.35">
      <c r="A1986" s="19">
        <v>45955</v>
      </c>
      <c r="B1986" s="20"/>
      <c r="C1986" s="20"/>
      <c r="D1986" s="20">
        <v>25000</v>
      </c>
      <c r="E1986" s="99" t="s">
        <v>893</v>
      </c>
      <c r="F1986" s="20">
        <f t="shared" si="30"/>
        <v>196489306</v>
      </c>
      <c r="G1986" s="7" t="s">
        <v>330</v>
      </c>
      <c r="H1986" s="24" t="s">
        <v>109</v>
      </c>
      <c r="I1986" s="32" t="s">
        <v>152</v>
      </c>
      <c r="K1986" s="181"/>
      <c r="L1986" s="181"/>
    </row>
    <row r="1987" spans="1:12" x14ac:dyDescent="0.35">
      <c r="A1987" s="19">
        <v>45955</v>
      </c>
      <c r="B1987" s="20"/>
      <c r="C1987" s="20"/>
      <c r="D1987" s="20">
        <v>20000</v>
      </c>
      <c r="E1987" s="99" t="s">
        <v>893</v>
      </c>
      <c r="F1987" s="20">
        <f t="shared" si="30"/>
        <v>196509306</v>
      </c>
      <c r="G1987" s="7" t="s">
        <v>330</v>
      </c>
      <c r="H1987" s="24" t="s">
        <v>109</v>
      </c>
      <c r="I1987" s="32" t="s">
        <v>152</v>
      </c>
      <c r="K1987" s="181"/>
      <c r="L1987" s="181"/>
    </row>
    <row r="1988" spans="1:12" x14ac:dyDescent="0.35">
      <c r="A1988" s="19">
        <v>45955</v>
      </c>
      <c r="B1988" s="20"/>
      <c r="C1988" s="20"/>
      <c r="D1988" s="20">
        <v>10000</v>
      </c>
      <c r="E1988" s="99" t="s">
        <v>893</v>
      </c>
      <c r="F1988" s="20">
        <f t="shared" si="30"/>
        <v>196519306</v>
      </c>
      <c r="G1988" s="7" t="s">
        <v>330</v>
      </c>
      <c r="H1988" s="24" t="s">
        <v>109</v>
      </c>
      <c r="I1988" s="32" t="s">
        <v>152</v>
      </c>
      <c r="K1988" s="181"/>
      <c r="L1988" s="181"/>
    </row>
    <row r="1989" spans="1:12" x14ac:dyDescent="0.35">
      <c r="A1989" s="19">
        <v>45955</v>
      </c>
      <c r="B1989" s="20"/>
      <c r="C1989" s="20"/>
      <c r="D1989" s="20">
        <v>1011</v>
      </c>
      <c r="E1989" s="99" t="s">
        <v>893</v>
      </c>
      <c r="F1989" s="20">
        <f t="shared" si="30"/>
        <v>196520317</v>
      </c>
      <c r="G1989" s="7" t="s">
        <v>330</v>
      </c>
      <c r="H1989" s="24" t="s">
        <v>109</v>
      </c>
      <c r="I1989" s="32" t="s">
        <v>152</v>
      </c>
      <c r="K1989" s="181"/>
      <c r="L1989" s="181"/>
    </row>
    <row r="1990" spans="1:12" x14ac:dyDescent="0.35">
      <c r="A1990" s="19">
        <v>45955</v>
      </c>
      <c r="B1990" s="20">
        <v>1000000</v>
      </c>
      <c r="C1990" s="20"/>
      <c r="D1990" s="20"/>
      <c r="E1990" s="99" t="s">
        <v>893</v>
      </c>
      <c r="F1990" s="20">
        <f t="shared" si="30"/>
        <v>195520317</v>
      </c>
      <c r="G1990" s="7" t="s">
        <v>756</v>
      </c>
      <c r="H1990" s="24" t="s">
        <v>200</v>
      </c>
      <c r="I1990" s="32" t="s">
        <v>152</v>
      </c>
      <c r="K1990" s="181"/>
      <c r="L1990" s="181"/>
    </row>
    <row r="1991" spans="1:12" x14ac:dyDescent="0.35">
      <c r="A1991" s="19">
        <v>45955</v>
      </c>
      <c r="B1991" s="20">
        <v>6500</v>
      </c>
      <c r="C1991" s="20"/>
      <c r="D1991" s="20"/>
      <c r="E1991" s="99" t="s">
        <v>893</v>
      </c>
      <c r="F1991" s="20">
        <f t="shared" si="30"/>
        <v>195513817</v>
      </c>
      <c r="G1991" s="7" t="s">
        <v>756</v>
      </c>
      <c r="H1991" s="24" t="s">
        <v>200</v>
      </c>
      <c r="I1991" s="32" t="s">
        <v>152</v>
      </c>
      <c r="K1991" s="181"/>
      <c r="L1991" s="181"/>
    </row>
    <row r="1992" spans="1:12" x14ac:dyDescent="0.35">
      <c r="A1992" s="19">
        <v>45956</v>
      </c>
      <c r="B1992" s="20">
        <v>1000000</v>
      </c>
      <c r="C1992" s="20"/>
      <c r="D1992" s="20"/>
      <c r="E1992" s="99" t="s">
        <v>893</v>
      </c>
      <c r="F1992" s="20">
        <f t="shared" si="30"/>
        <v>194513817</v>
      </c>
      <c r="G1992" s="7" t="s">
        <v>878</v>
      </c>
      <c r="H1992" s="24" t="s">
        <v>323</v>
      </c>
      <c r="I1992" s="32" t="s">
        <v>152</v>
      </c>
      <c r="K1992" s="181"/>
      <c r="L1992" s="181"/>
    </row>
    <row r="1993" spans="1:12" x14ac:dyDescent="0.35">
      <c r="A1993" s="19">
        <v>45956</v>
      </c>
      <c r="B1993" s="20">
        <v>6500</v>
      </c>
      <c r="C1993" s="20"/>
      <c r="D1993" s="20"/>
      <c r="E1993" s="99" t="s">
        <v>893</v>
      </c>
      <c r="F1993" s="20">
        <f t="shared" si="30"/>
        <v>194507317</v>
      </c>
      <c r="G1993" s="7" t="s">
        <v>878</v>
      </c>
      <c r="H1993" s="24" t="s">
        <v>323</v>
      </c>
      <c r="I1993" s="32" t="s">
        <v>152</v>
      </c>
      <c r="K1993" s="181"/>
      <c r="L1993" s="181"/>
    </row>
    <row r="1994" spans="1:12" x14ac:dyDescent="0.35">
      <c r="A1994" s="19">
        <v>45956</v>
      </c>
      <c r="B1994" s="20"/>
      <c r="C1994" s="20"/>
      <c r="D1994" s="20">
        <v>20000</v>
      </c>
      <c r="E1994" s="99" t="s">
        <v>893</v>
      </c>
      <c r="F1994" s="20">
        <f t="shared" si="30"/>
        <v>194527317</v>
      </c>
      <c r="G1994" s="7" t="s">
        <v>330</v>
      </c>
      <c r="H1994" s="24" t="s">
        <v>109</v>
      </c>
      <c r="I1994" s="32" t="s">
        <v>152</v>
      </c>
      <c r="K1994" s="181"/>
      <c r="L1994" s="181"/>
    </row>
    <row r="1995" spans="1:12" x14ac:dyDescent="0.35">
      <c r="A1995" s="19">
        <v>45956</v>
      </c>
      <c r="B1995" s="20"/>
      <c r="C1995" s="20"/>
      <c r="D1995" s="20">
        <v>50000</v>
      </c>
      <c r="E1995" s="99" t="s">
        <v>893</v>
      </c>
      <c r="F1995" s="20">
        <f t="shared" si="30"/>
        <v>194577317</v>
      </c>
      <c r="G1995" s="7" t="s">
        <v>330</v>
      </c>
      <c r="H1995" s="24" t="s">
        <v>109</v>
      </c>
      <c r="I1995" s="32" t="s">
        <v>152</v>
      </c>
      <c r="K1995" s="181"/>
      <c r="L1995" s="181"/>
    </row>
    <row r="1996" spans="1:12" x14ac:dyDescent="0.35">
      <c r="A1996" s="19">
        <v>45956</v>
      </c>
      <c r="B1996" s="20"/>
      <c r="C1996" s="20"/>
      <c r="D1996" s="20">
        <v>25000</v>
      </c>
      <c r="E1996" s="99" t="s">
        <v>893</v>
      </c>
      <c r="F1996" s="20">
        <f t="shared" ref="F1996:F2059" si="31">+F1995+D1996-B1996</f>
        <v>194602317</v>
      </c>
      <c r="G1996" s="7" t="s">
        <v>330</v>
      </c>
      <c r="H1996" s="24" t="s">
        <v>109</v>
      </c>
      <c r="I1996" s="32" t="s">
        <v>152</v>
      </c>
      <c r="K1996" s="181"/>
      <c r="L1996" s="181"/>
    </row>
    <row r="1997" spans="1:12" x14ac:dyDescent="0.35">
      <c r="A1997" s="19">
        <v>45957</v>
      </c>
      <c r="B1997" s="20"/>
      <c r="C1997" s="20"/>
      <c r="D1997" s="20">
        <v>20000</v>
      </c>
      <c r="E1997" s="99" t="s">
        <v>893</v>
      </c>
      <c r="F1997" s="20">
        <f t="shared" si="31"/>
        <v>194622317</v>
      </c>
      <c r="G1997" s="7" t="s">
        <v>330</v>
      </c>
      <c r="H1997" s="24" t="s">
        <v>109</v>
      </c>
      <c r="I1997" s="32" t="s">
        <v>152</v>
      </c>
      <c r="K1997" s="181"/>
      <c r="L1997" s="181"/>
    </row>
    <row r="1998" spans="1:12" x14ac:dyDescent="0.35">
      <c r="A1998" s="19">
        <v>45957</v>
      </c>
      <c r="B1998" s="20"/>
      <c r="C1998" s="20"/>
      <c r="D1998" s="20">
        <v>25000</v>
      </c>
      <c r="E1998" s="99" t="s">
        <v>893</v>
      </c>
      <c r="F1998" s="20">
        <f t="shared" si="31"/>
        <v>194647317</v>
      </c>
      <c r="G1998" s="7" t="s">
        <v>330</v>
      </c>
      <c r="H1998" s="24" t="s">
        <v>109</v>
      </c>
      <c r="I1998" s="32" t="s">
        <v>152</v>
      </c>
      <c r="K1998" s="181"/>
      <c r="L1998" s="181"/>
    </row>
    <row r="1999" spans="1:12" x14ac:dyDescent="0.35">
      <c r="A1999" s="19">
        <v>45957</v>
      </c>
      <c r="B1999" s="20">
        <v>2000000</v>
      </c>
      <c r="C1999" s="20"/>
      <c r="D1999" s="20"/>
      <c r="E1999" s="99" t="s">
        <v>893</v>
      </c>
      <c r="F1999" s="20">
        <f t="shared" si="31"/>
        <v>192647317</v>
      </c>
      <c r="G1999" s="7" t="s">
        <v>879</v>
      </c>
      <c r="H1999" s="24" t="s">
        <v>323</v>
      </c>
      <c r="I1999" s="32" t="s">
        <v>152</v>
      </c>
      <c r="K1999" s="181"/>
      <c r="L1999" s="181"/>
    </row>
    <row r="2000" spans="1:12" x14ac:dyDescent="0.35">
      <c r="A2000" s="19">
        <v>45957</v>
      </c>
      <c r="B2000" s="20">
        <v>6500</v>
      </c>
      <c r="C2000" s="20"/>
      <c r="D2000" s="20"/>
      <c r="E2000" s="99" t="s">
        <v>893</v>
      </c>
      <c r="F2000" s="20">
        <f t="shared" si="31"/>
        <v>192640817</v>
      </c>
      <c r="G2000" s="7" t="s">
        <v>879</v>
      </c>
      <c r="H2000" s="24" t="s">
        <v>323</v>
      </c>
      <c r="I2000" s="32" t="s">
        <v>152</v>
      </c>
      <c r="K2000" s="181"/>
      <c r="L2000" s="181"/>
    </row>
    <row r="2001" spans="1:12" x14ac:dyDescent="0.35">
      <c r="A2001" s="19">
        <v>45957</v>
      </c>
      <c r="B2001" s="20">
        <v>550000</v>
      </c>
      <c r="C2001" s="20"/>
      <c r="D2001" s="20"/>
      <c r="E2001" s="99" t="s">
        <v>893</v>
      </c>
      <c r="F2001" s="20">
        <f t="shared" si="31"/>
        <v>192090817</v>
      </c>
      <c r="G2001" s="7" t="s">
        <v>880</v>
      </c>
      <c r="H2001" s="24" t="s">
        <v>325</v>
      </c>
      <c r="I2001" s="32" t="s">
        <v>152</v>
      </c>
      <c r="K2001" s="181"/>
      <c r="L2001" s="181"/>
    </row>
    <row r="2002" spans="1:12" x14ac:dyDescent="0.35">
      <c r="A2002" s="19">
        <v>45957</v>
      </c>
      <c r="B2002" s="20">
        <v>6500</v>
      </c>
      <c r="C2002" s="20"/>
      <c r="D2002" s="20"/>
      <c r="E2002" s="99" t="s">
        <v>893</v>
      </c>
      <c r="F2002" s="20">
        <f t="shared" si="31"/>
        <v>192084317</v>
      </c>
      <c r="G2002" s="7" t="s">
        <v>880</v>
      </c>
      <c r="H2002" s="24" t="s">
        <v>325</v>
      </c>
      <c r="I2002" s="32" t="s">
        <v>152</v>
      </c>
      <c r="K2002" s="181"/>
      <c r="L2002" s="181"/>
    </row>
    <row r="2003" spans="1:12" x14ac:dyDescent="0.35">
      <c r="A2003" s="19">
        <v>45957</v>
      </c>
      <c r="B2003" s="20">
        <v>2500000</v>
      </c>
      <c r="C2003" s="20"/>
      <c r="D2003" s="20"/>
      <c r="E2003" s="99" t="s">
        <v>893</v>
      </c>
      <c r="F2003" s="20">
        <f t="shared" si="31"/>
        <v>189584317</v>
      </c>
      <c r="G2003" s="7" t="s">
        <v>881</v>
      </c>
      <c r="H2003" s="24" t="s">
        <v>325</v>
      </c>
      <c r="I2003" s="32" t="s">
        <v>152</v>
      </c>
      <c r="K2003" s="181"/>
      <c r="L2003" s="181"/>
    </row>
    <row r="2004" spans="1:12" x14ac:dyDescent="0.35">
      <c r="A2004" s="19">
        <v>45957</v>
      </c>
      <c r="B2004" s="20">
        <v>6500</v>
      </c>
      <c r="C2004" s="20"/>
      <c r="D2004" s="20"/>
      <c r="E2004" s="99" t="s">
        <v>893</v>
      </c>
      <c r="F2004" s="20">
        <f t="shared" si="31"/>
        <v>189577817</v>
      </c>
      <c r="G2004" s="7" t="s">
        <v>881</v>
      </c>
      <c r="H2004" s="24" t="s">
        <v>325</v>
      </c>
      <c r="I2004" s="32" t="s">
        <v>152</v>
      </c>
      <c r="K2004" s="181"/>
      <c r="L2004" s="181"/>
    </row>
    <row r="2005" spans="1:12" x14ac:dyDescent="0.35">
      <c r="A2005" s="19">
        <v>45957</v>
      </c>
      <c r="B2005" s="20">
        <v>2700000</v>
      </c>
      <c r="C2005" s="20"/>
      <c r="D2005" s="20"/>
      <c r="E2005" s="99" t="s">
        <v>893</v>
      </c>
      <c r="F2005" s="20">
        <f t="shared" si="31"/>
        <v>186877817</v>
      </c>
      <c r="G2005" s="7" t="s">
        <v>882</v>
      </c>
      <c r="H2005" s="24" t="s">
        <v>201</v>
      </c>
      <c r="I2005" s="32" t="s">
        <v>152</v>
      </c>
      <c r="K2005" s="181"/>
      <c r="L2005" s="181"/>
    </row>
    <row r="2006" spans="1:12" x14ac:dyDescent="0.35">
      <c r="A2006" s="19">
        <v>45957</v>
      </c>
      <c r="B2006" s="20">
        <v>6500</v>
      </c>
      <c r="C2006" s="20"/>
      <c r="D2006" s="20"/>
      <c r="E2006" s="99" t="s">
        <v>893</v>
      </c>
      <c r="F2006" s="20">
        <f t="shared" si="31"/>
        <v>186871317</v>
      </c>
      <c r="G2006" s="7" t="s">
        <v>882</v>
      </c>
      <c r="H2006" s="24" t="s">
        <v>201</v>
      </c>
      <c r="I2006" s="32" t="s">
        <v>152</v>
      </c>
      <c r="K2006" s="181"/>
      <c r="L2006" s="181"/>
    </row>
    <row r="2007" spans="1:12" x14ac:dyDescent="0.35">
      <c r="A2007" s="19">
        <v>45957</v>
      </c>
      <c r="B2007" s="20">
        <v>1000000</v>
      </c>
      <c r="C2007" s="20"/>
      <c r="D2007" s="20"/>
      <c r="E2007" s="99" t="s">
        <v>893</v>
      </c>
      <c r="F2007" s="20">
        <f t="shared" si="31"/>
        <v>185871317</v>
      </c>
      <c r="G2007" s="7" t="s">
        <v>883</v>
      </c>
      <c r="H2007" s="24" t="s">
        <v>325</v>
      </c>
      <c r="I2007" s="32" t="s">
        <v>152</v>
      </c>
      <c r="K2007" s="181"/>
      <c r="L2007" s="181"/>
    </row>
    <row r="2008" spans="1:12" x14ac:dyDescent="0.35">
      <c r="A2008" s="19">
        <v>45957</v>
      </c>
      <c r="B2008" s="20">
        <v>6500</v>
      </c>
      <c r="C2008" s="20"/>
      <c r="D2008" s="20"/>
      <c r="E2008" s="99" t="s">
        <v>893</v>
      </c>
      <c r="F2008" s="20">
        <f t="shared" si="31"/>
        <v>185864817</v>
      </c>
      <c r="G2008" s="7" t="s">
        <v>883</v>
      </c>
      <c r="H2008" s="24" t="s">
        <v>325</v>
      </c>
      <c r="I2008" s="32" t="s">
        <v>152</v>
      </c>
      <c r="K2008" s="181"/>
      <c r="L2008" s="181"/>
    </row>
    <row r="2009" spans="1:12" x14ac:dyDescent="0.35">
      <c r="A2009" s="19">
        <v>45957</v>
      </c>
      <c r="B2009" s="20">
        <v>4000000</v>
      </c>
      <c r="C2009" s="20"/>
      <c r="D2009" s="20"/>
      <c r="E2009" s="99" t="s">
        <v>893</v>
      </c>
      <c r="F2009" s="20">
        <f t="shared" si="31"/>
        <v>181864817</v>
      </c>
      <c r="G2009" s="7" t="s">
        <v>884</v>
      </c>
      <c r="H2009" s="24" t="s">
        <v>201</v>
      </c>
      <c r="I2009" s="32" t="s">
        <v>152</v>
      </c>
      <c r="K2009" s="181"/>
      <c r="L2009" s="181"/>
    </row>
    <row r="2010" spans="1:12" x14ac:dyDescent="0.35">
      <c r="A2010" s="19">
        <v>45957</v>
      </c>
      <c r="B2010" s="20">
        <v>6500</v>
      </c>
      <c r="C2010" s="20"/>
      <c r="D2010" s="20"/>
      <c r="E2010" s="99" t="s">
        <v>893</v>
      </c>
      <c r="F2010" s="20">
        <f t="shared" si="31"/>
        <v>181858317</v>
      </c>
      <c r="G2010" s="7" t="s">
        <v>884</v>
      </c>
      <c r="H2010" s="24" t="s">
        <v>201</v>
      </c>
      <c r="I2010" s="32" t="s">
        <v>152</v>
      </c>
      <c r="K2010" s="181"/>
      <c r="L2010" s="181"/>
    </row>
    <row r="2011" spans="1:12" x14ac:dyDescent="0.35">
      <c r="A2011" s="19">
        <v>45957</v>
      </c>
      <c r="B2011" s="20">
        <v>3500000</v>
      </c>
      <c r="C2011" s="20"/>
      <c r="D2011" s="20"/>
      <c r="E2011" s="99" t="s">
        <v>893</v>
      </c>
      <c r="F2011" s="20">
        <f t="shared" si="31"/>
        <v>178358317</v>
      </c>
      <c r="G2011" s="7" t="s">
        <v>885</v>
      </c>
      <c r="H2011" s="24" t="s">
        <v>325</v>
      </c>
      <c r="I2011" s="32" t="s">
        <v>152</v>
      </c>
      <c r="K2011" s="181"/>
      <c r="L2011" s="181"/>
    </row>
    <row r="2012" spans="1:12" x14ac:dyDescent="0.35">
      <c r="A2012" s="19">
        <v>45957</v>
      </c>
      <c r="B2012" s="20">
        <v>6500</v>
      </c>
      <c r="C2012" s="20"/>
      <c r="D2012" s="20"/>
      <c r="E2012" s="99" t="s">
        <v>893</v>
      </c>
      <c r="F2012" s="20">
        <f t="shared" si="31"/>
        <v>178351817</v>
      </c>
      <c r="G2012" s="7" t="s">
        <v>885</v>
      </c>
      <c r="H2012" s="24" t="s">
        <v>325</v>
      </c>
      <c r="I2012" s="32" t="s">
        <v>152</v>
      </c>
      <c r="K2012" s="181"/>
      <c r="L2012" s="181"/>
    </row>
    <row r="2013" spans="1:12" x14ac:dyDescent="0.35">
      <c r="A2013" s="19">
        <v>45957</v>
      </c>
      <c r="B2013" s="20">
        <v>2250000</v>
      </c>
      <c r="C2013" s="20"/>
      <c r="D2013" s="20"/>
      <c r="E2013" s="99" t="s">
        <v>893</v>
      </c>
      <c r="F2013" s="20">
        <f t="shared" si="31"/>
        <v>176101817</v>
      </c>
      <c r="G2013" s="7" t="s">
        <v>886</v>
      </c>
      <c r="H2013" s="24" t="s">
        <v>325</v>
      </c>
      <c r="I2013" s="32" t="s">
        <v>152</v>
      </c>
      <c r="K2013" s="181"/>
      <c r="L2013" s="181"/>
    </row>
    <row r="2014" spans="1:12" x14ac:dyDescent="0.35">
      <c r="A2014" s="19">
        <v>45957</v>
      </c>
      <c r="B2014" s="20">
        <v>6500</v>
      </c>
      <c r="C2014" s="20"/>
      <c r="D2014" s="20"/>
      <c r="E2014" s="99" t="s">
        <v>893</v>
      </c>
      <c r="F2014" s="20">
        <f t="shared" si="31"/>
        <v>176095317</v>
      </c>
      <c r="G2014" s="7" t="s">
        <v>886</v>
      </c>
      <c r="H2014" s="24" t="s">
        <v>325</v>
      </c>
      <c r="I2014" s="32" t="s">
        <v>152</v>
      </c>
      <c r="K2014" s="181"/>
      <c r="L2014" s="181"/>
    </row>
    <row r="2015" spans="1:12" x14ac:dyDescent="0.35">
      <c r="A2015" s="19">
        <v>45957</v>
      </c>
      <c r="B2015" s="20">
        <v>2750000</v>
      </c>
      <c r="C2015" s="20"/>
      <c r="D2015" s="20"/>
      <c r="E2015" s="99" t="s">
        <v>893</v>
      </c>
      <c r="F2015" s="20">
        <f t="shared" si="31"/>
        <v>173345317</v>
      </c>
      <c r="G2015" s="7" t="s">
        <v>887</v>
      </c>
      <c r="H2015" s="24" t="s">
        <v>325</v>
      </c>
      <c r="I2015" s="32" t="s">
        <v>152</v>
      </c>
      <c r="K2015" s="181"/>
      <c r="L2015" s="181"/>
    </row>
    <row r="2016" spans="1:12" x14ac:dyDescent="0.35">
      <c r="A2016" s="19">
        <v>45957</v>
      </c>
      <c r="B2016" s="20"/>
      <c r="C2016" s="20"/>
      <c r="D2016" s="20">
        <v>1000000</v>
      </c>
      <c r="E2016" s="99" t="s">
        <v>893</v>
      </c>
      <c r="F2016" s="20">
        <f t="shared" si="31"/>
        <v>174345317</v>
      </c>
      <c r="G2016" s="7" t="s">
        <v>888</v>
      </c>
      <c r="H2016" s="24" t="s">
        <v>105</v>
      </c>
      <c r="I2016" s="32" t="s">
        <v>152</v>
      </c>
      <c r="K2016" s="181"/>
      <c r="L2016" s="181"/>
    </row>
    <row r="2017" spans="1:12" x14ac:dyDescent="0.35">
      <c r="A2017" s="19">
        <v>45957</v>
      </c>
      <c r="B2017" s="20"/>
      <c r="C2017" s="20"/>
      <c r="D2017" s="20">
        <f>3118000-950000</f>
        <v>2168000</v>
      </c>
      <c r="E2017" s="99" t="s">
        <v>893</v>
      </c>
      <c r="F2017" s="20">
        <f t="shared" si="31"/>
        <v>176513317</v>
      </c>
      <c r="G2017" s="7"/>
      <c r="H2017" s="24" t="s">
        <v>107</v>
      </c>
      <c r="I2017" s="32" t="s">
        <v>152</v>
      </c>
      <c r="K2017" s="181"/>
      <c r="L2017" s="181"/>
    </row>
    <row r="2018" spans="1:12" x14ac:dyDescent="0.35">
      <c r="A2018" s="19">
        <v>45957</v>
      </c>
      <c r="B2018" s="20"/>
      <c r="C2018" s="20"/>
      <c r="D2018" s="20">
        <v>1033000</v>
      </c>
      <c r="E2018" s="99" t="s">
        <v>893</v>
      </c>
      <c r="F2018" s="20">
        <f t="shared" si="31"/>
        <v>177546317</v>
      </c>
      <c r="G2018" s="7"/>
      <c r="H2018" s="24" t="s">
        <v>109</v>
      </c>
      <c r="I2018" s="32" t="s">
        <v>152</v>
      </c>
      <c r="K2018" s="181"/>
      <c r="L2018" s="181"/>
    </row>
    <row r="2019" spans="1:12" x14ac:dyDescent="0.35">
      <c r="A2019" s="19"/>
      <c r="B2019" s="20"/>
      <c r="C2019" s="20">
        <v>3201000</v>
      </c>
      <c r="D2019" s="20"/>
      <c r="E2019" s="99"/>
      <c r="F2019" s="20">
        <f t="shared" si="31"/>
        <v>177546317</v>
      </c>
      <c r="G2019" s="7" t="s">
        <v>889</v>
      </c>
      <c r="H2019" s="24"/>
      <c r="I2019" s="32"/>
      <c r="K2019" s="181"/>
      <c r="L2019" s="181"/>
    </row>
    <row r="2020" spans="1:12" x14ac:dyDescent="0.35">
      <c r="A2020" s="19">
        <v>45958</v>
      </c>
      <c r="B2020" s="20"/>
      <c r="C2020" s="20"/>
      <c r="D2020" s="20">
        <v>20000</v>
      </c>
      <c r="E2020" s="99" t="s">
        <v>893</v>
      </c>
      <c r="F2020" s="20">
        <f t="shared" si="31"/>
        <v>177566317</v>
      </c>
      <c r="G2020" s="7" t="s">
        <v>330</v>
      </c>
      <c r="H2020" s="24" t="s">
        <v>109</v>
      </c>
      <c r="I2020" s="32" t="s">
        <v>152</v>
      </c>
      <c r="K2020" s="181"/>
      <c r="L2020" s="181"/>
    </row>
    <row r="2021" spans="1:12" x14ac:dyDescent="0.35">
      <c r="A2021" s="19">
        <v>45958</v>
      </c>
      <c r="B2021" s="20"/>
      <c r="C2021" s="20"/>
      <c r="D2021" s="20">
        <v>1011</v>
      </c>
      <c r="E2021" s="99" t="s">
        <v>893</v>
      </c>
      <c r="F2021" s="20">
        <f t="shared" si="31"/>
        <v>177567328</v>
      </c>
      <c r="G2021" s="7" t="s">
        <v>330</v>
      </c>
      <c r="H2021" s="24" t="s">
        <v>109</v>
      </c>
      <c r="I2021" s="32" t="s">
        <v>152</v>
      </c>
      <c r="K2021" s="181"/>
      <c r="L2021" s="181"/>
    </row>
    <row r="2022" spans="1:12" x14ac:dyDescent="0.35">
      <c r="A2022" s="19">
        <v>45958</v>
      </c>
      <c r="B2022" s="20">
        <v>5700000</v>
      </c>
      <c r="C2022" s="20"/>
      <c r="D2022" s="20"/>
      <c r="E2022" s="99" t="s">
        <v>893</v>
      </c>
      <c r="F2022" s="20">
        <f t="shared" si="31"/>
        <v>171867328</v>
      </c>
      <c r="G2022" s="7" t="s">
        <v>890</v>
      </c>
      <c r="H2022" s="24" t="s">
        <v>322</v>
      </c>
      <c r="I2022" s="32" t="s">
        <v>152</v>
      </c>
      <c r="K2022" s="181"/>
      <c r="L2022" s="181"/>
    </row>
    <row r="2023" spans="1:12" x14ac:dyDescent="0.35">
      <c r="A2023" s="19">
        <v>45958</v>
      </c>
      <c r="B2023" s="20">
        <v>2500</v>
      </c>
      <c r="C2023" s="20"/>
      <c r="D2023" s="20"/>
      <c r="E2023" s="99" t="s">
        <v>893</v>
      </c>
      <c r="F2023" s="20">
        <f t="shared" si="31"/>
        <v>171864828</v>
      </c>
      <c r="G2023" s="7" t="s">
        <v>890</v>
      </c>
      <c r="H2023" s="24" t="s">
        <v>322</v>
      </c>
      <c r="I2023" s="32" t="s">
        <v>152</v>
      </c>
      <c r="K2023" s="181"/>
      <c r="L2023" s="181"/>
    </row>
    <row r="2024" spans="1:12" x14ac:dyDescent="0.35">
      <c r="A2024" s="19">
        <v>45959</v>
      </c>
      <c r="B2024" s="20"/>
      <c r="C2024" s="20"/>
      <c r="D2024" s="20">
        <v>1011</v>
      </c>
      <c r="E2024" s="99" t="s">
        <v>893</v>
      </c>
      <c r="F2024" s="20">
        <f t="shared" si="31"/>
        <v>171865839</v>
      </c>
      <c r="G2024" s="7" t="s">
        <v>330</v>
      </c>
      <c r="H2024" s="24" t="s">
        <v>109</v>
      </c>
      <c r="I2024" s="32" t="s">
        <v>152</v>
      </c>
      <c r="K2024" s="181"/>
      <c r="L2024" s="181"/>
    </row>
    <row r="2025" spans="1:12" x14ac:dyDescent="0.35">
      <c r="A2025" s="19">
        <v>45960</v>
      </c>
      <c r="B2025" s="20"/>
      <c r="C2025" s="20"/>
      <c r="D2025" s="20">
        <v>20000</v>
      </c>
      <c r="E2025" s="99" t="s">
        <v>893</v>
      </c>
      <c r="F2025" s="20">
        <f t="shared" si="31"/>
        <v>171885839</v>
      </c>
      <c r="G2025" s="7" t="s">
        <v>330</v>
      </c>
      <c r="H2025" s="24" t="s">
        <v>109</v>
      </c>
      <c r="I2025" s="32" t="s">
        <v>152</v>
      </c>
      <c r="K2025" s="181"/>
      <c r="L2025" s="181"/>
    </row>
    <row r="2026" spans="1:12" x14ac:dyDescent="0.35">
      <c r="A2026" s="19">
        <v>45960</v>
      </c>
      <c r="B2026" s="20"/>
      <c r="C2026" s="20"/>
      <c r="D2026" s="20">
        <v>20000</v>
      </c>
      <c r="E2026" s="99" t="s">
        <v>893</v>
      </c>
      <c r="F2026" s="20">
        <f t="shared" si="31"/>
        <v>171905839</v>
      </c>
      <c r="G2026" s="7" t="s">
        <v>330</v>
      </c>
      <c r="H2026" s="24" t="s">
        <v>109</v>
      </c>
      <c r="I2026" s="32" t="s">
        <v>152</v>
      </c>
      <c r="K2026" s="181"/>
      <c r="L2026" s="181"/>
    </row>
    <row r="2027" spans="1:12" x14ac:dyDescent="0.35">
      <c r="A2027" s="19">
        <v>45960</v>
      </c>
      <c r="B2027" s="20"/>
      <c r="C2027" s="20"/>
      <c r="D2027" s="20">
        <v>1011</v>
      </c>
      <c r="E2027" s="99" t="s">
        <v>893</v>
      </c>
      <c r="F2027" s="20">
        <f t="shared" si="31"/>
        <v>171906850</v>
      </c>
      <c r="G2027" s="7" t="s">
        <v>330</v>
      </c>
      <c r="H2027" s="24" t="s">
        <v>109</v>
      </c>
      <c r="I2027" s="32" t="s">
        <v>152</v>
      </c>
      <c r="K2027" s="181"/>
      <c r="L2027" s="181"/>
    </row>
    <row r="2028" spans="1:12" x14ac:dyDescent="0.35">
      <c r="A2028" s="19">
        <v>45961</v>
      </c>
      <c r="B2028" s="20"/>
      <c r="C2028" s="20"/>
      <c r="D2028" s="20">
        <v>20000</v>
      </c>
      <c r="E2028" s="99" t="s">
        <v>893</v>
      </c>
      <c r="F2028" s="20">
        <f t="shared" si="31"/>
        <v>171926850</v>
      </c>
      <c r="G2028" s="7" t="s">
        <v>330</v>
      </c>
      <c r="H2028" s="24" t="s">
        <v>109</v>
      </c>
      <c r="I2028" s="32" t="s">
        <v>152</v>
      </c>
      <c r="K2028" s="181"/>
      <c r="L2028" s="181"/>
    </row>
    <row r="2029" spans="1:12" x14ac:dyDescent="0.35">
      <c r="A2029" s="19">
        <v>45961</v>
      </c>
      <c r="B2029" s="20"/>
      <c r="C2029" s="20"/>
      <c r="D2029" s="20">
        <v>40000</v>
      </c>
      <c r="E2029" s="99" t="s">
        <v>893</v>
      </c>
      <c r="F2029" s="20">
        <f t="shared" si="31"/>
        <v>171966850</v>
      </c>
      <c r="G2029" s="7" t="s">
        <v>330</v>
      </c>
      <c r="H2029" s="24" t="s">
        <v>109</v>
      </c>
      <c r="I2029" s="32" t="s">
        <v>152</v>
      </c>
      <c r="K2029" s="181"/>
      <c r="L2029" s="181"/>
    </row>
    <row r="2030" spans="1:12" x14ac:dyDescent="0.35">
      <c r="A2030" s="19">
        <v>45961</v>
      </c>
      <c r="B2030" s="20"/>
      <c r="C2030" s="20"/>
      <c r="D2030" s="20">
        <v>1011</v>
      </c>
      <c r="E2030" s="99" t="s">
        <v>893</v>
      </c>
      <c r="F2030" s="20">
        <f t="shared" si="31"/>
        <v>171967861</v>
      </c>
      <c r="G2030" s="7" t="s">
        <v>330</v>
      </c>
      <c r="H2030" s="24" t="s">
        <v>109</v>
      </c>
      <c r="I2030" s="32" t="s">
        <v>152</v>
      </c>
      <c r="K2030" s="181"/>
      <c r="L2030" s="181"/>
    </row>
    <row r="2031" spans="1:12" x14ac:dyDescent="0.35">
      <c r="A2031" s="19">
        <v>45961</v>
      </c>
      <c r="B2031" s="20"/>
      <c r="C2031" s="20"/>
      <c r="D2031" s="20">
        <v>100000</v>
      </c>
      <c r="E2031" s="99" t="s">
        <v>893</v>
      </c>
      <c r="F2031" s="20">
        <f t="shared" si="31"/>
        <v>172067861</v>
      </c>
      <c r="G2031" s="7" t="s">
        <v>891</v>
      </c>
      <c r="H2031" s="24" t="s">
        <v>109</v>
      </c>
      <c r="I2031" s="32" t="s">
        <v>152</v>
      </c>
      <c r="K2031" s="181"/>
      <c r="L2031" s="181"/>
    </row>
    <row r="2032" spans="1:12" x14ac:dyDescent="0.35">
      <c r="A2032" s="19">
        <v>45961</v>
      </c>
      <c r="B2032" s="20">
        <v>9000</v>
      </c>
      <c r="C2032" s="20"/>
      <c r="D2032" s="20"/>
      <c r="E2032" s="99" t="s">
        <v>893</v>
      </c>
      <c r="F2032" s="20">
        <f t="shared" si="31"/>
        <v>172058861</v>
      </c>
      <c r="G2032" s="7" t="s">
        <v>892</v>
      </c>
      <c r="H2032" s="24" t="s">
        <v>320</v>
      </c>
      <c r="I2032" s="32" t="s">
        <v>152</v>
      </c>
      <c r="K2032" s="181"/>
      <c r="L2032" s="181"/>
    </row>
    <row r="2033" spans="1:12" x14ac:dyDescent="0.35">
      <c r="A2033" s="19">
        <v>45962</v>
      </c>
      <c r="B2033" s="20">
        <v>750000</v>
      </c>
      <c r="C2033" s="20"/>
      <c r="D2033" s="20"/>
      <c r="E2033" s="99" t="s">
        <v>977</v>
      </c>
      <c r="F2033" s="20">
        <f t="shared" si="31"/>
        <v>171308861</v>
      </c>
      <c r="G2033" s="7" t="s">
        <v>964</v>
      </c>
      <c r="H2033" s="24" t="s">
        <v>323</v>
      </c>
      <c r="I2033" s="32" t="s">
        <v>152</v>
      </c>
      <c r="K2033" s="181"/>
      <c r="L2033" s="181"/>
    </row>
    <row r="2034" spans="1:12" x14ac:dyDescent="0.35">
      <c r="A2034" s="19">
        <v>45962</v>
      </c>
      <c r="B2034" s="20">
        <v>6500</v>
      </c>
      <c r="C2034" s="20"/>
      <c r="D2034" s="20"/>
      <c r="E2034" s="99" t="s">
        <v>977</v>
      </c>
      <c r="F2034" s="20">
        <f t="shared" si="31"/>
        <v>171302361</v>
      </c>
      <c r="G2034" s="7" t="s">
        <v>964</v>
      </c>
      <c r="H2034" s="24" t="s">
        <v>323</v>
      </c>
      <c r="I2034" s="32" t="s">
        <v>152</v>
      </c>
      <c r="K2034" s="181"/>
      <c r="L2034" s="181"/>
    </row>
    <row r="2035" spans="1:12" x14ac:dyDescent="0.35">
      <c r="A2035" s="19">
        <v>45962</v>
      </c>
      <c r="B2035" s="20"/>
      <c r="C2035" s="20"/>
      <c r="D2035" s="20">
        <v>200000</v>
      </c>
      <c r="E2035" s="99" t="s">
        <v>977</v>
      </c>
      <c r="F2035" s="20">
        <f t="shared" si="31"/>
        <v>171502361</v>
      </c>
      <c r="G2035" s="7" t="s">
        <v>866</v>
      </c>
      <c r="H2035" s="24" t="s">
        <v>109</v>
      </c>
      <c r="I2035" s="32" t="s">
        <v>152</v>
      </c>
      <c r="K2035" s="181"/>
      <c r="L2035" s="181"/>
    </row>
    <row r="2036" spans="1:12" x14ac:dyDescent="0.35">
      <c r="A2036" s="19">
        <v>45962</v>
      </c>
      <c r="B2036" s="20"/>
      <c r="C2036" s="20"/>
      <c r="D2036" s="20">
        <v>1011</v>
      </c>
      <c r="E2036" s="99" t="s">
        <v>977</v>
      </c>
      <c r="F2036" s="20">
        <f t="shared" si="31"/>
        <v>171503372</v>
      </c>
      <c r="G2036" s="7" t="s">
        <v>330</v>
      </c>
      <c r="H2036" s="24" t="s">
        <v>109</v>
      </c>
      <c r="I2036" s="32" t="s">
        <v>152</v>
      </c>
      <c r="K2036" s="181"/>
      <c r="L2036" s="181"/>
    </row>
    <row r="2037" spans="1:12" x14ac:dyDescent="0.35">
      <c r="A2037" s="19">
        <v>45962</v>
      </c>
      <c r="B2037" s="20"/>
      <c r="C2037" s="20"/>
      <c r="D2037" s="20">
        <v>25000</v>
      </c>
      <c r="E2037" s="99" t="s">
        <v>977</v>
      </c>
      <c r="F2037" s="20">
        <f t="shared" si="31"/>
        <v>171528372</v>
      </c>
      <c r="G2037" s="7" t="s">
        <v>330</v>
      </c>
      <c r="H2037" s="24" t="s">
        <v>109</v>
      </c>
      <c r="I2037" s="32" t="s">
        <v>152</v>
      </c>
      <c r="K2037" s="181"/>
      <c r="L2037" s="181"/>
    </row>
    <row r="2038" spans="1:12" x14ac:dyDescent="0.35">
      <c r="A2038" s="19">
        <v>45962</v>
      </c>
      <c r="B2038" s="20"/>
      <c r="C2038" s="20"/>
      <c r="D2038" s="20">
        <v>50000</v>
      </c>
      <c r="E2038" s="99" t="s">
        <v>977</v>
      </c>
      <c r="F2038" s="20">
        <f t="shared" si="31"/>
        <v>171578372</v>
      </c>
      <c r="G2038" s="7" t="s">
        <v>330</v>
      </c>
      <c r="H2038" s="24" t="s">
        <v>109</v>
      </c>
      <c r="I2038" s="32" t="s">
        <v>152</v>
      </c>
      <c r="K2038" s="181"/>
      <c r="L2038" s="181"/>
    </row>
    <row r="2039" spans="1:12" x14ac:dyDescent="0.35">
      <c r="A2039" s="19">
        <v>45962</v>
      </c>
      <c r="B2039" s="20"/>
      <c r="C2039" s="20"/>
      <c r="D2039" s="20">
        <v>10000</v>
      </c>
      <c r="E2039" s="99" t="s">
        <v>977</v>
      </c>
      <c r="F2039" s="20">
        <f t="shared" si="31"/>
        <v>171588372</v>
      </c>
      <c r="G2039" s="7" t="s">
        <v>330</v>
      </c>
      <c r="H2039" s="24" t="s">
        <v>109</v>
      </c>
      <c r="I2039" s="32" t="s">
        <v>152</v>
      </c>
      <c r="K2039" s="181"/>
      <c r="L2039" s="181"/>
    </row>
    <row r="2040" spans="1:12" x14ac:dyDescent="0.35">
      <c r="A2040" s="19">
        <v>45962</v>
      </c>
      <c r="B2040" s="20"/>
      <c r="C2040" s="20"/>
      <c r="D2040" s="20">
        <v>10000</v>
      </c>
      <c r="E2040" s="99" t="s">
        <v>977</v>
      </c>
      <c r="F2040" s="20">
        <f t="shared" si="31"/>
        <v>171598372</v>
      </c>
      <c r="G2040" s="7" t="s">
        <v>330</v>
      </c>
      <c r="H2040" s="24" t="s">
        <v>109</v>
      </c>
      <c r="I2040" s="32" t="s">
        <v>152</v>
      </c>
      <c r="K2040" s="181"/>
      <c r="L2040" s="181"/>
    </row>
    <row r="2041" spans="1:12" x14ac:dyDescent="0.35">
      <c r="A2041" s="19">
        <v>45962</v>
      </c>
      <c r="B2041" s="20"/>
      <c r="C2041" s="20"/>
      <c r="D2041" s="20">
        <v>500000</v>
      </c>
      <c r="E2041" s="99" t="s">
        <v>977</v>
      </c>
      <c r="F2041" s="20">
        <f t="shared" si="31"/>
        <v>172098372</v>
      </c>
      <c r="G2041" s="7" t="s">
        <v>579</v>
      </c>
      <c r="H2041" s="24" t="s">
        <v>109</v>
      </c>
      <c r="I2041" s="32" t="s">
        <v>152</v>
      </c>
      <c r="K2041" s="181"/>
      <c r="L2041" s="181"/>
    </row>
    <row r="2042" spans="1:12" x14ac:dyDescent="0.35">
      <c r="A2042" s="19">
        <v>45962</v>
      </c>
      <c r="B2042" s="20"/>
      <c r="C2042" s="20"/>
      <c r="D2042" s="20">
        <v>300000</v>
      </c>
      <c r="E2042" s="99" t="s">
        <v>977</v>
      </c>
      <c r="F2042" s="20">
        <f t="shared" si="31"/>
        <v>172398372</v>
      </c>
      <c r="G2042" s="7" t="s">
        <v>577</v>
      </c>
      <c r="H2042" s="24" t="s">
        <v>109</v>
      </c>
      <c r="I2042" s="32" t="s">
        <v>152</v>
      </c>
      <c r="K2042" s="181"/>
      <c r="L2042" s="181"/>
    </row>
    <row r="2043" spans="1:12" x14ac:dyDescent="0.35">
      <c r="A2043" s="19">
        <v>45963</v>
      </c>
      <c r="B2043" s="20">
        <v>750000</v>
      </c>
      <c r="C2043" s="20"/>
      <c r="D2043" s="20"/>
      <c r="E2043" s="99" t="s">
        <v>977</v>
      </c>
      <c r="F2043" s="20">
        <f t="shared" si="31"/>
        <v>171648372</v>
      </c>
      <c r="G2043" s="7" t="s">
        <v>965</v>
      </c>
      <c r="H2043" s="24" t="s">
        <v>323</v>
      </c>
      <c r="I2043" s="32" t="s">
        <v>152</v>
      </c>
      <c r="K2043" s="181"/>
      <c r="L2043" s="181"/>
    </row>
    <row r="2044" spans="1:12" x14ac:dyDescent="0.35">
      <c r="A2044" s="19">
        <v>45963</v>
      </c>
      <c r="B2044" s="20">
        <v>6500</v>
      </c>
      <c r="C2044" s="20"/>
      <c r="D2044" s="20"/>
      <c r="E2044" s="99" t="s">
        <v>977</v>
      </c>
      <c r="F2044" s="20">
        <f t="shared" si="31"/>
        <v>171641872</v>
      </c>
      <c r="G2044" s="7" t="s">
        <v>965</v>
      </c>
      <c r="H2044" s="24" t="s">
        <v>323</v>
      </c>
      <c r="I2044" s="32" t="s">
        <v>152</v>
      </c>
      <c r="K2044" s="181"/>
      <c r="L2044" s="181"/>
    </row>
    <row r="2045" spans="1:12" x14ac:dyDescent="0.35">
      <c r="A2045" s="19">
        <v>45963</v>
      </c>
      <c r="B2045" s="20"/>
      <c r="C2045" s="20"/>
      <c r="D2045" s="20">
        <v>25000</v>
      </c>
      <c r="E2045" s="99" t="s">
        <v>977</v>
      </c>
      <c r="F2045" s="20">
        <f t="shared" si="31"/>
        <v>171666872</v>
      </c>
      <c r="G2045" s="7" t="s">
        <v>330</v>
      </c>
      <c r="H2045" s="24" t="s">
        <v>109</v>
      </c>
      <c r="I2045" s="32" t="s">
        <v>152</v>
      </c>
      <c r="K2045" s="181"/>
      <c r="L2045" s="181"/>
    </row>
    <row r="2046" spans="1:12" x14ac:dyDescent="0.35">
      <c r="A2046" s="19">
        <v>45963</v>
      </c>
      <c r="B2046" s="20"/>
      <c r="C2046" s="20"/>
      <c r="D2046" s="20">
        <v>20000</v>
      </c>
      <c r="E2046" s="99" t="s">
        <v>977</v>
      </c>
      <c r="F2046" s="20">
        <f t="shared" si="31"/>
        <v>171686872</v>
      </c>
      <c r="G2046" s="7" t="s">
        <v>330</v>
      </c>
      <c r="H2046" s="24" t="s">
        <v>109</v>
      </c>
      <c r="I2046" s="32" t="s">
        <v>152</v>
      </c>
      <c r="K2046" s="181"/>
      <c r="L2046" s="181"/>
    </row>
    <row r="2047" spans="1:12" x14ac:dyDescent="0.35">
      <c r="A2047" s="19">
        <v>45963</v>
      </c>
      <c r="B2047" s="20"/>
      <c r="C2047" s="20"/>
      <c r="D2047" s="20">
        <v>500000</v>
      </c>
      <c r="E2047" s="99" t="s">
        <v>977</v>
      </c>
      <c r="F2047" s="20">
        <f t="shared" si="31"/>
        <v>172186872</v>
      </c>
      <c r="G2047" s="7" t="s">
        <v>675</v>
      </c>
      <c r="H2047" s="24" t="s">
        <v>109</v>
      </c>
      <c r="I2047" s="32" t="s">
        <v>152</v>
      </c>
      <c r="K2047" s="181"/>
      <c r="L2047" s="181"/>
    </row>
    <row r="2048" spans="1:12" x14ac:dyDescent="0.35">
      <c r="A2048" s="19">
        <v>45964</v>
      </c>
      <c r="B2048" s="20"/>
      <c r="C2048" s="20"/>
      <c r="D2048" s="20">
        <v>200000</v>
      </c>
      <c r="E2048" s="99" t="s">
        <v>977</v>
      </c>
      <c r="F2048" s="20">
        <f t="shared" si="31"/>
        <v>172386872</v>
      </c>
      <c r="G2048" s="7" t="s">
        <v>333</v>
      </c>
      <c r="H2048" s="24" t="s">
        <v>109</v>
      </c>
      <c r="I2048" s="32" t="s">
        <v>152</v>
      </c>
      <c r="K2048" s="181"/>
      <c r="L2048" s="181"/>
    </row>
    <row r="2049" spans="1:12" x14ac:dyDescent="0.35">
      <c r="A2049" s="19">
        <v>45964</v>
      </c>
      <c r="B2049" s="20"/>
      <c r="C2049" s="20"/>
      <c r="D2049" s="20">
        <v>350000</v>
      </c>
      <c r="E2049" s="99" t="s">
        <v>977</v>
      </c>
      <c r="F2049" s="20">
        <f t="shared" si="31"/>
        <v>172736872</v>
      </c>
      <c r="G2049" s="7" t="s">
        <v>740</v>
      </c>
      <c r="H2049" s="24" t="s">
        <v>109</v>
      </c>
      <c r="I2049" s="32" t="s">
        <v>152</v>
      </c>
      <c r="K2049" s="181"/>
      <c r="L2049" s="181"/>
    </row>
    <row r="2050" spans="1:12" x14ac:dyDescent="0.35">
      <c r="A2050" s="19">
        <v>45964</v>
      </c>
      <c r="B2050" s="20"/>
      <c r="C2050" s="20"/>
      <c r="D2050" s="20">
        <v>25000</v>
      </c>
      <c r="E2050" s="99" t="s">
        <v>977</v>
      </c>
      <c r="F2050" s="20">
        <f t="shared" si="31"/>
        <v>172761872</v>
      </c>
      <c r="G2050" s="7" t="s">
        <v>330</v>
      </c>
      <c r="H2050" s="24" t="s">
        <v>109</v>
      </c>
      <c r="I2050" s="32" t="s">
        <v>152</v>
      </c>
      <c r="K2050" s="181"/>
      <c r="L2050" s="181"/>
    </row>
    <row r="2051" spans="1:12" x14ac:dyDescent="0.35">
      <c r="A2051" s="19">
        <v>45964</v>
      </c>
      <c r="B2051" s="20"/>
      <c r="C2051" s="20"/>
      <c r="D2051" s="20">
        <v>1011</v>
      </c>
      <c r="E2051" s="99" t="s">
        <v>977</v>
      </c>
      <c r="F2051" s="20">
        <f t="shared" si="31"/>
        <v>172762883</v>
      </c>
      <c r="G2051" s="7" t="s">
        <v>330</v>
      </c>
      <c r="H2051" s="24" t="s">
        <v>109</v>
      </c>
      <c r="I2051" s="32" t="s">
        <v>152</v>
      </c>
      <c r="K2051" s="181"/>
      <c r="L2051" s="181"/>
    </row>
    <row r="2052" spans="1:12" x14ac:dyDescent="0.35">
      <c r="A2052" s="19">
        <v>45964</v>
      </c>
      <c r="B2052" s="20"/>
      <c r="C2052" s="20"/>
      <c r="D2052" s="20">
        <v>20000</v>
      </c>
      <c r="E2052" s="99" t="s">
        <v>977</v>
      </c>
      <c r="F2052" s="20">
        <f t="shared" si="31"/>
        <v>172782883</v>
      </c>
      <c r="G2052" s="7" t="s">
        <v>330</v>
      </c>
      <c r="H2052" s="24" t="s">
        <v>109</v>
      </c>
      <c r="I2052" s="32" t="s">
        <v>152</v>
      </c>
      <c r="K2052" s="181"/>
      <c r="L2052" s="181"/>
    </row>
    <row r="2053" spans="1:12" x14ac:dyDescent="0.35">
      <c r="A2053" s="19">
        <v>45966</v>
      </c>
      <c r="B2053" s="20"/>
      <c r="C2053" s="20"/>
      <c r="D2053" s="20">
        <v>10000</v>
      </c>
      <c r="E2053" s="99" t="s">
        <v>977</v>
      </c>
      <c r="F2053" s="20">
        <f t="shared" si="31"/>
        <v>172792883</v>
      </c>
      <c r="G2053" s="7" t="s">
        <v>330</v>
      </c>
      <c r="H2053" s="24" t="s">
        <v>109</v>
      </c>
      <c r="I2053" s="32" t="s">
        <v>152</v>
      </c>
      <c r="K2053" s="181"/>
      <c r="L2053" s="181"/>
    </row>
    <row r="2054" spans="1:12" x14ac:dyDescent="0.35">
      <c r="A2054" s="19">
        <v>45966</v>
      </c>
      <c r="B2054" s="20"/>
      <c r="C2054" s="20"/>
      <c r="D2054" s="20">
        <v>20000</v>
      </c>
      <c r="E2054" s="99" t="s">
        <v>977</v>
      </c>
      <c r="F2054" s="20">
        <f t="shared" si="31"/>
        <v>172812883</v>
      </c>
      <c r="G2054" s="7" t="s">
        <v>330</v>
      </c>
      <c r="H2054" s="24" t="s">
        <v>109</v>
      </c>
      <c r="I2054" s="32" t="s">
        <v>152</v>
      </c>
      <c r="K2054" s="181"/>
      <c r="L2054" s="181"/>
    </row>
    <row r="2055" spans="1:12" x14ac:dyDescent="0.35">
      <c r="A2055" s="19">
        <v>45966</v>
      </c>
      <c r="B2055" s="20"/>
      <c r="C2055" s="20"/>
      <c r="D2055" s="20">
        <v>100000</v>
      </c>
      <c r="E2055" s="99" t="s">
        <v>977</v>
      </c>
      <c r="F2055" s="20">
        <f t="shared" si="31"/>
        <v>172912883</v>
      </c>
      <c r="G2055" s="7" t="s">
        <v>603</v>
      </c>
      <c r="H2055" s="24" t="s">
        <v>109</v>
      </c>
      <c r="I2055" s="32" t="s">
        <v>152</v>
      </c>
      <c r="K2055" s="181"/>
      <c r="L2055" s="181"/>
    </row>
    <row r="2056" spans="1:12" x14ac:dyDescent="0.35">
      <c r="A2056" s="19">
        <v>45967</v>
      </c>
      <c r="B2056" s="20"/>
      <c r="C2056" s="20"/>
      <c r="D2056" s="20">
        <v>10000</v>
      </c>
      <c r="E2056" s="99" t="s">
        <v>977</v>
      </c>
      <c r="F2056" s="20">
        <f t="shared" si="31"/>
        <v>172922883</v>
      </c>
      <c r="G2056" s="7" t="s">
        <v>330</v>
      </c>
      <c r="H2056" s="24" t="s">
        <v>109</v>
      </c>
      <c r="I2056" s="32" t="s">
        <v>152</v>
      </c>
      <c r="K2056" s="181"/>
      <c r="L2056" s="181"/>
    </row>
    <row r="2057" spans="1:12" x14ac:dyDescent="0.35">
      <c r="A2057" s="19">
        <v>45967</v>
      </c>
      <c r="B2057" s="20"/>
      <c r="C2057" s="20"/>
      <c r="D2057" s="20">
        <v>1011</v>
      </c>
      <c r="E2057" s="99" t="s">
        <v>977</v>
      </c>
      <c r="F2057" s="20">
        <f t="shared" si="31"/>
        <v>172923894</v>
      </c>
      <c r="G2057" s="7" t="s">
        <v>330</v>
      </c>
      <c r="H2057" s="24" t="s">
        <v>109</v>
      </c>
      <c r="I2057" s="32" t="s">
        <v>152</v>
      </c>
      <c r="K2057" s="181"/>
      <c r="L2057" s="181"/>
    </row>
    <row r="2058" spans="1:12" x14ac:dyDescent="0.35">
      <c r="A2058" s="19">
        <v>45967</v>
      </c>
      <c r="B2058" s="20"/>
      <c r="C2058" s="20"/>
      <c r="D2058" s="20">
        <v>20000</v>
      </c>
      <c r="E2058" s="99" t="s">
        <v>977</v>
      </c>
      <c r="F2058" s="20">
        <f t="shared" si="31"/>
        <v>172943894</v>
      </c>
      <c r="G2058" s="7" t="s">
        <v>330</v>
      </c>
      <c r="H2058" s="24" t="s">
        <v>109</v>
      </c>
      <c r="I2058" s="32" t="s">
        <v>152</v>
      </c>
      <c r="K2058" s="181"/>
      <c r="L2058" s="181"/>
    </row>
    <row r="2059" spans="1:12" x14ac:dyDescent="0.35">
      <c r="A2059" s="19">
        <v>45967</v>
      </c>
      <c r="B2059" s="20"/>
      <c r="C2059" s="20"/>
      <c r="D2059" s="20">
        <v>50000</v>
      </c>
      <c r="E2059" s="99" t="s">
        <v>977</v>
      </c>
      <c r="F2059" s="20">
        <f t="shared" si="31"/>
        <v>172993894</v>
      </c>
      <c r="G2059" s="7" t="s">
        <v>330</v>
      </c>
      <c r="H2059" s="24" t="s">
        <v>109</v>
      </c>
      <c r="I2059" s="32" t="s">
        <v>152</v>
      </c>
      <c r="K2059" s="181"/>
      <c r="L2059" s="181"/>
    </row>
    <row r="2060" spans="1:12" x14ac:dyDescent="0.35">
      <c r="A2060" s="19">
        <v>45967</v>
      </c>
      <c r="B2060" s="20"/>
      <c r="C2060" s="20"/>
      <c r="D2060" s="20">
        <v>200000</v>
      </c>
      <c r="E2060" s="99" t="s">
        <v>977</v>
      </c>
      <c r="F2060" s="20">
        <f t="shared" ref="F2060:F2123" si="32">+F2059+D2060-B2060</f>
        <v>173193894</v>
      </c>
      <c r="G2060" s="7" t="s">
        <v>531</v>
      </c>
      <c r="H2060" s="24" t="s">
        <v>109</v>
      </c>
      <c r="I2060" s="32" t="s">
        <v>152</v>
      </c>
      <c r="K2060" s="181"/>
      <c r="L2060" s="181"/>
    </row>
    <row r="2061" spans="1:12" x14ac:dyDescent="0.35">
      <c r="A2061" s="19">
        <v>45967</v>
      </c>
      <c r="B2061" s="20"/>
      <c r="C2061" s="20"/>
      <c r="D2061" s="20">
        <f>2400000-950000</f>
        <v>1450000</v>
      </c>
      <c r="E2061" s="99" t="s">
        <v>977</v>
      </c>
      <c r="F2061" s="20">
        <f t="shared" si="32"/>
        <v>174643894</v>
      </c>
      <c r="G2061" s="7"/>
      <c r="H2061" s="24" t="s">
        <v>107</v>
      </c>
      <c r="I2061" s="32" t="s">
        <v>152</v>
      </c>
      <c r="K2061" s="181"/>
      <c r="L2061" s="181"/>
    </row>
    <row r="2062" spans="1:12" x14ac:dyDescent="0.35">
      <c r="A2062" s="19">
        <v>45967</v>
      </c>
      <c r="B2062" s="20"/>
      <c r="C2062" s="20"/>
      <c r="D2062" s="20">
        <v>1158000</v>
      </c>
      <c r="E2062" s="99" t="s">
        <v>977</v>
      </c>
      <c r="F2062" s="20">
        <f t="shared" si="32"/>
        <v>175801894</v>
      </c>
      <c r="G2062" s="7"/>
      <c r="H2062" s="24" t="s">
        <v>109</v>
      </c>
      <c r="I2062" s="32" t="s">
        <v>152</v>
      </c>
      <c r="K2062" s="181"/>
      <c r="L2062" s="181"/>
    </row>
    <row r="2063" spans="1:12" x14ac:dyDescent="0.35">
      <c r="A2063" s="19"/>
      <c r="B2063" s="20"/>
      <c r="C2063" s="20">
        <v>2608000</v>
      </c>
      <c r="D2063" s="20"/>
      <c r="E2063" s="99"/>
      <c r="F2063" s="20">
        <f t="shared" si="32"/>
        <v>175801894</v>
      </c>
      <c r="G2063" s="7" t="s">
        <v>874</v>
      </c>
      <c r="H2063" s="24"/>
      <c r="I2063" s="32"/>
      <c r="K2063" s="181"/>
      <c r="L2063" s="181"/>
    </row>
    <row r="2064" spans="1:12" x14ac:dyDescent="0.35">
      <c r="A2064" s="19">
        <v>45967</v>
      </c>
      <c r="B2064" s="20">
        <v>1750000</v>
      </c>
      <c r="C2064" s="20"/>
      <c r="D2064" s="20"/>
      <c r="E2064" s="99" t="s">
        <v>977</v>
      </c>
      <c r="F2064" s="20">
        <f t="shared" si="32"/>
        <v>174051894</v>
      </c>
      <c r="G2064" s="7" t="s">
        <v>966</v>
      </c>
      <c r="H2064" s="24" t="s">
        <v>322</v>
      </c>
      <c r="I2064" s="32" t="s">
        <v>152</v>
      </c>
      <c r="K2064" s="181"/>
      <c r="L2064" s="181"/>
    </row>
    <row r="2065" spans="1:12" x14ac:dyDescent="0.35">
      <c r="A2065" s="19">
        <v>45967</v>
      </c>
      <c r="B2065" s="20">
        <v>6500</v>
      </c>
      <c r="C2065" s="20"/>
      <c r="D2065" s="20"/>
      <c r="E2065" s="99" t="s">
        <v>977</v>
      </c>
      <c r="F2065" s="20">
        <f t="shared" si="32"/>
        <v>174045394</v>
      </c>
      <c r="G2065" s="7" t="s">
        <v>966</v>
      </c>
      <c r="H2065" s="24" t="s">
        <v>322</v>
      </c>
      <c r="I2065" s="32" t="s">
        <v>152</v>
      </c>
      <c r="K2065" s="181"/>
      <c r="L2065" s="181"/>
    </row>
    <row r="2066" spans="1:12" x14ac:dyDescent="0.35">
      <c r="A2066" s="19">
        <v>45968</v>
      </c>
      <c r="B2066" s="20"/>
      <c r="C2066" s="20"/>
      <c r="D2066" s="20">
        <v>20000</v>
      </c>
      <c r="E2066" s="99" t="s">
        <v>977</v>
      </c>
      <c r="F2066" s="20">
        <f t="shared" si="32"/>
        <v>174065394</v>
      </c>
      <c r="G2066" s="7" t="s">
        <v>330</v>
      </c>
      <c r="H2066" s="24" t="s">
        <v>109</v>
      </c>
      <c r="I2066" s="32" t="s">
        <v>152</v>
      </c>
      <c r="K2066" s="181"/>
      <c r="L2066" s="181"/>
    </row>
    <row r="2067" spans="1:12" x14ac:dyDescent="0.35">
      <c r="A2067" s="19">
        <v>45969</v>
      </c>
      <c r="B2067" s="20">
        <v>750000</v>
      </c>
      <c r="C2067" s="20"/>
      <c r="D2067" s="20"/>
      <c r="E2067" s="99" t="s">
        <v>977</v>
      </c>
      <c r="F2067" s="20">
        <f t="shared" si="32"/>
        <v>173315394</v>
      </c>
      <c r="G2067" s="7" t="s">
        <v>620</v>
      </c>
      <c r="H2067" s="24" t="s">
        <v>323</v>
      </c>
      <c r="I2067" s="32" t="s">
        <v>152</v>
      </c>
      <c r="K2067" s="181"/>
      <c r="L2067" s="181"/>
    </row>
    <row r="2068" spans="1:12" x14ac:dyDescent="0.35">
      <c r="A2068" s="19">
        <v>45969</v>
      </c>
      <c r="B2068" s="20">
        <v>6500</v>
      </c>
      <c r="C2068" s="20"/>
      <c r="D2068" s="20"/>
      <c r="E2068" s="99" t="s">
        <v>977</v>
      </c>
      <c r="F2068" s="20">
        <f t="shared" si="32"/>
        <v>173308894</v>
      </c>
      <c r="G2068" s="7" t="s">
        <v>620</v>
      </c>
      <c r="H2068" s="24" t="s">
        <v>323</v>
      </c>
      <c r="I2068" s="32" t="s">
        <v>152</v>
      </c>
      <c r="K2068" s="181"/>
      <c r="L2068" s="181"/>
    </row>
    <row r="2069" spans="1:12" x14ac:dyDescent="0.35">
      <c r="A2069" s="19">
        <v>45969</v>
      </c>
      <c r="B2069" s="20"/>
      <c r="C2069" s="20"/>
      <c r="D2069" s="20">
        <v>10000</v>
      </c>
      <c r="E2069" s="99" t="s">
        <v>977</v>
      </c>
      <c r="F2069" s="20">
        <f t="shared" si="32"/>
        <v>173318894</v>
      </c>
      <c r="G2069" s="7" t="s">
        <v>330</v>
      </c>
      <c r="H2069" s="24" t="s">
        <v>109</v>
      </c>
      <c r="I2069" s="32" t="s">
        <v>152</v>
      </c>
      <c r="K2069" s="181"/>
      <c r="L2069" s="181"/>
    </row>
    <row r="2070" spans="1:12" x14ac:dyDescent="0.35">
      <c r="A2070" s="19">
        <v>45969</v>
      </c>
      <c r="B2070" s="20"/>
      <c r="C2070" s="20"/>
      <c r="D2070" s="20">
        <v>50000</v>
      </c>
      <c r="E2070" s="99" t="s">
        <v>977</v>
      </c>
      <c r="F2070" s="20">
        <f t="shared" si="32"/>
        <v>173368894</v>
      </c>
      <c r="G2070" s="7" t="s">
        <v>330</v>
      </c>
      <c r="H2070" s="24" t="s">
        <v>109</v>
      </c>
      <c r="I2070" s="32" t="s">
        <v>152</v>
      </c>
      <c r="K2070" s="181"/>
      <c r="L2070" s="181"/>
    </row>
    <row r="2071" spans="1:12" x14ac:dyDescent="0.35">
      <c r="A2071" s="19">
        <v>45969</v>
      </c>
      <c r="B2071" s="20"/>
      <c r="C2071" s="20"/>
      <c r="D2071" s="20">
        <v>5000</v>
      </c>
      <c r="E2071" s="99" t="s">
        <v>977</v>
      </c>
      <c r="F2071" s="20">
        <f t="shared" si="32"/>
        <v>173373894</v>
      </c>
      <c r="G2071" s="7" t="s">
        <v>330</v>
      </c>
      <c r="H2071" s="24" t="s">
        <v>109</v>
      </c>
      <c r="I2071" s="32" t="s">
        <v>152</v>
      </c>
      <c r="K2071" s="181"/>
      <c r="L2071" s="181"/>
    </row>
    <row r="2072" spans="1:12" x14ac:dyDescent="0.35">
      <c r="A2072" s="19">
        <v>45969</v>
      </c>
      <c r="B2072" s="20"/>
      <c r="C2072" s="20"/>
      <c r="D2072" s="20">
        <v>10000</v>
      </c>
      <c r="E2072" s="99" t="s">
        <v>977</v>
      </c>
      <c r="F2072" s="20">
        <f t="shared" si="32"/>
        <v>173383894</v>
      </c>
      <c r="G2072" s="7" t="s">
        <v>330</v>
      </c>
      <c r="H2072" s="24" t="s">
        <v>109</v>
      </c>
      <c r="I2072" s="32" t="s">
        <v>152</v>
      </c>
      <c r="K2072" s="181"/>
      <c r="L2072" s="181"/>
    </row>
    <row r="2073" spans="1:12" x14ac:dyDescent="0.35">
      <c r="A2073" s="19">
        <v>45969</v>
      </c>
      <c r="B2073" s="20"/>
      <c r="C2073" s="20"/>
      <c r="D2073" s="20">
        <v>150000</v>
      </c>
      <c r="E2073" s="99" t="s">
        <v>977</v>
      </c>
      <c r="F2073" s="20">
        <f t="shared" si="32"/>
        <v>173533894</v>
      </c>
      <c r="G2073" s="7" t="s">
        <v>330</v>
      </c>
      <c r="H2073" s="24" t="s">
        <v>109</v>
      </c>
      <c r="I2073" s="32" t="s">
        <v>152</v>
      </c>
      <c r="K2073" s="181"/>
      <c r="L2073" s="181"/>
    </row>
    <row r="2074" spans="1:12" x14ac:dyDescent="0.35">
      <c r="A2074" s="19">
        <v>45969</v>
      </c>
      <c r="B2074" s="20"/>
      <c r="C2074" s="20"/>
      <c r="D2074" s="20">
        <v>10000</v>
      </c>
      <c r="E2074" s="99" t="s">
        <v>977</v>
      </c>
      <c r="F2074" s="20">
        <f t="shared" si="32"/>
        <v>173543894</v>
      </c>
      <c r="G2074" s="7" t="s">
        <v>330</v>
      </c>
      <c r="H2074" s="24" t="s">
        <v>109</v>
      </c>
      <c r="I2074" s="32" t="s">
        <v>152</v>
      </c>
      <c r="K2074" s="181"/>
      <c r="L2074" s="181"/>
    </row>
    <row r="2075" spans="1:12" x14ac:dyDescent="0.35">
      <c r="A2075" s="19">
        <v>45969</v>
      </c>
      <c r="B2075" s="20"/>
      <c r="C2075" s="20"/>
      <c r="D2075" s="20">
        <v>20000</v>
      </c>
      <c r="E2075" s="99" t="s">
        <v>977</v>
      </c>
      <c r="F2075" s="20">
        <f t="shared" si="32"/>
        <v>173563894</v>
      </c>
      <c r="G2075" s="7" t="s">
        <v>330</v>
      </c>
      <c r="H2075" s="24" t="s">
        <v>109</v>
      </c>
      <c r="I2075" s="32" t="s">
        <v>152</v>
      </c>
      <c r="K2075" s="181"/>
      <c r="L2075" s="181"/>
    </row>
    <row r="2076" spans="1:12" x14ac:dyDescent="0.35">
      <c r="A2076" s="19">
        <v>45969</v>
      </c>
      <c r="B2076" s="20"/>
      <c r="C2076" s="20"/>
      <c r="D2076" s="20">
        <v>1011</v>
      </c>
      <c r="E2076" s="99" t="s">
        <v>977</v>
      </c>
      <c r="F2076" s="20">
        <f t="shared" si="32"/>
        <v>173564905</v>
      </c>
      <c r="G2076" s="7" t="s">
        <v>330</v>
      </c>
      <c r="H2076" s="24" t="s">
        <v>109</v>
      </c>
      <c r="I2076" s="32" t="s">
        <v>152</v>
      </c>
      <c r="K2076" s="181"/>
      <c r="L2076" s="181"/>
    </row>
    <row r="2077" spans="1:12" x14ac:dyDescent="0.35">
      <c r="A2077" s="19">
        <v>45970</v>
      </c>
      <c r="B2077" s="20">
        <v>750000</v>
      </c>
      <c r="C2077" s="20"/>
      <c r="D2077" s="20"/>
      <c r="E2077" s="99" t="s">
        <v>977</v>
      </c>
      <c r="F2077" s="20">
        <f t="shared" si="32"/>
        <v>172814905</v>
      </c>
      <c r="G2077" s="7" t="s">
        <v>624</v>
      </c>
      <c r="H2077" s="24" t="s">
        <v>323</v>
      </c>
      <c r="I2077" s="32" t="s">
        <v>152</v>
      </c>
      <c r="K2077" s="181"/>
      <c r="L2077" s="181"/>
    </row>
    <row r="2078" spans="1:12" x14ac:dyDescent="0.35">
      <c r="A2078" s="19">
        <v>45970</v>
      </c>
      <c r="B2078" s="20"/>
      <c r="C2078" s="20"/>
      <c r="D2078" s="20">
        <v>50000</v>
      </c>
      <c r="E2078" s="99" t="s">
        <v>977</v>
      </c>
      <c r="F2078" s="20">
        <f t="shared" si="32"/>
        <v>172864905</v>
      </c>
      <c r="G2078" s="7" t="s">
        <v>330</v>
      </c>
      <c r="H2078" s="24" t="s">
        <v>109</v>
      </c>
      <c r="I2078" s="32" t="s">
        <v>152</v>
      </c>
      <c r="K2078" s="181"/>
      <c r="L2078" s="181"/>
    </row>
    <row r="2079" spans="1:12" x14ac:dyDescent="0.35">
      <c r="A2079" s="19">
        <v>45970</v>
      </c>
      <c r="B2079" s="20"/>
      <c r="C2079" s="20"/>
      <c r="D2079" s="20">
        <v>25000</v>
      </c>
      <c r="E2079" s="99" t="s">
        <v>977</v>
      </c>
      <c r="F2079" s="20">
        <f t="shared" si="32"/>
        <v>172889905</v>
      </c>
      <c r="G2079" s="7" t="s">
        <v>330</v>
      </c>
      <c r="H2079" s="24" t="s">
        <v>109</v>
      </c>
      <c r="I2079" s="32" t="s">
        <v>152</v>
      </c>
      <c r="K2079" s="181"/>
      <c r="L2079" s="181"/>
    </row>
    <row r="2080" spans="1:12" x14ac:dyDescent="0.35">
      <c r="A2080" s="19">
        <v>45970</v>
      </c>
      <c r="B2080" s="20"/>
      <c r="C2080" s="20"/>
      <c r="D2080" s="20">
        <v>1011</v>
      </c>
      <c r="E2080" s="99" t="s">
        <v>977</v>
      </c>
      <c r="F2080" s="20">
        <f t="shared" si="32"/>
        <v>172890916</v>
      </c>
      <c r="G2080" s="7" t="s">
        <v>330</v>
      </c>
      <c r="H2080" s="24" t="s">
        <v>109</v>
      </c>
      <c r="I2080" s="32" t="s">
        <v>152</v>
      </c>
      <c r="K2080" s="181"/>
      <c r="L2080" s="181"/>
    </row>
    <row r="2081" spans="1:12" x14ac:dyDescent="0.35">
      <c r="A2081" s="19">
        <v>45970</v>
      </c>
      <c r="B2081" s="20"/>
      <c r="C2081" s="20"/>
      <c r="D2081" s="20">
        <v>10000</v>
      </c>
      <c r="E2081" s="99" t="s">
        <v>977</v>
      </c>
      <c r="F2081" s="20">
        <f t="shared" si="32"/>
        <v>172900916</v>
      </c>
      <c r="G2081" s="7" t="s">
        <v>330</v>
      </c>
      <c r="H2081" s="24" t="s">
        <v>109</v>
      </c>
      <c r="I2081" s="32" t="s">
        <v>152</v>
      </c>
      <c r="K2081" s="181"/>
      <c r="L2081" s="181"/>
    </row>
    <row r="2082" spans="1:12" x14ac:dyDescent="0.35">
      <c r="A2082" s="19">
        <v>45970</v>
      </c>
      <c r="B2082" s="20"/>
      <c r="C2082" s="20"/>
      <c r="D2082" s="20">
        <v>20000</v>
      </c>
      <c r="E2082" s="99" t="s">
        <v>977</v>
      </c>
      <c r="F2082" s="20">
        <f t="shared" si="32"/>
        <v>172920916</v>
      </c>
      <c r="G2082" s="7" t="s">
        <v>330</v>
      </c>
      <c r="H2082" s="24" t="s">
        <v>109</v>
      </c>
      <c r="I2082" s="32" t="s">
        <v>152</v>
      </c>
      <c r="K2082" s="181"/>
      <c r="L2082" s="181"/>
    </row>
    <row r="2083" spans="1:12" x14ac:dyDescent="0.35">
      <c r="A2083" s="19">
        <v>45971</v>
      </c>
      <c r="B2083" s="20"/>
      <c r="C2083" s="20"/>
      <c r="D2083" s="20">
        <v>50000</v>
      </c>
      <c r="E2083" s="99" t="s">
        <v>977</v>
      </c>
      <c r="F2083" s="20">
        <f t="shared" si="32"/>
        <v>172970916</v>
      </c>
      <c r="G2083" s="7" t="s">
        <v>330</v>
      </c>
      <c r="H2083" s="24" t="s">
        <v>109</v>
      </c>
      <c r="I2083" s="32" t="s">
        <v>152</v>
      </c>
      <c r="K2083" s="181"/>
      <c r="L2083" s="181"/>
    </row>
    <row r="2084" spans="1:12" x14ac:dyDescent="0.35">
      <c r="A2084" s="19">
        <v>45971</v>
      </c>
      <c r="B2084" s="20"/>
      <c r="C2084" s="20"/>
      <c r="D2084" s="20">
        <v>25000</v>
      </c>
      <c r="E2084" s="99" t="s">
        <v>977</v>
      </c>
      <c r="F2084" s="20">
        <f t="shared" si="32"/>
        <v>172995916</v>
      </c>
      <c r="G2084" s="7" t="s">
        <v>330</v>
      </c>
      <c r="H2084" s="24" t="s">
        <v>109</v>
      </c>
      <c r="I2084" s="32" t="s">
        <v>152</v>
      </c>
      <c r="K2084" s="181"/>
      <c r="L2084" s="181"/>
    </row>
    <row r="2085" spans="1:12" x14ac:dyDescent="0.35">
      <c r="A2085" s="19">
        <v>45971</v>
      </c>
      <c r="B2085" s="20"/>
      <c r="C2085" s="20"/>
      <c r="D2085" s="20">
        <v>10000</v>
      </c>
      <c r="E2085" s="99" t="s">
        <v>977</v>
      </c>
      <c r="F2085" s="20">
        <f t="shared" si="32"/>
        <v>173005916</v>
      </c>
      <c r="G2085" s="7" t="s">
        <v>330</v>
      </c>
      <c r="H2085" s="24" t="s">
        <v>109</v>
      </c>
      <c r="I2085" s="32" t="s">
        <v>152</v>
      </c>
      <c r="K2085" s="181"/>
      <c r="L2085" s="181"/>
    </row>
    <row r="2086" spans="1:12" x14ac:dyDescent="0.35">
      <c r="A2086" s="19">
        <v>45971</v>
      </c>
      <c r="B2086" s="20"/>
      <c r="C2086" s="20"/>
      <c r="D2086" s="20">
        <v>20000</v>
      </c>
      <c r="E2086" s="99" t="s">
        <v>977</v>
      </c>
      <c r="F2086" s="20">
        <f t="shared" si="32"/>
        <v>173025916</v>
      </c>
      <c r="G2086" s="7" t="s">
        <v>330</v>
      </c>
      <c r="H2086" s="24" t="s">
        <v>109</v>
      </c>
      <c r="I2086" s="32" t="s">
        <v>152</v>
      </c>
      <c r="K2086" s="181"/>
      <c r="L2086" s="181"/>
    </row>
    <row r="2087" spans="1:12" x14ac:dyDescent="0.35">
      <c r="A2087" s="19">
        <v>45971</v>
      </c>
      <c r="B2087" s="20"/>
      <c r="C2087" s="20"/>
      <c r="D2087" s="20">
        <v>50000</v>
      </c>
      <c r="E2087" s="99" t="s">
        <v>977</v>
      </c>
      <c r="F2087" s="20">
        <f t="shared" si="32"/>
        <v>173075916</v>
      </c>
      <c r="G2087" s="7" t="s">
        <v>330</v>
      </c>
      <c r="H2087" s="24" t="s">
        <v>109</v>
      </c>
      <c r="I2087" s="32" t="s">
        <v>152</v>
      </c>
      <c r="K2087" s="181"/>
      <c r="L2087" s="181"/>
    </row>
    <row r="2088" spans="1:12" x14ac:dyDescent="0.35">
      <c r="A2088" s="19">
        <v>45971</v>
      </c>
      <c r="B2088" s="20"/>
      <c r="C2088" s="20"/>
      <c r="D2088" s="20">
        <v>1011</v>
      </c>
      <c r="E2088" s="99" t="s">
        <v>977</v>
      </c>
      <c r="F2088" s="20">
        <f t="shared" si="32"/>
        <v>173076927</v>
      </c>
      <c r="G2088" s="7" t="s">
        <v>330</v>
      </c>
      <c r="H2088" s="24" t="s">
        <v>109</v>
      </c>
      <c r="I2088" s="32" t="s">
        <v>152</v>
      </c>
      <c r="K2088" s="181"/>
      <c r="L2088" s="181"/>
    </row>
    <row r="2089" spans="1:12" x14ac:dyDescent="0.35">
      <c r="A2089" s="19">
        <v>45972</v>
      </c>
      <c r="B2089" s="20"/>
      <c r="C2089" s="20"/>
      <c r="D2089" s="20">
        <v>1011</v>
      </c>
      <c r="E2089" s="99" t="s">
        <v>977</v>
      </c>
      <c r="F2089" s="20">
        <f t="shared" si="32"/>
        <v>173077938</v>
      </c>
      <c r="G2089" s="7" t="s">
        <v>330</v>
      </c>
      <c r="H2089" s="24" t="s">
        <v>109</v>
      </c>
      <c r="I2089" s="32" t="s">
        <v>152</v>
      </c>
      <c r="K2089" s="181"/>
      <c r="L2089" s="181"/>
    </row>
    <row r="2090" spans="1:12" x14ac:dyDescent="0.35">
      <c r="A2090" s="19">
        <v>45972</v>
      </c>
      <c r="B2090" s="20"/>
      <c r="C2090" s="20"/>
      <c r="D2090" s="20">
        <v>10000</v>
      </c>
      <c r="E2090" s="99" t="s">
        <v>977</v>
      </c>
      <c r="F2090" s="20">
        <f t="shared" si="32"/>
        <v>173087938</v>
      </c>
      <c r="G2090" s="7" t="s">
        <v>330</v>
      </c>
      <c r="H2090" s="24" t="s">
        <v>109</v>
      </c>
      <c r="I2090" s="32" t="s">
        <v>152</v>
      </c>
      <c r="K2090" s="181"/>
      <c r="L2090" s="181"/>
    </row>
    <row r="2091" spans="1:12" x14ac:dyDescent="0.35">
      <c r="A2091" s="19">
        <v>45972</v>
      </c>
      <c r="B2091" s="20"/>
      <c r="C2091" s="20"/>
      <c r="D2091" s="20">
        <f>2214000-950000</f>
        <v>1264000</v>
      </c>
      <c r="E2091" s="99" t="s">
        <v>977</v>
      </c>
      <c r="F2091" s="20">
        <f t="shared" si="32"/>
        <v>174351938</v>
      </c>
      <c r="G2091" s="7"/>
      <c r="H2091" s="24" t="s">
        <v>107</v>
      </c>
      <c r="I2091" s="32" t="s">
        <v>152</v>
      </c>
      <c r="K2091" s="181"/>
      <c r="L2091" s="181"/>
    </row>
    <row r="2092" spans="1:12" x14ac:dyDescent="0.35">
      <c r="A2092" s="19">
        <v>45972</v>
      </c>
      <c r="B2092" s="20"/>
      <c r="C2092" s="20"/>
      <c r="D2092" s="20">
        <v>2026000</v>
      </c>
      <c r="E2092" s="99" t="s">
        <v>977</v>
      </c>
      <c r="F2092" s="20">
        <f t="shared" si="32"/>
        <v>176377938</v>
      </c>
      <c r="G2092" s="7"/>
      <c r="H2092" s="24" t="s">
        <v>109</v>
      </c>
      <c r="I2092" s="32" t="s">
        <v>152</v>
      </c>
      <c r="K2092" s="181"/>
      <c r="L2092" s="181"/>
    </row>
    <row r="2093" spans="1:12" x14ac:dyDescent="0.35">
      <c r="A2093" s="19"/>
      <c r="B2093" s="20"/>
      <c r="C2093" s="20">
        <v>3290000</v>
      </c>
      <c r="D2093" s="20"/>
      <c r="E2093" s="99"/>
      <c r="F2093" s="20">
        <f t="shared" si="32"/>
        <v>176377938</v>
      </c>
      <c r="G2093" s="7" t="s">
        <v>967</v>
      </c>
      <c r="H2093" s="24"/>
      <c r="I2093" s="32"/>
      <c r="K2093" s="181"/>
      <c r="L2093" s="181"/>
    </row>
    <row r="2094" spans="1:12" x14ac:dyDescent="0.35">
      <c r="A2094" s="19">
        <v>45973</v>
      </c>
      <c r="B2094" s="20"/>
      <c r="C2094" s="20"/>
      <c r="D2094" s="20">
        <v>10000</v>
      </c>
      <c r="E2094" s="99" t="s">
        <v>977</v>
      </c>
      <c r="F2094" s="20">
        <f t="shared" si="32"/>
        <v>176387938</v>
      </c>
      <c r="G2094" s="7" t="s">
        <v>330</v>
      </c>
      <c r="H2094" s="24" t="s">
        <v>109</v>
      </c>
      <c r="I2094" s="32" t="s">
        <v>152</v>
      </c>
      <c r="K2094" s="181"/>
      <c r="L2094" s="181"/>
    </row>
    <row r="2095" spans="1:12" x14ac:dyDescent="0.35">
      <c r="A2095" s="19">
        <v>45973</v>
      </c>
      <c r="B2095" s="20"/>
      <c r="C2095" s="20"/>
      <c r="D2095" s="20">
        <v>20000</v>
      </c>
      <c r="E2095" s="99" t="s">
        <v>977</v>
      </c>
      <c r="F2095" s="20">
        <f t="shared" si="32"/>
        <v>176407938</v>
      </c>
      <c r="G2095" s="7" t="s">
        <v>330</v>
      </c>
      <c r="H2095" s="24" t="s">
        <v>109</v>
      </c>
      <c r="I2095" s="32" t="s">
        <v>152</v>
      </c>
      <c r="K2095" s="181"/>
      <c r="L2095" s="181"/>
    </row>
    <row r="2096" spans="1:12" x14ac:dyDescent="0.35">
      <c r="A2096" s="19">
        <v>45973</v>
      </c>
      <c r="B2096" s="20"/>
      <c r="C2096" s="20"/>
      <c r="D2096" s="20">
        <v>1011</v>
      </c>
      <c r="E2096" s="99" t="s">
        <v>977</v>
      </c>
      <c r="F2096" s="20">
        <f t="shared" si="32"/>
        <v>176408949</v>
      </c>
      <c r="G2096" s="7" t="s">
        <v>330</v>
      </c>
      <c r="H2096" s="24" t="s">
        <v>109</v>
      </c>
      <c r="I2096" s="32" t="s">
        <v>152</v>
      </c>
      <c r="K2096" s="181"/>
      <c r="L2096" s="181"/>
    </row>
    <row r="2097" spans="1:12" x14ac:dyDescent="0.35">
      <c r="A2097" s="19">
        <v>45973</v>
      </c>
      <c r="B2097" s="20"/>
      <c r="C2097" s="20"/>
      <c r="D2097" s="20">
        <v>10000000</v>
      </c>
      <c r="E2097" s="99" t="s">
        <v>977</v>
      </c>
      <c r="F2097" s="20">
        <f t="shared" si="32"/>
        <v>186408949</v>
      </c>
      <c r="G2097" s="7" t="s">
        <v>855</v>
      </c>
      <c r="H2097" s="24" t="s">
        <v>105</v>
      </c>
      <c r="I2097" s="32" t="s">
        <v>152</v>
      </c>
      <c r="K2097" s="181"/>
      <c r="L2097" s="181"/>
    </row>
    <row r="2098" spans="1:12" x14ac:dyDescent="0.35">
      <c r="A2098" s="19">
        <v>45975</v>
      </c>
      <c r="B2098" s="20"/>
      <c r="C2098" s="20"/>
      <c r="D2098" s="20">
        <v>2000000</v>
      </c>
      <c r="E2098" s="99" t="s">
        <v>977</v>
      </c>
      <c r="F2098" s="20">
        <f t="shared" si="32"/>
        <v>188408949</v>
      </c>
      <c r="G2098" s="7" t="s">
        <v>425</v>
      </c>
      <c r="H2098" s="24" t="s">
        <v>109</v>
      </c>
      <c r="I2098" s="32" t="s">
        <v>152</v>
      </c>
      <c r="K2098" s="181"/>
      <c r="L2098" s="181"/>
    </row>
    <row r="2099" spans="1:12" x14ac:dyDescent="0.35">
      <c r="A2099" s="19">
        <v>45975</v>
      </c>
      <c r="B2099" s="20"/>
      <c r="C2099" s="20"/>
      <c r="D2099" s="20">
        <v>20000</v>
      </c>
      <c r="E2099" s="99" t="s">
        <v>977</v>
      </c>
      <c r="F2099" s="20">
        <f t="shared" si="32"/>
        <v>188428949</v>
      </c>
      <c r="G2099" s="7" t="s">
        <v>330</v>
      </c>
      <c r="H2099" s="24" t="s">
        <v>109</v>
      </c>
      <c r="I2099" s="32" t="s">
        <v>152</v>
      </c>
      <c r="K2099" s="181"/>
      <c r="L2099" s="181"/>
    </row>
    <row r="2100" spans="1:12" x14ac:dyDescent="0.35">
      <c r="A2100" s="19">
        <v>45975</v>
      </c>
      <c r="B2100" s="20"/>
      <c r="C2100" s="20"/>
      <c r="D2100" s="20">
        <v>1011</v>
      </c>
      <c r="E2100" s="99" t="s">
        <v>977</v>
      </c>
      <c r="F2100" s="20">
        <f t="shared" si="32"/>
        <v>188429960</v>
      </c>
      <c r="G2100" s="7" t="s">
        <v>330</v>
      </c>
      <c r="H2100" s="24" t="s">
        <v>109</v>
      </c>
      <c r="I2100" s="32" t="s">
        <v>152</v>
      </c>
      <c r="K2100" s="181"/>
      <c r="L2100" s="181"/>
    </row>
    <row r="2101" spans="1:12" x14ac:dyDescent="0.35">
      <c r="A2101" s="19">
        <v>45975</v>
      </c>
      <c r="B2101" s="20"/>
      <c r="C2101" s="20"/>
      <c r="D2101" s="20">
        <v>10000</v>
      </c>
      <c r="E2101" s="99" t="s">
        <v>977</v>
      </c>
      <c r="F2101" s="20">
        <f t="shared" si="32"/>
        <v>188439960</v>
      </c>
      <c r="G2101" s="7" t="s">
        <v>330</v>
      </c>
      <c r="H2101" s="24" t="s">
        <v>109</v>
      </c>
      <c r="I2101" s="32" t="s">
        <v>152</v>
      </c>
      <c r="K2101" s="181"/>
      <c r="L2101" s="181"/>
    </row>
    <row r="2102" spans="1:12" x14ac:dyDescent="0.35">
      <c r="A2102" s="19">
        <v>45975</v>
      </c>
      <c r="B2102" s="20"/>
      <c r="C2102" s="20"/>
      <c r="D2102" s="20">
        <v>100000</v>
      </c>
      <c r="E2102" s="99" t="s">
        <v>977</v>
      </c>
      <c r="F2102" s="20">
        <f t="shared" si="32"/>
        <v>188539960</v>
      </c>
      <c r="G2102" s="7" t="s">
        <v>373</v>
      </c>
      <c r="H2102" s="24" t="s">
        <v>109</v>
      </c>
      <c r="I2102" s="32" t="s">
        <v>152</v>
      </c>
      <c r="K2102" s="181"/>
      <c r="L2102" s="181"/>
    </row>
    <row r="2103" spans="1:12" x14ac:dyDescent="0.35">
      <c r="A2103" s="19">
        <v>45976</v>
      </c>
      <c r="B2103" s="20">
        <v>750000</v>
      </c>
      <c r="C2103" s="20"/>
      <c r="D2103" s="20"/>
      <c r="E2103" s="99" t="s">
        <v>977</v>
      </c>
      <c r="F2103" s="20">
        <f t="shared" si="32"/>
        <v>187789960</v>
      </c>
      <c r="G2103" s="7" t="s">
        <v>968</v>
      </c>
      <c r="H2103" s="24" t="s">
        <v>323</v>
      </c>
      <c r="I2103" s="32" t="s">
        <v>152</v>
      </c>
      <c r="K2103" s="181"/>
      <c r="L2103" s="181"/>
    </row>
    <row r="2104" spans="1:12" x14ac:dyDescent="0.35">
      <c r="A2104" s="19">
        <v>45976</v>
      </c>
      <c r="B2104" s="20"/>
      <c r="C2104" s="20"/>
      <c r="D2104" s="20">
        <v>10000</v>
      </c>
      <c r="E2104" s="99" t="s">
        <v>977</v>
      </c>
      <c r="F2104" s="20">
        <f t="shared" si="32"/>
        <v>187799960</v>
      </c>
      <c r="G2104" s="7" t="s">
        <v>330</v>
      </c>
      <c r="H2104" s="24" t="s">
        <v>109</v>
      </c>
      <c r="I2104" s="32" t="s">
        <v>152</v>
      </c>
      <c r="K2104" s="181"/>
      <c r="L2104" s="181"/>
    </row>
    <row r="2105" spans="1:12" x14ac:dyDescent="0.35">
      <c r="A2105" s="19">
        <v>45976</v>
      </c>
      <c r="B2105" s="20"/>
      <c r="C2105" s="20"/>
      <c r="D2105" s="20">
        <v>20000</v>
      </c>
      <c r="E2105" s="99" t="s">
        <v>977</v>
      </c>
      <c r="F2105" s="20">
        <f t="shared" si="32"/>
        <v>187819960</v>
      </c>
      <c r="G2105" s="7" t="s">
        <v>330</v>
      </c>
      <c r="H2105" s="24" t="s">
        <v>109</v>
      </c>
      <c r="I2105" s="32" t="s">
        <v>152</v>
      </c>
      <c r="K2105" s="181"/>
      <c r="L2105" s="181"/>
    </row>
    <row r="2106" spans="1:12" x14ac:dyDescent="0.35">
      <c r="A2106" s="19">
        <v>45976</v>
      </c>
      <c r="B2106" s="20"/>
      <c r="C2106" s="20"/>
      <c r="D2106" s="20">
        <v>25000</v>
      </c>
      <c r="E2106" s="99" t="s">
        <v>977</v>
      </c>
      <c r="F2106" s="20">
        <f t="shared" si="32"/>
        <v>187844960</v>
      </c>
      <c r="G2106" s="7" t="s">
        <v>330</v>
      </c>
      <c r="H2106" s="24" t="s">
        <v>109</v>
      </c>
      <c r="I2106" s="32" t="s">
        <v>152</v>
      </c>
      <c r="K2106" s="181"/>
      <c r="L2106" s="181"/>
    </row>
    <row r="2107" spans="1:12" x14ac:dyDescent="0.35">
      <c r="A2107" s="19">
        <v>45976</v>
      </c>
      <c r="B2107" s="20"/>
      <c r="C2107" s="20"/>
      <c r="D2107" s="20">
        <v>100000</v>
      </c>
      <c r="E2107" s="99" t="s">
        <v>977</v>
      </c>
      <c r="F2107" s="20">
        <f t="shared" si="32"/>
        <v>187944960</v>
      </c>
      <c r="G2107" s="7" t="s">
        <v>330</v>
      </c>
      <c r="H2107" s="24" t="s">
        <v>109</v>
      </c>
      <c r="I2107" s="32" t="s">
        <v>152</v>
      </c>
      <c r="K2107" s="181"/>
      <c r="L2107" s="181"/>
    </row>
    <row r="2108" spans="1:12" x14ac:dyDescent="0.35">
      <c r="A2108" s="19">
        <v>45976</v>
      </c>
      <c r="B2108" s="20"/>
      <c r="C2108" s="20"/>
      <c r="D2108" s="20">
        <v>20000</v>
      </c>
      <c r="E2108" s="99" t="s">
        <v>977</v>
      </c>
      <c r="F2108" s="20">
        <f t="shared" si="32"/>
        <v>187964960</v>
      </c>
      <c r="G2108" s="7" t="s">
        <v>330</v>
      </c>
      <c r="H2108" s="24" t="s">
        <v>109</v>
      </c>
      <c r="I2108" s="32" t="s">
        <v>152</v>
      </c>
      <c r="K2108" s="181"/>
      <c r="L2108" s="181"/>
    </row>
    <row r="2109" spans="1:12" x14ac:dyDescent="0.35">
      <c r="A2109" s="19">
        <v>45977</v>
      </c>
      <c r="B2109" s="20">
        <v>750000</v>
      </c>
      <c r="C2109" s="20"/>
      <c r="D2109" s="20"/>
      <c r="E2109" s="99" t="s">
        <v>977</v>
      </c>
      <c r="F2109" s="20">
        <f t="shared" si="32"/>
        <v>187214960</v>
      </c>
      <c r="G2109" s="7" t="s">
        <v>969</v>
      </c>
      <c r="H2109" s="24" t="s">
        <v>323</v>
      </c>
      <c r="I2109" s="32" t="s">
        <v>152</v>
      </c>
      <c r="K2109" s="181"/>
      <c r="L2109" s="181"/>
    </row>
    <row r="2110" spans="1:12" x14ac:dyDescent="0.35">
      <c r="A2110" s="19">
        <v>45977</v>
      </c>
      <c r="B2110" s="20">
        <v>6500</v>
      </c>
      <c r="C2110" s="20"/>
      <c r="D2110" s="20"/>
      <c r="E2110" s="99" t="s">
        <v>977</v>
      </c>
      <c r="F2110" s="20">
        <f t="shared" si="32"/>
        <v>187208460</v>
      </c>
      <c r="G2110" s="7" t="s">
        <v>969</v>
      </c>
      <c r="H2110" s="24" t="s">
        <v>323</v>
      </c>
      <c r="I2110" s="32" t="s">
        <v>152</v>
      </c>
      <c r="K2110" s="181"/>
      <c r="L2110" s="181"/>
    </row>
    <row r="2111" spans="1:12" x14ac:dyDescent="0.35">
      <c r="A2111" s="19">
        <v>45977</v>
      </c>
      <c r="B2111" s="20"/>
      <c r="C2111" s="20"/>
      <c r="D2111" s="20">
        <v>20000</v>
      </c>
      <c r="E2111" s="99" t="s">
        <v>977</v>
      </c>
      <c r="F2111" s="20">
        <f t="shared" si="32"/>
        <v>187228460</v>
      </c>
      <c r="G2111" s="7" t="s">
        <v>330</v>
      </c>
      <c r="H2111" s="24" t="s">
        <v>109</v>
      </c>
      <c r="I2111" s="32" t="s">
        <v>152</v>
      </c>
      <c r="K2111" s="181"/>
      <c r="L2111" s="181"/>
    </row>
    <row r="2112" spans="1:12" x14ac:dyDescent="0.35">
      <c r="A2112" s="19">
        <v>45977</v>
      </c>
      <c r="B2112" s="20"/>
      <c r="C2112" s="20"/>
      <c r="D2112" s="20">
        <v>10000</v>
      </c>
      <c r="E2112" s="99" t="s">
        <v>977</v>
      </c>
      <c r="F2112" s="20">
        <f t="shared" si="32"/>
        <v>187238460</v>
      </c>
      <c r="G2112" s="7" t="s">
        <v>330</v>
      </c>
      <c r="H2112" s="24" t="s">
        <v>109</v>
      </c>
      <c r="I2112" s="32" t="s">
        <v>152</v>
      </c>
      <c r="K2112" s="181"/>
      <c r="L2112" s="181"/>
    </row>
    <row r="2113" spans="1:12" x14ac:dyDescent="0.35">
      <c r="A2113" s="19">
        <v>45977</v>
      </c>
      <c r="B2113" s="20"/>
      <c r="C2113" s="20"/>
      <c r="D2113" s="20">
        <v>25000</v>
      </c>
      <c r="E2113" s="99" t="s">
        <v>977</v>
      </c>
      <c r="F2113" s="20">
        <f t="shared" si="32"/>
        <v>187263460</v>
      </c>
      <c r="G2113" s="7" t="s">
        <v>330</v>
      </c>
      <c r="H2113" s="24" t="s">
        <v>109</v>
      </c>
      <c r="I2113" s="32" t="s">
        <v>152</v>
      </c>
      <c r="K2113" s="181"/>
      <c r="L2113" s="181"/>
    </row>
    <row r="2114" spans="1:12" x14ac:dyDescent="0.35">
      <c r="A2114" s="19">
        <v>45977</v>
      </c>
      <c r="B2114" s="20"/>
      <c r="C2114" s="20"/>
      <c r="D2114" s="20">
        <v>1011</v>
      </c>
      <c r="E2114" s="99" t="s">
        <v>977</v>
      </c>
      <c r="F2114" s="20">
        <f t="shared" si="32"/>
        <v>187264471</v>
      </c>
      <c r="G2114" s="7" t="s">
        <v>330</v>
      </c>
      <c r="H2114" s="24" t="s">
        <v>109</v>
      </c>
      <c r="I2114" s="32" t="s">
        <v>152</v>
      </c>
      <c r="K2114" s="181"/>
      <c r="L2114" s="181"/>
    </row>
    <row r="2115" spans="1:12" x14ac:dyDescent="0.35">
      <c r="A2115" s="19">
        <v>45978</v>
      </c>
      <c r="B2115" s="20"/>
      <c r="C2115" s="20"/>
      <c r="D2115" s="20">
        <v>20000</v>
      </c>
      <c r="E2115" s="99" t="s">
        <v>977</v>
      </c>
      <c r="F2115" s="20">
        <f t="shared" si="32"/>
        <v>187284471</v>
      </c>
      <c r="G2115" s="7" t="s">
        <v>330</v>
      </c>
      <c r="H2115" s="24" t="s">
        <v>109</v>
      </c>
      <c r="I2115" s="32" t="s">
        <v>152</v>
      </c>
      <c r="K2115" s="181"/>
      <c r="L2115" s="181"/>
    </row>
    <row r="2116" spans="1:12" x14ac:dyDescent="0.35">
      <c r="A2116" s="19">
        <v>45978</v>
      </c>
      <c r="B2116" s="20"/>
      <c r="C2116" s="20"/>
      <c r="D2116" s="20">
        <v>10000</v>
      </c>
      <c r="E2116" s="99" t="s">
        <v>977</v>
      </c>
      <c r="F2116" s="20">
        <f t="shared" si="32"/>
        <v>187294471</v>
      </c>
      <c r="G2116" s="7" t="s">
        <v>330</v>
      </c>
      <c r="H2116" s="24" t="s">
        <v>109</v>
      </c>
      <c r="I2116" s="32" t="s">
        <v>152</v>
      </c>
      <c r="K2116" s="181"/>
      <c r="L2116" s="181"/>
    </row>
    <row r="2117" spans="1:12" x14ac:dyDescent="0.35">
      <c r="A2117" s="19">
        <v>45978</v>
      </c>
      <c r="B2117" s="20"/>
      <c r="C2117" s="20"/>
      <c r="D2117" s="20">
        <v>25000</v>
      </c>
      <c r="E2117" s="99" t="s">
        <v>977</v>
      </c>
      <c r="F2117" s="20">
        <f t="shared" si="32"/>
        <v>187319471</v>
      </c>
      <c r="G2117" s="7" t="s">
        <v>330</v>
      </c>
      <c r="H2117" s="24" t="s">
        <v>109</v>
      </c>
      <c r="I2117" s="32" t="s">
        <v>152</v>
      </c>
      <c r="K2117" s="181"/>
      <c r="L2117" s="181"/>
    </row>
    <row r="2118" spans="1:12" x14ac:dyDescent="0.35">
      <c r="A2118" s="19">
        <v>45978</v>
      </c>
      <c r="B2118" s="20"/>
      <c r="C2118" s="20"/>
      <c r="D2118" s="20">
        <v>50000</v>
      </c>
      <c r="E2118" s="99" t="s">
        <v>977</v>
      </c>
      <c r="F2118" s="20">
        <f t="shared" si="32"/>
        <v>187369471</v>
      </c>
      <c r="G2118" s="7" t="s">
        <v>330</v>
      </c>
      <c r="H2118" s="24" t="s">
        <v>109</v>
      </c>
      <c r="I2118" s="32" t="s">
        <v>152</v>
      </c>
      <c r="K2118" s="181"/>
      <c r="L2118" s="181"/>
    </row>
    <row r="2119" spans="1:12" x14ac:dyDescent="0.35">
      <c r="A2119" s="19">
        <v>45978</v>
      </c>
      <c r="B2119" s="20"/>
      <c r="C2119" s="20"/>
      <c r="D2119" s="20">
        <f>2944000-950000</f>
        <v>1994000</v>
      </c>
      <c r="E2119" s="99" t="s">
        <v>977</v>
      </c>
      <c r="F2119" s="20">
        <f t="shared" si="32"/>
        <v>189363471</v>
      </c>
      <c r="G2119" s="7"/>
      <c r="H2119" s="24" t="s">
        <v>107</v>
      </c>
      <c r="I2119" s="32" t="s">
        <v>152</v>
      </c>
      <c r="K2119" s="181"/>
      <c r="L2119" s="181"/>
    </row>
    <row r="2120" spans="1:12" x14ac:dyDescent="0.35">
      <c r="A2120" s="19">
        <v>45978</v>
      </c>
      <c r="B2120" s="20"/>
      <c r="C2120" s="20"/>
      <c r="D2120" s="20">
        <v>1540000</v>
      </c>
      <c r="E2120" s="99" t="s">
        <v>977</v>
      </c>
      <c r="F2120" s="20">
        <f t="shared" si="32"/>
        <v>190903471</v>
      </c>
      <c r="G2120" s="7"/>
      <c r="H2120" s="24" t="s">
        <v>109</v>
      </c>
      <c r="I2120" s="32" t="s">
        <v>152</v>
      </c>
      <c r="K2120" s="181"/>
      <c r="L2120" s="181"/>
    </row>
    <row r="2121" spans="1:12" x14ac:dyDescent="0.35">
      <c r="A2121" s="19"/>
      <c r="B2121" s="20"/>
      <c r="C2121" s="20">
        <v>3534000</v>
      </c>
      <c r="D2121" s="20"/>
      <c r="E2121" s="99"/>
      <c r="F2121" s="20">
        <f t="shared" si="32"/>
        <v>190903471</v>
      </c>
      <c r="G2121" s="7" t="s">
        <v>874</v>
      </c>
      <c r="H2121" s="24"/>
      <c r="I2121" s="32"/>
      <c r="K2121" s="181"/>
      <c r="L2121" s="181"/>
    </row>
    <row r="2122" spans="1:12" x14ac:dyDescent="0.35">
      <c r="A2122" s="19">
        <v>45979</v>
      </c>
      <c r="B2122" s="20"/>
      <c r="C2122" s="20"/>
      <c r="D2122" s="20">
        <v>1011</v>
      </c>
      <c r="E2122" s="99" t="s">
        <v>977</v>
      </c>
      <c r="F2122" s="20">
        <f t="shared" si="32"/>
        <v>190904482</v>
      </c>
      <c r="G2122" s="7" t="s">
        <v>330</v>
      </c>
      <c r="H2122" s="24" t="s">
        <v>109</v>
      </c>
      <c r="I2122" s="32" t="s">
        <v>152</v>
      </c>
      <c r="K2122" s="181"/>
      <c r="L2122" s="181"/>
    </row>
    <row r="2123" spans="1:12" x14ac:dyDescent="0.35">
      <c r="A2123" s="19">
        <v>45979</v>
      </c>
      <c r="B2123" s="20"/>
      <c r="C2123" s="20"/>
      <c r="D2123" s="20">
        <v>20000</v>
      </c>
      <c r="E2123" s="99" t="s">
        <v>977</v>
      </c>
      <c r="F2123" s="20">
        <f t="shared" si="32"/>
        <v>190924482</v>
      </c>
      <c r="G2123" s="7" t="s">
        <v>330</v>
      </c>
      <c r="H2123" s="24" t="s">
        <v>109</v>
      </c>
      <c r="I2123" s="32" t="s">
        <v>152</v>
      </c>
      <c r="K2123" s="181"/>
      <c r="L2123" s="181"/>
    </row>
    <row r="2124" spans="1:12" x14ac:dyDescent="0.35">
      <c r="A2124" s="19">
        <v>45979</v>
      </c>
      <c r="B2124" s="20"/>
      <c r="C2124" s="20"/>
      <c r="D2124" s="20">
        <v>10000</v>
      </c>
      <c r="E2124" s="99" t="s">
        <v>977</v>
      </c>
      <c r="F2124" s="20">
        <f t="shared" ref="F2124:F2187" si="33">+F2123+D2124-B2124</f>
        <v>190934482</v>
      </c>
      <c r="G2124" s="7" t="s">
        <v>330</v>
      </c>
      <c r="H2124" s="24" t="s">
        <v>109</v>
      </c>
      <c r="I2124" s="32" t="s">
        <v>152</v>
      </c>
      <c r="K2124" s="181"/>
      <c r="L2124" s="181"/>
    </row>
    <row r="2125" spans="1:12" x14ac:dyDescent="0.35">
      <c r="A2125" s="19">
        <v>45980</v>
      </c>
      <c r="B2125" s="20"/>
      <c r="C2125" s="20"/>
      <c r="D2125" s="20">
        <v>10000</v>
      </c>
      <c r="E2125" s="99" t="s">
        <v>977</v>
      </c>
      <c r="F2125" s="20">
        <f t="shared" si="33"/>
        <v>190944482</v>
      </c>
      <c r="G2125" s="7" t="s">
        <v>330</v>
      </c>
      <c r="H2125" s="24" t="s">
        <v>109</v>
      </c>
      <c r="I2125" s="32" t="s">
        <v>152</v>
      </c>
      <c r="K2125" s="181"/>
      <c r="L2125" s="181"/>
    </row>
    <row r="2126" spans="1:12" x14ac:dyDescent="0.35">
      <c r="A2126" s="19">
        <v>45980</v>
      </c>
      <c r="B2126" s="20"/>
      <c r="C2126" s="20"/>
      <c r="D2126" s="20">
        <v>20000</v>
      </c>
      <c r="E2126" s="99" t="s">
        <v>977</v>
      </c>
      <c r="F2126" s="20">
        <f t="shared" si="33"/>
        <v>190964482</v>
      </c>
      <c r="G2126" s="7" t="s">
        <v>330</v>
      </c>
      <c r="H2126" s="24" t="s">
        <v>109</v>
      </c>
      <c r="I2126" s="32" t="s">
        <v>152</v>
      </c>
      <c r="K2126" s="181"/>
      <c r="L2126" s="181"/>
    </row>
    <row r="2127" spans="1:12" x14ac:dyDescent="0.35">
      <c r="A2127" s="19">
        <v>45980</v>
      </c>
      <c r="B2127" s="20"/>
      <c r="C2127" s="20"/>
      <c r="D2127" s="20">
        <v>100000</v>
      </c>
      <c r="E2127" s="99" t="s">
        <v>977</v>
      </c>
      <c r="F2127" s="20">
        <f t="shared" si="33"/>
        <v>191064482</v>
      </c>
      <c r="G2127" s="7" t="s">
        <v>970</v>
      </c>
      <c r="H2127" s="24" t="s">
        <v>109</v>
      </c>
      <c r="I2127" s="32" t="s">
        <v>152</v>
      </c>
      <c r="K2127" s="181"/>
      <c r="L2127" s="181"/>
    </row>
    <row r="2128" spans="1:12" x14ac:dyDescent="0.35">
      <c r="A2128" s="19">
        <v>45981</v>
      </c>
      <c r="B2128" s="20"/>
      <c r="C2128" s="20"/>
      <c r="D2128" s="20">
        <v>1011</v>
      </c>
      <c r="E2128" s="99" t="s">
        <v>977</v>
      </c>
      <c r="F2128" s="20">
        <f t="shared" si="33"/>
        <v>191065493</v>
      </c>
      <c r="G2128" s="7" t="s">
        <v>330</v>
      </c>
      <c r="H2128" s="24" t="s">
        <v>109</v>
      </c>
      <c r="I2128" s="32" t="s">
        <v>152</v>
      </c>
      <c r="K2128" s="181"/>
      <c r="L2128" s="181"/>
    </row>
    <row r="2129" spans="1:12" x14ac:dyDescent="0.35">
      <c r="A2129" s="19">
        <v>45981</v>
      </c>
      <c r="B2129" s="20"/>
      <c r="C2129" s="20"/>
      <c r="D2129" s="20">
        <v>20000</v>
      </c>
      <c r="E2129" s="99" t="s">
        <v>977</v>
      </c>
      <c r="F2129" s="20">
        <f t="shared" si="33"/>
        <v>191085493</v>
      </c>
      <c r="G2129" s="7" t="s">
        <v>330</v>
      </c>
      <c r="H2129" s="24" t="s">
        <v>109</v>
      </c>
      <c r="I2129" s="32" t="s">
        <v>152</v>
      </c>
      <c r="K2129" s="181"/>
      <c r="L2129" s="181"/>
    </row>
    <row r="2130" spans="1:12" x14ac:dyDescent="0.35">
      <c r="A2130" s="19">
        <v>45981</v>
      </c>
      <c r="B2130" s="20"/>
      <c r="C2130" s="20"/>
      <c r="D2130" s="20">
        <v>10000</v>
      </c>
      <c r="E2130" s="99" t="s">
        <v>977</v>
      </c>
      <c r="F2130" s="20">
        <f t="shared" si="33"/>
        <v>191095493</v>
      </c>
      <c r="G2130" s="7" t="s">
        <v>330</v>
      </c>
      <c r="H2130" s="24" t="s">
        <v>109</v>
      </c>
      <c r="I2130" s="32" t="s">
        <v>152</v>
      </c>
      <c r="K2130" s="181"/>
      <c r="L2130" s="181"/>
    </row>
    <row r="2131" spans="1:12" x14ac:dyDescent="0.35">
      <c r="A2131" s="19">
        <v>45981</v>
      </c>
      <c r="B2131" s="20">
        <v>1003000</v>
      </c>
      <c r="C2131" s="20"/>
      <c r="D2131" s="20"/>
      <c r="E2131" s="99" t="s">
        <v>977</v>
      </c>
      <c r="F2131" s="20">
        <f t="shared" si="33"/>
        <v>190092493</v>
      </c>
      <c r="G2131" s="7" t="s">
        <v>791</v>
      </c>
      <c r="H2131" s="24" t="s">
        <v>321</v>
      </c>
      <c r="I2131" s="32" t="s">
        <v>152</v>
      </c>
      <c r="K2131" s="181"/>
      <c r="L2131" s="181"/>
    </row>
    <row r="2132" spans="1:12" x14ac:dyDescent="0.35">
      <c r="A2132" s="19">
        <v>45981</v>
      </c>
      <c r="B2132" s="20">
        <v>6500</v>
      </c>
      <c r="C2132" s="20"/>
      <c r="D2132" s="20"/>
      <c r="E2132" s="99" t="s">
        <v>977</v>
      </c>
      <c r="F2132" s="20">
        <f t="shared" si="33"/>
        <v>190085993</v>
      </c>
      <c r="G2132" s="7" t="s">
        <v>791</v>
      </c>
      <c r="H2132" s="24" t="s">
        <v>321</v>
      </c>
      <c r="I2132" s="32" t="s">
        <v>152</v>
      </c>
      <c r="K2132" s="181"/>
      <c r="L2132" s="181"/>
    </row>
    <row r="2133" spans="1:12" x14ac:dyDescent="0.35">
      <c r="A2133" s="19">
        <v>45981</v>
      </c>
      <c r="B2133" s="20"/>
      <c r="C2133" s="20"/>
      <c r="D2133" s="20">
        <v>2880000</v>
      </c>
      <c r="E2133" s="99" t="s">
        <v>977</v>
      </c>
      <c r="F2133" s="20">
        <f t="shared" si="33"/>
        <v>192965993</v>
      </c>
      <c r="G2133" s="7" t="s">
        <v>971</v>
      </c>
      <c r="H2133" s="24" t="s">
        <v>109</v>
      </c>
      <c r="I2133" s="32" t="s">
        <v>152</v>
      </c>
      <c r="K2133" s="181"/>
      <c r="L2133" s="181"/>
    </row>
    <row r="2134" spans="1:12" x14ac:dyDescent="0.35">
      <c r="A2134" s="19">
        <v>45982</v>
      </c>
      <c r="B2134" s="20"/>
      <c r="C2134" s="20"/>
      <c r="D2134" s="20">
        <v>1011</v>
      </c>
      <c r="E2134" s="99" t="s">
        <v>977</v>
      </c>
      <c r="F2134" s="20">
        <f t="shared" si="33"/>
        <v>192967004</v>
      </c>
      <c r="G2134" s="7" t="s">
        <v>330</v>
      </c>
      <c r="H2134" s="24" t="s">
        <v>109</v>
      </c>
      <c r="I2134" s="32" t="s">
        <v>152</v>
      </c>
      <c r="K2134" s="181"/>
      <c r="L2134" s="181"/>
    </row>
    <row r="2135" spans="1:12" x14ac:dyDescent="0.35">
      <c r="A2135" s="19">
        <v>45982</v>
      </c>
      <c r="B2135" s="20"/>
      <c r="C2135" s="20"/>
      <c r="D2135" s="20">
        <v>20000</v>
      </c>
      <c r="E2135" s="99" t="s">
        <v>977</v>
      </c>
      <c r="F2135" s="20">
        <f t="shared" si="33"/>
        <v>192987004</v>
      </c>
      <c r="G2135" s="7" t="s">
        <v>330</v>
      </c>
      <c r="H2135" s="24" t="s">
        <v>109</v>
      </c>
      <c r="I2135" s="32" t="s">
        <v>152</v>
      </c>
      <c r="K2135" s="181"/>
      <c r="L2135" s="181"/>
    </row>
    <row r="2136" spans="1:12" x14ac:dyDescent="0.35">
      <c r="A2136" s="19">
        <v>45983</v>
      </c>
      <c r="B2136" s="20"/>
      <c r="C2136" s="20"/>
      <c r="D2136" s="20">
        <v>10000</v>
      </c>
      <c r="E2136" s="99" t="s">
        <v>977</v>
      </c>
      <c r="F2136" s="20">
        <f t="shared" si="33"/>
        <v>192997004</v>
      </c>
      <c r="G2136" s="7" t="s">
        <v>330</v>
      </c>
      <c r="H2136" s="24" t="s">
        <v>109</v>
      </c>
      <c r="I2136" s="32" t="s">
        <v>152</v>
      </c>
      <c r="K2136" s="181"/>
      <c r="L2136" s="181"/>
    </row>
    <row r="2137" spans="1:12" x14ac:dyDescent="0.35">
      <c r="A2137" s="19">
        <v>45983</v>
      </c>
      <c r="B2137" s="20"/>
      <c r="C2137" s="20"/>
      <c r="D2137" s="20">
        <v>2000</v>
      </c>
      <c r="E2137" s="99" t="s">
        <v>977</v>
      </c>
      <c r="F2137" s="20">
        <f t="shared" si="33"/>
        <v>192999004</v>
      </c>
      <c r="G2137" s="7" t="s">
        <v>330</v>
      </c>
      <c r="H2137" s="24" t="s">
        <v>109</v>
      </c>
      <c r="I2137" s="32" t="s">
        <v>152</v>
      </c>
      <c r="K2137" s="181"/>
      <c r="L2137" s="181"/>
    </row>
    <row r="2138" spans="1:12" x14ac:dyDescent="0.35">
      <c r="A2138" s="19">
        <v>45983</v>
      </c>
      <c r="B2138" s="20"/>
      <c r="C2138" s="20"/>
      <c r="D2138" s="20">
        <v>20000</v>
      </c>
      <c r="E2138" s="99" t="s">
        <v>977</v>
      </c>
      <c r="F2138" s="20">
        <f t="shared" si="33"/>
        <v>193019004</v>
      </c>
      <c r="G2138" s="7" t="s">
        <v>330</v>
      </c>
      <c r="H2138" s="24" t="s">
        <v>109</v>
      </c>
      <c r="I2138" s="32" t="s">
        <v>152</v>
      </c>
      <c r="K2138" s="181"/>
      <c r="L2138" s="181"/>
    </row>
    <row r="2139" spans="1:12" x14ac:dyDescent="0.35">
      <c r="A2139" s="19">
        <v>45983</v>
      </c>
      <c r="B2139" s="20"/>
      <c r="C2139" s="20"/>
      <c r="D2139" s="20">
        <v>10000</v>
      </c>
      <c r="E2139" s="99" t="s">
        <v>977</v>
      </c>
      <c r="F2139" s="20">
        <f t="shared" si="33"/>
        <v>193029004</v>
      </c>
      <c r="G2139" s="7" t="s">
        <v>330</v>
      </c>
      <c r="H2139" s="24" t="s">
        <v>109</v>
      </c>
      <c r="I2139" s="32" t="s">
        <v>152</v>
      </c>
      <c r="K2139" s="181"/>
      <c r="L2139" s="181"/>
    </row>
    <row r="2140" spans="1:12" x14ac:dyDescent="0.35">
      <c r="A2140" s="19">
        <v>45983</v>
      </c>
      <c r="B2140" s="20"/>
      <c r="C2140" s="20"/>
      <c r="D2140" s="20">
        <v>500000</v>
      </c>
      <c r="E2140" s="99" t="s">
        <v>977</v>
      </c>
      <c r="F2140" s="20">
        <f t="shared" si="33"/>
        <v>193529004</v>
      </c>
      <c r="G2140" s="7" t="s">
        <v>330</v>
      </c>
      <c r="H2140" s="24" t="s">
        <v>109</v>
      </c>
      <c r="I2140" s="32" t="s">
        <v>152</v>
      </c>
      <c r="K2140" s="181"/>
      <c r="L2140" s="181"/>
    </row>
    <row r="2141" spans="1:12" x14ac:dyDescent="0.35">
      <c r="A2141" s="19">
        <v>45983</v>
      </c>
      <c r="B2141" s="20"/>
      <c r="C2141" s="20"/>
      <c r="D2141" s="20">
        <v>20000</v>
      </c>
      <c r="E2141" s="99" t="s">
        <v>977</v>
      </c>
      <c r="F2141" s="20">
        <f t="shared" si="33"/>
        <v>193549004</v>
      </c>
      <c r="G2141" s="7" t="s">
        <v>330</v>
      </c>
      <c r="H2141" s="24" t="s">
        <v>109</v>
      </c>
      <c r="I2141" s="32" t="s">
        <v>152</v>
      </c>
      <c r="K2141" s="181"/>
      <c r="L2141" s="181"/>
    </row>
    <row r="2142" spans="1:12" x14ac:dyDescent="0.35">
      <c r="A2142" s="19">
        <v>45983</v>
      </c>
      <c r="B2142" s="20"/>
      <c r="C2142" s="20"/>
      <c r="D2142" s="20">
        <v>1011</v>
      </c>
      <c r="E2142" s="99" t="s">
        <v>977</v>
      </c>
      <c r="F2142" s="20">
        <f t="shared" si="33"/>
        <v>193550015</v>
      </c>
      <c r="G2142" s="7" t="s">
        <v>330</v>
      </c>
      <c r="H2142" s="24" t="s">
        <v>109</v>
      </c>
      <c r="I2142" s="32" t="s">
        <v>152</v>
      </c>
      <c r="K2142" s="181"/>
      <c r="L2142" s="181"/>
    </row>
    <row r="2143" spans="1:12" x14ac:dyDescent="0.35">
      <c r="A2143" s="19">
        <v>45984</v>
      </c>
      <c r="B2143" s="20">
        <v>1000000</v>
      </c>
      <c r="C2143" s="20"/>
      <c r="D2143" s="20"/>
      <c r="E2143" s="99" t="s">
        <v>977</v>
      </c>
      <c r="F2143" s="20">
        <f t="shared" si="33"/>
        <v>192550015</v>
      </c>
      <c r="G2143" s="7" t="s">
        <v>772</v>
      </c>
      <c r="H2143" s="24" t="s">
        <v>323</v>
      </c>
      <c r="I2143" s="32" t="s">
        <v>152</v>
      </c>
      <c r="K2143" s="181"/>
      <c r="L2143" s="181"/>
    </row>
    <row r="2144" spans="1:12" x14ac:dyDescent="0.35">
      <c r="A2144" s="19">
        <v>45984</v>
      </c>
      <c r="B2144" s="20">
        <v>6500</v>
      </c>
      <c r="C2144" s="20"/>
      <c r="D2144" s="20"/>
      <c r="E2144" s="99" t="s">
        <v>977</v>
      </c>
      <c r="F2144" s="20">
        <f t="shared" si="33"/>
        <v>192543515</v>
      </c>
      <c r="G2144" s="7" t="s">
        <v>772</v>
      </c>
      <c r="H2144" s="24" t="s">
        <v>323</v>
      </c>
      <c r="I2144" s="32" t="s">
        <v>152</v>
      </c>
      <c r="K2144" s="181"/>
      <c r="L2144" s="181"/>
    </row>
    <row r="2145" spans="1:12" x14ac:dyDescent="0.35">
      <c r="A2145" s="19">
        <v>45984</v>
      </c>
      <c r="B2145" s="20"/>
      <c r="C2145" s="20"/>
      <c r="D2145" s="20">
        <v>20000</v>
      </c>
      <c r="E2145" s="99" t="s">
        <v>977</v>
      </c>
      <c r="F2145" s="20">
        <f t="shared" si="33"/>
        <v>192563515</v>
      </c>
      <c r="G2145" s="7" t="s">
        <v>330</v>
      </c>
      <c r="H2145" s="24" t="s">
        <v>109</v>
      </c>
      <c r="I2145" s="32" t="s">
        <v>152</v>
      </c>
      <c r="K2145" s="181"/>
      <c r="L2145" s="181"/>
    </row>
    <row r="2146" spans="1:12" x14ac:dyDescent="0.35">
      <c r="A2146" s="19">
        <v>45984</v>
      </c>
      <c r="B2146" s="20"/>
      <c r="C2146" s="20"/>
      <c r="D2146" s="20">
        <v>10000</v>
      </c>
      <c r="E2146" s="99" t="s">
        <v>977</v>
      </c>
      <c r="F2146" s="20">
        <f t="shared" si="33"/>
        <v>192573515</v>
      </c>
      <c r="G2146" s="7" t="s">
        <v>330</v>
      </c>
      <c r="H2146" s="24" t="s">
        <v>109</v>
      </c>
      <c r="I2146" s="32" t="s">
        <v>152</v>
      </c>
      <c r="K2146" s="181"/>
      <c r="L2146" s="181"/>
    </row>
    <row r="2147" spans="1:12" x14ac:dyDescent="0.35">
      <c r="A2147" s="19">
        <v>45984</v>
      </c>
      <c r="B2147" s="20"/>
      <c r="C2147" s="20"/>
      <c r="D2147" s="20">
        <v>25000</v>
      </c>
      <c r="E2147" s="99" t="s">
        <v>977</v>
      </c>
      <c r="F2147" s="20">
        <f t="shared" si="33"/>
        <v>192598515</v>
      </c>
      <c r="G2147" s="7" t="s">
        <v>330</v>
      </c>
      <c r="H2147" s="24" t="s">
        <v>109</v>
      </c>
      <c r="I2147" s="32" t="s">
        <v>152</v>
      </c>
      <c r="K2147" s="181"/>
      <c r="L2147" s="181"/>
    </row>
    <row r="2148" spans="1:12" x14ac:dyDescent="0.35">
      <c r="A2148" s="19">
        <v>45984</v>
      </c>
      <c r="B2148" s="20"/>
      <c r="C2148" s="20"/>
      <c r="D2148" s="20">
        <v>10000</v>
      </c>
      <c r="E2148" s="99" t="s">
        <v>977</v>
      </c>
      <c r="F2148" s="20">
        <f t="shared" si="33"/>
        <v>192608515</v>
      </c>
      <c r="G2148" s="7" t="s">
        <v>330</v>
      </c>
      <c r="H2148" s="24" t="s">
        <v>109</v>
      </c>
      <c r="I2148" s="32" t="s">
        <v>152</v>
      </c>
      <c r="K2148" s="181"/>
      <c r="L2148" s="181"/>
    </row>
    <row r="2149" spans="1:12" x14ac:dyDescent="0.35">
      <c r="A2149" s="19">
        <v>45985</v>
      </c>
      <c r="B2149" s="20"/>
      <c r="C2149" s="20"/>
      <c r="D2149" s="20">
        <v>20000</v>
      </c>
      <c r="E2149" s="99" t="s">
        <v>977</v>
      </c>
      <c r="F2149" s="20">
        <f t="shared" si="33"/>
        <v>192628515</v>
      </c>
      <c r="G2149" s="7" t="s">
        <v>330</v>
      </c>
      <c r="H2149" s="24" t="s">
        <v>109</v>
      </c>
      <c r="I2149" s="32" t="s">
        <v>152</v>
      </c>
      <c r="K2149" s="181"/>
      <c r="L2149" s="181"/>
    </row>
    <row r="2150" spans="1:12" x14ac:dyDescent="0.35">
      <c r="A2150" s="19">
        <v>45985</v>
      </c>
      <c r="B2150" s="20"/>
      <c r="C2150" s="20"/>
      <c r="D2150" s="20">
        <v>1011</v>
      </c>
      <c r="E2150" s="99" t="s">
        <v>977</v>
      </c>
      <c r="F2150" s="20">
        <f t="shared" si="33"/>
        <v>192629526</v>
      </c>
      <c r="G2150" s="7" t="s">
        <v>330</v>
      </c>
      <c r="H2150" s="24" t="s">
        <v>109</v>
      </c>
      <c r="I2150" s="32" t="s">
        <v>152</v>
      </c>
      <c r="K2150" s="181"/>
      <c r="L2150" s="181"/>
    </row>
    <row r="2151" spans="1:12" x14ac:dyDescent="0.35">
      <c r="A2151" s="19">
        <v>45986</v>
      </c>
      <c r="B2151" s="20"/>
      <c r="C2151" s="20"/>
      <c r="D2151" s="20">
        <v>200000</v>
      </c>
      <c r="E2151" s="99" t="s">
        <v>977</v>
      </c>
      <c r="F2151" s="20">
        <f t="shared" si="33"/>
        <v>192829526</v>
      </c>
      <c r="G2151" s="7" t="s">
        <v>808</v>
      </c>
      <c r="H2151" s="24" t="s">
        <v>140</v>
      </c>
      <c r="I2151" s="32" t="s">
        <v>152</v>
      </c>
      <c r="K2151" s="181"/>
      <c r="L2151" s="181"/>
    </row>
    <row r="2152" spans="1:12" x14ac:dyDescent="0.35">
      <c r="A2152" s="19">
        <v>45986</v>
      </c>
      <c r="B2152" s="20"/>
      <c r="C2152" s="20"/>
      <c r="D2152" s="20">
        <v>1011</v>
      </c>
      <c r="E2152" s="99" t="s">
        <v>977</v>
      </c>
      <c r="F2152" s="20">
        <f t="shared" si="33"/>
        <v>192830537</v>
      </c>
      <c r="G2152" s="7" t="s">
        <v>330</v>
      </c>
      <c r="H2152" s="24" t="s">
        <v>109</v>
      </c>
      <c r="I2152" s="32" t="s">
        <v>152</v>
      </c>
      <c r="K2152" s="181"/>
      <c r="L2152" s="181"/>
    </row>
    <row r="2153" spans="1:12" x14ac:dyDescent="0.35">
      <c r="A2153" s="19">
        <v>45986</v>
      </c>
      <c r="B2153" s="20"/>
      <c r="C2153" s="20"/>
      <c r="D2153" s="20">
        <v>1000000</v>
      </c>
      <c r="E2153" s="99" t="s">
        <v>977</v>
      </c>
      <c r="F2153" s="20">
        <f t="shared" si="33"/>
        <v>193830537</v>
      </c>
      <c r="G2153" s="7" t="s">
        <v>609</v>
      </c>
      <c r="H2153" s="24" t="s">
        <v>109</v>
      </c>
      <c r="I2153" s="32" t="s">
        <v>152</v>
      </c>
      <c r="K2153" s="181"/>
      <c r="L2153" s="181"/>
    </row>
    <row r="2154" spans="1:12" x14ac:dyDescent="0.35">
      <c r="A2154" s="19">
        <v>45986</v>
      </c>
      <c r="B2154" s="20"/>
      <c r="C2154" s="20"/>
      <c r="D2154" s="20">
        <f>2604000-1115000</f>
        <v>1489000</v>
      </c>
      <c r="E2154" s="99" t="s">
        <v>977</v>
      </c>
      <c r="F2154" s="20">
        <f t="shared" si="33"/>
        <v>195319537</v>
      </c>
      <c r="G2154" s="7"/>
      <c r="H2154" s="24" t="s">
        <v>107</v>
      </c>
      <c r="I2154" s="32" t="s">
        <v>152</v>
      </c>
      <c r="K2154" s="181"/>
      <c r="L2154" s="181"/>
    </row>
    <row r="2155" spans="1:12" x14ac:dyDescent="0.35">
      <c r="A2155" s="19">
        <v>45986</v>
      </c>
      <c r="B2155" s="20"/>
      <c r="C2155" s="20"/>
      <c r="D2155" s="20">
        <v>3542000</v>
      </c>
      <c r="E2155" s="99" t="s">
        <v>977</v>
      </c>
      <c r="F2155" s="20">
        <f t="shared" si="33"/>
        <v>198861537</v>
      </c>
      <c r="G2155" s="7"/>
      <c r="H2155" s="24" t="s">
        <v>109</v>
      </c>
      <c r="I2155" s="32" t="s">
        <v>152</v>
      </c>
      <c r="K2155" s="181"/>
      <c r="L2155" s="181"/>
    </row>
    <row r="2156" spans="1:12" x14ac:dyDescent="0.35">
      <c r="A2156" s="19"/>
      <c r="B2156" s="20"/>
      <c r="C2156" s="20">
        <v>5031000</v>
      </c>
      <c r="D2156" s="20"/>
      <c r="E2156" s="99"/>
      <c r="F2156" s="20">
        <f t="shared" si="33"/>
        <v>198861537</v>
      </c>
      <c r="G2156" s="7" t="s">
        <v>874</v>
      </c>
      <c r="H2156" s="24"/>
      <c r="I2156" s="32"/>
      <c r="K2156" s="181"/>
      <c r="L2156" s="181"/>
    </row>
    <row r="2157" spans="1:12" x14ac:dyDescent="0.35">
      <c r="A2157" s="19">
        <v>45987</v>
      </c>
      <c r="B2157" s="20"/>
      <c r="C2157" s="20"/>
      <c r="D2157" s="20">
        <v>20000</v>
      </c>
      <c r="E2157" s="99" t="s">
        <v>977</v>
      </c>
      <c r="F2157" s="20">
        <f t="shared" si="33"/>
        <v>198881537</v>
      </c>
      <c r="G2157" s="7" t="s">
        <v>330</v>
      </c>
      <c r="H2157" s="24" t="s">
        <v>109</v>
      </c>
      <c r="I2157" s="32" t="s">
        <v>152</v>
      </c>
      <c r="K2157" s="181"/>
      <c r="L2157" s="181"/>
    </row>
    <row r="2158" spans="1:12" x14ac:dyDescent="0.35">
      <c r="A2158" s="19">
        <v>45987</v>
      </c>
      <c r="B2158" s="20"/>
      <c r="C2158" s="20"/>
      <c r="D2158" s="20">
        <v>20000</v>
      </c>
      <c r="E2158" s="99" t="s">
        <v>977</v>
      </c>
      <c r="F2158" s="20">
        <f t="shared" si="33"/>
        <v>198901537</v>
      </c>
      <c r="G2158" s="7" t="s">
        <v>330</v>
      </c>
      <c r="H2158" s="24" t="s">
        <v>109</v>
      </c>
      <c r="I2158" s="32" t="s">
        <v>152</v>
      </c>
      <c r="K2158" s="181"/>
      <c r="L2158" s="181"/>
    </row>
    <row r="2159" spans="1:12" x14ac:dyDescent="0.35">
      <c r="A2159" s="19">
        <v>45987</v>
      </c>
      <c r="B2159" s="20"/>
      <c r="C2159" s="20"/>
      <c r="D2159" s="20">
        <v>5000</v>
      </c>
      <c r="E2159" s="99" t="s">
        <v>977</v>
      </c>
      <c r="F2159" s="20">
        <f t="shared" si="33"/>
        <v>198906537</v>
      </c>
      <c r="G2159" s="7" t="s">
        <v>330</v>
      </c>
      <c r="H2159" s="24" t="s">
        <v>109</v>
      </c>
      <c r="I2159" s="32" t="s">
        <v>152</v>
      </c>
      <c r="K2159" s="181"/>
      <c r="L2159" s="181"/>
    </row>
    <row r="2160" spans="1:12" x14ac:dyDescent="0.35">
      <c r="A2160" s="19">
        <v>45987</v>
      </c>
      <c r="B2160" s="20"/>
      <c r="C2160" s="20"/>
      <c r="D2160" s="20">
        <v>1011</v>
      </c>
      <c r="E2160" s="99" t="s">
        <v>977</v>
      </c>
      <c r="F2160" s="20">
        <f t="shared" si="33"/>
        <v>198907548</v>
      </c>
      <c r="G2160" s="7" t="s">
        <v>330</v>
      </c>
      <c r="H2160" s="24" t="s">
        <v>109</v>
      </c>
      <c r="I2160" s="32" t="s">
        <v>152</v>
      </c>
      <c r="K2160" s="181"/>
      <c r="L2160" s="181"/>
    </row>
    <row r="2161" spans="1:12" x14ac:dyDescent="0.35">
      <c r="A2161" s="19">
        <v>45988</v>
      </c>
      <c r="B2161" s="20"/>
      <c r="C2161" s="20"/>
      <c r="D2161" s="20">
        <v>1011</v>
      </c>
      <c r="E2161" s="99" t="s">
        <v>977</v>
      </c>
      <c r="F2161" s="20">
        <f t="shared" si="33"/>
        <v>198908559</v>
      </c>
      <c r="G2161" s="7" t="s">
        <v>330</v>
      </c>
      <c r="H2161" s="24" t="s">
        <v>109</v>
      </c>
      <c r="I2161" s="32" t="s">
        <v>152</v>
      </c>
      <c r="K2161" s="181"/>
      <c r="L2161" s="181"/>
    </row>
    <row r="2162" spans="1:12" x14ac:dyDescent="0.35">
      <c r="A2162" s="19">
        <v>45988</v>
      </c>
      <c r="B2162" s="20"/>
      <c r="C2162" s="20"/>
      <c r="D2162" s="20">
        <v>20000</v>
      </c>
      <c r="E2162" s="99" t="s">
        <v>977</v>
      </c>
      <c r="F2162" s="20">
        <f t="shared" si="33"/>
        <v>198928559</v>
      </c>
      <c r="G2162" s="7" t="s">
        <v>330</v>
      </c>
      <c r="H2162" s="24" t="s">
        <v>109</v>
      </c>
      <c r="I2162" s="32" t="s">
        <v>152</v>
      </c>
      <c r="K2162" s="181"/>
      <c r="L2162" s="181"/>
    </row>
    <row r="2163" spans="1:12" x14ac:dyDescent="0.35">
      <c r="A2163" s="19">
        <v>45988</v>
      </c>
      <c r="B2163" s="20"/>
      <c r="C2163" s="20"/>
      <c r="D2163" s="20">
        <v>10000</v>
      </c>
      <c r="E2163" s="99" t="s">
        <v>977</v>
      </c>
      <c r="F2163" s="20">
        <f t="shared" si="33"/>
        <v>198938559</v>
      </c>
      <c r="G2163" s="7" t="s">
        <v>330</v>
      </c>
      <c r="H2163" s="24" t="s">
        <v>109</v>
      </c>
      <c r="I2163" s="32" t="s">
        <v>152</v>
      </c>
      <c r="K2163" s="181"/>
      <c r="L2163" s="181"/>
    </row>
    <row r="2164" spans="1:12" x14ac:dyDescent="0.35">
      <c r="A2164" s="19">
        <v>45988</v>
      </c>
      <c r="B2164" s="20"/>
      <c r="C2164" s="20"/>
      <c r="D2164" s="20">
        <v>50000</v>
      </c>
      <c r="E2164" s="99" t="s">
        <v>977</v>
      </c>
      <c r="F2164" s="20">
        <f t="shared" si="33"/>
        <v>198988559</v>
      </c>
      <c r="G2164" s="7" t="s">
        <v>330</v>
      </c>
      <c r="H2164" s="24" t="s">
        <v>109</v>
      </c>
      <c r="I2164" s="32" t="s">
        <v>152</v>
      </c>
      <c r="K2164" s="181"/>
      <c r="L2164" s="181"/>
    </row>
    <row r="2165" spans="1:12" x14ac:dyDescent="0.35">
      <c r="A2165" s="19">
        <v>45988</v>
      </c>
      <c r="B2165" s="20">
        <v>2250000</v>
      </c>
      <c r="C2165" s="20"/>
      <c r="D2165" s="20"/>
      <c r="E2165" s="99" t="s">
        <v>977</v>
      </c>
      <c r="F2165" s="20">
        <f t="shared" si="33"/>
        <v>196738559</v>
      </c>
      <c r="G2165" s="7" t="s">
        <v>180</v>
      </c>
      <c r="H2165" s="24" t="s">
        <v>325</v>
      </c>
      <c r="I2165" s="32" t="s">
        <v>152</v>
      </c>
      <c r="K2165" s="181"/>
      <c r="L2165" s="181"/>
    </row>
    <row r="2166" spans="1:12" x14ac:dyDescent="0.35">
      <c r="A2166" s="19">
        <v>45988</v>
      </c>
      <c r="B2166" s="20">
        <v>6500</v>
      </c>
      <c r="C2166" s="20"/>
      <c r="D2166" s="20"/>
      <c r="E2166" s="99" t="s">
        <v>977</v>
      </c>
      <c r="F2166" s="20">
        <f t="shared" si="33"/>
        <v>196732059</v>
      </c>
      <c r="G2166" s="7" t="s">
        <v>180</v>
      </c>
      <c r="H2166" s="24" t="s">
        <v>325</v>
      </c>
      <c r="I2166" s="32" t="s">
        <v>152</v>
      </c>
      <c r="K2166" s="181"/>
      <c r="L2166" s="181"/>
    </row>
    <row r="2167" spans="1:12" x14ac:dyDescent="0.35">
      <c r="A2167" s="19">
        <v>45988</v>
      </c>
      <c r="B2167" s="20">
        <v>550000</v>
      </c>
      <c r="C2167" s="20"/>
      <c r="D2167" s="20"/>
      <c r="E2167" s="99" t="s">
        <v>977</v>
      </c>
      <c r="F2167" s="20">
        <f t="shared" si="33"/>
        <v>196182059</v>
      </c>
      <c r="G2167" s="7" t="s">
        <v>572</v>
      </c>
      <c r="H2167" s="24" t="s">
        <v>325</v>
      </c>
      <c r="I2167" s="32" t="s">
        <v>152</v>
      </c>
      <c r="K2167" s="181"/>
      <c r="L2167" s="181"/>
    </row>
    <row r="2168" spans="1:12" x14ac:dyDescent="0.35">
      <c r="A2168" s="19">
        <v>45988</v>
      </c>
      <c r="B2168" s="20">
        <v>6500</v>
      </c>
      <c r="C2168" s="20"/>
      <c r="D2168" s="20"/>
      <c r="E2168" s="99" t="s">
        <v>977</v>
      </c>
      <c r="F2168" s="20">
        <f t="shared" si="33"/>
        <v>196175559</v>
      </c>
      <c r="G2168" s="7" t="s">
        <v>572</v>
      </c>
      <c r="H2168" s="24" t="s">
        <v>325</v>
      </c>
      <c r="I2168" s="32" t="s">
        <v>152</v>
      </c>
      <c r="K2168" s="181"/>
      <c r="L2168" s="181"/>
    </row>
    <row r="2169" spans="1:12" x14ac:dyDescent="0.35">
      <c r="A2169" s="19">
        <v>45988</v>
      </c>
      <c r="B2169" s="20">
        <v>2500000</v>
      </c>
      <c r="C2169" s="20"/>
      <c r="D2169" s="20"/>
      <c r="E2169" s="99" t="s">
        <v>977</v>
      </c>
      <c r="F2169" s="20">
        <f t="shared" si="33"/>
        <v>193675559</v>
      </c>
      <c r="G2169" s="7" t="s">
        <v>564</v>
      </c>
      <c r="H2169" s="24" t="s">
        <v>325</v>
      </c>
      <c r="I2169" s="32" t="s">
        <v>152</v>
      </c>
      <c r="K2169" s="181"/>
      <c r="L2169" s="181"/>
    </row>
    <row r="2170" spans="1:12" x14ac:dyDescent="0.35">
      <c r="A2170" s="19">
        <v>45988</v>
      </c>
      <c r="B2170" s="20">
        <v>6500</v>
      </c>
      <c r="C2170" s="20"/>
      <c r="D2170" s="20"/>
      <c r="E2170" s="99" t="s">
        <v>977</v>
      </c>
      <c r="F2170" s="20">
        <f t="shared" si="33"/>
        <v>193669059</v>
      </c>
      <c r="G2170" s="7" t="s">
        <v>564</v>
      </c>
      <c r="H2170" s="24" t="s">
        <v>325</v>
      </c>
      <c r="I2170" s="32" t="s">
        <v>152</v>
      </c>
      <c r="K2170" s="181"/>
      <c r="L2170" s="181"/>
    </row>
    <row r="2171" spans="1:12" x14ac:dyDescent="0.35">
      <c r="A2171" s="19">
        <v>45988</v>
      </c>
      <c r="B2171" s="20">
        <v>4000000</v>
      </c>
      <c r="C2171" s="20"/>
      <c r="D2171" s="20"/>
      <c r="E2171" s="99" t="s">
        <v>977</v>
      </c>
      <c r="F2171" s="20">
        <f t="shared" si="33"/>
        <v>189669059</v>
      </c>
      <c r="G2171" s="7" t="s">
        <v>972</v>
      </c>
      <c r="H2171" s="24" t="s">
        <v>201</v>
      </c>
      <c r="I2171" s="32" t="s">
        <v>152</v>
      </c>
      <c r="K2171" s="181"/>
      <c r="L2171" s="181"/>
    </row>
    <row r="2172" spans="1:12" x14ac:dyDescent="0.35">
      <c r="A2172" s="19">
        <v>45988</v>
      </c>
      <c r="B2172" s="20">
        <v>6500</v>
      </c>
      <c r="C2172" s="20"/>
      <c r="D2172" s="20"/>
      <c r="E2172" s="99" t="s">
        <v>977</v>
      </c>
      <c r="F2172" s="20">
        <f t="shared" si="33"/>
        <v>189662559</v>
      </c>
      <c r="G2172" s="7" t="s">
        <v>972</v>
      </c>
      <c r="H2172" s="24" t="s">
        <v>201</v>
      </c>
      <c r="I2172" s="32" t="s">
        <v>152</v>
      </c>
      <c r="K2172" s="181"/>
      <c r="L2172" s="181"/>
    </row>
    <row r="2173" spans="1:12" x14ac:dyDescent="0.35">
      <c r="A2173" s="19">
        <v>45988</v>
      </c>
      <c r="B2173" s="20">
        <v>2000000</v>
      </c>
      <c r="C2173" s="20"/>
      <c r="D2173" s="20"/>
      <c r="E2173" s="99" t="s">
        <v>977</v>
      </c>
      <c r="F2173" s="20">
        <f t="shared" si="33"/>
        <v>187662559</v>
      </c>
      <c r="G2173" s="7" t="s">
        <v>973</v>
      </c>
      <c r="H2173" s="24" t="s">
        <v>323</v>
      </c>
      <c r="I2173" s="32" t="s">
        <v>152</v>
      </c>
      <c r="K2173" s="181"/>
      <c r="L2173" s="181"/>
    </row>
    <row r="2174" spans="1:12" x14ac:dyDescent="0.35">
      <c r="A2174" s="19">
        <v>45988</v>
      </c>
      <c r="B2174" s="20">
        <v>6500</v>
      </c>
      <c r="C2174" s="20"/>
      <c r="D2174" s="20"/>
      <c r="E2174" s="99" t="s">
        <v>977</v>
      </c>
      <c r="F2174" s="20">
        <f t="shared" si="33"/>
        <v>187656059</v>
      </c>
      <c r="G2174" s="7" t="s">
        <v>973</v>
      </c>
      <c r="H2174" s="24" t="s">
        <v>323</v>
      </c>
      <c r="I2174" s="32" t="s">
        <v>152</v>
      </c>
      <c r="K2174" s="181"/>
      <c r="L2174" s="181"/>
    </row>
    <row r="2175" spans="1:12" x14ac:dyDescent="0.35">
      <c r="A2175" s="19">
        <v>45988</v>
      </c>
      <c r="B2175" s="20">
        <v>2700000</v>
      </c>
      <c r="C2175" s="20"/>
      <c r="D2175" s="20"/>
      <c r="E2175" s="99" t="s">
        <v>977</v>
      </c>
      <c r="F2175" s="20">
        <f t="shared" si="33"/>
        <v>184956059</v>
      </c>
      <c r="G2175" s="7" t="s">
        <v>974</v>
      </c>
      <c r="H2175" s="24" t="s">
        <v>201</v>
      </c>
      <c r="I2175" s="32" t="s">
        <v>152</v>
      </c>
      <c r="K2175" s="181"/>
      <c r="L2175" s="181"/>
    </row>
    <row r="2176" spans="1:12" x14ac:dyDescent="0.35">
      <c r="A2176" s="19">
        <v>45988</v>
      </c>
      <c r="B2176" s="20">
        <v>6500</v>
      </c>
      <c r="C2176" s="20"/>
      <c r="D2176" s="20"/>
      <c r="E2176" s="99" t="s">
        <v>977</v>
      </c>
      <c r="F2176" s="20">
        <f t="shared" si="33"/>
        <v>184949559</v>
      </c>
      <c r="G2176" s="7" t="s">
        <v>974</v>
      </c>
      <c r="H2176" s="24" t="s">
        <v>201</v>
      </c>
      <c r="I2176" s="32" t="s">
        <v>152</v>
      </c>
      <c r="K2176" s="181"/>
      <c r="L2176" s="181"/>
    </row>
    <row r="2177" spans="1:12" x14ac:dyDescent="0.35">
      <c r="A2177" s="19">
        <v>45988</v>
      </c>
      <c r="B2177" s="20">
        <v>3500000</v>
      </c>
      <c r="C2177" s="20"/>
      <c r="D2177" s="20"/>
      <c r="E2177" s="99" t="s">
        <v>977</v>
      </c>
      <c r="F2177" s="20">
        <f t="shared" si="33"/>
        <v>181449559</v>
      </c>
      <c r="G2177" s="7" t="s">
        <v>570</v>
      </c>
      <c r="H2177" s="24" t="s">
        <v>325</v>
      </c>
      <c r="I2177" s="32" t="s">
        <v>152</v>
      </c>
      <c r="K2177" s="181"/>
      <c r="L2177" s="181"/>
    </row>
    <row r="2178" spans="1:12" x14ac:dyDescent="0.35">
      <c r="A2178" s="19">
        <v>45988</v>
      </c>
      <c r="B2178" s="20">
        <v>6500</v>
      </c>
      <c r="C2178" s="20"/>
      <c r="D2178" s="20"/>
      <c r="E2178" s="99" t="s">
        <v>977</v>
      </c>
      <c r="F2178" s="20">
        <f t="shared" si="33"/>
        <v>181443059</v>
      </c>
      <c r="G2178" s="7" t="s">
        <v>570</v>
      </c>
      <c r="H2178" s="24" t="s">
        <v>325</v>
      </c>
      <c r="I2178" s="32" t="s">
        <v>152</v>
      </c>
      <c r="K2178" s="181"/>
      <c r="L2178" s="181"/>
    </row>
    <row r="2179" spans="1:12" x14ac:dyDescent="0.35">
      <c r="A2179" s="19">
        <v>45988</v>
      </c>
      <c r="B2179" s="20">
        <v>1000000</v>
      </c>
      <c r="C2179" s="20"/>
      <c r="D2179" s="20"/>
      <c r="E2179" s="99" t="s">
        <v>977</v>
      </c>
      <c r="F2179" s="20">
        <f t="shared" si="33"/>
        <v>180443059</v>
      </c>
      <c r="G2179" s="7" t="s">
        <v>975</v>
      </c>
      <c r="H2179" s="24" t="s">
        <v>325</v>
      </c>
      <c r="I2179" s="32" t="s">
        <v>152</v>
      </c>
      <c r="K2179" s="181"/>
      <c r="L2179" s="181"/>
    </row>
    <row r="2180" spans="1:12" x14ac:dyDescent="0.35">
      <c r="A2180" s="19">
        <v>45988</v>
      </c>
      <c r="B2180" s="20">
        <v>6500</v>
      </c>
      <c r="C2180" s="20"/>
      <c r="D2180" s="20"/>
      <c r="E2180" s="99" t="s">
        <v>977</v>
      </c>
      <c r="F2180" s="20">
        <f t="shared" si="33"/>
        <v>180436559</v>
      </c>
      <c r="G2180" s="7" t="s">
        <v>975</v>
      </c>
      <c r="H2180" s="24" t="s">
        <v>325</v>
      </c>
      <c r="I2180" s="32" t="s">
        <v>152</v>
      </c>
      <c r="K2180" s="181"/>
      <c r="L2180" s="181"/>
    </row>
    <row r="2181" spans="1:12" x14ac:dyDescent="0.35">
      <c r="A2181" s="19">
        <v>45988</v>
      </c>
      <c r="B2181" s="20">
        <v>2750000</v>
      </c>
      <c r="C2181" s="20"/>
      <c r="D2181" s="20"/>
      <c r="E2181" s="99" t="s">
        <v>977</v>
      </c>
      <c r="F2181" s="20">
        <f t="shared" si="33"/>
        <v>177686559</v>
      </c>
      <c r="G2181" s="7" t="s">
        <v>181</v>
      </c>
      <c r="H2181" s="24" t="s">
        <v>325</v>
      </c>
      <c r="I2181" s="32" t="s">
        <v>152</v>
      </c>
      <c r="K2181" s="181"/>
      <c r="L2181" s="181"/>
    </row>
    <row r="2182" spans="1:12" x14ac:dyDescent="0.35">
      <c r="A2182" s="19">
        <v>45988</v>
      </c>
      <c r="B2182" s="20">
        <v>9000</v>
      </c>
      <c r="C2182" s="20"/>
      <c r="D2182" s="20"/>
      <c r="E2182" s="99" t="s">
        <v>977</v>
      </c>
      <c r="F2182" s="20">
        <f t="shared" si="33"/>
        <v>177677559</v>
      </c>
      <c r="G2182" s="7" t="s">
        <v>423</v>
      </c>
      <c r="H2182" s="24" t="s">
        <v>320</v>
      </c>
      <c r="I2182" s="32" t="s">
        <v>152</v>
      </c>
      <c r="K2182" s="181"/>
      <c r="L2182" s="181"/>
    </row>
    <row r="2183" spans="1:12" x14ac:dyDescent="0.35">
      <c r="A2183" s="19">
        <v>45989</v>
      </c>
      <c r="B2183" s="20"/>
      <c r="C2183" s="20"/>
      <c r="D2183" s="20">
        <v>1000000</v>
      </c>
      <c r="E2183" s="99" t="s">
        <v>977</v>
      </c>
      <c r="F2183" s="20">
        <f t="shared" si="33"/>
        <v>178677559</v>
      </c>
      <c r="G2183" s="7" t="s">
        <v>561</v>
      </c>
      <c r="H2183" s="24" t="s">
        <v>109</v>
      </c>
      <c r="I2183" s="32" t="s">
        <v>152</v>
      </c>
      <c r="K2183" s="181"/>
      <c r="L2183" s="181"/>
    </row>
    <row r="2184" spans="1:12" x14ac:dyDescent="0.35">
      <c r="A2184" s="19">
        <v>45989</v>
      </c>
      <c r="B2184" s="20"/>
      <c r="C2184" s="20"/>
      <c r="D2184" s="20">
        <v>100000</v>
      </c>
      <c r="E2184" s="99" t="s">
        <v>977</v>
      </c>
      <c r="F2184" s="20">
        <f t="shared" si="33"/>
        <v>178777559</v>
      </c>
      <c r="G2184" s="7" t="s">
        <v>424</v>
      </c>
      <c r="H2184" s="24" t="s">
        <v>109</v>
      </c>
      <c r="I2184" s="32" t="s">
        <v>152</v>
      </c>
      <c r="K2184" s="181"/>
      <c r="L2184" s="181"/>
    </row>
    <row r="2185" spans="1:12" x14ac:dyDescent="0.35">
      <c r="A2185" s="19">
        <v>45989</v>
      </c>
      <c r="B2185" s="20"/>
      <c r="C2185" s="20"/>
      <c r="D2185" s="20">
        <v>500000</v>
      </c>
      <c r="E2185" s="99" t="s">
        <v>977</v>
      </c>
      <c r="F2185" s="20">
        <f t="shared" si="33"/>
        <v>179277559</v>
      </c>
      <c r="G2185" s="7" t="s">
        <v>609</v>
      </c>
      <c r="H2185" s="24" t="s">
        <v>109</v>
      </c>
      <c r="I2185" s="32" t="s">
        <v>152</v>
      </c>
      <c r="K2185" s="181"/>
      <c r="L2185" s="181"/>
    </row>
    <row r="2186" spans="1:12" x14ac:dyDescent="0.35">
      <c r="A2186" s="19">
        <v>45990</v>
      </c>
      <c r="B2186" s="20"/>
      <c r="C2186" s="20"/>
      <c r="D2186" s="20">
        <v>20000</v>
      </c>
      <c r="E2186" s="99" t="s">
        <v>977</v>
      </c>
      <c r="F2186" s="20">
        <f t="shared" si="33"/>
        <v>179297559</v>
      </c>
      <c r="G2186" s="7" t="s">
        <v>330</v>
      </c>
      <c r="H2186" s="24" t="s">
        <v>109</v>
      </c>
      <c r="I2186" s="32" t="s">
        <v>152</v>
      </c>
      <c r="K2186" s="181"/>
      <c r="L2186" s="181"/>
    </row>
    <row r="2187" spans="1:12" x14ac:dyDescent="0.35">
      <c r="A2187" s="19">
        <v>45990</v>
      </c>
      <c r="B2187" s="20"/>
      <c r="C2187" s="20"/>
      <c r="D2187" s="20">
        <v>50000</v>
      </c>
      <c r="E2187" s="99" t="s">
        <v>977</v>
      </c>
      <c r="F2187" s="20">
        <f t="shared" si="33"/>
        <v>179347559</v>
      </c>
      <c r="G2187" s="7" t="s">
        <v>330</v>
      </c>
      <c r="H2187" s="24" t="s">
        <v>109</v>
      </c>
      <c r="I2187" s="32" t="s">
        <v>152</v>
      </c>
      <c r="K2187" s="181"/>
      <c r="L2187" s="181"/>
    </row>
    <row r="2188" spans="1:12" x14ac:dyDescent="0.35">
      <c r="A2188" s="19">
        <v>45990</v>
      </c>
      <c r="B2188" s="20"/>
      <c r="C2188" s="20"/>
      <c r="D2188" s="20">
        <v>50000</v>
      </c>
      <c r="E2188" s="99" t="s">
        <v>977</v>
      </c>
      <c r="F2188" s="20">
        <f t="shared" ref="F2188:F2251" si="34">+F2187+D2188-B2188</f>
        <v>179397559</v>
      </c>
      <c r="G2188" s="7" t="s">
        <v>330</v>
      </c>
      <c r="H2188" s="24" t="s">
        <v>109</v>
      </c>
      <c r="I2188" s="32" t="s">
        <v>152</v>
      </c>
      <c r="K2188" s="181"/>
      <c r="L2188" s="181"/>
    </row>
    <row r="2189" spans="1:12" x14ac:dyDescent="0.35">
      <c r="A2189" s="19">
        <v>45990</v>
      </c>
      <c r="B2189" s="20"/>
      <c r="C2189" s="20"/>
      <c r="D2189" s="20">
        <v>10000</v>
      </c>
      <c r="E2189" s="99" t="s">
        <v>977</v>
      </c>
      <c r="F2189" s="20">
        <f t="shared" si="34"/>
        <v>179407559</v>
      </c>
      <c r="G2189" s="7" t="s">
        <v>330</v>
      </c>
      <c r="H2189" s="24" t="s">
        <v>109</v>
      </c>
      <c r="I2189" s="32" t="s">
        <v>152</v>
      </c>
      <c r="K2189" s="181"/>
      <c r="L2189" s="181"/>
    </row>
    <row r="2190" spans="1:12" x14ac:dyDescent="0.35">
      <c r="A2190" s="19">
        <v>45990</v>
      </c>
      <c r="B2190" s="20"/>
      <c r="C2190" s="20"/>
      <c r="D2190" s="20">
        <v>20000</v>
      </c>
      <c r="E2190" s="99" t="s">
        <v>977</v>
      </c>
      <c r="F2190" s="20">
        <f t="shared" si="34"/>
        <v>179427559</v>
      </c>
      <c r="G2190" s="7" t="s">
        <v>330</v>
      </c>
      <c r="H2190" s="24" t="s">
        <v>109</v>
      </c>
      <c r="I2190" s="32" t="s">
        <v>152</v>
      </c>
      <c r="K2190" s="181"/>
      <c r="L2190" s="181"/>
    </row>
    <row r="2191" spans="1:12" x14ac:dyDescent="0.35">
      <c r="A2191" s="19">
        <v>45990</v>
      </c>
      <c r="B2191" s="20"/>
      <c r="C2191" s="20"/>
      <c r="D2191" s="20">
        <v>1011</v>
      </c>
      <c r="E2191" s="99" t="s">
        <v>977</v>
      </c>
      <c r="F2191" s="20">
        <f t="shared" si="34"/>
        <v>179428570</v>
      </c>
      <c r="G2191" s="7" t="s">
        <v>330</v>
      </c>
      <c r="H2191" s="24" t="s">
        <v>109</v>
      </c>
      <c r="I2191" s="32" t="s">
        <v>152</v>
      </c>
      <c r="K2191" s="181"/>
      <c r="L2191" s="181"/>
    </row>
    <row r="2192" spans="1:12" x14ac:dyDescent="0.35">
      <c r="A2192" s="19">
        <v>45991</v>
      </c>
      <c r="B2192" s="20"/>
      <c r="C2192" s="20"/>
      <c r="D2192" s="20">
        <v>350000</v>
      </c>
      <c r="E2192" s="99" t="s">
        <v>977</v>
      </c>
      <c r="F2192" s="20">
        <f t="shared" si="34"/>
        <v>179778570</v>
      </c>
      <c r="G2192" s="7" t="s">
        <v>740</v>
      </c>
      <c r="H2192" s="24" t="s">
        <v>109</v>
      </c>
      <c r="I2192" s="32" t="s">
        <v>152</v>
      </c>
      <c r="K2192" s="181"/>
      <c r="L2192" s="181"/>
    </row>
    <row r="2193" spans="1:12" x14ac:dyDescent="0.35">
      <c r="A2193" s="19">
        <v>45991</v>
      </c>
      <c r="B2193" s="20">
        <v>2650000</v>
      </c>
      <c r="C2193" s="20"/>
      <c r="D2193" s="20"/>
      <c r="E2193" s="99" t="s">
        <v>977</v>
      </c>
      <c r="F2193" s="20">
        <f t="shared" si="34"/>
        <v>177128570</v>
      </c>
      <c r="G2193" s="7" t="s">
        <v>976</v>
      </c>
      <c r="H2193" s="24" t="s">
        <v>323</v>
      </c>
      <c r="I2193" s="32" t="s">
        <v>152</v>
      </c>
      <c r="K2193" s="181"/>
      <c r="L2193" s="181"/>
    </row>
    <row r="2194" spans="1:12" x14ac:dyDescent="0.35">
      <c r="A2194" s="19">
        <v>45991</v>
      </c>
      <c r="B2194" s="20">
        <v>6500</v>
      </c>
      <c r="C2194" s="20"/>
      <c r="D2194" s="20"/>
      <c r="E2194" s="99" t="s">
        <v>977</v>
      </c>
      <c r="F2194" s="20">
        <f t="shared" si="34"/>
        <v>177122070</v>
      </c>
      <c r="G2194" s="7" t="s">
        <v>976</v>
      </c>
      <c r="H2194" s="24" t="s">
        <v>323</v>
      </c>
      <c r="I2194" s="32" t="s">
        <v>152</v>
      </c>
      <c r="K2194" s="181"/>
      <c r="L2194" s="181"/>
    </row>
    <row r="2195" spans="1:12" x14ac:dyDescent="0.35">
      <c r="A2195" s="19">
        <v>45991</v>
      </c>
      <c r="B2195" s="20"/>
      <c r="C2195" s="20"/>
      <c r="D2195" s="20">
        <v>1011</v>
      </c>
      <c r="E2195" s="99" t="s">
        <v>977</v>
      </c>
      <c r="F2195" s="20">
        <f t="shared" si="34"/>
        <v>177123081</v>
      </c>
      <c r="G2195" s="7" t="s">
        <v>330</v>
      </c>
      <c r="H2195" s="24" t="s">
        <v>109</v>
      </c>
      <c r="I2195" s="32" t="s">
        <v>152</v>
      </c>
      <c r="K2195" s="181"/>
      <c r="L2195" s="181"/>
    </row>
    <row r="2196" spans="1:12" x14ac:dyDescent="0.35">
      <c r="A2196" s="19">
        <v>45991</v>
      </c>
      <c r="B2196" s="20"/>
      <c r="C2196" s="20"/>
      <c r="D2196" s="20">
        <v>20000</v>
      </c>
      <c r="E2196" s="99" t="s">
        <v>977</v>
      </c>
      <c r="F2196" s="20">
        <f t="shared" si="34"/>
        <v>177143081</v>
      </c>
      <c r="G2196" s="7" t="s">
        <v>330</v>
      </c>
      <c r="H2196" s="24" t="s">
        <v>109</v>
      </c>
      <c r="I2196" s="32" t="s">
        <v>152</v>
      </c>
      <c r="K2196" s="181"/>
      <c r="L2196" s="181"/>
    </row>
    <row r="2197" spans="1:12" x14ac:dyDescent="0.35">
      <c r="A2197" s="19">
        <v>45992</v>
      </c>
      <c r="B2197" s="20"/>
      <c r="C2197" s="20"/>
      <c r="D2197" s="20">
        <v>200000</v>
      </c>
      <c r="E2197" s="99" t="s">
        <v>1010</v>
      </c>
      <c r="F2197" s="20">
        <f t="shared" si="34"/>
        <v>177343081</v>
      </c>
      <c r="G2197" s="7" t="s">
        <v>866</v>
      </c>
      <c r="H2197" s="24" t="s">
        <v>109</v>
      </c>
      <c r="I2197" s="32" t="s">
        <v>152</v>
      </c>
      <c r="K2197" s="181"/>
      <c r="L2197" s="181"/>
    </row>
    <row r="2198" spans="1:12" x14ac:dyDescent="0.35">
      <c r="A2198" s="19">
        <v>45992</v>
      </c>
      <c r="B2198" s="20"/>
      <c r="C2198" s="20"/>
      <c r="D2198" s="20">
        <v>20000</v>
      </c>
      <c r="E2198" s="99" t="s">
        <v>1010</v>
      </c>
      <c r="F2198" s="20">
        <f t="shared" si="34"/>
        <v>177363081</v>
      </c>
      <c r="G2198" s="7" t="s">
        <v>330</v>
      </c>
      <c r="H2198" s="24" t="s">
        <v>109</v>
      </c>
      <c r="I2198" s="32" t="s">
        <v>152</v>
      </c>
      <c r="K2198" s="181"/>
      <c r="L2198" s="181"/>
    </row>
    <row r="2199" spans="1:12" x14ac:dyDescent="0.35">
      <c r="A2199" s="19">
        <v>45992</v>
      </c>
      <c r="B2199" s="20"/>
      <c r="C2199" s="20"/>
      <c r="D2199" s="20">
        <v>25000</v>
      </c>
      <c r="E2199" s="99" t="s">
        <v>1010</v>
      </c>
      <c r="F2199" s="20">
        <f t="shared" si="34"/>
        <v>177388081</v>
      </c>
      <c r="G2199" s="7" t="s">
        <v>330</v>
      </c>
      <c r="H2199" s="24" t="s">
        <v>109</v>
      </c>
      <c r="I2199" s="32" t="s">
        <v>152</v>
      </c>
      <c r="K2199" s="181"/>
      <c r="L2199" s="181"/>
    </row>
    <row r="2200" spans="1:12" x14ac:dyDescent="0.35">
      <c r="A2200" s="19">
        <v>45992</v>
      </c>
      <c r="B2200" s="20"/>
      <c r="C2200" s="20"/>
      <c r="D2200" s="20">
        <v>1011</v>
      </c>
      <c r="E2200" s="99" t="s">
        <v>1010</v>
      </c>
      <c r="F2200" s="20">
        <f t="shared" si="34"/>
        <v>177389092</v>
      </c>
      <c r="G2200" s="7" t="s">
        <v>330</v>
      </c>
      <c r="H2200" s="24" t="s">
        <v>109</v>
      </c>
      <c r="I2200" s="32" t="s">
        <v>152</v>
      </c>
      <c r="K2200" s="181"/>
      <c r="L2200" s="181"/>
    </row>
    <row r="2201" spans="1:12" x14ac:dyDescent="0.35">
      <c r="A2201" s="19">
        <v>45992</v>
      </c>
      <c r="B2201" s="20"/>
      <c r="C2201" s="20"/>
      <c r="D2201" s="20">
        <v>300000</v>
      </c>
      <c r="E2201" s="99" t="s">
        <v>1010</v>
      </c>
      <c r="F2201" s="20">
        <f t="shared" si="34"/>
        <v>177689092</v>
      </c>
      <c r="G2201" s="7" t="s">
        <v>577</v>
      </c>
      <c r="H2201" s="24" t="s">
        <v>109</v>
      </c>
      <c r="I2201" s="32" t="s">
        <v>152</v>
      </c>
      <c r="K2201" s="181"/>
      <c r="L2201" s="181"/>
    </row>
    <row r="2202" spans="1:12" x14ac:dyDescent="0.35">
      <c r="A2202" s="19">
        <v>45992</v>
      </c>
      <c r="B2202" s="20"/>
      <c r="C2202" s="20"/>
      <c r="D2202" s="20">
        <v>500000</v>
      </c>
      <c r="E2202" s="99" t="s">
        <v>1010</v>
      </c>
      <c r="F2202" s="20">
        <f t="shared" si="34"/>
        <v>178189092</v>
      </c>
      <c r="G2202" s="7" t="s">
        <v>579</v>
      </c>
      <c r="H2202" s="24" t="s">
        <v>109</v>
      </c>
      <c r="I2202" s="32" t="s">
        <v>152</v>
      </c>
      <c r="K2202" s="181"/>
      <c r="L2202" s="181"/>
    </row>
    <row r="2203" spans="1:12" x14ac:dyDescent="0.35">
      <c r="A2203" s="19">
        <v>45992</v>
      </c>
      <c r="B2203" s="20"/>
      <c r="C2203" s="20"/>
      <c r="D2203" s="20">
        <f>2537000-950000</f>
        <v>1587000</v>
      </c>
      <c r="E2203" s="99" t="s">
        <v>1010</v>
      </c>
      <c r="F2203" s="20">
        <f t="shared" si="34"/>
        <v>179776092</v>
      </c>
      <c r="G2203" s="7"/>
      <c r="H2203" s="24" t="s">
        <v>107</v>
      </c>
      <c r="I2203" s="32" t="s">
        <v>152</v>
      </c>
      <c r="K2203" s="181"/>
      <c r="L2203" s="181"/>
    </row>
    <row r="2204" spans="1:12" x14ac:dyDescent="0.35">
      <c r="A2204" s="19">
        <v>45992</v>
      </c>
      <c r="B2204" s="20"/>
      <c r="C2204" s="20"/>
      <c r="D2204" s="20">
        <v>807000</v>
      </c>
      <c r="E2204" s="99" t="s">
        <v>1010</v>
      </c>
      <c r="F2204" s="20">
        <f t="shared" si="34"/>
        <v>180583092</v>
      </c>
      <c r="G2204" s="7"/>
      <c r="H2204" s="24" t="s">
        <v>109</v>
      </c>
      <c r="I2204" s="32" t="s">
        <v>152</v>
      </c>
      <c r="K2204" s="181"/>
      <c r="L2204" s="181"/>
    </row>
    <row r="2205" spans="1:12" x14ac:dyDescent="0.35">
      <c r="A2205" s="19"/>
      <c r="B2205" s="20"/>
      <c r="C2205" s="20">
        <v>2394000</v>
      </c>
      <c r="D2205" s="20"/>
      <c r="E2205" s="99"/>
      <c r="F2205" s="20">
        <f t="shared" si="34"/>
        <v>180583092</v>
      </c>
      <c r="G2205" s="7" t="s">
        <v>993</v>
      </c>
      <c r="H2205" s="24"/>
      <c r="I2205" s="32"/>
      <c r="K2205" s="181"/>
      <c r="L2205" s="181"/>
    </row>
    <row r="2206" spans="1:12" x14ac:dyDescent="0.35">
      <c r="A2206" s="19">
        <v>45993</v>
      </c>
      <c r="B2206" s="20"/>
      <c r="C2206" s="20"/>
      <c r="D2206" s="20">
        <v>10000</v>
      </c>
      <c r="E2206" s="99" t="s">
        <v>1010</v>
      </c>
      <c r="F2206" s="20">
        <f t="shared" si="34"/>
        <v>180593092</v>
      </c>
      <c r="G2206" s="7" t="s">
        <v>330</v>
      </c>
      <c r="H2206" s="24" t="s">
        <v>109</v>
      </c>
      <c r="I2206" s="32" t="s">
        <v>152</v>
      </c>
      <c r="K2206" s="181"/>
      <c r="L2206" s="181"/>
    </row>
    <row r="2207" spans="1:12" x14ac:dyDescent="0.35">
      <c r="A2207" s="19">
        <v>45994</v>
      </c>
      <c r="B2207" s="20"/>
      <c r="C2207" s="20"/>
      <c r="D2207" s="20">
        <v>200000</v>
      </c>
      <c r="E2207" s="99" t="s">
        <v>1010</v>
      </c>
      <c r="F2207" s="20">
        <f t="shared" si="34"/>
        <v>180793092</v>
      </c>
      <c r="G2207" s="7" t="s">
        <v>333</v>
      </c>
      <c r="H2207" s="24" t="s">
        <v>109</v>
      </c>
      <c r="I2207" s="32" t="s">
        <v>152</v>
      </c>
      <c r="K2207" s="181"/>
      <c r="L2207" s="181"/>
    </row>
    <row r="2208" spans="1:12" x14ac:dyDescent="0.35">
      <c r="A2208" s="19">
        <v>45994</v>
      </c>
      <c r="B2208" s="20"/>
      <c r="C2208" s="20"/>
      <c r="D2208" s="20">
        <v>1011</v>
      </c>
      <c r="E2208" s="99" t="s">
        <v>1010</v>
      </c>
      <c r="F2208" s="20">
        <f t="shared" si="34"/>
        <v>180794103</v>
      </c>
      <c r="G2208" s="7" t="s">
        <v>330</v>
      </c>
      <c r="H2208" s="24" t="s">
        <v>109</v>
      </c>
      <c r="I2208" s="32" t="s">
        <v>152</v>
      </c>
      <c r="K2208" s="181"/>
      <c r="L2208" s="181"/>
    </row>
    <row r="2209" spans="1:12" x14ac:dyDescent="0.35">
      <c r="A2209" s="19">
        <v>45994</v>
      </c>
      <c r="B2209" s="20"/>
      <c r="C2209" s="20"/>
      <c r="D2209" s="20">
        <v>40000</v>
      </c>
      <c r="E2209" s="99" t="s">
        <v>1010</v>
      </c>
      <c r="F2209" s="20">
        <f t="shared" si="34"/>
        <v>180834103</v>
      </c>
      <c r="G2209" s="7" t="s">
        <v>330</v>
      </c>
      <c r="H2209" s="24" t="s">
        <v>109</v>
      </c>
      <c r="I2209" s="32" t="s">
        <v>152</v>
      </c>
      <c r="K2209" s="181"/>
      <c r="L2209" s="181"/>
    </row>
    <row r="2210" spans="1:12" x14ac:dyDescent="0.35">
      <c r="A2210" s="19">
        <v>45994</v>
      </c>
      <c r="B2210" s="20"/>
      <c r="C2210" s="20"/>
      <c r="D2210" s="20">
        <v>10000</v>
      </c>
      <c r="E2210" s="99" t="s">
        <v>1010</v>
      </c>
      <c r="F2210" s="20">
        <f t="shared" si="34"/>
        <v>180844103</v>
      </c>
      <c r="G2210" s="7" t="s">
        <v>330</v>
      </c>
      <c r="H2210" s="24" t="s">
        <v>109</v>
      </c>
      <c r="I2210" s="32" t="s">
        <v>152</v>
      </c>
      <c r="K2210" s="181"/>
      <c r="L2210" s="181"/>
    </row>
    <row r="2211" spans="1:12" x14ac:dyDescent="0.35">
      <c r="A2211" s="19">
        <v>45994</v>
      </c>
      <c r="B2211" s="20"/>
      <c r="C2211" s="20"/>
      <c r="D2211" s="20">
        <v>20000</v>
      </c>
      <c r="E2211" s="99" t="s">
        <v>1010</v>
      </c>
      <c r="F2211" s="20">
        <f t="shared" si="34"/>
        <v>180864103</v>
      </c>
      <c r="G2211" s="7" t="s">
        <v>330</v>
      </c>
      <c r="H2211" s="24" t="s">
        <v>109</v>
      </c>
      <c r="I2211" s="32" t="s">
        <v>152</v>
      </c>
      <c r="K2211" s="181"/>
      <c r="L2211" s="181"/>
    </row>
    <row r="2212" spans="1:12" x14ac:dyDescent="0.35">
      <c r="A2212" s="19">
        <v>45994</v>
      </c>
      <c r="B2212" s="20"/>
      <c r="C2212" s="20"/>
      <c r="D2212" s="20">
        <v>600000</v>
      </c>
      <c r="E2212" s="99" t="s">
        <v>1010</v>
      </c>
      <c r="F2212" s="20">
        <f t="shared" si="34"/>
        <v>181464103</v>
      </c>
      <c r="G2212" s="7" t="s">
        <v>994</v>
      </c>
      <c r="H2212" s="24" t="s">
        <v>109</v>
      </c>
      <c r="I2212" s="32" t="s">
        <v>152</v>
      </c>
      <c r="K2212" s="181"/>
      <c r="L2212" s="181"/>
    </row>
    <row r="2213" spans="1:12" x14ac:dyDescent="0.35">
      <c r="A2213" s="19">
        <v>45994</v>
      </c>
      <c r="B2213" s="20"/>
      <c r="C2213" s="20"/>
      <c r="D2213" s="20">
        <v>200000</v>
      </c>
      <c r="E2213" s="99" t="s">
        <v>1010</v>
      </c>
      <c r="F2213" s="20">
        <f t="shared" si="34"/>
        <v>181664103</v>
      </c>
      <c r="G2213" s="7" t="s">
        <v>531</v>
      </c>
      <c r="H2213" s="24" t="s">
        <v>109</v>
      </c>
      <c r="I2213" s="32" t="s">
        <v>152</v>
      </c>
      <c r="K2213" s="181"/>
      <c r="L2213" s="181"/>
    </row>
    <row r="2214" spans="1:12" x14ac:dyDescent="0.35">
      <c r="A2214" s="19">
        <v>45995</v>
      </c>
      <c r="B2214" s="20"/>
      <c r="C2214" s="20"/>
      <c r="D2214" s="20">
        <v>1011</v>
      </c>
      <c r="E2214" s="99" t="s">
        <v>1010</v>
      </c>
      <c r="F2214" s="20">
        <f t="shared" si="34"/>
        <v>181665114</v>
      </c>
      <c r="G2214" s="7" t="s">
        <v>330</v>
      </c>
      <c r="H2214" s="24" t="s">
        <v>109</v>
      </c>
      <c r="I2214" s="32" t="s">
        <v>152</v>
      </c>
      <c r="K2214" s="181"/>
      <c r="L2214" s="181"/>
    </row>
    <row r="2215" spans="1:12" x14ac:dyDescent="0.35">
      <c r="A2215" s="19">
        <v>45995</v>
      </c>
      <c r="B2215" s="20"/>
      <c r="C2215" s="20"/>
      <c r="D2215" s="20">
        <v>10000</v>
      </c>
      <c r="E2215" s="99" t="s">
        <v>1010</v>
      </c>
      <c r="F2215" s="20">
        <f t="shared" si="34"/>
        <v>181675114</v>
      </c>
      <c r="G2215" s="7" t="s">
        <v>330</v>
      </c>
      <c r="H2215" s="24" t="s">
        <v>109</v>
      </c>
      <c r="I2215" s="32" t="s">
        <v>152</v>
      </c>
      <c r="K2215" s="181"/>
      <c r="L2215" s="181"/>
    </row>
    <row r="2216" spans="1:12" x14ac:dyDescent="0.35">
      <c r="A2216" s="19">
        <v>45995</v>
      </c>
      <c r="B2216" s="20"/>
      <c r="C2216" s="20"/>
      <c r="D2216" s="20">
        <v>50000</v>
      </c>
      <c r="E2216" s="99" t="s">
        <v>1010</v>
      </c>
      <c r="F2216" s="20">
        <f t="shared" si="34"/>
        <v>181725114</v>
      </c>
      <c r="G2216" s="7" t="s">
        <v>330</v>
      </c>
      <c r="H2216" s="24" t="s">
        <v>109</v>
      </c>
      <c r="I2216" s="32" t="s">
        <v>152</v>
      </c>
      <c r="K2216" s="181"/>
      <c r="L2216" s="181"/>
    </row>
    <row r="2217" spans="1:12" x14ac:dyDescent="0.35">
      <c r="A2217" s="19">
        <v>45995</v>
      </c>
      <c r="B2217" s="20"/>
      <c r="C2217" s="20"/>
      <c r="D2217" s="20">
        <v>20000</v>
      </c>
      <c r="E2217" s="99" t="s">
        <v>1010</v>
      </c>
      <c r="F2217" s="20">
        <f t="shared" si="34"/>
        <v>181745114</v>
      </c>
      <c r="G2217" s="7" t="s">
        <v>330</v>
      </c>
      <c r="H2217" s="24" t="s">
        <v>109</v>
      </c>
      <c r="I2217" s="32" t="s">
        <v>152</v>
      </c>
      <c r="K2217" s="181"/>
      <c r="L2217" s="181"/>
    </row>
    <row r="2218" spans="1:12" x14ac:dyDescent="0.35">
      <c r="A2218" s="19">
        <v>45996</v>
      </c>
      <c r="B2218" s="20"/>
      <c r="C2218" s="20"/>
      <c r="D2218" s="20">
        <v>20000</v>
      </c>
      <c r="E2218" s="99" t="s">
        <v>1010</v>
      </c>
      <c r="F2218" s="20">
        <f t="shared" si="34"/>
        <v>181765114</v>
      </c>
      <c r="G2218" s="7" t="s">
        <v>330</v>
      </c>
      <c r="H2218" s="24" t="s">
        <v>109</v>
      </c>
      <c r="I2218" s="32" t="s">
        <v>152</v>
      </c>
      <c r="K2218" s="181"/>
      <c r="L2218" s="181"/>
    </row>
    <row r="2219" spans="1:12" x14ac:dyDescent="0.35">
      <c r="A2219" s="19">
        <v>45996</v>
      </c>
      <c r="B2219" s="20"/>
      <c r="C2219" s="20"/>
      <c r="D2219" s="20">
        <v>10000</v>
      </c>
      <c r="E2219" s="99" t="s">
        <v>1010</v>
      </c>
      <c r="F2219" s="20">
        <f t="shared" si="34"/>
        <v>181775114</v>
      </c>
      <c r="G2219" s="7" t="s">
        <v>330</v>
      </c>
      <c r="H2219" s="24" t="s">
        <v>109</v>
      </c>
      <c r="I2219" s="32" t="s">
        <v>152</v>
      </c>
      <c r="K2219" s="181"/>
      <c r="L2219" s="181"/>
    </row>
    <row r="2220" spans="1:12" x14ac:dyDescent="0.35">
      <c r="A2220" s="19">
        <v>45996</v>
      </c>
      <c r="B2220" s="20"/>
      <c r="C2220" s="20"/>
      <c r="D2220" s="20">
        <v>1011</v>
      </c>
      <c r="E2220" s="99" t="s">
        <v>1010</v>
      </c>
      <c r="F2220" s="20">
        <f t="shared" si="34"/>
        <v>181776125</v>
      </c>
      <c r="G2220" s="7" t="s">
        <v>330</v>
      </c>
      <c r="H2220" s="24" t="s">
        <v>109</v>
      </c>
      <c r="I2220" s="32" t="s">
        <v>152</v>
      </c>
      <c r="K2220" s="181"/>
      <c r="L2220" s="181"/>
    </row>
    <row r="2221" spans="1:12" x14ac:dyDescent="0.35">
      <c r="A2221" s="19">
        <v>45996</v>
      </c>
      <c r="B2221" s="20"/>
      <c r="C2221" s="20"/>
      <c r="D2221" s="20">
        <v>500000</v>
      </c>
      <c r="E2221" s="99" t="s">
        <v>1010</v>
      </c>
      <c r="F2221" s="20">
        <f t="shared" si="34"/>
        <v>182276125</v>
      </c>
      <c r="G2221" s="7" t="s">
        <v>675</v>
      </c>
      <c r="H2221" s="24" t="s">
        <v>109</v>
      </c>
      <c r="I2221" s="32" t="s">
        <v>152</v>
      </c>
      <c r="K2221" s="181"/>
      <c r="L2221" s="181"/>
    </row>
    <row r="2222" spans="1:12" x14ac:dyDescent="0.35">
      <c r="A2222" s="19">
        <v>45997</v>
      </c>
      <c r="B2222" s="20">
        <v>750000</v>
      </c>
      <c r="C2222" s="20"/>
      <c r="D2222" s="20"/>
      <c r="E2222" s="99" t="s">
        <v>1010</v>
      </c>
      <c r="F2222" s="20">
        <f t="shared" si="34"/>
        <v>181526125</v>
      </c>
      <c r="G2222" s="7" t="s">
        <v>818</v>
      </c>
      <c r="H2222" s="24" t="s">
        <v>323</v>
      </c>
      <c r="I2222" s="32" t="s">
        <v>152</v>
      </c>
      <c r="K2222" s="181"/>
      <c r="L2222" s="181"/>
    </row>
    <row r="2223" spans="1:12" x14ac:dyDescent="0.35">
      <c r="A2223" s="19">
        <v>45997</v>
      </c>
      <c r="B2223" s="20">
        <v>6500</v>
      </c>
      <c r="C2223" s="20"/>
      <c r="D2223" s="20"/>
      <c r="E2223" s="99" t="s">
        <v>1010</v>
      </c>
      <c r="F2223" s="20">
        <f t="shared" si="34"/>
        <v>181519625</v>
      </c>
      <c r="G2223" s="7" t="s">
        <v>818</v>
      </c>
      <c r="H2223" s="24" t="s">
        <v>323</v>
      </c>
      <c r="I2223" s="32" t="s">
        <v>152</v>
      </c>
      <c r="K2223" s="181"/>
      <c r="L2223" s="181"/>
    </row>
    <row r="2224" spans="1:12" x14ac:dyDescent="0.35">
      <c r="A2224" s="19">
        <v>45997</v>
      </c>
      <c r="B2224" s="20"/>
      <c r="C2224" s="20"/>
      <c r="D2224" s="20">
        <v>400000</v>
      </c>
      <c r="E2224" s="99" t="s">
        <v>1010</v>
      </c>
      <c r="F2224" s="20">
        <f t="shared" si="34"/>
        <v>181919625</v>
      </c>
      <c r="G2224" s="7" t="s">
        <v>995</v>
      </c>
      <c r="H2224" s="24" t="s">
        <v>109</v>
      </c>
      <c r="I2224" s="32" t="s">
        <v>152</v>
      </c>
      <c r="K2224" s="181"/>
      <c r="L2224" s="181"/>
    </row>
    <row r="2225" spans="1:12" x14ac:dyDescent="0.35">
      <c r="A2225" s="19">
        <v>45997</v>
      </c>
      <c r="B2225" s="20"/>
      <c r="C2225" s="20"/>
      <c r="D2225" s="20">
        <v>5000</v>
      </c>
      <c r="E2225" s="99" t="s">
        <v>1010</v>
      </c>
      <c r="F2225" s="20">
        <f t="shared" si="34"/>
        <v>181924625</v>
      </c>
      <c r="G2225" s="7" t="s">
        <v>330</v>
      </c>
      <c r="H2225" s="24" t="s">
        <v>109</v>
      </c>
      <c r="I2225" s="32" t="s">
        <v>152</v>
      </c>
      <c r="K2225" s="181"/>
      <c r="L2225" s="181"/>
    </row>
    <row r="2226" spans="1:12" x14ac:dyDescent="0.35">
      <c r="A2226" s="19">
        <v>45997</v>
      </c>
      <c r="B2226" s="20"/>
      <c r="C2226" s="20"/>
      <c r="D2226" s="20">
        <v>50000</v>
      </c>
      <c r="E2226" s="99" t="s">
        <v>1010</v>
      </c>
      <c r="F2226" s="20">
        <f t="shared" si="34"/>
        <v>181974625</v>
      </c>
      <c r="G2226" s="7" t="s">
        <v>330</v>
      </c>
      <c r="H2226" s="24" t="s">
        <v>109</v>
      </c>
      <c r="I2226" s="32" t="s">
        <v>152</v>
      </c>
      <c r="K2226" s="181"/>
      <c r="L2226" s="181"/>
    </row>
    <row r="2227" spans="1:12" x14ac:dyDescent="0.35">
      <c r="A2227" s="19">
        <v>45997</v>
      </c>
      <c r="B2227" s="20"/>
      <c r="C2227" s="20"/>
      <c r="D2227" s="20">
        <v>50000</v>
      </c>
      <c r="E2227" s="99" t="s">
        <v>1010</v>
      </c>
      <c r="F2227" s="20">
        <f t="shared" si="34"/>
        <v>182024625</v>
      </c>
      <c r="G2227" s="7" t="s">
        <v>330</v>
      </c>
      <c r="H2227" s="24" t="s">
        <v>109</v>
      </c>
      <c r="I2227" s="32" t="s">
        <v>152</v>
      </c>
      <c r="K2227" s="181"/>
      <c r="L2227" s="181"/>
    </row>
    <row r="2228" spans="1:12" x14ac:dyDescent="0.35">
      <c r="A2228" s="19">
        <v>45997</v>
      </c>
      <c r="B2228" s="20"/>
      <c r="C2228" s="20"/>
      <c r="D2228" s="20">
        <v>100000</v>
      </c>
      <c r="E2228" s="99" t="s">
        <v>1010</v>
      </c>
      <c r="F2228" s="20">
        <f t="shared" si="34"/>
        <v>182124625</v>
      </c>
      <c r="G2228" s="7" t="s">
        <v>330</v>
      </c>
      <c r="H2228" s="24" t="s">
        <v>109</v>
      </c>
      <c r="I2228" s="32" t="s">
        <v>152</v>
      </c>
      <c r="K2228" s="181"/>
      <c r="L2228" s="181"/>
    </row>
    <row r="2229" spans="1:12" x14ac:dyDescent="0.35">
      <c r="A2229" s="19">
        <v>45997</v>
      </c>
      <c r="B2229" s="20"/>
      <c r="C2229" s="20"/>
      <c r="D2229" s="20">
        <v>25000</v>
      </c>
      <c r="E2229" s="99" t="s">
        <v>1010</v>
      </c>
      <c r="F2229" s="20">
        <f t="shared" si="34"/>
        <v>182149625</v>
      </c>
      <c r="G2229" s="7" t="s">
        <v>330</v>
      </c>
      <c r="H2229" s="24" t="s">
        <v>109</v>
      </c>
      <c r="I2229" s="32" t="s">
        <v>152</v>
      </c>
      <c r="K2229" s="181"/>
      <c r="L2229" s="181"/>
    </row>
    <row r="2230" spans="1:12" x14ac:dyDescent="0.35">
      <c r="A2230" s="19">
        <v>45997</v>
      </c>
      <c r="B2230" s="20"/>
      <c r="C2230" s="20"/>
      <c r="D2230" s="20">
        <v>20000</v>
      </c>
      <c r="E2230" s="99" t="s">
        <v>1010</v>
      </c>
      <c r="F2230" s="20">
        <f t="shared" si="34"/>
        <v>182169625</v>
      </c>
      <c r="G2230" s="7" t="s">
        <v>330</v>
      </c>
      <c r="H2230" s="24" t="s">
        <v>109</v>
      </c>
      <c r="I2230" s="32" t="s">
        <v>152</v>
      </c>
      <c r="K2230" s="181"/>
      <c r="L2230" s="181"/>
    </row>
    <row r="2231" spans="1:12" x14ac:dyDescent="0.35">
      <c r="A2231" s="19">
        <v>45997</v>
      </c>
      <c r="B2231" s="20"/>
      <c r="C2231" s="20"/>
      <c r="D2231" s="20">
        <v>10000</v>
      </c>
      <c r="E2231" s="99" t="s">
        <v>1010</v>
      </c>
      <c r="F2231" s="20">
        <f t="shared" si="34"/>
        <v>182179625</v>
      </c>
      <c r="G2231" s="7" t="s">
        <v>330</v>
      </c>
      <c r="H2231" s="24" t="s">
        <v>109</v>
      </c>
      <c r="I2231" s="32" t="s">
        <v>152</v>
      </c>
      <c r="K2231" s="181"/>
      <c r="L2231" s="181"/>
    </row>
    <row r="2232" spans="1:12" x14ac:dyDescent="0.35">
      <c r="A2232" s="19">
        <v>45997</v>
      </c>
      <c r="B2232" s="20"/>
      <c r="C2232" s="20"/>
      <c r="D2232" s="20">
        <v>1011</v>
      </c>
      <c r="E2232" s="99" t="s">
        <v>1010</v>
      </c>
      <c r="F2232" s="20">
        <f t="shared" si="34"/>
        <v>182180636</v>
      </c>
      <c r="G2232" s="7" t="s">
        <v>330</v>
      </c>
      <c r="H2232" s="24" t="s">
        <v>109</v>
      </c>
      <c r="I2232" s="32" t="s">
        <v>152</v>
      </c>
      <c r="K2232" s="181"/>
      <c r="L2232" s="181"/>
    </row>
    <row r="2233" spans="1:12" x14ac:dyDescent="0.35">
      <c r="A2233" s="19">
        <v>45998</v>
      </c>
      <c r="B2233" s="20">
        <v>750000</v>
      </c>
      <c r="C2233" s="20"/>
      <c r="D2233" s="20"/>
      <c r="E2233" s="99" t="s">
        <v>1010</v>
      </c>
      <c r="F2233" s="20">
        <f t="shared" si="34"/>
        <v>181430636</v>
      </c>
      <c r="G2233" s="7" t="s">
        <v>869</v>
      </c>
      <c r="H2233" s="24" t="s">
        <v>323</v>
      </c>
      <c r="I2233" s="32" t="s">
        <v>152</v>
      </c>
      <c r="K2233" s="181"/>
      <c r="L2233" s="181"/>
    </row>
    <row r="2234" spans="1:12" x14ac:dyDescent="0.35">
      <c r="A2234" s="19">
        <v>45998</v>
      </c>
      <c r="B2234" s="20">
        <v>6500</v>
      </c>
      <c r="C2234" s="20"/>
      <c r="D2234" s="20"/>
      <c r="E2234" s="99" t="s">
        <v>1010</v>
      </c>
      <c r="F2234" s="20">
        <f t="shared" si="34"/>
        <v>181424136</v>
      </c>
      <c r="G2234" s="7" t="s">
        <v>869</v>
      </c>
      <c r="H2234" s="24" t="s">
        <v>323</v>
      </c>
      <c r="I2234" s="32" t="s">
        <v>152</v>
      </c>
      <c r="K2234" s="181"/>
      <c r="L2234" s="181"/>
    </row>
    <row r="2235" spans="1:12" x14ac:dyDescent="0.35">
      <c r="A2235" s="19">
        <v>45998</v>
      </c>
      <c r="B2235" s="20"/>
      <c r="C2235" s="20"/>
      <c r="D2235" s="20">
        <v>25000</v>
      </c>
      <c r="E2235" s="99" t="s">
        <v>1010</v>
      </c>
      <c r="F2235" s="20">
        <f t="shared" si="34"/>
        <v>181449136</v>
      </c>
      <c r="G2235" s="7" t="s">
        <v>330</v>
      </c>
      <c r="H2235" s="24" t="s">
        <v>109</v>
      </c>
      <c r="I2235" s="32" t="s">
        <v>152</v>
      </c>
      <c r="K2235" s="181"/>
      <c r="L2235" s="181"/>
    </row>
    <row r="2236" spans="1:12" x14ac:dyDescent="0.35">
      <c r="A2236" s="19">
        <v>45998</v>
      </c>
      <c r="B2236" s="20"/>
      <c r="C2236" s="20"/>
      <c r="D2236" s="20">
        <v>1011</v>
      </c>
      <c r="E2236" s="99" t="s">
        <v>1010</v>
      </c>
      <c r="F2236" s="20">
        <f t="shared" si="34"/>
        <v>181450147</v>
      </c>
      <c r="G2236" s="7" t="s">
        <v>330</v>
      </c>
      <c r="H2236" s="24" t="s">
        <v>109</v>
      </c>
      <c r="I2236" s="32" t="s">
        <v>152</v>
      </c>
      <c r="K2236" s="181"/>
      <c r="L2236" s="181"/>
    </row>
    <row r="2237" spans="1:12" x14ac:dyDescent="0.35">
      <c r="A2237" s="19">
        <v>45998</v>
      </c>
      <c r="B2237" s="20"/>
      <c r="C2237" s="20"/>
      <c r="D2237" s="20">
        <v>20000</v>
      </c>
      <c r="E2237" s="99" t="s">
        <v>1010</v>
      </c>
      <c r="F2237" s="20">
        <f t="shared" si="34"/>
        <v>181470147</v>
      </c>
      <c r="G2237" s="7" t="s">
        <v>330</v>
      </c>
      <c r="H2237" s="24" t="s">
        <v>109</v>
      </c>
      <c r="I2237" s="32" t="s">
        <v>152</v>
      </c>
      <c r="K2237" s="181"/>
      <c r="L2237" s="181"/>
    </row>
    <row r="2238" spans="1:12" x14ac:dyDescent="0.35">
      <c r="A2238" s="19">
        <v>45998</v>
      </c>
      <c r="B2238" s="20"/>
      <c r="C2238" s="20"/>
      <c r="D2238" s="20">
        <v>10000</v>
      </c>
      <c r="E2238" s="99" t="s">
        <v>1010</v>
      </c>
      <c r="F2238" s="20">
        <f t="shared" si="34"/>
        <v>181480147</v>
      </c>
      <c r="G2238" s="7" t="s">
        <v>330</v>
      </c>
      <c r="H2238" s="24" t="s">
        <v>109</v>
      </c>
      <c r="I2238" s="32" t="s">
        <v>152</v>
      </c>
      <c r="K2238" s="181"/>
      <c r="L2238" s="181"/>
    </row>
    <row r="2239" spans="1:12" x14ac:dyDescent="0.35">
      <c r="A2239" s="19">
        <v>45999</v>
      </c>
      <c r="B2239" s="20"/>
      <c r="C2239" s="20"/>
      <c r="D2239" s="20">
        <v>25000</v>
      </c>
      <c r="E2239" s="99" t="s">
        <v>1010</v>
      </c>
      <c r="F2239" s="20">
        <f t="shared" si="34"/>
        <v>181505147</v>
      </c>
      <c r="G2239" s="7" t="s">
        <v>330</v>
      </c>
      <c r="H2239" s="24" t="s">
        <v>109</v>
      </c>
      <c r="I2239" s="32" t="s">
        <v>152</v>
      </c>
      <c r="K2239" s="181"/>
      <c r="L2239" s="181"/>
    </row>
    <row r="2240" spans="1:12" x14ac:dyDescent="0.35">
      <c r="A2240" s="19">
        <v>45999</v>
      </c>
      <c r="B2240" s="20"/>
      <c r="C2240" s="20"/>
      <c r="D2240" s="20">
        <v>20000</v>
      </c>
      <c r="E2240" s="99" t="s">
        <v>1010</v>
      </c>
      <c r="F2240" s="20">
        <f t="shared" si="34"/>
        <v>181525147</v>
      </c>
      <c r="G2240" s="7" t="s">
        <v>330</v>
      </c>
      <c r="H2240" s="24" t="s">
        <v>109</v>
      </c>
      <c r="I2240" s="32" t="s">
        <v>152</v>
      </c>
      <c r="K2240" s="181"/>
      <c r="L2240" s="181"/>
    </row>
    <row r="2241" spans="1:12" x14ac:dyDescent="0.35">
      <c r="A2241" s="19">
        <v>45999</v>
      </c>
      <c r="B2241" s="20"/>
      <c r="C2241" s="20"/>
      <c r="D2241" s="20">
        <v>10000</v>
      </c>
      <c r="E2241" s="99" t="s">
        <v>1010</v>
      </c>
      <c r="F2241" s="20">
        <f t="shared" si="34"/>
        <v>181535147</v>
      </c>
      <c r="G2241" s="7" t="s">
        <v>330</v>
      </c>
      <c r="H2241" s="24" t="s">
        <v>109</v>
      </c>
      <c r="I2241" s="32" t="s">
        <v>152</v>
      </c>
      <c r="K2241" s="181"/>
      <c r="L2241" s="181"/>
    </row>
    <row r="2242" spans="1:12" x14ac:dyDescent="0.35">
      <c r="A2242" s="19">
        <v>45999</v>
      </c>
      <c r="B2242" s="20"/>
      <c r="C2242" s="20"/>
      <c r="D2242" s="20">
        <v>1011</v>
      </c>
      <c r="E2242" s="99" t="s">
        <v>1010</v>
      </c>
      <c r="F2242" s="20">
        <f t="shared" si="34"/>
        <v>181536158</v>
      </c>
      <c r="G2242" s="7" t="s">
        <v>330</v>
      </c>
      <c r="H2242" s="24" t="s">
        <v>109</v>
      </c>
      <c r="I2242" s="32" t="s">
        <v>152</v>
      </c>
      <c r="K2242" s="181"/>
      <c r="L2242" s="181"/>
    </row>
    <row r="2243" spans="1:12" x14ac:dyDescent="0.35">
      <c r="A2243" s="19">
        <v>45999</v>
      </c>
      <c r="B2243" s="20"/>
      <c r="C2243" s="20"/>
      <c r="D2243" s="20">
        <v>10000</v>
      </c>
      <c r="E2243" s="99" t="s">
        <v>1010</v>
      </c>
      <c r="F2243" s="20">
        <f t="shared" si="34"/>
        <v>181546158</v>
      </c>
      <c r="G2243" s="7" t="s">
        <v>330</v>
      </c>
      <c r="H2243" s="24" t="s">
        <v>109</v>
      </c>
      <c r="I2243" s="32" t="s">
        <v>152</v>
      </c>
      <c r="K2243" s="181"/>
      <c r="L2243" s="181"/>
    </row>
    <row r="2244" spans="1:12" x14ac:dyDescent="0.35">
      <c r="A2244" s="19">
        <v>45999</v>
      </c>
      <c r="B2244" s="20"/>
      <c r="C2244" s="20"/>
      <c r="D2244" s="20">
        <f>2779000-950000</f>
        <v>1829000</v>
      </c>
      <c r="E2244" s="99" t="s">
        <v>1010</v>
      </c>
      <c r="F2244" s="20">
        <f t="shared" si="34"/>
        <v>183375158</v>
      </c>
      <c r="G2244" s="7"/>
      <c r="H2244" s="24" t="s">
        <v>107</v>
      </c>
      <c r="I2244" s="32" t="s">
        <v>152</v>
      </c>
      <c r="K2244" s="181"/>
      <c r="L2244" s="181"/>
    </row>
    <row r="2245" spans="1:12" x14ac:dyDescent="0.35">
      <c r="A2245" s="19">
        <v>45999</v>
      </c>
      <c r="B2245" s="20"/>
      <c r="C2245" s="20"/>
      <c r="D2245" s="20">
        <v>1118000</v>
      </c>
      <c r="E2245" s="99" t="s">
        <v>1010</v>
      </c>
      <c r="F2245" s="20">
        <f t="shared" si="34"/>
        <v>184493158</v>
      </c>
      <c r="G2245" s="7"/>
      <c r="H2245" s="24" t="s">
        <v>109</v>
      </c>
      <c r="I2245" s="32" t="s">
        <v>152</v>
      </c>
      <c r="K2245" s="181"/>
      <c r="L2245" s="181"/>
    </row>
    <row r="2246" spans="1:12" x14ac:dyDescent="0.35">
      <c r="A2246" s="19"/>
      <c r="B2246" s="20"/>
      <c r="C2246" s="20">
        <v>2947000</v>
      </c>
      <c r="D2246" s="20"/>
      <c r="E2246" s="99"/>
      <c r="F2246" s="20">
        <f t="shared" si="34"/>
        <v>184493158</v>
      </c>
      <c r="G2246" s="7" t="s">
        <v>874</v>
      </c>
      <c r="H2246" s="24"/>
      <c r="I2246" s="32"/>
      <c r="K2246" s="181"/>
      <c r="L2246" s="181"/>
    </row>
    <row r="2247" spans="1:12" x14ac:dyDescent="0.35">
      <c r="A2247" s="19">
        <v>46000</v>
      </c>
      <c r="B2247" s="20"/>
      <c r="C2247" s="20"/>
      <c r="D2247" s="20">
        <v>10000</v>
      </c>
      <c r="E2247" s="99" t="s">
        <v>1010</v>
      </c>
      <c r="F2247" s="20">
        <f t="shared" si="34"/>
        <v>184503158</v>
      </c>
      <c r="G2247" s="7" t="s">
        <v>330</v>
      </c>
      <c r="H2247" s="24" t="s">
        <v>109</v>
      </c>
      <c r="I2247" s="32" t="s">
        <v>152</v>
      </c>
      <c r="K2247" s="181"/>
      <c r="L2247" s="181"/>
    </row>
    <row r="2248" spans="1:12" x14ac:dyDescent="0.35">
      <c r="A2248" s="19">
        <v>46000</v>
      </c>
      <c r="B2248" s="20"/>
      <c r="C2248" s="20"/>
      <c r="D2248" s="20">
        <v>1011</v>
      </c>
      <c r="E2248" s="99" t="s">
        <v>1010</v>
      </c>
      <c r="F2248" s="20">
        <f t="shared" si="34"/>
        <v>184504169</v>
      </c>
      <c r="G2248" s="7" t="s">
        <v>330</v>
      </c>
      <c r="H2248" s="24" t="s">
        <v>109</v>
      </c>
      <c r="I2248" s="32" t="s">
        <v>152</v>
      </c>
      <c r="K2248" s="181"/>
      <c r="L2248" s="181"/>
    </row>
    <row r="2249" spans="1:12" x14ac:dyDescent="0.35">
      <c r="A2249" s="19">
        <v>46001</v>
      </c>
      <c r="B2249" s="20"/>
      <c r="C2249" s="20"/>
      <c r="D2249" s="20">
        <v>10000</v>
      </c>
      <c r="E2249" s="99" t="s">
        <v>1010</v>
      </c>
      <c r="F2249" s="20">
        <f t="shared" si="34"/>
        <v>184514169</v>
      </c>
      <c r="G2249" s="7" t="s">
        <v>330</v>
      </c>
      <c r="H2249" s="24" t="s">
        <v>109</v>
      </c>
      <c r="I2249" s="32" t="s">
        <v>152</v>
      </c>
      <c r="K2249" s="181"/>
      <c r="L2249" s="181"/>
    </row>
    <row r="2250" spans="1:12" x14ac:dyDescent="0.35">
      <c r="A2250" s="19">
        <v>46001</v>
      </c>
      <c r="B2250" s="20"/>
      <c r="C2250" s="20"/>
      <c r="D2250" s="20">
        <v>10000</v>
      </c>
      <c r="E2250" s="99" t="s">
        <v>1010</v>
      </c>
      <c r="F2250" s="20">
        <f t="shared" si="34"/>
        <v>184524169</v>
      </c>
      <c r="G2250" s="7" t="s">
        <v>330</v>
      </c>
      <c r="H2250" s="24" t="s">
        <v>109</v>
      </c>
      <c r="I2250" s="32" t="s">
        <v>152</v>
      </c>
      <c r="K2250" s="181"/>
      <c r="L2250" s="181"/>
    </row>
    <row r="2251" spans="1:12" x14ac:dyDescent="0.35">
      <c r="A2251" s="19">
        <v>46001</v>
      </c>
      <c r="B2251" s="20"/>
      <c r="C2251" s="20"/>
      <c r="D2251" s="20">
        <v>20000</v>
      </c>
      <c r="E2251" s="99" t="s">
        <v>1010</v>
      </c>
      <c r="F2251" s="20">
        <f t="shared" si="34"/>
        <v>184544169</v>
      </c>
      <c r="G2251" s="7" t="s">
        <v>330</v>
      </c>
      <c r="H2251" s="24" t="s">
        <v>109</v>
      </c>
      <c r="I2251" s="32" t="s">
        <v>152</v>
      </c>
      <c r="K2251" s="181"/>
      <c r="L2251" s="181"/>
    </row>
    <row r="2252" spans="1:12" x14ac:dyDescent="0.35">
      <c r="A2252" s="19">
        <v>46002</v>
      </c>
      <c r="B2252" s="20"/>
      <c r="C2252" s="20"/>
      <c r="D2252" s="20">
        <v>1011</v>
      </c>
      <c r="E2252" s="99" t="s">
        <v>1010</v>
      </c>
      <c r="F2252" s="20">
        <f t="shared" ref="F2252:F2315" si="35">+F2251+D2252-B2252</f>
        <v>184545180</v>
      </c>
      <c r="G2252" s="7" t="s">
        <v>330</v>
      </c>
      <c r="H2252" s="24" t="s">
        <v>109</v>
      </c>
      <c r="I2252" s="32" t="s">
        <v>152</v>
      </c>
      <c r="K2252" s="181"/>
      <c r="L2252" s="181"/>
    </row>
    <row r="2253" spans="1:12" x14ac:dyDescent="0.35">
      <c r="A2253" s="19">
        <v>46002</v>
      </c>
      <c r="B2253" s="20"/>
      <c r="C2253" s="20"/>
      <c r="D2253" s="20">
        <v>10000</v>
      </c>
      <c r="E2253" s="99" t="s">
        <v>1010</v>
      </c>
      <c r="F2253" s="20">
        <f t="shared" si="35"/>
        <v>184555180</v>
      </c>
      <c r="G2253" s="7" t="s">
        <v>330</v>
      </c>
      <c r="H2253" s="24" t="s">
        <v>109</v>
      </c>
      <c r="I2253" s="32" t="s">
        <v>152</v>
      </c>
      <c r="K2253" s="181"/>
      <c r="L2253" s="181"/>
    </row>
    <row r="2254" spans="1:12" x14ac:dyDescent="0.35">
      <c r="A2254" s="19">
        <v>46002</v>
      </c>
      <c r="B2254" s="20"/>
      <c r="C2254" s="20"/>
      <c r="D2254" s="20">
        <v>20000</v>
      </c>
      <c r="E2254" s="99" t="s">
        <v>1010</v>
      </c>
      <c r="F2254" s="20">
        <f t="shared" si="35"/>
        <v>184575180</v>
      </c>
      <c r="G2254" s="7" t="s">
        <v>330</v>
      </c>
      <c r="H2254" s="24" t="s">
        <v>109</v>
      </c>
      <c r="I2254" s="32" t="s">
        <v>152</v>
      </c>
      <c r="K2254" s="181"/>
      <c r="L2254" s="181"/>
    </row>
    <row r="2255" spans="1:12" x14ac:dyDescent="0.35">
      <c r="A2255" s="19">
        <v>46003</v>
      </c>
      <c r="B2255" s="20"/>
      <c r="C2255" s="20"/>
      <c r="D2255" s="20">
        <v>5000</v>
      </c>
      <c r="E2255" s="99" t="s">
        <v>1010</v>
      </c>
      <c r="F2255" s="20">
        <f t="shared" si="35"/>
        <v>184580180</v>
      </c>
      <c r="G2255" s="7" t="s">
        <v>330</v>
      </c>
      <c r="H2255" s="24" t="s">
        <v>109</v>
      </c>
      <c r="I2255" s="32" t="s">
        <v>152</v>
      </c>
      <c r="K2255" s="181"/>
      <c r="L2255" s="181"/>
    </row>
    <row r="2256" spans="1:12" x14ac:dyDescent="0.35">
      <c r="A2256" s="19">
        <v>46003</v>
      </c>
      <c r="B2256" s="20"/>
      <c r="C2256" s="20"/>
      <c r="D2256" s="20">
        <v>10000</v>
      </c>
      <c r="E2256" s="99" t="s">
        <v>1010</v>
      </c>
      <c r="F2256" s="20">
        <f t="shared" si="35"/>
        <v>184590180</v>
      </c>
      <c r="G2256" s="7" t="s">
        <v>330</v>
      </c>
      <c r="H2256" s="24" t="s">
        <v>109</v>
      </c>
      <c r="I2256" s="32" t="s">
        <v>152</v>
      </c>
      <c r="K2256" s="181"/>
      <c r="L2256" s="181"/>
    </row>
    <row r="2257" spans="1:12" x14ac:dyDescent="0.35">
      <c r="A2257" s="19">
        <v>46003</v>
      </c>
      <c r="B2257" s="20"/>
      <c r="C2257" s="20"/>
      <c r="D2257" s="20">
        <v>20000</v>
      </c>
      <c r="E2257" s="99" t="s">
        <v>1010</v>
      </c>
      <c r="F2257" s="20">
        <f t="shared" si="35"/>
        <v>184610180</v>
      </c>
      <c r="G2257" s="7" t="s">
        <v>330</v>
      </c>
      <c r="H2257" s="24" t="s">
        <v>109</v>
      </c>
      <c r="I2257" s="32" t="s">
        <v>152</v>
      </c>
      <c r="K2257" s="181"/>
      <c r="L2257" s="181"/>
    </row>
    <row r="2258" spans="1:12" x14ac:dyDescent="0.35">
      <c r="A2258" s="19">
        <v>46003</v>
      </c>
      <c r="B2258" s="20"/>
      <c r="C2258" s="20"/>
      <c r="D2258" s="20">
        <v>1011</v>
      </c>
      <c r="E2258" s="99" t="s">
        <v>1010</v>
      </c>
      <c r="F2258" s="20">
        <f t="shared" si="35"/>
        <v>184611191</v>
      </c>
      <c r="G2258" s="7" t="s">
        <v>330</v>
      </c>
      <c r="H2258" s="24" t="s">
        <v>109</v>
      </c>
      <c r="I2258" s="32" t="s">
        <v>152</v>
      </c>
      <c r="K2258" s="181"/>
      <c r="L2258" s="181"/>
    </row>
    <row r="2259" spans="1:12" x14ac:dyDescent="0.35">
      <c r="A2259" s="19">
        <v>46003</v>
      </c>
      <c r="B2259" s="20"/>
      <c r="C2259" s="20"/>
      <c r="D2259" s="20">
        <v>50000</v>
      </c>
      <c r="E2259" s="99" t="s">
        <v>1010</v>
      </c>
      <c r="F2259" s="20">
        <f t="shared" si="35"/>
        <v>184661191</v>
      </c>
      <c r="G2259" s="7" t="s">
        <v>330</v>
      </c>
      <c r="H2259" s="24" t="s">
        <v>109</v>
      </c>
      <c r="I2259" s="32" t="s">
        <v>152</v>
      </c>
      <c r="K2259" s="181"/>
      <c r="L2259" s="181"/>
    </row>
    <row r="2260" spans="1:12" x14ac:dyDescent="0.35">
      <c r="A2260" s="19">
        <v>46003</v>
      </c>
      <c r="B2260" s="20"/>
      <c r="C2260" s="20"/>
      <c r="D2260" s="20">
        <v>10000</v>
      </c>
      <c r="E2260" s="99" t="s">
        <v>1010</v>
      </c>
      <c r="F2260" s="20">
        <f t="shared" si="35"/>
        <v>184671191</v>
      </c>
      <c r="G2260" s="7" t="s">
        <v>330</v>
      </c>
      <c r="H2260" s="24" t="s">
        <v>109</v>
      </c>
      <c r="I2260" s="32" t="s">
        <v>152</v>
      </c>
      <c r="K2260" s="181"/>
      <c r="L2260" s="181"/>
    </row>
    <row r="2261" spans="1:12" x14ac:dyDescent="0.35">
      <c r="A2261" s="19">
        <v>46003</v>
      </c>
      <c r="B2261" s="20"/>
      <c r="C2261" s="20"/>
      <c r="D2261" s="20">
        <v>2000000</v>
      </c>
      <c r="E2261" s="99" t="s">
        <v>1010</v>
      </c>
      <c r="F2261" s="20">
        <f t="shared" si="35"/>
        <v>186671191</v>
      </c>
      <c r="G2261" s="7" t="s">
        <v>425</v>
      </c>
      <c r="H2261" s="24" t="s">
        <v>109</v>
      </c>
      <c r="I2261" s="32" t="s">
        <v>152</v>
      </c>
      <c r="K2261" s="181"/>
      <c r="L2261" s="181"/>
    </row>
    <row r="2262" spans="1:12" x14ac:dyDescent="0.35">
      <c r="A2262" s="19">
        <v>46004</v>
      </c>
      <c r="B2262" s="20">
        <v>750000</v>
      </c>
      <c r="C2262" s="20"/>
      <c r="D2262" s="20"/>
      <c r="E2262" s="99" t="s">
        <v>1010</v>
      </c>
      <c r="F2262" s="20">
        <f t="shared" si="35"/>
        <v>185921191</v>
      </c>
      <c r="G2262" s="7" t="s">
        <v>796</v>
      </c>
      <c r="H2262" s="24" t="s">
        <v>323</v>
      </c>
      <c r="I2262" s="32" t="s">
        <v>152</v>
      </c>
      <c r="K2262" s="181"/>
      <c r="L2262" s="181"/>
    </row>
    <row r="2263" spans="1:12" x14ac:dyDescent="0.35">
      <c r="A2263" s="19">
        <v>46004</v>
      </c>
      <c r="B2263" s="20">
        <v>6500</v>
      </c>
      <c r="C2263" s="20"/>
      <c r="D2263" s="20"/>
      <c r="E2263" s="99" t="s">
        <v>1010</v>
      </c>
      <c r="F2263" s="20">
        <f t="shared" si="35"/>
        <v>185914691</v>
      </c>
      <c r="G2263" s="7" t="s">
        <v>796</v>
      </c>
      <c r="H2263" s="24" t="s">
        <v>323</v>
      </c>
      <c r="I2263" s="32" t="s">
        <v>152</v>
      </c>
      <c r="K2263" s="181"/>
      <c r="L2263" s="181"/>
    </row>
    <row r="2264" spans="1:12" x14ac:dyDescent="0.35">
      <c r="A2264" s="19">
        <v>46004</v>
      </c>
      <c r="B2264" s="20"/>
      <c r="C2264" s="20"/>
      <c r="D2264" s="20">
        <v>50000</v>
      </c>
      <c r="E2264" s="99" t="s">
        <v>1010</v>
      </c>
      <c r="F2264" s="20">
        <f t="shared" si="35"/>
        <v>185964691</v>
      </c>
      <c r="G2264" s="7" t="s">
        <v>330</v>
      </c>
      <c r="H2264" s="24" t="s">
        <v>109</v>
      </c>
      <c r="I2264" s="32" t="s">
        <v>152</v>
      </c>
      <c r="K2264" s="181"/>
      <c r="L2264" s="181"/>
    </row>
    <row r="2265" spans="1:12" x14ac:dyDescent="0.35">
      <c r="A2265" s="19">
        <v>46004</v>
      </c>
      <c r="B2265" s="20"/>
      <c r="C2265" s="20"/>
      <c r="D2265" s="20">
        <v>50000</v>
      </c>
      <c r="E2265" s="99" t="s">
        <v>1010</v>
      </c>
      <c r="F2265" s="20">
        <f t="shared" si="35"/>
        <v>186014691</v>
      </c>
      <c r="G2265" s="7" t="s">
        <v>330</v>
      </c>
      <c r="H2265" s="24" t="s">
        <v>109</v>
      </c>
      <c r="I2265" s="32" t="s">
        <v>152</v>
      </c>
      <c r="K2265" s="181"/>
      <c r="L2265" s="181"/>
    </row>
    <row r="2266" spans="1:12" x14ac:dyDescent="0.35">
      <c r="A2266" s="19">
        <v>46004</v>
      </c>
      <c r="B2266" s="20"/>
      <c r="C2266" s="20"/>
      <c r="D2266" s="20">
        <v>50000</v>
      </c>
      <c r="E2266" s="99" t="s">
        <v>1010</v>
      </c>
      <c r="F2266" s="20">
        <f t="shared" si="35"/>
        <v>186064691</v>
      </c>
      <c r="G2266" s="7" t="s">
        <v>330</v>
      </c>
      <c r="H2266" s="24" t="s">
        <v>109</v>
      </c>
      <c r="I2266" s="32" t="s">
        <v>152</v>
      </c>
      <c r="K2266" s="181"/>
      <c r="L2266" s="181"/>
    </row>
    <row r="2267" spans="1:12" x14ac:dyDescent="0.35">
      <c r="A2267" s="19">
        <v>46004</v>
      </c>
      <c r="B2267" s="20"/>
      <c r="C2267" s="20"/>
      <c r="D2267" s="20">
        <v>5000</v>
      </c>
      <c r="E2267" s="99" t="s">
        <v>1010</v>
      </c>
      <c r="F2267" s="20">
        <f t="shared" si="35"/>
        <v>186069691</v>
      </c>
      <c r="G2267" s="7" t="s">
        <v>330</v>
      </c>
      <c r="H2267" s="24" t="s">
        <v>109</v>
      </c>
      <c r="I2267" s="32" t="s">
        <v>152</v>
      </c>
      <c r="K2267" s="181"/>
      <c r="L2267" s="181"/>
    </row>
    <row r="2268" spans="1:12" x14ac:dyDescent="0.35">
      <c r="A2268" s="19">
        <v>46004</v>
      </c>
      <c r="B2268" s="20"/>
      <c r="C2268" s="20"/>
      <c r="D2268" s="20">
        <v>5000</v>
      </c>
      <c r="E2268" s="99" t="s">
        <v>1010</v>
      </c>
      <c r="F2268" s="20">
        <f t="shared" si="35"/>
        <v>186074691</v>
      </c>
      <c r="G2268" s="7" t="s">
        <v>330</v>
      </c>
      <c r="H2268" s="24" t="s">
        <v>109</v>
      </c>
      <c r="I2268" s="32" t="s">
        <v>152</v>
      </c>
      <c r="K2268" s="181"/>
      <c r="L2268" s="181"/>
    </row>
    <row r="2269" spans="1:12" x14ac:dyDescent="0.35">
      <c r="A2269" s="19">
        <v>46004</v>
      </c>
      <c r="B2269" s="20"/>
      <c r="C2269" s="20"/>
      <c r="D2269" s="20">
        <v>25000</v>
      </c>
      <c r="E2269" s="99" t="s">
        <v>1010</v>
      </c>
      <c r="F2269" s="20">
        <f t="shared" si="35"/>
        <v>186099691</v>
      </c>
      <c r="G2269" s="7" t="s">
        <v>330</v>
      </c>
      <c r="H2269" s="24" t="s">
        <v>109</v>
      </c>
      <c r="I2269" s="32" t="s">
        <v>152</v>
      </c>
      <c r="K2269" s="181"/>
      <c r="L2269" s="181"/>
    </row>
    <row r="2270" spans="1:12" x14ac:dyDescent="0.35">
      <c r="A2270" s="19">
        <v>46004</v>
      </c>
      <c r="B2270" s="20"/>
      <c r="C2270" s="20"/>
      <c r="D2270" s="20">
        <v>10000</v>
      </c>
      <c r="E2270" s="99" t="s">
        <v>1010</v>
      </c>
      <c r="F2270" s="20">
        <f t="shared" si="35"/>
        <v>186109691</v>
      </c>
      <c r="G2270" s="7" t="s">
        <v>330</v>
      </c>
      <c r="H2270" s="24" t="s">
        <v>109</v>
      </c>
      <c r="I2270" s="32" t="s">
        <v>152</v>
      </c>
      <c r="K2270" s="181"/>
      <c r="L2270" s="181"/>
    </row>
    <row r="2271" spans="1:12" x14ac:dyDescent="0.35">
      <c r="A2271" s="19">
        <v>46004</v>
      </c>
      <c r="B2271" s="20"/>
      <c r="C2271" s="20"/>
      <c r="D2271" s="20">
        <v>20000</v>
      </c>
      <c r="E2271" s="99" t="s">
        <v>1010</v>
      </c>
      <c r="F2271" s="20">
        <f t="shared" si="35"/>
        <v>186129691</v>
      </c>
      <c r="G2271" s="7" t="s">
        <v>330</v>
      </c>
      <c r="H2271" s="24" t="s">
        <v>109</v>
      </c>
      <c r="I2271" s="32" t="s">
        <v>152</v>
      </c>
      <c r="K2271" s="181"/>
      <c r="L2271" s="181"/>
    </row>
    <row r="2272" spans="1:12" x14ac:dyDescent="0.35">
      <c r="A2272" s="19">
        <v>46005</v>
      </c>
      <c r="B2272" s="20">
        <v>750000</v>
      </c>
      <c r="C2272" s="20"/>
      <c r="D2272" s="20"/>
      <c r="E2272" s="99" t="s">
        <v>1010</v>
      </c>
      <c r="F2272" s="20">
        <f t="shared" si="35"/>
        <v>185379691</v>
      </c>
      <c r="G2272" s="7" t="s">
        <v>996</v>
      </c>
      <c r="H2272" s="24" t="s">
        <v>323</v>
      </c>
      <c r="I2272" s="32" t="s">
        <v>152</v>
      </c>
      <c r="K2272" s="181"/>
      <c r="L2272" s="181"/>
    </row>
    <row r="2273" spans="1:12" x14ac:dyDescent="0.35">
      <c r="A2273" s="19">
        <v>46005</v>
      </c>
      <c r="B2273" s="20"/>
      <c r="C2273" s="20"/>
      <c r="D2273" s="20">
        <v>25000</v>
      </c>
      <c r="E2273" s="99" t="s">
        <v>1010</v>
      </c>
      <c r="F2273" s="20">
        <f t="shared" si="35"/>
        <v>185404691</v>
      </c>
      <c r="G2273" s="7" t="s">
        <v>330</v>
      </c>
      <c r="H2273" s="24" t="s">
        <v>109</v>
      </c>
      <c r="I2273" s="32" t="s">
        <v>152</v>
      </c>
      <c r="K2273" s="181"/>
      <c r="L2273" s="181"/>
    </row>
    <row r="2274" spans="1:12" x14ac:dyDescent="0.35">
      <c r="A2274" s="19">
        <v>46005</v>
      </c>
      <c r="B2274" s="20"/>
      <c r="C2274" s="20"/>
      <c r="D2274" s="20">
        <v>10000</v>
      </c>
      <c r="E2274" s="99" t="s">
        <v>1010</v>
      </c>
      <c r="F2274" s="20">
        <f t="shared" si="35"/>
        <v>185414691</v>
      </c>
      <c r="G2274" s="7" t="s">
        <v>330</v>
      </c>
      <c r="H2274" s="24" t="s">
        <v>109</v>
      </c>
      <c r="I2274" s="32" t="s">
        <v>152</v>
      </c>
      <c r="K2274" s="181"/>
      <c r="L2274" s="181"/>
    </row>
    <row r="2275" spans="1:12" x14ac:dyDescent="0.35">
      <c r="A2275" s="19">
        <v>46006</v>
      </c>
      <c r="B2275" s="20"/>
      <c r="C2275" s="20"/>
      <c r="D2275" s="20">
        <v>20000</v>
      </c>
      <c r="E2275" s="99" t="s">
        <v>1010</v>
      </c>
      <c r="F2275" s="20">
        <f t="shared" si="35"/>
        <v>185434691</v>
      </c>
      <c r="G2275" s="7" t="s">
        <v>330</v>
      </c>
      <c r="H2275" s="24" t="s">
        <v>109</v>
      </c>
      <c r="I2275" s="32" t="s">
        <v>152</v>
      </c>
      <c r="K2275" s="181"/>
      <c r="L2275" s="181"/>
    </row>
    <row r="2276" spans="1:12" x14ac:dyDescent="0.35">
      <c r="A2276" s="19">
        <v>46006</v>
      </c>
      <c r="B2276" s="20"/>
      <c r="C2276" s="20"/>
      <c r="D2276" s="20">
        <v>10000</v>
      </c>
      <c r="E2276" s="99" t="s">
        <v>1010</v>
      </c>
      <c r="F2276" s="20">
        <f t="shared" si="35"/>
        <v>185444691</v>
      </c>
      <c r="G2276" s="7" t="s">
        <v>330</v>
      </c>
      <c r="H2276" s="24" t="s">
        <v>109</v>
      </c>
      <c r="I2276" s="32" t="s">
        <v>152</v>
      </c>
      <c r="K2276" s="181"/>
      <c r="L2276" s="181"/>
    </row>
    <row r="2277" spans="1:12" x14ac:dyDescent="0.35">
      <c r="A2277" s="19">
        <v>46006</v>
      </c>
      <c r="B2277" s="20"/>
      <c r="C2277" s="20"/>
      <c r="D2277" s="20">
        <v>10000</v>
      </c>
      <c r="E2277" s="99" t="s">
        <v>1010</v>
      </c>
      <c r="F2277" s="20">
        <f t="shared" si="35"/>
        <v>185454691</v>
      </c>
      <c r="G2277" s="7" t="s">
        <v>330</v>
      </c>
      <c r="H2277" s="24" t="s">
        <v>109</v>
      </c>
      <c r="I2277" s="32" t="s">
        <v>152</v>
      </c>
      <c r="K2277" s="181"/>
      <c r="L2277" s="181"/>
    </row>
    <row r="2278" spans="1:12" x14ac:dyDescent="0.35">
      <c r="A2278" s="19">
        <v>46006</v>
      </c>
      <c r="B2278" s="20"/>
      <c r="C2278" s="20"/>
      <c r="D2278" s="20">
        <v>10000</v>
      </c>
      <c r="E2278" s="99" t="s">
        <v>1010</v>
      </c>
      <c r="F2278" s="20">
        <f t="shared" si="35"/>
        <v>185464691</v>
      </c>
      <c r="G2278" s="7" t="s">
        <v>330</v>
      </c>
      <c r="H2278" s="24" t="s">
        <v>109</v>
      </c>
      <c r="I2278" s="32" t="s">
        <v>152</v>
      </c>
      <c r="K2278" s="181"/>
      <c r="L2278" s="181"/>
    </row>
    <row r="2279" spans="1:12" x14ac:dyDescent="0.35">
      <c r="A2279" s="19">
        <v>46006</v>
      </c>
      <c r="B2279" s="20"/>
      <c r="C2279" s="20"/>
      <c r="D2279" s="20">
        <v>25000</v>
      </c>
      <c r="E2279" s="99" t="s">
        <v>1010</v>
      </c>
      <c r="F2279" s="20">
        <f t="shared" si="35"/>
        <v>185489691</v>
      </c>
      <c r="G2279" s="7" t="s">
        <v>330</v>
      </c>
      <c r="H2279" s="24" t="s">
        <v>109</v>
      </c>
      <c r="I2279" s="32" t="s">
        <v>152</v>
      </c>
      <c r="K2279" s="181"/>
      <c r="L2279" s="181"/>
    </row>
    <row r="2280" spans="1:12" x14ac:dyDescent="0.35">
      <c r="A2280" s="19">
        <v>46006</v>
      </c>
      <c r="B2280" s="20"/>
      <c r="C2280" s="20"/>
      <c r="D2280" s="20">
        <v>100000</v>
      </c>
      <c r="E2280" s="99" t="s">
        <v>1010</v>
      </c>
      <c r="F2280" s="20">
        <f t="shared" si="35"/>
        <v>185589691</v>
      </c>
      <c r="G2280" s="7" t="s">
        <v>330</v>
      </c>
      <c r="H2280" s="24" t="s">
        <v>109</v>
      </c>
      <c r="I2280" s="32" t="s">
        <v>152</v>
      </c>
      <c r="K2280" s="181"/>
      <c r="L2280" s="181"/>
    </row>
    <row r="2281" spans="1:12" x14ac:dyDescent="0.35">
      <c r="A2281" s="19">
        <v>46006</v>
      </c>
      <c r="B2281" s="20"/>
      <c r="C2281" s="20"/>
      <c r="D2281" s="20">
        <v>10000000</v>
      </c>
      <c r="E2281" s="99" t="s">
        <v>1010</v>
      </c>
      <c r="F2281" s="20">
        <f t="shared" si="35"/>
        <v>195589691</v>
      </c>
      <c r="G2281" s="7" t="s">
        <v>997</v>
      </c>
      <c r="H2281" s="24" t="s">
        <v>105</v>
      </c>
      <c r="I2281" s="32" t="s">
        <v>152</v>
      </c>
      <c r="K2281" s="181"/>
      <c r="L2281" s="181"/>
    </row>
    <row r="2282" spans="1:12" x14ac:dyDescent="0.35">
      <c r="A2282" s="19">
        <v>46006</v>
      </c>
      <c r="B2282" s="20"/>
      <c r="C2282" s="20"/>
      <c r="D2282" s="20">
        <f>3074000-950000</f>
        <v>2124000</v>
      </c>
      <c r="E2282" s="99" t="s">
        <v>1010</v>
      </c>
      <c r="F2282" s="20">
        <f t="shared" si="35"/>
        <v>197713691</v>
      </c>
      <c r="G2282" s="7"/>
      <c r="H2282" s="24" t="s">
        <v>107</v>
      </c>
      <c r="I2282" s="32" t="s">
        <v>152</v>
      </c>
      <c r="K2282" s="181"/>
      <c r="L2282" s="181"/>
    </row>
    <row r="2283" spans="1:12" x14ac:dyDescent="0.35">
      <c r="A2283" s="19">
        <v>46006</v>
      </c>
      <c r="B2283" s="20"/>
      <c r="C2283" s="20"/>
      <c r="D2283" s="20">
        <v>876000</v>
      </c>
      <c r="E2283" s="99" t="s">
        <v>1010</v>
      </c>
      <c r="F2283" s="20">
        <f t="shared" si="35"/>
        <v>198589691</v>
      </c>
      <c r="G2283" s="7"/>
      <c r="H2283" s="24" t="s">
        <v>109</v>
      </c>
      <c r="I2283" s="32" t="s">
        <v>152</v>
      </c>
      <c r="K2283" s="181"/>
      <c r="L2283" s="181"/>
    </row>
    <row r="2284" spans="1:12" x14ac:dyDescent="0.35">
      <c r="A2284" s="19"/>
      <c r="B2284" s="20"/>
      <c r="C2284" s="20">
        <v>3000000</v>
      </c>
      <c r="D2284" s="20"/>
      <c r="E2284" s="99"/>
      <c r="F2284" s="20">
        <f t="shared" si="35"/>
        <v>198589691</v>
      </c>
      <c r="G2284" s="7" t="s">
        <v>967</v>
      </c>
      <c r="H2284" s="24"/>
      <c r="I2284" s="32"/>
      <c r="K2284" s="181"/>
      <c r="L2284" s="181"/>
    </row>
    <row r="2285" spans="1:12" x14ac:dyDescent="0.35">
      <c r="A2285" s="19">
        <v>46007</v>
      </c>
      <c r="B2285" s="20"/>
      <c r="C2285" s="20"/>
      <c r="D2285" s="20">
        <v>20000</v>
      </c>
      <c r="E2285" s="99" t="s">
        <v>1010</v>
      </c>
      <c r="F2285" s="20">
        <f t="shared" si="35"/>
        <v>198609691</v>
      </c>
      <c r="G2285" s="7" t="s">
        <v>330</v>
      </c>
      <c r="H2285" s="24" t="s">
        <v>109</v>
      </c>
      <c r="I2285" s="32" t="s">
        <v>152</v>
      </c>
      <c r="K2285" s="181"/>
      <c r="L2285" s="181"/>
    </row>
    <row r="2286" spans="1:12" x14ac:dyDescent="0.35">
      <c r="A2286" s="19">
        <v>46007</v>
      </c>
      <c r="B2286" s="20"/>
      <c r="C2286" s="20"/>
      <c r="D2286" s="20">
        <v>10000</v>
      </c>
      <c r="E2286" s="99" t="s">
        <v>1010</v>
      </c>
      <c r="F2286" s="20">
        <f t="shared" si="35"/>
        <v>198619691</v>
      </c>
      <c r="G2286" s="7" t="s">
        <v>330</v>
      </c>
      <c r="H2286" s="24" t="s">
        <v>109</v>
      </c>
      <c r="I2286" s="32" t="s">
        <v>152</v>
      </c>
      <c r="K2286" s="181"/>
      <c r="L2286" s="181"/>
    </row>
    <row r="2287" spans="1:12" x14ac:dyDescent="0.35">
      <c r="A2287" s="19">
        <v>46008</v>
      </c>
      <c r="B2287" s="20"/>
      <c r="C2287" s="20"/>
      <c r="D2287" s="20">
        <v>10000</v>
      </c>
      <c r="E2287" s="99" t="s">
        <v>1010</v>
      </c>
      <c r="F2287" s="20">
        <f t="shared" si="35"/>
        <v>198629691</v>
      </c>
      <c r="G2287" s="7" t="s">
        <v>330</v>
      </c>
      <c r="H2287" s="24" t="s">
        <v>109</v>
      </c>
      <c r="I2287" s="32" t="s">
        <v>152</v>
      </c>
      <c r="K2287" s="181"/>
      <c r="L2287" s="181"/>
    </row>
    <row r="2288" spans="1:12" x14ac:dyDescent="0.35">
      <c r="A2288" s="19">
        <v>46008</v>
      </c>
      <c r="B2288" s="20"/>
      <c r="C2288" s="20"/>
      <c r="D2288" s="20">
        <v>20000</v>
      </c>
      <c r="E2288" s="99" t="s">
        <v>1010</v>
      </c>
      <c r="F2288" s="20">
        <f t="shared" si="35"/>
        <v>198649691</v>
      </c>
      <c r="G2288" s="7" t="s">
        <v>330</v>
      </c>
      <c r="H2288" s="24" t="s">
        <v>109</v>
      </c>
      <c r="I2288" s="32" t="s">
        <v>152</v>
      </c>
      <c r="K2288" s="181"/>
      <c r="L2288" s="181"/>
    </row>
    <row r="2289" spans="1:12" x14ac:dyDescent="0.35">
      <c r="A2289" s="19">
        <v>46008</v>
      </c>
      <c r="B2289" s="20"/>
      <c r="C2289" s="20"/>
      <c r="D2289" s="20">
        <v>10000</v>
      </c>
      <c r="E2289" s="99" t="s">
        <v>1010</v>
      </c>
      <c r="F2289" s="20">
        <f t="shared" si="35"/>
        <v>198659691</v>
      </c>
      <c r="G2289" s="7" t="s">
        <v>330</v>
      </c>
      <c r="H2289" s="24" t="s">
        <v>109</v>
      </c>
      <c r="I2289" s="32" t="s">
        <v>152</v>
      </c>
      <c r="K2289" s="181"/>
      <c r="L2289" s="181"/>
    </row>
    <row r="2290" spans="1:12" x14ac:dyDescent="0.35">
      <c r="A2290" s="19">
        <v>46009</v>
      </c>
      <c r="B2290" s="20"/>
      <c r="C2290" s="20"/>
      <c r="D2290" s="20">
        <v>10000</v>
      </c>
      <c r="E2290" s="99" t="s">
        <v>1010</v>
      </c>
      <c r="F2290" s="20">
        <f t="shared" si="35"/>
        <v>198669691</v>
      </c>
      <c r="G2290" s="7" t="s">
        <v>330</v>
      </c>
      <c r="H2290" s="24" t="s">
        <v>109</v>
      </c>
      <c r="I2290" s="32" t="s">
        <v>152</v>
      </c>
      <c r="K2290" s="181"/>
      <c r="L2290" s="181"/>
    </row>
    <row r="2291" spans="1:12" x14ac:dyDescent="0.35">
      <c r="A2291" s="19">
        <v>46010</v>
      </c>
      <c r="B2291" s="20"/>
      <c r="C2291" s="20"/>
      <c r="D2291" s="20">
        <v>10000</v>
      </c>
      <c r="E2291" s="99" t="s">
        <v>1010</v>
      </c>
      <c r="F2291" s="20">
        <f t="shared" si="35"/>
        <v>198679691</v>
      </c>
      <c r="G2291" s="7" t="s">
        <v>330</v>
      </c>
      <c r="H2291" s="24" t="s">
        <v>109</v>
      </c>
      <c r="I2291" s="32" t="s">
        <v>152</v>
      </c>
      <c r="K2291" s="181"/>
      <c r="L2291" s="181"/>
    </row>
    <row r="2292" spans="1:12" x14ac:dyDescent="0.35">
      <c r="A2292" s="19">
        <v>46010</v>
      </c>
      <c r="B2292" s="20"/>
      <c r="C2292" s="20"/>
      <c r="D2292" s="20">
        <v>1011</v>
      </c>
      <c r="E2292" s="99" t="s">
        <v>1010</v>
      </c>
      <c r="F2292" s="20">
        <f t="shared" si="35"/>
        <v>198680702</v>
      </c>
      <c r="G2292" s="7" t="s">
        <v>330</v>
      </c>
      <c r="H2292" s="24" t="s">
        <v>109</v>
      </c>
      <c r="I2292" s="32" t="s">
        <v>152</v>
      </c>
      <c r="K2292" s="181"/>
      <c r="L2292" s="181"/>
    </row>
    <row r="2293" spans="1:12" x14ac:dyDescent="0.35">
      <c r="A2293" s="19">
        <v>46010</v>
      </c>
      <c r="B2293" s="20"/>
      <c r="C2293" s="20"/>
      <c r="D2293" s="20">
        <v>500000</v>
      </c>
      <c r="E2293" s="99" t="s">
        <v>1010</v>
      </c>
      <c r="F2293" s="20">
        <f t="shared" si="35"/>
        <v>199180702</v>
      </c>
      <c r="G2293" s="7" t="s">
        <v>998</v>
      </c>
      <c r="H2293" s="24" t="s">
        <v>109</v>
      </c>
      <c r="I2293" s="32" t="s">
        <v>152</v>
      </c>
      <c r="K2293" s="181"/>
      <c r="L2293" s="181"/>
    </row>
    <row r="2294" spans="1:12" x14ac:dyDescent="0.35">
      <c r="A2294" s="19">
        <v>46010</v>
      </c>
      <c r="B2294" s="20"/>
      <c r="C2294" s="20"/>
      <c r="D2294" s="20">
        <v>100000</v>
      </c>
      <c r="E2294" s="99" t="s">
        <v>1010</v>
      </c>
      <c r="F2294" s="20">
        <f t="shared" si="35"/>
        <v>199280702</v>
      </c>
      <c r="G2294" s="7" t="s">
        <v>970</v>
      </c>
      <c r="H2294" s="24" t="s">
        <v>109</v>
      </c>
      <c r="I2294" s="32" t="s">
        <v>152</v>
      </c>
      <c r="K2294" s="181"/>
      <c r="L2294" s="181"/>
    </row>
    <row r="2295" spans="1:12" x14ac:dyDescent="0.35">
      <c r="A2295" s="19">
        <v>46011</v>
      </c>
      <c r="B2295" s="20"/>
      <c r="C2295" s="20"/>
      <c r="D2295" s="20">
        <v>25000</v>
      </c>
      <c r="E2295" s="99" t="s">
        <v>1010</v>
      </c>
      <c r="F2295" s="20">
        <f t="shared" si="35"/>
        <v>199305702</v>
      </c>
      <c r="G2295" s="7" t="s">
        <v>330</v>
      </c>
      <c r="H2295" s="24" t="s">
        <v>109</v>
      </c>
      <c r="I2295" s="32" t="s">
        <v>152</v>
      </c>
      <c r="K2295" s="181"/>
      <c r="L2295" s="181"/>
    </row>
    <row r="2296" spans="1:12" x14ac:dyDescent="0.35">
      <c r="A2296" s="19">
        <v>46011</v>
      </c>
      <c r="B2296" s="20"/>
      <c r="C2296" s="20"/>
      <c r="D2296" s="20">
        <v>50000</v>
      </c>
      <c r="E2296" s="99" t="s">
        <v>1010</v>
      </c>
      <c r="F2296" s="20">
        <f t="shared" si="35"/>
        <v>199355702</v>
      </c>
      <c r="G2296" s="7" t="s">
        <v>330</v>
      </c>
      <c r="H2296" s="24" t="s">
        <v>109</v>
      </c>
      <c r="I2296" s="32" t="s">
        <v>152</v>
      </c>
      <c r="K2296" s="181"/>
      <c r="L2296" s="181"/>
    </row>
    <row r="2297" spans="1:12" x14ac:dyDescent="0.35">
      <c r="A2297" s="19">
        <v>46011</v>
      </c>
      <c r="B2297" s="20"/>
      <c r="C2297" s="20"/>
      <c r="D2297" s="20">
        <v>50000</v>
      </c>
      <c r="E2297" s="99" t="s">
        <v>1010</v>
      </c>
      <c r="F2297" s="20">
        <f t="shared" si="35"/>
        <v>199405702</v>
      </c>
      <c r="G2297" s="7" t="s">
        <v>330</v>
      </c>
      <c r="H2297" s="24" t="s">
        <v>109</v>
      </c>
      <c r="I2297" s="32" t="s">
        <v>152</v>
      </c>
      <c r="K2297" s="181"/>
      <c r="L2297" s="181"/>
    </row>
    <row r="2298" spans="1:12" x14ac:dyDescent="0.35">
      <c r="A2298" s="19">
        <v>46011</v>
      </c>
      <c r="B2298" s="20"/>
      <c r="C2298" s="20"/>
      <c r="D2298" s="20">
        <v>1011</v>
      </c>
      <c r="E2298" s="99" t="s">
        <v>1010</v>
      </c>
      <c r="F2298" s="20">
        <f t="shared" si="35"/>
        <v>199406713</v>
      </c>
      <c r="G2298" s="7" t="s">
        <v>330</v>
      </c>
      <c r="H2298" s="24" t="s">
        <v>109</v>
      </c>
      <c r="I2298" s="32" t="s">
        <v>152</v>
      </c>
      <c r="K2298" s="181"/>
      <c r="L2298" s="181"/>
    </row>
    <row r="2299" spans="1:12" x14ac:dyDescent="0.35">
      <c r="A2299" s="19">
        <v>46011</v>
      </c>
      <c r="B2299" s="20"/>
      <c r="C2299" s="20"/>
      <c r="D2299" s="20">
        <v>10000</v>
      </c>
      <c r="E2299" s="99" t="s">
        <v>1010</v>
      </c>
      <c r="F2299" s="20">
        <f t="shared" si="35"/>
        <v>199416713</v>
      </c>
      <c r="G2299" s="7" t="s">
        <v>330</v>
      </c>
      <c r="H2299" s="24" t="s">
        <v>109</v>
      </c>
      <c r="I2299" s="32" t="s">
        <v>152</v>
      </c>
      <c r="K2299" s="181"/>
      <c r="L2299" s="181"/>
    </row>
    <row r="2300" spans="1:12" x14ac:dyDescent="0.35">
      <c r="A2300" s="19">
        <v>46011</v>
      </c>
      <c r="B2300" s="20"/>
      <c r="C2300" s="20"/>
      <c r="D2300" s="20">
        <v>10000</v>
      </c>
      <c r="E2300" s="99" t="s">
        <v>1010</v>
      </c>
      <c r="F2300" s="20">
        <f t="shared" si="35"/>
        <v>199426713</v>
      </c>
      <c r="G2300" s="7" t="s">
        <v>330</v>
      </c>
      <c r="H2300" s="24" t="s">
        <v>109</v>
      </c>
      <c r="I2300" s="32" t="s">
        <v>152</v>
      </c>
      <c r="K2300" s="181"/>
      <c r="L2300" s="181"/>
    </row>
    <row r="2301" spans="1:12" x14ac:dyDescent="0.35">
      <c r="A2301" s="19">
        <v>46011</v>
      </c>
      <c r="B2301" s="20"/>
      <c r="C2301" s="20"/>
      <c r="D2301" s="20">
        <v>1845000</v>
      </c>
      <c r="E2301" s="99" t="s">
        <v>1010</v>
      </c>
      <c r="F2301" s="20">
        <f t="shared" si="35"/>
        <v>201271713</v>
      </c>
      <c r="G2301" s="7" t="s">
        <v>999</v>
      </c>
      <c r="H2301" s="24" t="s">
        <v>109</v>
      </c>
      <c r="I2301" s="32" t="s">
        <v>152</v>
      </c>
      <c r="K2301" s="181"/>
      <c r="L2301" s="181"/>
    </row>
    <row r="2302" spans="1:12" x14ac:dyDescent="0.35">
      <c r="A2302" s="19">
        <v>46012</v>
      </c>
      <c r="B2302" s="20"/>
      <c r="C2302" s="20"/>
      <c r="D2302" s="20">
        <v>10000</v>
      </c>
      <c r="E2302" s="99" t="s">
        <v>1010</v>
      </c>
      <c r="F2302" s="20">
        <f t="shared" si="35"/>
        <v>201281713</v>
      </c>
      <c r="G2302" s="7" t="s">
        <v>330</v>
      </c>
      <c r="H2302" s="24" t="s">
        <v>109</v>
      </c>
      <c r="I2302" s="32" t="s">
        <v>152</v>
      </c>
      <c r="K2302" s="181"/>
      <c r="L2302" s="181"/>
    </row>
    <row r="2303" spans="1:12" x14ac:dyDescent="0.35">
      <c r="A2303" s="19">
        <v>46012</v>
      </c>
      <c r="B2303" s="20"/>
      <c r="C2303" s="20"/>
      <c r="D2303" s="20">
        <v>20000</v>
      </c>
      <c r="E2303" s="99" t="s">
        <v>1010</v>
      </c>
      <c r="F2303" s="20">
        <f t="shared" si="35"/>
        <v>201301713</v>
      </c>
      <c r="G2303" s="7" t="s">
        <v>330</v>
      </c>
      <c r="H2303" s="24" t="s">
        <v>109</v>
      </c>
      <c r="I2303" s="32" t="s">
        <v>152</v>
      </c>
      <c r="K2303" s="181"/>
      <c r="L2303" s="181"/>
    </row>
    <row r="2304" spans="1:12" x14ac:dyDescent="0.35">
      <c r="A2304" s="19">
        <v>46012</v>
      </c>
      <c r="B2304" s="20"/>
      <c r="C2304" s="20"/>
      <c r="D2304" s="20">
        <v>1011</v>
      </c>
      <c r="E2304" s="99" t="s">
        <v>1010</v>
      </c>
      <c r="F2304" s="20">
        <f t="shared" si="35"/>
        <v>201302724</v>
      </c>
      <c r="G2304" s="7" t="s">
        <v>330</v>
      </c>
      <c r="H2304" s="24" t="s">
        <v>109</v>
      </c>
      <c r="I2304" s="32" t="s">
        <v>152</v>
      </c>
      <c r="K2304" s="181"/>
      <c r="L2304" s="181"/>
    </row>
    <row r="2305" spans="1:12" x14ac:dyDescent="0.35">
      <c r="A2305" s="19">
        <v>46013</v>
      </c>
      <c r="B2305" s="20"/>
      <c r="C2305" s="20"/>
      <c r="D2305" s="20">
        <v>10000</v>
      </c>
      <c r="E2305" s="99" t="s">
        <v>1010</v>
      </c>
      <c r="F2305" s="20">
        <f t="shared" si="35"/>
        <v>201312724</v>
      </c>
      <c r="G2305" s="7" t="s">
        <v>330</v>
      </c>
      <c r="H2305" s="24" t="s">
        <v>109</v>
      </c>
      <c r="I2305" s="32" t="s">
        <v>152</v>
      </c>
      <c r="K2305" s="181"/>
      <c r="L2305" s="181"/>
    </row>
    <row r="2306" spans="1:12" x14ac:dyDescent="0.35">
      <c r="A2306" s="19">
        <v>46013</v>
      </c>
      <c r="B2306" s="20"/>
      <c r="C2306" s="20"/>
      <c r="D2306" s="20">
        <v>20000</v>
      </c>
      <c r="E2306" s="99" t="s">
        <v>1010</v>
      </c>
      <c r="F2306" s="20">
        <f t="shared" si="35"/>
        <v>201332724</v>
      </c>
      <c r="G2306" s="7" t="s">
        <v>330</v>
      </c>
      <c r="H2306" s="24" t="s">
        <v>109</v>
      </c>
      <c r="I2306" s="32" t="s">
        <v>152</v>
      </c>
      <c r="K2306" s="181"/>
      <c r="L2306" s="181"/>
    </row>
    <row r="2307" spans="1:12" x14ac:dyDescent="0.35">
      <c r="A2307" s="19">
        <v>46014</v>
      </c>
      <c r="B2307" s="20"/>
      <c r="C2307" s="20"/>
      <c r="D2307" s="20">
        <v>20000</v>
      </c>
      <c r="E2307" s="99" t="s">
        <v>1010</v>
      </c>
      <c r="F2307" s="20">
        <f t="shared" si="35"/>
        <v>201352724</v>
      </c>
      <c r="G2307" s="7" t="s">
        <v>330</v>
      </c>
      <c r="H2307" s="24" t="s">
        <v>109</v>
      </c>
      <c r="I2307" s="32" t="s">
        <v>152</v>
      </c>
      <c r="K2307" s="181"/>
      <c r="L2307" s="181"/>
    </row>
    <row r="2308" spans="1:12" x14ac:dyDescent="0.35">
      <c r="A2308" s="19">
        <v>46014</v>
      </c>
      <c r="B2308" s="20"/>
      <c r="C2308" s="20"/>
      <c r="D2308" s="20">
        <v>1011</v>
      </c>
      <c r="E2308" s="99" t="s">
        <v>1010</v>
      </c>
      <c r="F2308" s="20">
        <f t="shared" si="35"/>
        <v>201353735</v>
      </c>
      <c r="G2308" s="7" t="s">
        <v>330</v>
      </c>
      <c r="H2308" s="24" t="s">
        <v>109</v>
      </c>
      <c r="I2308" s="32" t="s">
        <v>152</v>
      </c>
      <c r="K2308" s="181"/>
      <c r="L2308" s="181"/>
    </row>
    <row r="2309" spans="1:12" x14ac:dyDescent="0.35">
      <c r="A2309" s="19">
        <v>46014</v>
      </c>
      <c r="B2309" s="20"/>
      <c r="C2309" s="20"/>
      <c r="D2309" s="20">
        <v>1000000</v>
      </c>
      <c r="E2309" s="99" t="s">
        <v>1010</v>
      </c>
      <c r="F2309" s="20">
        <f t="shared" si="35"/>
        <v>202353735</v>
      </c>
      <c r="G2309" s="7" t="s">
        <v>609</v>
      </c>
      <c r="H2309" s="24" t="s">
        <v>109</v>
      </c>
      <c r="I2309" s="32" t="s">
        <v>152</v>
      </c>
      <c r="K2309" s="181"/>
      <c r="L2309" s="181"/>
    </row>
    <row r="2310" spans="1:12" x14ac:dyDescent="0.35">
      <c r="A2310" s="19">
        <v>46015</v>
      </c>
      <c r="B2310" s="20"/>
      <c r="C2310" s="20"/>
      <c r="D2310" s="20">
        <v>1011</v>
      </c>
      <c r="E2310" s="99" t="s">
        <v>1010</v>
      </c>
      <c r="F2310" s="20">
        <f t="shared" si="35"/>
        <v>202354746</v>
      </c>
      <c r="G2310" s="7" t="s">
        <v>330</v>
      </c>
      <c r="H2310" s="24" t="s">
        <v>109</v>
      </c>
      <c r="I2310" s="32" t="s">
        <v>152</v>
      </c>
      <c r="K2310" s="181"/>
      <c r="L2310" s="181"/>
    </row>
    <row r="2311" spans="1:12" x14ac:dyDescent="0.35">
      <c r="A2311" s="19">
        <v>46015</v>
      </c>
      <c r="B2311" s="20"/>
      <c r="C2311" s="20"/>
      <c r="D2311" s="20">
        <v>20000</v>
      </c>
      <c r="E2311" s="99" t="s">
        <v>1010</v>
      </c>
      <c r="F2311" s="20">
        <f t="shared" si="35"/>
        <v>202374746</v>
      </c>
      <c r="G2311" s="7" t="s">
        <v>330</v>
      </c>
      <c r="H2311" s="24" t="s">
        <v>109</v>
      </c>
      <c r="I2311" s="32" t="s">
        <v>152</v>
      </c>
      <c r="K2311" s="181"/>
      <c r="L2311" s="181"/>
    </row>
    <row r="2312" spans="1:12" x14ac:dyDescent="0.35">
      <c r="A2312" s="19">
        <v>46015</v>
      </c>
      <c r="B2312" s="20"/>
      <c r="C2312" s="20"/>
      <c r="D2312" s="20">
        <v>10000</v>
      </c>
      <c r="E2312" s="99" t="s">
        <v>1010</v>
      </c>
      <c r="F2312" s="20">
        <f t="shared" si="35"/>
        <v>202384746</v>
      </c>
      <c r="G2312" s="7" t="s">
        <v>330</v>
      </c>
      <c r="H2312" s="24" t="s">
        <v>109</v>
      </c>
      <c r="I2312" s="32" t="s">
        <v>152</v>
      </c>
      <c r="K2312" s="181"/>
      <c r="L2312" s="181"/>
    </row>
    <row r="2313" spans="1:12" x14ac:dyDescent="0.35">
      <c r="A2313" s="19">
        <v>46015</v>
      </c>
      <c r="B2313" s="20"/>
      <c r="C2313" s="20"/>
      <c r="D2313" s="20">
        <v>10000</v>
      </c>
      <c r="E2313" s="99" t="s">
        <v>1010</v>
      </c>
      <c r="F2313" s="20">
        <f t="shared" si="35"/>
        <v>202394746</v>
      </c>
      <c r="G2313" s="7" t="s">
        <v>330</v>
      </c>
      <c r="H2313" s="24" t="s">
        <v>109</v>
      </c>
      <c r="I2313" s="32" t="s">
        <v>152</v>
      </c>
      <c r="K2313" s="181"/>
      <c r="L2313" s="181"/>
    </row>
    <row r="2314" spans="1:12" x14ac:dyDescent="0.35">
      <c r="A2314" s="19">
        <v>46015</v>
      </c>
      <c r="B2314" s="20">
        <v>9000</v>
      </c>
      <c r="C2314" s="20"/>
      <c r="D2314" s="20"/>
      <c r="E2314" s="99" t="s">
        <v>1010</v>
      </c>
      <c r="F2314" s="20">
        <f t="shared" si="35"/>
        <v>202385746</v>
      </c>
      <c r="G2314" s="7" t="s">
        <v>1000</v>
      </c>
      <c r="H2314" s="24" t="s">
        <v>320</v>
      </c>
      <c r="I2314" s="32" t="s">
        <v>152</v>
      </c>
      <c r="K2314" s="181"/>
      <c r="L2314" s="181"/>
    </row>
    <row r="2315" spans="1:12" x14ac:dyDescent="0.35">
      <c r="A2315" s="19">
        <v>46016</v>
      </c>
      <c r="B2315" s="20"/>
      <c r="C2315" s="20"/>
      <c r="D2315" s="20">
        <v>20000</v>
      </c>
      <c r="E2315" s="99" t="s">
        <v>1010</v>
      </c>
      <c r="F2315" s="20">
        <f t="shared" si="35"/>
        <v>202405746</v>
      </c>
      <c r="G2315" s="7" t="s">
        <v>330</v>
      </c>
      <c r="H2315" s="24" t="s">
        <v>109</v>
      </c>
      <c r="I2315" s="32" t="s">
        <v>152</v>
      </c>
      <c r="K2315" s="181"/>
      <c r="L2315" s="181"/>
    </row>
    <row r="2316" spans="1:12" x14ac:dyDescent="0.35">
      <c r="A2316" s="19">
        <v>46016</v>
      </c>
      <c r="B2316" s="20"/>
      <c r="C2316" s="20"/>
      <c r="D2316" s="20">
        <v>200000</v>
      </c>
      <c r="E2316" s="99" t="s">
        <v>1010</v>
      </c>
      <c r="F2316" s="20">
        <f t="shared" ref="F2316:F2366" si="36">+F2315+D2316-B2316</f>
        <v>202605746</v>
      </c>
      <c r="G2316" s="7" t="s">
        <v>306</v>
      </c>
      <c r="H2316" s="24" t="s">
        <v>109</v>
      </c>
      <c r="I2316" s="32" t="s">
        <v>152</v>
      </c>
      <c r="K2316" s="181"/>
      <c r="L2316" s="181"/>
    </row>
    <row r="2317" spans="1:12" x14ac:dyDescent="0.35">
      <c r="A2317" s="19">
        <v>46017</v>
      </c>
      <c r="B2317" s="20"/>
      <c r="C2317" s="20"/>
      <c r="D2317" s="20">
        <v>100000</v>
      </c>
      <c r="E2317" s="99" t="s">
        <v>1010</v>
      </c>
      <c r="F2317" s="20">
        <f t="shared" si="36"/>
        <v>202705746</v>
      </c>
      <c r="G2317" s="7" t="s">
        <v>424</v>
      </c>
      <c r="H2317" s="24" t="s">
        <v>109</v>
      </c>
      <c r="I2317" s="32" t="s">
        <v>152</v>
      </c>
      <c r="K2317" s="181"/>
      <c r="L2317" s="181"/>
    </row>
    <row r="2318" spans="1:12" x14ac:dyDescent="0.35">
      <c r="A2318" s="19">
        <v>46017</v>
      </c>
      <c r="B2318" s="20"/>
      <c r="C2318" s="20"/>
      <c r="D2318" s="20">
        <v>1000000</v>
      </c>
      <c r="E2318" s="99" t="s">
        <v>1010</v>
      </c>
      <c r="F2318" s="20">
        <f t="shared" si="36"/>
        <v>203705746</v>
      </c>
      <c r="G2318" s="7" t="s">
        <v>561</v>
      </c>
      <c r="H2318" s="24" t="s">
        <v>109</v>
      </c>
      <c r="I2318" s="32" t="s">
        <v>152</v>
      </c>
      <c r="K2318" s="181"/>
      <c r="L2318" s="181"/>
    </row>
    <row r="2319" spans="1:12" x14ac:dyDescent="0.35">
      <c r="A2319" s="19">
        <v>46017</v>
      </c>
      <c r="B2319" s="20"/>
      <c r="C2319" s="20"/>
      <c r="D2319" s="20">
        <v>20000</v>
      </c>
      <c r="E2319" s="99" t="s">
        <v>1010</v>
      </c>
      <c r="F2319" s="20">
        <f t="shared" si="36"/>
        <v>203725746</v>
      </c>
      <c r="G2319" s="7" t="s">
        <v>330</v>
      </c>
      <c r="H2319" s="24" t="s">
        <v>109</v>
      </c>
      <c r="I2319" s="32" t="s">
        <v>152</v>
      </c>
      <c r="K2319" s="181"/>
      <c r="L2319" s="181"/>
    </row>
    <row r="2320" spans="1:12" x14ac:dyDescent="0.35">
      <c r="A2320" s="19">
        <v>46017</v>
      </c>
      <c r="B2320" s="20"/>
      <c r="C2320" s="20"/>
      <c r="D2320" s="20">
        <v>10000</v>
      </c>
      <c r="E2320" s="99" t="s">
        <v>1010</v>
      </c>
      <c r="F2320" s="20">
        <f t="shared" si="36"/>
        <v>203735746</v>
      </c>
      <c r="G2320" s="7" t="s">
        <v>330</v>
      </c>
      <c r="H2320" s="24" t="s">
        <v>109</v>
      </c>
      <c r="I2320" s="32" t="s">
        <v>152</v>
      </c>
      <c r="K2320" s="181"/>
      <c r="L2320" s="181"/>
    </row>
    <row r="2321" spans="1:12" x14ac:dyDescent="0.35">
      <c r="A2321" s="19">
        <v>46017</v>
      </c>
      <c r="B2321" s="20"/>
      <c r="C2321" s="20"/>
      <c r="D2321" s="20">
        <v>10000</v>
      </c>
      <c r="E2321" s="99" t="s">
        <v>1010</v>
      </c>
      <c r="F2321" s="20">
        <f t="shared" si="36"/>
        <v>203745746</v>
      </c>
      <c r="G2321" s="7" t="s">
        <v>330</v>
      </c>
      <c r="H2321" s="24" t="s">
        <v>109</v>
      </c>
      <c r="I2321" s="32" t="s">
        <v>152</v>
      </c>
      <c r="K2321" s="181"/>
      <c r="L2321" s="181"/>
    </row>
    <row r="2322" spans="1:12" x14ac:dyDescent="0.35">
      <c r="A2322" s="19">
        <v>46017</v>
      </c>
      <c r="B2322" s="20"/>
      <c r="C2322" s="20"/>
      <c r="D2322" s="20">
        <v>1011</v>
      </c>
      <c r="E2322" s="99" t="s">
        <v>1010</v>
      </c>
      <c r="F2322" s="20">
        <f t="shared" si="36"/>
        <v>203746757</v>
      </c>
      <c r="G2322" s="7" t="s">
        <v>330</v>
      </c>
      <c r="H2322" s="24" t="s">
        <v>109</v>
      </c>
      <c r="I2322" s="32" t="s">
        <v>152</v>
      </c>
      <c r="K2322" s="181"/>
      <c r="L2322" s="181"/>
    </row>
    <row r="2323" spans="1:12" x14ac:dyDescent="0.35">
      <c r="A2323" s="19">
        <v>46017</v>
      </c>
      <c r="B2323" s="20"/>
      <c r="C2323" s="20"/>
      <c r="D2323" s="20">
        <v>1000000</v>
      </c>
      <c r="E2323" s="99" t="s">
        <v>1010</v>
      </c>
      <c r="F2323" s="20">
        <f t="shared" si="36"/>
        <v>204746757</v>
      </c>
      <c r="G2323" s="7" t="s">
        <v>330</v>
      </c>
      <c r="H2323" s="24" t="s">
        <v>109</v>
      </c>
      <c r="I2323" s="32" t="s">
        <v>152</v>
      </c>
      <c r="K2323" s="181"/>
      <c r="L2323" s="181"/>
    </row>
    <row r="2324" spans="1:12" x14ac:dyDescent="0.35">
      <c r="A2324" s="19">
        <v>46018</v>
      </c>
      <c r="B2324" s="20"/>
      <c r="C2324" s="20"/>
      <c r="D2324" s="20">
        <v>100000</v>
      </c>
      <c r="E2324" s="99" t="s">
        <v>1010</v>
      </c>
      <c r="F2324" s="20">
        <f t="shared" si="36"/>
        <v>204846757</v>
      </c>
      <c r="G2324" s="7" t="s">
        <v>330</v>
      </c>
      <c r="H2324" s="24" t="s">
        <v>109</v>
      </c>
      <c r="I2324" s="32" t="s">
        <v>152</v>
      </c>
      <c r="K2324" s="181"/>
      <c r="L2324" s="181"/>
    </row>
    <row r="2325" spans="1:12" x14ac:dyDescent="0.35">
      <c r="A2325" s="19">
        <v>46018</v>
      </c>
      <c r="B2325" s="20"/>
      <c r="C2325" s="20"/>
      <c r="D2325" s="20">
        <v>20000</v>
      </c>
      <c r="E2325" s="99" t="s">
        <v>1010</v>
      </c>
      <c r="F2325" s="20">
        <f t="shared" si="36"/>
        <v>204866757</v>
      </c>
      <c r="G2325" s="7" t="s">
        <v>330</v>
      </c>
      <c r="H2325" s="24" t="s">
        <v>109</v>
      </c>
      <c r="I2325" s="32" t="s">
        <v>152</v>
      </c>
      <c r="K2325" s="181"/>
      <c r="L2325" s="181"/>
    </row>
    <row r="2326" spans="1:12" x14ac:dyDescent="0.35">
      <c r="A2326" s="19">
        <v>46018</v>
      </c>
      <c r="B2326" s="20"/>
      <c r="C2326" s="20"/>
      <c r="D2326" s="20">
        <v>10000</v>
      </c>
      <c r="E2326" s="99" t="s">
        <v>1010</v>
      </c>
      <c r="F2326" s="20">
        <f t="shared" si="36"/>
        <v>204876757</v>
      </c>
      <c r="G2326" s="7" t="s">
        <v>330</v>
      </c>
      <c r="H2326" s="24" t="s">
        <v>109</v>
      </c>
      <c r="I2326" s="32" t="s">
        <v>152</v>
      </c>
      <c r="K2326" s="181"/>
      <c r="L2326" s="181"/>
    </row>
    <row r="2327" spans="1:12" x14ac:dyDescent="0.35">
      <c r="A2327" s="19">
        <v>46018</v>
      </c>
      <c r="B2327" s="20"/>
      <c r="C2327" s="20"/>
      <c r="D2327" s="20">
        <v>50000</v>
      </c>
      <c r="E2327" s="99" t="s">
        <v>1010</v>
      </c>
      <c r="F2327" s="20">
        <f t="shared" si="36"/>
        <v>204926757</v>
      </c>
      <c r="G2327" s="7" t="s">
        <v>330</v>
      </c>
      <c r="H2327" s="24" t="s">
        <v>109</v>
      </c>
      <c r="I2327" s="32" t="s">
        <v>152</v>
      </c>
      <c r="K2327" s="181"/>
      <c r="L2327" s="181"/>
    </row>
    <row r="2328" spans="1:12" x14ac:dyDescent="0.35">
      <c r="A2328" s="19">
        <v>46018</v>
      </c>
      <c r="B2328" s="20"/>
      <c r="C2328" s="20"/>
      <c r="D2328" s="20">
        <v>100000</v>
      </c>
      <c r="E2328" s="99" t="s">
        <v>1010</v>
      </c>
      <c r="F2328" s="20">
        <f t="shared" si="36"/>
        <v>205026757</v>
      </c>
      <c r="G2328" s="7" t="s">
        <v>330</v>
      </c>
      <c r="H2328" s="24" t="s">
        <v>109</v>
      </c>
      <c r="I2328" s="32" t="s">
        <v>152</v>
      </c>
      <c r="K2328" s="181"/>
      <c r="L2328" s="181"/>
    </row>
    <row r="2329" spans="1:12" x14ac:dyDescent="0.35">
      <c r="A2329" s="19">
        <v>46018</v>
      </c>
      <c r="B2329" s="20"/>
      <c r="C2329" s="20"/>
      <c r="D2329" s="20">
        <v>5000</v>
      </c>
      <c r="E2329" s="99" t="s">
        <v>1010</v>
      </c>
      <c r="F2329" s="20">
        <f t="shared" si="36"/>
        <v>205031757</v>
      </c>
      <c r="G2329" s="7" t="s">
        <v>330</v>
      </c>
      <c r="H2329" s="24" t="s">
        <v>109</v>
      </c>
      <c r="I2329" s="32" t="s">
        <v>152</v>
      </c>
      <c r="K2329" s="181"/>
      <c r="L2329" s="181"/>
    </row>
    <row r="2330" spans="1:12" x14ac:dyDescent="0.35">
      <c r="A2330" s="19">
        <v>46018</v>
      </c>
      <c r="B2330" s="20"/>
      <c r="C2330" s="20"/>
      <c r="D2330" s="20">
        <v>10000</v>
      </c>
      <c r="E2330" s="99" t="s">
        <v>1010</v>
      </c>
      <c r="F2330" s="20">
        <f t="shared" si="36"/>
        <v>205041757</v>
      </c>
      <c r="G2330" s="7" t="s">
        <v>330</v>
      </c>
      <c r="H2330" s="24" t="s">
        <v>109</v>
      </c>
      <c r="I2330" s="32" t="s">
        <v>152</v>
      </c>
      <c r="K2330" s="181"/>
      <c r="L2330" s="181"/>
    </row>
    <row r="2331" spans="1:12" x14ac:dyDescent="0.35">
      <c r="A2331" s="19">
        <v>46018</v>
      </c>
      <c r="B2331" s="20"/>
      <c r="C2331" s="20"/>
      <c r="D2331" s="20">
        <v>15000</v>
      </c>
      <c r="E2331" s="99" t="s">
        <v>1010</v>
      </c>
      <c r="F2331" s="20">
        <f t="shared" si="36"/>
        <v>205056757</v>
      </c>
      <c r="G2331" s="7" t="s">
        <v>330</v>
      </c>
      <c r="H2331" s="24" t="s">
        <v>109</v>
      </c>
      <c r="I2331" s="32" t="s">
        <v>152</v>
      </c>
      <c r="K2331" s="181"/>
      <c r="L2331" s="181"/>
    </row>
    <row r="2332" spans="1:12" x14ac:dyDescent="0.35">
      <c r="A2332" s="19">
        <v>46018</v>
      </c>
      <c r="B2332" s="20"/>
      <c r="C2332" s="20"/>
      <c r="D2332" s="20">
        <v>25000</v>
      </c>
      <c r="E2332" s="99" t="s">
        <v>1010</v>
      </c>
      <c r="F2332" s="20">
        <f t="shared" si="36"/>
        <v>205081757</v>
      </c>
      <c r="G2332" s="7" t="s">
        <v>330</v>
      </c>
      <c r="H2332" s="24" t="s">
        <v>109</v>
      </c>
      <c r="I2332" s="32" t="s">
        <v>152</v>
      </c>
      <c r="K2332" s="181"/>
      <c r="L2332" s="181"/>
    </row>
    <row r="2333" spans="1:12" x14ac:dyDescent="0.35">
      <c r="A2333" s="19">
        <v>46018</v>
      </c>
      <c r="B2333" s="20"/>
      <c r="C2333" s="20"/>
      <c r="D2333" s="20">
        <v>300000</v>
      </c>
      <c r="E2333" s="99" t="s">
        <v>1010</v>
      </c>
      <c r="F2333" s="20">
        <f t="shared" si="36"/>
        <v>205381757</v>
      </c>
      <c r="G2333" s="7" t="s">
        <v>330</v>
      </c>
      <c r="H2333" s="24" t="s">
        <v>109</v>
      </c>
      <c r="I2333" s="32" t="s">
        <v>152</v>
      </c>
      <c r="K2333" s="181"/>
      <c r="L2333" s="181"/>
    </row>
    <row r="2334" spans="1:12" x14ac:dyDescent="0.35">
      <c r="A2334" s="19">
        <v>46018</v>
      </c>
      <c r="B2334" s="20"/>
      <c r="C2334" s="20"/>
      <c r="D2334" s="20">
        <v>100000</v>
      </c>
      <c r="E2334" s="99" t="s">
        <v>1010</v>
      </c>
      <c r="F2334" s="20">
        <f t="shared" si="36"/>
        <v>205481757</v>
      </c>
      <c r="G2334" s="7" t="s">
        <v>330</v>
      </c>
      <c r="H2334" s="24" t="s">
        <v>109</v>
      </c>
      <c r="I2334" s="32" t="s">
        <v>152</v>
      </c>
      <c r="K2334" s="181"/>
      <c r="L2334" s="181"/>
    </row>
    <row r="2335" spans="1:12" x14ac:dyDescent="0.35">
      <c r="A2335" s="19">
        <v>46018</v>
      </c>
      <c r="B2335" s="20">
        <v>2250000</v>
      </c>
      <c r="C2335" s="20"/>
      <c r="D2335" s="20"/>
      <c r="E2335" s="99" t="s">
        <v>1010</v>
      </c>
      <c r="F2335" s="20">
        <f t="shared" si="36"/>
        <v>203231757</v>
      </c>
      <c r="G2335" s="7" t="s">
        <v>1001</v>
      </c>
      <c r="H2335" s="24" t="s">
        <v>325</v>
      </c>
      <c r="I2335" s="32" t="s">
        <v>152</v>
      </c>
      <c r="K2335" s="181"/>
      <c r="L2335" s="181"/>
    </row>
    <row r="2336" spans="1:12" x14ac:dyDescent="0.35">
      <c r="A2336" s="19">
        <v>46018</v>
      </c>
      <c r="B2336" s="20">
        <v>6500</v>
      </c>
      <c r="C2336" s="20"/>
      <c r="D2336" s="20"/>
      <c r="E2336" s="99" t="s">
        <v>1010</v>
      </c>
      <c r="F2336" s="20">
        <f t="shared" si="36"/>
        <v>203225257</v>
      </c>
      <c r="G2336" s="7" t="s">
        <v>1001</v>
      </c>
      <c r="H2336" s="24" t="s">
        <v>325</v>
      </c>
      <c r="I2336" s="32" t="s">
        <v>152</v>
      </c>
      <c r="K2336" s="181"/>
      <c r="L2336" s="181"/>
    </row>
    <row r="2337" spans="1:12" x14ac:dyDescent="0.35">
      <c r="A2337" s="19">
        <v>46018</v>
      </c>
      <c r="B2337" s="20">
        <v>2000000</v>
      </c>
      <c r="C2337" s="20"/>
      <c r="D2337" s="20"/>
      <c r="E2337" s="99" t="s">
        <v>1010</v>
      </c>
      <c r="F2337" s="20">
        <f t="shared" si="36"/>
        <v>201225257</v>
      </c>
      <c r="G2337" s="7" t="s">
        <v>1002</v>
      </c>
      <c r="H2337" s="24" t="s">
        <v>323</v>
      </c>
      <c r="I2337" s="32" t="s">
        <v>152</v>
      </c>
      <c r="K2337" s="181"/>
      <c r="L2337" s="181"/>
    </row>
    <row r="2338" spans="1:12" x14ac:dyDescent="0.35">
      <c r="A2338" s="19">
        <v>46018</v>
      </c>
      <c r="B2338" s="20">
        <v>6500</v>
      </c>
      <c r="C2338" s="20"/>
      <c r="D2338" s="20"/>
      <c r="E2338" s="99" t="s">
        <v>1010</v>
      </c>
      <c r="F2338" s="20">
        <f t="shared" si="36"/>
        <v>201218757</v>
      </c>
      <c r="G2338" s="7" t="s">
        <v>1002</v>
      </c>
      <c r="H2338" s="24" t="s">
        <v>323</v>
      </c>
      <c r="I2338" s="32" t="s">
        <v>152</v>
      </c>
      <c r="K2338" s="181"/>
      <c r="L2338" s="181"/>
    </row>
    <row r="2339" spans="1:12" x14ac:dyDescent="0.35">
      <c r="A2339" s="19">
        <v>46018</v>
      </c>
      <c r="B2339" s="20">
        <v>550000</v>
      </c>
      <c r="C2339" s="20"/>
      <c r="D2339" s="20"/>
      <c r="E2339" s="99" t="s">
        <v>1010</v>
      </c>
      <c r="F2339" s="20">
        <f t="shared" si="36"/>
        <v>200668757</v>
      </c>
      <c r="G2339" s="7" t="s">
        <v>1003</v>
      </c>
      <c r="H2339" s="24" t="s">
        <v>325</v>
      </c>
      <c r="I2339" s="32" t="s">
        <v>152</v>
      </c>
      <c r="K2339" s="181"/>
      <c r="L2339" s="181"/>
    </row>
    <row r="2340" spans="1:12" x14ac:dyDescent="0.35">
      <c r="A2340" s="19">
        <v>46018</v>
      </c>
      <c r="B2340" s="20">
        <v>6500</v>
      </c>
      <c r="C2340" s="20"/>
      <c r="D2340" s="20"/>
      <c r="E2340" s="99" t="s">
        <v>1010</v>
      </c>
      <c r="F2340" s="20">
        <f t="shared" si="36"/>
        <v>200662257</v>
      </c>
      <c r="G2340" s="7" t="s">
        <v>1003</v>
      </c>
      <c r="H2340" s="24" t="s">
        <v>325</v>
      </c>
      <c r="I2340" s="32" t="s">
        <v>152</v>
      </c>
      <c r="K2340" s="181"/>
      <c r="L2340" s="181"/>
    </row>
    <row r="2341" spans="1:12" x14ac:dyDescent="0.35">
      <c r="A2341" s="19">
        <v>46018</v>
      </c>
      <c r="B2341" s="20">
        <v>2500000</v>
      </c>
      <c r="C2341" s="20"/>
      <c r="D2341" s="20"/>
      <c r="E2341" s="99" t="s">
        <v>1010</v>
      </c>
      <c r="F2341" s="20">
        <f t="shared" si="36"/>
        <v>198162257</v>
      </c>
      <c r="G2341" s="7" t="s">
        <v>1004</v>
      </c>
      <c r="H2341" s="24" t="s">
        <v>325</v>
      </c>
      <c r="I2341" s="32" t="s">
        <v>152</v>
      </c>
      <c r="K2341" s="181"/>
      <c r="L2341" s="181"/>
    </row>
    <row r="2342" spans="1:12" x14ac:dyDescent="0.35">
      <c r="A2342" s="19">
        <v>46018</v>
      </c>
      <c r="B2342" s="20">
        <v>6500</v>
      </c>
      <c r="C2342" s="20"/>
      <c r="D2342" s="20"/>
      <c r="E2342" s="99" t="s">
        <v>1010</v>
      </c>
      <c r="F2342" s="20">
        <f t="shared" si="36"/>
        <v>198155757</v>
      </c>
      <c r="G2342" s="7" t="s">
        <v>1004</v>
      </c>
      <c r="H2342" s="24" t="s">
        <v>325</v>
      </c>
      <c r="I2342" s="32" t="s">
        <v>152</v>
      </c>
      <c r="K2342" s="181"/>
      <c r="L2342" s="181"/>
    </row>
    <row r="2343" spans="1:12" x14ac:dyDescent="0.35">
      <c r="A2343" s="19">
        <v>46018</v>
      </c>
      <c r="B2343" s="20">
        <v>2700000</v>
      </c>
      <c r="C2343" s="20"/>
      <c r="D2343" s="20"/>
      <c r="E2343" s="99" t="s">
        <v>1010</v>
      </c>
      <c r="F2343" s="20">
        <f t="shared" si="36"/>
        <v>195455757</v>
      </c>
      <c r="G2343" s="7" t="s">
        <v>846</v>
      </c>
      <c r="H2343" s="24" t="s">
        <v>201</v>
      </c>
      <c r="I2343" s="32" t="s">
        <v>152</v>
      </c>
      <c r="K2343" s="181"/>
      <c r="L2343" s="181"/>
    </row>
    <row r="2344" spans="1:12" x14ac:dyDescent="0.35">
      <c r="A2344" s="19">
        <v>46018</v>
      </c>
      <c r="B2344" s="20">
        <v>6500</v>
      </c>
      <c r="C2344" s="20"/>
      <c r="D2344" s="20"/>
      <c r="E2344" s="99" t="s">
        <v>1010</v>
      </c>
      <c r="F2344" s="20">
        <f t="shared" si="36"/>
        <v>195449257</v>
      </c>
      <c r="G2344" s="7" t="s">
        <v>846</v>
      </c>
      <c r="H2344" s="24" t="s">
        <v>201</v>
      </c>
      <c r="I2344" s="32" t="s">
        <v>152</v>
      </c>
      <c r="K2344" s="181"/>
      <c r="L2344" s="181"/>
    </row>
    <row r="2345" spans="1:12" x14ac:dyDescent="0.35">
      <c r="A2345" s="19">
        <v>46018</v>
      </c>
      <c r="B2345" s="20">
        <v>4000000</v>
      </c>
      <c r="C2345" s="20"/>
      <c r="D2345" s="20"/>
      <c r="E2345" s="99" t="s">
        <v>1010</v>
      </c>
      <c r="F2345" s="20">
        <f t="shared" si="36"/>
        <v>191449257</v>
      </c>
      <c r="G2345" s="7" t="s">
        <v>1005</v>
      </c>
      <c r="H2345" s="24" t="s">
        <v>201</v>
      </c>
      <c r="I2345" s="32" t="s">
        <v>152</v>
      </c>
      <c r="K2345" s="181"/>
      <c r="L2345" s="181"/>
    </row>
    <row r="2346" spans="1:12" x14ac:dyDescent="0.35">
      <c r="A2346" s="19">
        <v>46018</v>
      </c>
      <c r="B2346" s="20">
        <v>6500</v>
      </c>
      <c r="C2346" s="20"/>
      <c r="D2346" s="20"/>
      <c r="E2346" s="99" t="s">
        <v>1010</v>
      </c>
      <c r="F2346" s="20">
        <f t="shared" si="36"/>
        <v>191442757</v>
      </c>
      <c r="G2346" s="7" t="s">
        <v>1005</v>
      </c>
      <c r="H2346" s="24" t="s">
        <v>201</v>
      </c>
      <c r="I2346" s="32" t="s">
        <v>152</v>
      </c>
      <c r="K2346" s="181"/>
      <c r="L2346" s="181"/>
    </row>
    <row r="2347" spans="1:12" x14ac:dyDescent="0.35">
      <c r="A2347" s="19">
        <v>46018</v>
      </c>
      <c r="B2347" s="20">
        <v>3500000</v>
      </c>
      <c r="C2347" s="20"/>
      <c r="D2347" s="20"/>
      <c r="E2347" s="99" t="s">
        <v>1010</v>
      </c>
      <c r="F2347" s="20">
        <f t="shared" si="36"/>
        <v>187942757</v>
      </c>
      <c r="G2347" s="7" t="s">
        <v>1006</v>
      </c>
      <c r="H2347" s="24" t="s">
        <v>325</v>
      </c>
      <c r="I2347" s="32" t="s">
        <v>152</v>
      </c>
      <c r="K2347" s="181"/>
      <c r="L2347" s="181"/>
    </row>
    <row r="2348" spans="1:12" x14ac:dyDescent="0.35">
      <c r="A2348" s="19">
        <v>46018</v>
      </c>
      <c r="B2348" s="20">
        <v>6500</v>
      </c>
      <c r="C2348" s="20"/>
      <c r="D2348" s="20"/>
      <c r="E2348" s="99" t="s">
        <v>1010</v>
      </c>
      <c r="F2348" s="20">
        <f t="shared" si="36"/>
        <v>187936257</v>
      </c>
      <c r="G2348" s="7" t="s">
        <v>1006</v>
      </c>
      <c r="H2348" s="24" t="s">
        <v>325</v>
      </c>
      <c r="I2348" s="32" t="s">
        <v>152</v>
      </c>
      <c r="K2348" s="181"/>
      <c r="L2348" s="181"/>
    </row>
    <row r="2349" spans="1:12" x14ac:dyDescent="0.35">
      <c r="A2349" s="19">
        <v>46018</v>
      </c>
      <c r="B2349" s="20">
        <v>1000000</v>
      </c>
      <c r="C2349" s="20"/>
      <c r="D2349" s="20"/>
      <c r="E2349" s="99" t="s">
        <v>1010</v>
      </c>
      <c r="F2349" s="20">
        <f t="shared" si="36"/>
        <v>186936257</v>
      </c>
      <c r="G2349" s="7" t="s">
        <v>1007</v>
      </c>
      <c r="H2349" s="24" t="s">
        <v>325</v>
      </c>
      <c r="I2349" s="32" t="s">
        <v>152</v>
      </c>
      <c r="K2349" s="181"/>
      <c r="L2349" s="181"/>
    </row>
    <row r="2350" spans="1:12" x14ac:dyDescent="0.35">
      <c r="A2350" s="19">
        <v>46018</v>
      </c>
      <c r="B2350" s="20">
        <v>6500</v>
      </c>
      <c r="C2350" s="20"/>
      <c r="D2350" s="20"/>
      <c r="E2350" s="99" t="s">
        <v>1010</v>
      </c>
      <c r="F2350" s="20">
        <f t="shared" si="36"/>
        <v>186929757</v>
      </c>
      <c r="G2350" s="7" t="s">
        <v>1007</v>
      </c>
      <c r="H2350" s="24" t="s">
        <v>325</v>
      </c>
      <c r="I2350" s="32" t="s">
        <v>152</v>
      </c>
      <c r="K2350" s="181"/>
      <c r="L2350" s="181"/>
    </row>
    <row r="2351" spans="1:12" x14ac:dyDescent="0.35">
      <c r="A2351" s="19">
        <v>46020</v>
      </c>
      <c r="B2351" s="20">
        <v>2750000</v>
      </c>
      <c r="C2351" s="20"/>
      <c r="D2351" s="20"/>
      <c r="E2351" s="99" t="s">
        <v>1010</v>
      </c>
      <c r="F2351" s="20">
        <f t="shared" si="36"/>
        <v>184179757</v>
      </c>
      <c r="G2351" s="7" t="s">
        <v>1008</v>
      </c>
      <c r="H2351" s="24" t="s">
        <v>325</v>
      </c>
      <c r="I2351" s="32" t="s">
        <v>152</v>
      </c>
      <c r="K2351" s="181"/>
      <c r="L2351" s="181"/>
    </row>
    <row r="2352" spans="1:12" x14ac:dyDescent="0.35">
      <c r="A2352" s="19">
        <v>46019</v>
      </c>
      <c r="B2352" s="20">
        <v>1000000</v>
      </c>
      <c r="C2352" s="20"/>
      <c r="D2352" s="20"/>
      <c r="E2352" s="99" t="s">
        <v>1010</v>
      </c>
      <c r="F2352" s="20">
        <f t="shared" si="36"/>
        <v>183179757</v>
      </c>
      <c r="G2352" s="7" t="s">
        <v>772</v>
      </c>
      <c r="H2352" s="24" t="s">
        <v>323</v>
      </c>
      <c r="I2352" s="32" t="s">
        <v>152</v>
      </c>
      <c r="K2352" s="181"/>
      <c r="L2352" s="181"/>
    </row>
    <row r="2353" spans="1:12" x14ac:dyDescent="0.35">
      <c r="A2353" s="19">
        <v>46019</v>
      </c>
      <c r="B2353" s="20">
        <v>6500</v>
      </c>
      <c r="C2353" s="20"/>
      <c r="D2353" s="20"/>
      <c r="E2353" s="99" t="s">
        <v>1010</v>
      </c>
      <c r="F2353" s="20">
        <f t="shared" si="36"/>
        <v>183173257</v>
      </c>
      <c r="G2353" s="7" t="s">
        <v>772</v>
      </c>
      <c r="H2353" s="24" t="s">
        <v>323</v>
      </c>
      <c r="I2353" s="32" t="s">
        <v>152</v>
      </c>
      <c r="K2353" s="181"/>
      <c r="L2353" s="181"/>
    </row>
    <row r="2354" spans="1:12" x14ac:dyDescent="0.35">
      <c r="A2354" s="19">
        <v>46019</v>
      </c>
      <c r="B2354" s="20"/>
      <c r="C2354" s="20"/>
      <c r="D2354" s="20">
        <v>25000</v>
      </c>
      <c r="E2354" s="99" t="s">
        <v>1010</v>
      </c>
      <c r="F2354" s="20">
        <f t="shared" si="36"/>
        <v>183198257</v>
      </c>
      <c r="G2354" s="7" t="s">
        <v>330</v>
      </c>
      <c r="H2354" s="24" t="s">
        <v>109</v>
      </c>
      <c r="I2354" s="32" t="s">
        <v>152</v>
      </c>
      <c r="K2354" s="181"/>
      <c r="L2354" s="181"/>
    </row>
    <row r="2355" spans="1:12" x14ac:dyDescent="0.35">
      <c r="A2355" s="19">
        <v>46019</v>
      </c>
      <c r="B2355" s="20"/>
      <c r="C2355" s="20"/>
      <c r="D2355" s="20">
        <v>1011</v>
      </c>
      <c r="E2355" s="99" t="s">
        <v>1010</v>
      </c>
      <c r="F2355" s="20">
        <f t="shared" si="36"/>
        <v>183199268</v>
      </c>
      <c r="G2355" s="7" t="s">
        <v>330</v>
      </c>
      <c r="H2355" s="24" t="s">
        <v>109</v>
      </c>
      <c r="I2355" s="32" t="s">
        <v>152</v>
      </c>
      <c r="K2355" s="181"/>
      <c r="L2355" s="181"/>
    </row>
    <row r="2356" spans="1:12" x14ac:dyDescent="0.35">
      <c r="A2356" s="19">
        <v>46019</v>
      </c>
      <c r="B2356" s="20"/>
      <c r="C2356" s="20"/>
      <c r="D2356" s="20">
        <v>10000</v>
      </c>
      <c r="E2356" s="99" t="s">
        <v>1010</v>
      </c>
      <c r="F2356" s="20">
        <f t="shared" si="36"/>
        <v>183209268</v>
      </c>
      <c r="G2356" s="7" t="s">
        <v>330</v>
      </c>
      <c r="H2356" s="24" t="s">
        <v>109</v>
      </c>
      <c r="I2356" s="32" t="s">
        <v>152</v>
      </c>
      <c r="K2356" s="181"/>
      <c r="L2356" s="181"/>
    </row>
    <row r="2357" spans="1:12" x14ac:dyDescent="0.35">
      <c r="A2357" s="19">
        <v>46020</v>
      </c>
      <c r="B2357" s="20"/>
      <c r="C2357" s="20"/>
      <c r="D2357" s="20">
        <v>10000</v>
      </c>
      <c r="E2357" s="99" t="s">
        <v>1010</v>
      </c>
      <c r="F2357" s="20">
        <f t="shared" si="36"/>
        <v>183219268</v>
      </c>
      <c r="G2357" s="7" t="s">
        <v>330</v>
      </c>
      <c r="H2357" s="24" t="s">
        <v>109</v>
      </c>
      <c r="I2357" s="32" t="s">
        <v>152</v>
      </c>
      <c r="K2357" s="181"/>
      <c r="L2357" s="181"/>
    </row>
    <row r="2358" spans="1:12" x14ac:dyDescent="0.35">
      <c r="A2358" s="19">
        <v>46020</v>
      </c>
      <c r="B2358" s="20"/>
      <c r="C2358" s="20"/>
      <c r="D2358" s="20">
        <v>50000</v>
      </c>
      <c r="E2358" s="99" t="s">
        <v>1010</v>
      </c>
      <c r="F2358" s="20">
        <f t="shared" si="36"/>
        <v>183269268</v>
      </c>
      <c r="G2358" s="7" t="s">
        <v>330</v>
      </c>
      <c r="H2358" s="24" t="s">
        <v>109</v>
      </c>
      <c r="I2358" s="32" t="s">
        <v>152</v>
      </c>
      <c r="K2358" s="181"/>
      <c r="L2358" s="181"/>
    </row>
    <row r="2359" spans="1:12" x14ac:dyDescent="0.35">
      <c r="A2359" s="19">
        <v>46020</v>
      </c>
      <c r="B2359" s="20"/>
      <c r="C2359" s="20"/>
      <c r="D2359" s="20">
        <v>1011</v>
      </c>
      <c r="E2359" s="99" t="s">
        <v>1010</v>
      </c>
      <c r="F2359" s="20">
        <f t="shared" si="36"/>
        <v>183270279</v>
      </c>
      <c r="G2359" s="7" t="s">
        <v>330</v>
      </c>
      <c r="H2359" s="24" t="s">
        <v>109</v>
      </c>
      <c r="I2359" s="32" t="s">
        <v>152</v>
      </c>
      <c r="K2359" s="181"/>
      <c r="L2359" s="181"/>
    </row>
    <row r="2360" spans="1:12" x14ac:dyDescent="0.35">
      <c r="A2360" s="19">
        <v>46021</v>
      </c>
      <c r="B2360" s="20"/>
      <c r="C2360" s="20"/>
      <c r="D2360" s="20">
        <v>1011</v>
      </c>
      <c r="E2360" s="99" t="s">
        <v>1010</v>
      </c>
      <c r="F2360" s="20">
        <f t="shared" si="36"/>
        <v>183271290</v>
      </c>
      <c r="G2360" s="7" t="s">
        <v>330</v>
      </c>
      <c r="H2360" s="24" t="s">
        <v>109</v>
      </c>
      <c r="I2360" s="32" t="s">
        <v>152</v>
      </c>
      <c r="K2360" s="181"/>
      <c r="L2360" s="181"/>
    </row>
    <row r="2361" spans="1:12" x14ac:dyDescent="0.35">
      <c r="A2361" s="19">
        <v>46021</v>
      </c>
      <c r="B2361" s="20"/>
      <c r="C2361" s="20"/>
      <c r="D2361" s="20">
        <f>2600000-1115000</f>
        <v>1485000</v>
      </c>
      <c r="E2361" s="99" t="s">
        <v>1010</v>
      </c>
      <c r="F2361" s="20">
        <f t="shared" si="36"/>
        <v>184756290</v>
      </c>
      <c r="G2361" s="7"/>
      <c r="H2361" s="24" t="s">
        <v>107</v>
      </c>
      <c r="I2361" s="32" t="s">
        <v>152</v>
      </c>
      <c r="K2361" s="181"/>
      <c r="L2361" s="181"/>
    </row>
    <row r="2362" spans="1:12" x14ac:dyDescent="0.35">
      <c r="A2362" s="19">
        <v>46021</v>
      </c>
      <c r="B2362" s="20"/>
      <c r="C2362" s="20"/>
      <c r="D2362" s="20">
        <v>1850000</v>
      </c>
      <c r="E2362" s="99" t="s">
        <v>1010</v>
      </c>
      <c r="F2362" s="20">
        <f t="shared" si="36"/>
        <v>186606290</v>
      </c>
      <c r="G2362" s="7"/>
      <c r="H2362" s="24" t="s">
        <v>109</v>
      </c>
      <c r="I2362" s="32" t="s">
        <v>152</v>
      </c>
      <c r="K2362" s="181"/>
      <c r="L2362" s="181"/>
    </row>
    <row r="2363" spans="1:12" x14ac:dyDescent="0.35">
      <c r="A2363" s="19"/>
      <c r="B2363" s="20"/>
      <c r="C2363" s="20">
        <v>3335000</v>
      </c>
      <c r="D2363" s="20"/>
      <c r="E2363" s="99"/>
      <c r="F2363" s="20">
        <f t="shared" si="36"/>
        <v>186606290</v>
      </c>
      <c r="G2363" s="7" t="s">
        <v>1009</v>
      </c>
      <c r="H2363" s="24"/>
      <c r="I2363" s="32"/>
      <c r="K2363" s="181"/>
      <c r="L2363" s="181"/>
    </row>
    <row r="2364" spans="1:12" x14ac:dyDescent="0.35">
      <c r="A2364" s="19">
        <v>46022</v>
      </c>
      <c r="B2364" s="20"/>
      <c r="C2364" s="20"/>
      <c r="D2364" s="20">
        <v>1011</v>
      </c>
      <c r="E2364" s="99" t="s">
        <v>1010</v>
      </c>
      <c r="F2364" s="20">
        <f t="shared" si="36"/>
        <v>186607301</v>
      </c>
      <c r="G2364" s="7" t="s">
        <v>330</v>
      </c>
      <c r="H2364" s="24" t="s">
        <v>109</v>
      </c>
      <c r="I2364" s="32" t="s">
        <v>152</v>
      </c>
      <c r="K2364" s="181"/>
      <c r="L2364" s="181"/>
    </row>
    <row r="2365" spans="1:12" x14ac:dyDescent="0.35">
      <c r="A2365" s="19">
        <v>46022</v>
      </c>
      <c r="B2365" s="20"/>
      <c r="C2365" s="20"/>
      <c r="D2365" s="20">
        <v>20000</v>
      </c>
      <c r="E2365" s="99" t="s">
        <v>1010</v>
      </c>
      <c r="F2365" s="20">
        <f t="shared" si="36"/>
        <v>186627301</v>
      </c>
      <c r="G2365" s="7" t="s">
        <v>330</v>
      </c>
      <c r="H2365" s="24" t="s">
        <v>109</v>
      </c>
      <c r="I2365" s="32" t="s">
        <v>152</v>
      </c>
      <c r="K2365" s="181"/>
      <c r="L2365" s="181"/>
    </row>
    <row r="2366" spans="1:12" x14ac:dyDescent="0.35">
      <c r="A2366" s="19">
        <v>46022</v>
      </c>
      <c r="B2366" s="20"/>
      <c r="C2366" s="20"/>
      <c r="D2366" s="20">
        <v>500000</v>
      </c>
      <c r="E2366" s="99" t="s">
        <v>1010</v>
      </c>
      <c r="F2366" s="20">
        <f t="shared" si="36"/>
        <v>187127301</v>
      </c>
      <c r="G2366" s="7" t="s">
        <v>579</v>
      </c>
      <c r="H2366" s="24" t="s">
        <v>109</v>
      </c>
      <c r="I2366" s="32" t="s">
        <v>152</v>
      </c>
      <c r="K2366" s="181"/>
      <c r="L2366" s="181"/>
    </row>
    <row r="2367" spans="1:12" x14ac:dyDescent="0.35">
      <c r="A2367" s="144">
        <v>45808</v>
      </c>
      <c r="B2367" s="135">
        <v>216000</v>
      </c>
      <c r="C2367" s="134"/>
      <c r="D2367" s="135"/>
      <c r="E2367" s="134" t="s">
        <v>588</v>
      </c>
      <c r="F2367" s="135">
        <f>+F2196+D2367-B2367</f>
        <v>176927081</v>
      </c>
      <c r="G2367" s="136" t="s">
        <v>689</v>
      </c>
      <c r="H2367" s="133" t="s">
        <v>327</v>
      </c>
      <c r="I2367" s="134" t="s">
        <v>108</v>
      </c>
    </row>
    <row r="2368" spans="1:12" x14ac:dyDescent="0.35">
      <c r="A2368" s="144">
        <v>45810</v>
      </c>
      <c r="B2368" s="135">
        <v>1000000</v>
      </c>
      <c r="C2368" s="134"/>
      <c r="D2368" s="135"/>
      <c r="E2368" s="134" t="s">
        <v>732</v>
      </c>
      <c r="F2368" s="135">
        <f t="shared" ref="F2368:F2388" si="37">+F2367+D2368-B2368</f>
        <v>175927081</v>
      </c>
      <c r="G2368" s="136" t="s">
        <v>690</v>
      </c>
      <c r="H2368" s="133" t="s">
        <v>203</v>
      </c>
      <c r="I2368" s="134" t="s">
        <v>108</v>
      </c>
    </row>
    <row r="2369" spans="1:9" x14ac:dyDescent="0.35">
      <c r="A2369" s="144">
        <v>45810</v>
      </c>
      <c r="B2369" s="135">
        <v>100000</v>
      </c>
      <c r="C2369" s="134"/>
      <c r="D2369" s="135"/>
      <c r="E2369" s="134" t="s">
        <v>732</v>
      </c>
      <c r="F2369" s="135">
        <f t="shared" si="37"/>
        <v>175827081</v>
      </c>
      <c r="G2369" s="136" t="s">
        <v>691</v>
      </c>
      <c r="H2369" s="133" t="s">
        <v>327</v>
      </c>
      <c r="I2369" s="134" t="s">
        <v>108</v>
      </c>
    </row>
    <row r="2370" spans="1:9" x14ac:dyDescent="0.35">
      <c r="A2370" s="144">
        <v>45810</v>
      </c>
      <c r="B2370" s="135">
        <v>250000</v>
      </c>
      <c r="C2370" s="134"/>
      <c r="D2370" s="135"/>
      <c r="E2370" s="134" t="s">
        <v>732</v>
      </c>
      <c r="F2370" s="135">
        <f t="shared" si="37"/>
        <v>175577081</v>
      </c>
      <c r="G2370" s="136" t="s">
        <v>555</v>
      </c>
      <c r="H2370" s="133" t="s">
        <v>322</v>
      </c>
      <c r="I2370" s="134" t="s">
        <v>108</v>
      </c>
    </row>
    <row r="2371" spans="1:9" x14ac:dyDescent="0.35">
      <c r="A2371" s="144">
        <v>45810</v>
      </c>
      <c r="B2371" s="135">
        <v>92000</v>
      </c>
      <c r="C2371" s="134"/>
      <c r="D2371" s="135"/>
      <c r="E2371" s="134" t="s">
        <v>732</v>
      </c>
      <c r="F2371" s="135">
        <f t="shared" si="37"/>
        <v>175485081</v>
      </c>
      <c r="G2371" s="136" t="s">
        <v>692</v>
      </c>
      <c r="H2371" s="133" t="s">
        <v>322</v>
      </c>
      <c r="I2371" s="134" t="s">
        <v>108</v>
      </c>
    </row>
    <row r="2372" spans="1:9" x14ac:dyDescent="0.35">
      <c r="A2372" s="144">
        <v>45810</v>
      </c>
      <c r="B2372" s="135">
        <v>500000</v>
      </c>
      <c r="C2372" s="134"/>
      <c r="D2372" s="135"/>
      <c r="E2372" s="134" t="s">
        <v>732</v>
      </c>
      <c r="F2372" s="135">
        <f t="shared" si="37"/>
        <v>174985081</v>
      </c>
      <c r="G2372" s="136" t="s">
        <v>191</v>
      </c>
      <c r="H2372" s="133" t="s">
        <v>323</v>
      </c>
      <c r="I2372" s="134" t="s">
        <v>108</v>
      </c>
    </row>
    <row r="2373" spans="1:9" x14ac:dyDescent="0.35">
      <c r="A2373" s="144">
        <v>45815</v>
      </c>
      <c r="B2373" s="135"/>
      <c r="C2373" s="134"/>
      <c r="D2373" s="135">
        <v>3000000</v>
      </c>
      <c r="E2373" s="134" t="s">
        <v>732</v>
      </c>
      <c r="F2373" s="135">
        <f t="shared" si="37"/>
        <v>177985081</v>
      </c>
      <c r="G2373" s="136" t="s">
        <v>108</v>
      </c>
      <c r="H2373" s="133" t="s">
        <v>109</v>
      </c>
      <c r="I2373" s="134" t="s">
        <v>108</v>
      </c>
    </row>
    <row r="2374" spans="1:9" x14ac:dyDescent="0.35">
      <c r="A2374" s="144">
        <v>45815</v>
      </c>
      <c r="B2374" s="135">
        <v>800000</v>
      </c>
      <c r="C2374" s="134"/>
      <c r="D2374" s="135"/>
      <c r="E2374" s="134" t="s">
        <v>732</v>
      </c>
      <c r="F2374" s="135">
        <f t="shared" si="37"/>
        <v>177185081</v>
      </c>
      <c r="G2374" s="136" t="s">
        <v>700</v>
      </c>
      <c r="H2374" s="133" t="s">
        <v>322</v>
      </c>
      <c r="I2374" s="134" t="s">
        <v>108</v>
      </c>
    </row>
    <row r="2375" spans="1:9" x14ac:dyDescent="0.35">
      <c r="A2375" s="144">
        <v>45815</v>
      </c>
      <c r="B2375" s="135">
        <v>200000</v>
      </c>
      <c r="C2375" s="134"/>
      <c r="D2375" s="135"/>
      <c r="E2375" s="134" t="s">
        <v>732</v>
      </c>
      <c r="F2375" s="135">
        <f t="shared" si="37"/>
        <v>176985081</v>
      </c>
      <c r="G2375" s="136" t="s">
        <v>701</v>
      </c>
      <c r="H2375" s="133" t="s">
        <v>322</v>
      </c>
      <c r="I2375" s="134" t="s">
        <v>108</v>
      </c>
    </row>
    <row r="2376" spans="1:9" x14ac:dyDescent="0.35">
      <c r="A2376" s="144">
        <v>45815</v>
      </c>
      <c r="B2376" s="135">
        <v>200000</v>
      </c>
      <c r="C2376" s="134"/>
      <c r="D2376" s="135"/>
      <c r="E2376" s="134" t="s">
        <v>732</v>
      </c>
      <c r="F2376" s="135">
        <f t="shared" si="37"/>
        <v>176785081</v>
      </c>
      <c r="G2376" s="136" t="s">
        <v>702</v>
      </c>
      <c r="H2376" s="133" t="s">
        <v>327</v>
      </c>
      <c r="I2376" s="134" t="s">
        <v>108</v>
      </c>
    </row>
    <row r="2377" spans="1:9" x14ac:dyDescent="0.35">
      <c r="A2377" s="144">
        <v>45815</v>
      </c>
      <c r="B2377" s="135">
        <v>500000</v>
      </c>
      <c r="C2377" s="134"/>
      <c r="D2377" s="135"/>
      <c r="E2377" s="134" t="s">
        <v>732</v>
      </c>
      <c r="F2377" s="135">
        <f t="shared" si="37"/>
        <v>176285081</v>
      </c>
      <c r="G2377" s="136" t="s">
        <v>191</v>
      </c>
      <c r="H2377" s="133" t="s">
        <v>323</v>
      </c>
      <c r="I2377" s="134" t="s">
        <v>108</v>
      </c>
    </row>
    <row r="2378" spans="1:9" x14ac:dyDescent="0.35">
      <c r="A2378" s="144">
        <v>45823</v>
      </c>
      <c r="B2378" s="135">
        <v>250000</v>
      </c>
      <c r="C2378" s="134"/>
      <c r="D2378" s="135"/>
      <c r="E2378" s="134" t="s">
        <v>732</v>
      </c>
      <c r="F2378" s="135">
        <f t="shared" si="37"/>
        <v>176035081</v>
      </c>
      <c r="G2378" s="136" t="s">
        <v>719</v>
      </c>
      <c r="H2378" s="133" t="s">
        <v>327</v>
      </c>
      <c r="I2378" s="134" t="s">
        <v>108</v>
      </c>
    </row>
    <row r="2379" spans="1:9" x14ac:dyDescent="0.35">
      <c r="A2379" s="144">
        <v>45823</v>
      </c>
      <c r="B2379" s="135">
        <v>230000</v>
      </c>
      <c r="C2379" s="134"/>
      <c r="D2379" s="135"/>
      <c r="E2379" s="134" t="s">
        <v>732</v>
      </c>
      <c r="F2379" s="135">
        <f t="shared" si="37"/>
        <v>175805081</v>
      </c>
      <c r="G2379" s="136" t="s">
        <v>720</v>
      </c>
      <c r="H2379" s="133" t="s">
        <v>322</v>
      </c>
      <c r="I2379" s="134" t="s">
        <v>108</v>
      </c>
    </row>
    <row r="2380" spans="1:9" x14ac:dyDescent="0.35">
      <c r="A2380" s="144">
        <v>45823</v>
      </c>
      <c r="B2380" s="135">
        <v>130000</v>
      </c>
      <c r="C2380" s="134"/>
      <c r="D2380" s="135"/>
      <c r="E2380" s="134" t="s">
        <v>732</v>
      </c>
      <c r="F2380" s="135">
        <f t="shared" si="37"/>
        <v>175675081</v>
      </c>
      <c r="G2380" s="136" t="s">
        <v>497</v>
      </c>
      <c r="H2380" s="133" t="s">
        <v>322</v>
      </c>
      <c r="I2380" s="134" t="s">
        <v>108</v>
      </c>
    </row>
    <row r="2381" spans="1:9" x14ac:dyDescent="0.35">
      <c r="A2381" s="144">
        <v>45823</v>
      </c>
      <c r="B2381" s="135">
        <v>500000</v>
      </c>
      <c r="C2381" s="134"/>
      <c r="D2381" s="135"/>
      <c r="E2381" s="134" t="s">
        <v>732</v>
      </c>
      <c r="F2381" s="135">
        <f t="shared" si="37"/>
        <v>175175081</v>
      </c>
      <c r="G2381" s="136" t="s">
        <v>191</v>
      </c>
      <c r="H2381" s="133" t="s">
        <v>323</v>
      </c>
      <c r="I2381" s="134" t="s">
        <v>108</v>
      </c>
    </row>
    <row r="2382" spans="1:9" x14ac:dyDescent="0.35">
      <c r="A2382" s="144">
        <v>45829</v>
      </c>
      <c r="B2382" s="135"/>
      <c r="C2382" s="134"/>
      <c r="D2382" s="135">
        <v>2000000</v>
      </c>
      <c r="E2382" s="134" t="s">
        <v>732</v>
      </c>
      <c r="F2382" s="135">
        <f t="shared" si="37"/>
        <v>177175081</v>
      </c>
      <c r="G2382" s="136" t="s">
        <v>108</v>
      </c>
      <c r="H2382" s="133" t="s">
        <v>109</v>
      </c>
      <c r="I2382" s="134" t="s">
        <v>108</v>
      </c>
    </row>
    <row r="2383" spans="1:9" x14ac:dyDescent="0.35">
      <c r="A2383" s="144">
        <v>45829</v>
      </c>
      <c r="B2383" s="135">
        <v>700000</v>
      </c>
      <c r="C2383" s="134"/>
      <c r="D2383" s="135"/>
      <c r="E2383" s="134" t="s">
        <v>732</v>
      </c>
      <c r="F2383" s="135">
        <f t="shared" si="37"/>
        <v>176475081</v>
      </c>
      <c r="G2383" s="136" t="s">
        <v>728</v>
      </c>
      <c r="H2383" s="133" t="s">
        <v>203</v>
      </c>
      <c r="I2383" s="134" t="s">
        <v>108</v>
      </c>
    </row>
    <row r="2384" spans="1:9" x14ac:dyDescent="0.35">
      <c r="A2384" s="144">
        <v>45830</v>
      </c>
      <c r="B2384" s="135">
        <v>250000</v>
      </c>
      <c r="C2384" s="134"/>
      <c r="D2384" s="135"/>
      <c r="E2384" s="134" t="s">
        <v>732</v>
      </c>
      <c r="F2384" s="135">
        <f t="shared" si="37"/>
        <v>176225081</v>
      </c>
      <c r="G2384" s="136" t="s">
        <v>729</v>
      </c>
      <c r="H2384" s="133" t="s">
        <v>327</v>
      </c>
      <c r="I2384" s="134" t="s">
        <v>108</v>
      </c>
    </row>
    <row r="2385" spans="1:9" x14ac:dyDescent="0.35">
      <c r="A2385" s="144">
        <v>45832</v>
      </c>
      <c r="B2385" s="135">
        <v>150000</v>
      </c>
      <c r="C2385" s="134"/>
      <c r="D2385" s="135"/>
      <c r="E2385" s="134" t="s">
        <v>732</v>
      </c>
      <c r="F2385" s="135">
        <f t="shared" si="37"/>
        <v>176075081</v>
      </c>
      <c r="G2385" s="136" t="s">
        <v>730</v>
      </c>
      <c r="H2385" s="133" t="s">
        <v>203</v>
      </c>
      <c r="I2385" s="134" t="s">
        <v>108</v>
      </c>
    </row>
    <row r="2386" spans="1:9" x14ac:dyDescent="0.35">
      <c r="A2386" s="144">
        <v>45832</v>
      </c>
      <c r="B2386" s="135">
        <v>250000</v>
      </c>
      <c r="C2386" s="134"/>
      <c r="D2386" s="135"/>
      <c r="E2386" s="134" t="s">
        <v>732</v>
      </c>
      <c r="F2386" s="135">
        <f t="shared" si="37"/>
        <v>175825081</v>
      </c>
      <c r="G2386" s="136" t="s">
        <v>731</v>
      </c>
      <c r="H2386" s="133" t="s">
        <v>322</v>
      </c>
      <c r="I2386" s="134" t="s">
        <v>108</v>
      </c>
    </row>
    <row r="2387" spans="1:9" x14ac:dyDescent="0.35">
      <c r="A2387" s="144">
        <v>45833</v>
      </c>
      <c r="B2387" s="135">
        <v>130000</v>
      </c>
      <c r="C2387" s="134"/>
      <c r="D2387" s="135"/>
      <c r="E2387" s="134" t="s">
        <v>732</v>
      </c>
      <c r="F2387" s="135">
        <f t="shared" si="37"/>
        <v>175695081</v>
      </c>
      <c r="G2387" s="136" t="s">
        <v>497</v>
      </c>
      <c r="H2387" s="133" t="s">
        <v>322</v>
      </c>
      <c r="I2387" s="134" t="s">
        <v>108</v>
      </c>
    </row>
    <row r="2388" spans="1:9" x14ac:dyDescent="0.35">
      <c r="A2388" s="144">
        <v>45835</v>
      </c>
      <c r="B2388" s="135">
        <v>500000</v>
      </c>
      <c r="C2388" s="134"/>
      <c r="D2388" s="135"/>
      <c r="E2388" s="134" t="s">
        <v>732</v>
      </c>
      <c r="F2388" s="135">
        <f t="shared" si="37"/>
        <v>175195081</v>
      </c>
      <c r="G2388" s="136" t="s">
        <v>191</v>
      </c>
      <c r="H2388" s="133" t="s">
        <v>323</v>
      </c>
      <c r="I2388" s="134" t="s">
        <v>108</v>
      </c>
    </row>
    <row r="2389" spans="1:9" x14ac:dyDescent="0.35">
      <c r="A2389" s="144">
        <v>45839</v>
      </c>
      <c r="B2389" s="135"/>
      <c r="C2389" s="134"/>
      <c r="D2389" s="135">
        <v>2000000</v>
      </c>
      <c r="E2389" s="134" t="s">
        <v>733</v>
      </c>
      <c r="F2389" s="135">
        <f t="shared" ref="F2389:F2415" si="38">+F2388+D2389-B2389</f>
        <v>177195081</v>
      </c>
      <c r="G2389" s="136" t="s">
        <v>108</v>
      </c>
      <c r="H2389" s="133" t="s">
        <v>109</v>
      </c>
      <c r="I2389" s="134" t="s">
        <v>108</v>
      </c>
    </row>
    <row r="2390" spans="1:9" x14ac:dyDescent="0.35">
      <c r="A2390" s="144">
        <v>45839</v>
      </c>
      <c r="B2390" s="135">
        <v>400000</v>
      </c>
      <c r="C2390" s="134"/>
      <c r="D2390" s="135"/>
      <c r="E2390" s="134" t="s">
        <v>733</v>
      </c>
      <c r="F2390" s="135">
        <f t="shared" si="38"/>
        <v>176795081</v>
      </c>
      <c r="G2390" s="136" t="s">
        <v>188</v>
      </c>
      <c r="H2390" s="133" t="s">
        <v>323</v>
      </c>
      <c r="I2390" s="134" t="s">
        <v>108</v>
      </c>
    </row>
    <row r="2391" spans="1:9" x14ac:dyDescent="0.35">
      <c r="A2391" s="144">
        <v>45839</v>
      </c>
      <c r="B2391" s="135">
        <v>250000</v>
      </c>
      <c r="C2391" s="134"/>
      <c r="D2391" s="135"/>
      <c r="E2391" s="134" t="s">
        <v>733</v>
      </c>
      <c r="F2391" s="135">
        <f t="shared" si="38"/>
        <v>176545081</v>
      </c>
      <c r="G2391" s="136" t="s">
        <v>729</v>
      </c>
      <c r="H2391" s="133" t="s">
        <v>327</v>
      </c>
      <c r="I2391" s="134" t="s">
        <v>108</v>
      </c>
    </row>
    <row r="2392" spans="1:9" x14ac:dyDescent="0.35">
      <c r="A2392" s="144">
        <v>45839</v>
      </c>
      <c r="B2392" s="135">
        <v>170000</v>
      </c>
      <c r="C2392" s="134"/>
      <c r="D2392" s="135"/>
      <c r="E2392" s="134" t="s">
        <v>733</v>
      </c>
      <c r="F2392" s="135">
        <f t="shared" si="38"/>
        <v>176375081</v>
      </c>
      <c r="G2392" s="136" t="s">
        <v>701</v>
      </c>
      <c r="H2392" s="133" t="s">
        <v>322</v>
      </c>
      <c r="I2392" s="134" t="s">
        <v>108</v>
      </c>
    </row>
    <row r="2393" spans="1:9" x14ac:dyDescent="0.35">
      <c r="A2393" s="144">
        <v>45839</v>
      </c>
      <c r="B2393" s="135">
        <v>500000</v>
      </c>
      <c r="C2393" s="134"/>
      <c r="D2393" s="135"/>
      <c r="E2393" s="134" t="s">
        <v>733</v>
      </c>
      <c r="F2393" s="135">
        <f t="shared" si="38"/>
        <v>175875081</v>
      </c>
      <c r="G2393" s="136" t="s">
        <v>191</v>
      </c>
      <c r="H2393" s="133" t="s">
        <v>323</v>
      </c>
      <c r="I2393" s="134" t="s">
        <v>108</v>
      </c>
    </row>
    <row r="2394" spans="1:9" x14ac:dyDescent="0.35">
      <c r="A2394" s="144">
        <v>45845</v>
      </c>
      <c r="B2394" s="135">
        <v>80000</v>
      </c>
      <c r="C2394" s="134"/>
      <c r="D2394" s="135"/>
      <c r="E2394" s="134" t="s">
        <v>733</v>
      </c>
      <c r="F2394" s="135">
        <f t="shared" si="38"/>
        <v>175795081</v>
      </c>
      <c r="G2394" s="136" t="s">
        <v>750</v>
      </c>
      <c r="H2394" s="133" t="s">
        <v>322</v>
      </c>
      <c r="I2394" s="134" t="s">
        <v>108</v>
      </c>
    </row>
    <row r="2395" spans="1:9" x14ac:dyDescent="0.35">
      <c r="A2395" s="144">
        <v>45846</v>
      </c>
      <c r="B2395" s="135">
        <v>150000</v>
      </c>
      <c r="C2395" s="134"/>
      <c r="D2395" s="135"/>
      <c r="E2395" s="134" t="s">
        <v>733</v>
      </c>
      <c r="F2395" s="135">
        <f t="shared" si="38"/>
        <v>175645081</v>
      </c>
      <c r="G2395" s="136" t="s">
        <v>751</v>
      </c>
      <c r="H2395" s="133" t="s">
        <v>322</v>
      </c>
      <c r="I2395" s="134" t="s">
        <v>108</v>
      </c>
    </row>
    <row r="2396" spans="1:9" x14ac:dyDescent="0.35">
      <c r="A2396" s="144">
        <v>45847</v>
      </c>
      <c r="B2396" s="135">
        <v>130000</v>
      </c>
      <c r="C2396" s="134"/>
      <c r="D2396" s="135"/>
      <c r="E2396" s="134" t="s">
        <v>733</v>
      </c>
      <c r="F2396" s="135">
        <f t="shared" si="38"/>
        <v>175515081</v>
      </c>
      <c r="G2396" s="136" t="s">
        <v>497</v>
      </c>
      <c r="H2396" s="133" t="s">
        <v>322</v>
      </c>
      <c r="I2396" s="134" t="s">
        <v>108</v>
      </c>
    </row>
    <row r="2397" spans="1:9" x14ac:dyDescent="0.35">
      <c r="A2397" s="144">
        <v>45847</v>
      </c>
      <c r="B2397" s="135">
        <v>400000</v>
      </c>
      <c r="C2397" s="134"/>
      <c r="D2397" s="135"/>
      <c r="E2397" s="134" t="s">
        <v>733</v>
      </c>
      <c r="F2397" s="135">
        <f t="shared" si="38"/>
        <v>175115081</v>
      </c>
      <c r="G2397" s="136" t="s">
        <v>752</v>
      </c>
      <c r="H2397" s="133" t="s">
        <v>322</v>
      </c>
      <c r="I2397" s="134" t="s">
        <v>108</v>
      </c>
    </row>
    <row r="2398" spans="1:9" x14ac:dyDescent="0.35">
      <c r="A2398" s="144">
        <v>45847</v>
      </c>
      <c r="B2398" s="135">
        <v>750000</v>
      </c>
      <c r="C2398" s="134"/>
      <c r="D2398" s="135"/>
      <c r="E2398" s="134" t="s">
        <v>733</v>
      </c>
      <c r="F2398" s="135">
        <f t="shared" si="38"/>
        <v>174365081</v>
      </c>
      <c r="G2398" s="136" t="s">
        <v>753</v>
      </c>
      <c r="H2398" s="133" t="s">
        <v>322</v>
      </c>
      <c r="I2398" s="134" t="s">
        <v>108</v>
      </c>
    </row>
    <row r="2399" spans="1:9" x14ac:dyDescent="0.35">
      <c r="A2399" s="144">
        <v>45847</v>
      </c>
      <c r="B2399" s="135">
        <v>250000</v>
      </c>
      <c r="C2399" s="134"/>
      <c r="D2399" s="135"/>
      <c r="E2399" s="134" t="s">
        <v>733</v>
      </c>
      <c r="F2399" s="135">
        <f t="shared" si="38"/>
        <v>174115081</v>
      </c>
      <c r="G2399" s="136" t="s">
        <v>754</v>
      </c>
      <c r="H2399" s="133" t="s">
        <v>322</v>
      </c>
      <c r="I2399" s="134" t="s">
        <v>108</v>
      </c>
    </row>
    <row r="2400" spans="1:9" x14ac:dyDescent="0.35">
      <c r="A2400" s="144">
        <v>45848</v>
      </c>
      <c r="B2400" s="135">
        <v>500000</v>
      </c>
      <c r="C2400" s="134"/>
      <c r="D2400" s="135"/>
      <c r="E2400" s="134" t="s">
        <v>733</v>
      </c>
      <c r="F2400" s="135">
        <f t="shared" si="38"/>
        <v>173615081</v>
      </c>
      <c r="G2400" s="136" t="s">
        <v>191</v>
      </c>
      <c r="H2400" s="133" t="s">
        <v>323</v>
      </c>
      <c r="I2400" s="134" t="s">
        <v>108</v>
      </c>
    </row>
    <row r="2401" spans="1:9" x14ac:dyDescent="0.35">
      <c r="A2401" s="144">
        <v>45851</v>
      </c>
      <c r="B2401" s="135"/>
      <c r="C2401" s="134"/>
      <c r="D2401" s="135">
        <v>2000000</v>
      </c>
      <c r="E2401" s="134" t="s">
        <v>733</v>
      </c>
      <c r="F2401" s="135">
        <f t="shared" si="38"/>
        <v>175615081</v>
      </c>
      <c r="G2401" s="136" t="s">
        <v>108</v>
      </c>
      <c r="H2401" s="133" t="s">
        <v>109</v>
      </c>
      <c r="I2401" s="134" t="s">
        <v>108</v>
      </c>
    </row>
    <row r="2402" spans="1:9" x14ac:dyDescent="0.35">
      <c r="A2402" s="144">
        <v>45851</v>
      </c>
      <c r="B2402" s="135">
        <v>250000</v>
      </c>
      <c r="C2402" s="134"/>
      <c r="D2402" s="135"/>
      <c r="E2402" s="134" t="s">
        <v>733</v>
      </c>
      <c r="F2402" s="135">
        <f t="shared" si="38"/>
        <v>175365081</v>
      </c>
      <c r="G2402" s="136" t="s">
        <v>758</v>
      </c>
      <c r="H2402" s="133" t="s">
        <v>327</v>
      </c>
      <c r="I2402" s="134" t="s">
        <v>108</v>
      </c>
    </row>
    <row r="2403" spans="1:9" x14ac:dyDescent="0.35">
      <c r="A2403" s="144">
        <v>45855</v>
      </c>
      <c r="B2403" s="135">
        <v>130000</v>
      </c>
      <c r="C2403" s="134"/>
      <c r="D2403" s="135"/>
      <c r="E2403" s="134" t="s">
        <v>733</v>
      </c>
      <c r="F2403" s="135">
        <f t="shared" si="38"/>
        <v>175235081</v>
      </c>
      <c r="G2403" s="136" t="s">
        <v>497</v>
      </c>
      <c r="H2403" s="133" t="s">
        <v>322</v>
      </c>
      <c r="I2403" s="134" t="s">
        <v>108</v>
      </c>
    </row>
    <row r="2404" spans="1:9" x14ac:dyDescent="0.35">
      <c r="A2404" s="144">
        <v>45855</v>
      </c>
      <c r="B2404" s="135">
        <v>125000</v>
      </c>
      <c r="C2404" s="134"/>
      <c r="D2404" s="135"/>
      <c r="E2404" s="134" t="s">
        <v>733</v>
      </c>
      <c r="F2404" s="135">
        <f t="shared" si="38"/>
        <v>175110081</v>
      </c>
      <c r="G2404" s="136" t="s">
        <v>751</v>
      </c>
      <c r="H2404" s="133" t="s">
        <v>322</v>
      </c>
      <c r="I2404" s="134" t="s">
        <v>108</v>
      </c>
    </row>
    <row r="2405" spans="1:9" x14ac:dyDescent="0.35">
      <c r="A2405" s="144">
        <v>45856</v>
      </c>
      <c r="B2405" s="135">
        <v>500000</v>
      </c>
      <c r="C2405" s="134"/>
      <c r="D2405" s="135"/>
      <c r="E2405" s="134" t="s">
        <v>733</v>
      </c>
      <c r="F2405" s="135">
        <f t="shared" si="38"/>
        <v>174610081</v>
      </c>
      <c r="G2405" s="136" t="s">
        <v>191</v>
      </c>
      <c r="H2405" s="133" t="s">
        <v>323</v>
      </c>
      <c r="I2405" s="134" t="s">
        <v>108</v>
      </c>
    </row>
    <row r="2406" spans="1:9" x14ac:dyDescent="0.35">
      <c r="A2406" s="144">
        <v>45856</v>
      </c>
      <c r="B2406" s="135">
        <v>170000</v>
      </c>
      <c r="C2406" s="134"/>
      <c r="D2406" s="135"/>
      <c r="E2406" s="134" t="s">
        <v>733</v>
      </c>
      <c r="F2406" s="135">
        <f t="shared" si="38"/>
        <v>174440081</v>
      </c>
      <c r="G2406" s="136" t="s">
        <v>759</v>
      </c>
      <c r="H2406" s="133" t="s">
        <v>322</v>
      </c>
      <c r="I2406" s="134" t="s">
        <v>108</v>
      </c>
    </row>
    <row r="2407" spans="1:9" x14ac:dyDescent="0.35">
      <c r="A2407" s="144">
        <v>45858</v>
      </c>
      <c r="B2407" s="135"/>
      <c r="C2407" s="134"/>
      <c r="D2407" s="135">
        <v>2000000</v>
      </c>
      <c r="E2407" s="134" t="s">
        <v>733</v>
      </c>
      <c r="F2407" s="135">
        <f t="shared" si="38"/>
        <v>176440081</v>
      </c>
      <c r="G2407" s="136" t="s">
        <v>108</v>
      </c>
      <c r="H2407" s="133" t="s">
        <v>109</v>
      </c>
      <c r="I2407" s="134" t="s">
        <v>108</v>
      </c>
    </row>
    <row r="2408" spans="1:9" x14ac:dyDescent="0.35">
      <c r="A2408" s="144">
        <v>45858</v>
      </c>
      <c r="B2408" s="135">
        <v>250000</v>
      </c>
      <c r="C2408" s="134"/>
      <c r="D2408" s="135"/>
      <c r="E2408" s="134" t="s">
        <v>733</v>
      </c>
      <c r="F2408" s="135">
        <f t="shared" si="38"/>
        <v>176190081</v>
      </c>
      <c r="G2408" s="136" t="s">
        <v>758</v>
      </c>
      <c r="H2408" s="133" t="s">
        <v>327</v>
      </c>
      <c r="I2408" s="134" t="s">
        <v>108</v>
      </c>
    </row>
    <row r="2409" spans="1:9" x14ac:dyDescent="0.35">
      <c r="A2409" s="144">
        <v>45858</v>
      </c>
      <c r="B2409" s="135">
        <v>250000</v>
      </c>
      <c r="C2409" s="134"/>
      <c r="D2409" s="135"/>
      <c r="E2409" s="134" t="s">
        <v>733</v>
      </c>
      <c r="F2409" s="135">
        <f t="shared" si="38"/>
        <v>175940081</v>
      </c>
      <c r="G2409" s="136" t="s">
        <v>353</v>
      </c>
      <c r="H2409" s="133" t="s">
        <v>322</v>
      </c>
      <c r="I2409" s="134" t="s">
        <v>108</v>
      </c>
    </row>
    <row r="2410" spans="1:9" x14ac:dyDescent="0.35">
      <c r="A2410" s="144">
        <v>45858</v>
      </c>
      <c r="B2410" s="135">
        <v>150000</v>
      </c>
      <c r="C2410" s="134"/>
      <c r="D2410" s="135"/>
      <c r="E2410" s="134" t="s">
        <v>733</v>
      </c>
      <c r="F2410" s="135">
        <f t="shared" si="38"/>
        <v>175790081</v>
      </c>
      <c r="G2410" s="136" t="s">
        <v>764</v>
      </c>
      <c r="H2410" s="133" t="s">
        <v>322</v>
      </c>
      <c r="I2410" s="134" t="s">
        <v>108</v>
      </c>
    </row>
    <row r="2411" spans="1:9" x14ac:dyDescent="0.35">
      <c r="A2411" s="144">
        <v>45858</v>
      </c>
      <c r="B2411" s="135">
        <v>500000</v>
      </c>
      <c r="C2411" s="134"/>
      <c r="D2411" s="135"/>
      <c r="E2411" s="134" t="s">
        <v>733</v>
      </c>
      <c r="F2411" s="135">
        <f t="shared" si="38"/>
        <v>175290081</v>
      </c>
      <c r="G2411" s="136" t="s">
        <v>191</v>
      </c>
      <c r="H2411" s="133" t="s">
        <v>323</v>
      </c>
      <c r="I2411" s="134" t="s">
        <v>108</v>
      </c>
    </row>
    <row r="2412" spans="1:9" x14ac:dyDescent="0.35">
      <c r="A2412" s="144">
        <v>45865</v>
      </c>
      <c r="B2412" s="135">
        <v>242000</v>
      </c>
      <c r="C2412" s="134"/>
      <c r="D2412" s="135"/>
      <c r="E2412" s="134" t="s">
        <v>733</v>
      </c>
      <c r="F2412" s="135">
        <f t="shared" si="38"/>
        <v>175048081</v>
      </c>
      <c r="G2412" s="136" t="s">
        <v>758</v>
      </c>
      <c r="H2412" s="133" t="s">
        <v>327</v>
      </c>
      <c r="I2412" s="134" t="s">
        <v>108</v>
      </c>
    </row>
    <row r="2413" spans="1:9" x14ac:dyDescent="0.35">
      <c r="A2413" s="144">
        <v>45867</v>
      </c>
      <c r="B2413" s="135">
        <v>248000</v>
      </c>
      <c r="C2413" s="134"/>
      <c r="D2413" s="135"/>
      <c r="E2413" s="134" t="s">
        <v>733</v>
      </c>
      <c r="F2413" s="135">
        <f t="shared" si="38"/>
        <v>174800081</v>
      </c>
      <c r="G2413" s="136" t="s">
        <v>787</v>
      </c>
      <c r="H2413" s="133" t="s">
        <v>322</v>
      </c>
      <c r="I2413" s="134" t="s">
        <v>108</v>
      </c>
    </row>
    <row r="2414" spans="1:9" x14ac:dyDescent="0.35">
      <c r="A2414" s="144">
        <v>45868</v>
      </c>
      <c r="B2414" s="135">
        <v>400000</v>
      </c>
      <c r="C2414" s="134"/>
      <c r="D2414" s="135"/>
      <c r="E2414" s="134" t="s">
        <v>733</v>
      </c>
      <c r="F2414" s="135">
        <f t="shared" si="38"/>
        <v>174400081</v>
      </c>
      <c r="G2414" s="136" t="s">
        <v>188</v>
      </c>
      <c r="H2414" s="133" t="s">
        <v>323</v>
      </c>
      <c r="I2414" s="134" t="s">
        <v>108</v>
      </c>
    </row>
    <row r="2415" spans="1:9" x14ac:dyDescent="0.35">
      <c r="A2415" s="144">
        <v>45869</v>
      </c>
      <c r="B2415" s="135">
        <v>500000</v>
      </c>
      <c r="C2415" s="134"/>
      <c r="D2415" s="135"/>
      <c r="E2415" s="134" t="s">
        <v>733</v>
      </c>
      <c r="F2415" s="135">
        <f t="shared" si="38"/>
        <v>173900081</v>
      </c>
      <c r="G2415" s="136" t="s">
        <v>191</v>
      </c>
      <c r="H2415" s="133" t="s">
        <v>323</v>
      </c>
      <c r="I2415" s="134" t="s">
        <v>108</v>
      </c>
    </row>
    <row r="2416" spans="1:9" x14ac:dyDescent="0.35">
      <c r="A2416" s="144">
        <v>45872</v>
      </c>
      <c r="B2416" s="135"/>
      <c r="C2416" s="134"/>
      <c r="D2416" s="135">
        <v>2000000</v>
      </c>
      <c r="E2416" s="134" t="s">
        <v>860</v>
      </c>
      <c r="F2416" s="135">
        <f>+F2415+D2416-B2416</f>
        <v>175900081</v>
      </c>
      <c r="G2416" s="136" t="s">
        <v>108</v>
      </c>
      <c r="H2416" s="133" t="s">
        <v>109</v>
      </c>
      <c r="I2416" s="134" t="s">
        <v>108</v>
      </c>
    </row>
    <row r="2417" spans="1:9" x14ac:dyDescent="0.35">
      <c r="A2417" s="144">
        <v>45872</v>
      </c>
      <c r="B2417" s="135">
        <v>250000</v>
      </c>
      <c r="C2417" s="134"/>
      <c r="D2417" s="135"/>
      <c r="E2417" s="134" t="s">
        <v>860</v>
      </c>
      <c r="F2417" s="135">
        <f>+F2416+D2417-B2417</f>
        <v>175650081</v>
      </c>
      <c r="G2417" s="136" t="s">
        <v>758</v>
      </c>
      <c r="H2417" s="133" t="s">
        <v>327</v>
      </c>
      <c r="I2417" s="134" t="s">
        <v>108</v>
      </c>
    </row>
    <row r="2418" spans="1:9" x14ac:dyDescent="0.35">
      <c r="A2418" s="144">
        <v>45872</v>
      </c>
      <c r="B2418" s="135">
        <v>270000</v>
      </c>
      <c r="C2418" s="134"/>
      <c r="D2418" s="135"/>
      <c r="E2418" s="134" t="s">
        <v>860</v>
      </c>
      <c r="F2418" s="135">
        <f>+F2417+D2418-B2418</f>
        <v>175380081</v>
      </c>
      <c r="G2418" s="136" t="s">
        <v>794</v>
      </c>
      <c r="H2418" s="133" t="s">
        <v>322</v>
      </c>
      <c r="I2418" s="134" t="s">
        <v>108</v>
      </c>
    </row>
    <row r="2419" spans="1:9" x14ac:dyDescent="0.35">
      <c r="A2419" s="144">
        <v>45872</v>
      </c>
      <c r="B2419" s="135">
        <v>500000</v>
      </c>
      <c r="C2419" s="134"/>
      <c r="D2419" s="135"/>
      <c r="E2419" s="134" t="s">
        <v>860</v>
      </c>
      <c r="F2419" s="135">
        <f>+F2418+D2419-B2419</f>
        <v>174880081</v>
      </c>
      <c r="G2419" s="136" t="s">
        <v>191</v>
      </c>
      <c r="H2419" s="133" t="s">
        <v>323</v>
      </c>
      <c r="I2419" s="134" t="s">
        <v>108</v>
      </c>
    </row>
    <row r="2420" spans="1:9" x14ac:dyDescent="0.35">
      <c r="A2420" s="144">
        <v>45879</v>
      </c>
      <c r="B2420" s="135"/>
      <c r="C2420" s="134"/>
      <c r="D2420" s="135">
        <v>1000000</v>
      </c>
      <c r="E2420" s="134" t="s">
        <v>860</v>
      </c>
      <c r="F2420" s="135">
        <f>+F2419+D2420-B2420</f>
        <v>175880081</v>
      </c>
      <c r="G2420" s="136" t="s">
        <v>108</v>
      </c>
      <c r="H2420" s="133" t="s">
        <v>109</v>
      </c>
      <c r="I2420" s="134" t="s">
        <v>108</v>
      </c>
    </row>
    <row r="2421" spans="1:9" x14ac:dyDescent="0.35">
      <c r="A2421" s="144">
        <v>45879</v>
      </c>
      <c r="B2421" s="135">
        <v>250000</v>
      </c>
      <c r="C2421" s="134"/>
      <c r="D2421" s="135"/>
      <c r="E2421" s="134" t="s">
        <v>860</v>
      </c>
      <c r="F2421" s="135">
        <f t="shared" ref="F2421:F2438" si="39">+F2420+D2421-B2421</f>
        <v>175630081</v>
      </c>
      <c r="G2421" s="136" t="s">
        <v>729</v>
      </c>
      <c r="H2421" s="133" t="s">
        <v>327</v>
      </c>
      <c r="I2421" s="134" t="s">
        <v>108</v>
      </c>
    </row>
    <row r="2422" spans="1:9" x14ac:dyDescent="0.35">
      <c r="A2422" s="144">
        <v>45879</v>
      </c>
      <c r="B2422" s="135">
        <v>200000</v>
      </c>
      <c r="C2422" s="134"/>
      <c r="D2422" s="135"/>
      <c r="E2422" s="134" t="s">
        <v>860</v>
      </c>
      <c r="F2422" s="135">
        <f t="shared" si="39"/>
        <v>175430081</v>
      </c>
      <c r="G2422" s="136" t="s">
        <v>799</v>
      </c>
      <c r="H2422" s="133" t="s">
        <v>322</v>
      </c>
      <c r="I2422" s="134" t="s">
        <v>108</v>
      </c>
    </row>
    <row r="2423" spans="1:9" x14ac:dyDescent="0.35">
      <c r="A2423" s="144">
        <v>45879</v>
      </c>
      <c r="B2423" s="135">
        <v>500000</v>
      </c>
      <c r="C2423" s="134"/>
      <c r="D2423" s="135"/>
      <c r="E2423" s="134" t="s">
        <v>860</v>
      </c>
      <c r="F2423" s="135">
        <f t="shared" si="39"/>
        <v>174930081</v>
      </c>
      <c r="G2423" s="136" t="s">
        <v>191</v>
      </c>
      <c r="H2423" s="133" t="s">
        <v>323</v>
      </c>
      <c r="I2423" s="134" t="s">
        <v>108</v>
      </c>
    </row>
    <row r="2424" spans="1:9" x14ac:dyDescent="0.35">
      <c r="A2424" s="144">
        <v>45886</v>
      </c>
      <c r="B2424" s="135"/>
      <c r="C2424" s="134"/>
      <c r="D2424" s="135">
        <v>1000000</v>
      </c>
      <c r="E2424" s="134" t="s">
        <v>860</v>
      </c>
      <c r="F2424" s="135">
        <f t="shared" si="39"/>
        <v>175930081</v>
      </c>
      <c r="G2424" s="136" t="s">
        <v>108</v>
      </c>
      <c r="H2424" s="133" t="s">
        <v>109</v>
      </c>
      <c r="I2424" s="134" t="s">
        <v>108</v>
      </c>
    </row>
    <row r="2425" spans="1:9" x14ac:dyDescent="0.35">
      <c r="A2425" s="144">
        <v>45886</v>
      </c>
      <c r="B2425" s="135">
        <v>250000</v>
      </c>
      <c r="C2425" s="134"/>
      <c r="D2425" s="135"/>
      <c r="E2425" s="134" t="s">
        <v>860</v>
      </c>
      <c r="F2425" s="135">
        <f t="shared" si="39"/>
        <v>175680081</v>
      </c>
      <c r="G2425" s="136" t="s">
        <v>803</v>
      </c>
      <c r="H2425" s="133" t="s">
        <v>327</v>
      </c>
      <c r="I2425" s="134" t="s">
        <v>108</v>
      </c>
    </row>
    <row r="2426" spans="1:9" x14ac:dyDescent="0.35">
      <c r="A2426" s="144">
        <v>45886</v>
      </c>
      <c r="B2426" s="135">
        <v>130000</v>
      </c>
      <c r="C2426" s="134"/>
      <c r="D2426" s="135"/>
      <c r="E2426" s="134" t="s">
        <v>860</v>
      </c>
      <c r="F2426" s="135">
        <f t="shared" si="39"/>
        <v>175550081</v>
      </c>
      <c r="G2426" s="136" t="s">
        <v>497</v>
      </c>
      <c r="H2426" s="133" t="s">
        <v>322</v>
      </c>
      <c r="I2426" s="134" t="s">
        <v>108</v>
      </c>
    </row>
    <row r="2427" spans="1:9" x14ac:dyDescent="0.35">
      <c r="A2427" s="144">
        <v>45886</v>
      </c>
      <c r="B2427" s="135">
        <v>250000</v>
      </c>
      <c r="C2427" s="134"/>
      <c r="D2427" s="135"/>
      <c r="E2427" s="134" t="s">
        <v>860</v>
      </c>
      <c r="F2427" s="135">
        <f t="shared" si="39"/>
        <v>175300081</v>
      </c>
      <c r="G2427" s="136" t="s">
        <v>804</v>
      </c>
      <c r="H2427" s="133" t="s">
        <v>499</v>
      </c>
      <c r="I2427" s="134" t="s">
        <v>108</v>
      </c>
    </row>
    <row r="2428" spans="1:9" x14ac:dyDescent="0.35">
      <c r="A2428" s="144">
        <v>45890</v>
      </c>
      <c r="B2428" s="135">
        <v>250000</v>
      </c>
      <c r="C2428" s="134"/>
      <c r="D2428" s="135"/>
      <c r="E2428" s="134" t="s">
        <v>860</v>
      </c>
      <c r="F2428" s="135">
        <f t="shared" si="39"/>
        <v>175050081</v>
      </c>
      <c r="G2428" s="136" t="s">
        <v>805</v>
      </c>
      <c r="H2428" s="133" t="s">
        <v>322</v>
      </c>
      <c r="I2428" s="134" t="s">
        <v>108</v>
      </c>
    </row>
    <row r="2429" spans="1:9" x14ac:dyDescent="0.35">
      <c r="A2429" s="144">
        <v>45891</v>
      </c>
      <c r="B2429" s="135">
        <v>500000</v>
      </c>
      <c r="C2429" s="134"/>
      <c r="D2429" s="135"/>
      <c r="E2429" s="134" t="s">
        <v>860</v>
      </c>
      <c r="F2429" s="135">
        <f t="shared" si="39"/>
        <v>174550081</v>
      </c>
      <c r="G2429" s="136" t="s">
        <v>191</v>
      </c>
      <c r="H2429" s="133" t="s">
        <v>323</v>
      </c>
      <c r="I2429" s="134" t="s">
        <v>108</v>
      </c>
    </row>
    <row r="2430" spans="1:9" x14ac:dyDescent="0.35">
      <c r="A2430" s="144">
        <v>45892</v>
      </c>
      <c r="B2430" s="135"/>
      <c r="C2430" s="134"/>
      <c r="D2430" s="135">
        <v>1000000</v>
      </c>
      <c r="E2430" s="134" t="s">
        <v>860</v>
      </c>
      <c r="F2430" s="135">
        <f t="shared" si="39"/>
        <v>175550081</v>
      </c>
      <c r="G2430" s="136" t="s">
        <v>414</v>
      </c>
      <c r="H2430" s="133" t="s">
        <v>109</v>
      </c>
      <c r="I2430" s="134" t="s">
        <v>108</v>
      </c>
    </row>
    <row r="2431" spans="1:9" x14ac:dyDescent="0.35">
      <c r="A2431" s="144">
        <v>45892</v>
      </c>
      <c r="B2431" s="135">
        <v>450000</v>
      </c>
      <c r="C2431" s="134"/>
      <c r="D2431" s="135"/>
      <c r="E2431" s="134" t="s">
        <v>860</v>
      </c>
      <c r="F2431" s="135">
        <f t="shared" si="39"/>
        <v>175100081</v>
      </c>
      <c r="G2431" s="136" t="s">
        <v>813</v>
      </c>
      <c r="H2431" s="133" t="s">
        <v>323</v>
      </c>
      <c r="I2431" s="134" t="s">
        <v>108</v>
      </c>
    </row>
    <row r="2432" spans="1:9" x14ac:dyDescent="0.35">
      <c r="A2432" s="144">
        <v>45893</v>
      </c>
      <c r="B2432" s="135">
        <v>250000</v>
      </c>
      <c r="C2432" s="134"/>
      <c r="D2432" s="135"/>
      <c r="E2432" s="134" t="s">
        <v>860</v>
      </c>
      <c r="F2432" s="135">
        <f t="shared" si="39"/>
        <v>174850081</v>
      </c>
      <c r="G2432" s="136" t="s">
        <v>814</v>
      </c>
      <c r="H2432" s="133" t="s">
        <v>327</v>
      </c>
      <c r="I2432" s="134" t="s">
        <v>108</v>
      </c>
    </row>
    <row r="2433" spans="1:9" x14ac:dyDescent="0.35">
      <c r="A2433" s="144">
        <v>45897</v>
      </c>
      <c r="B2433" s="135">
        <v>400000</v>
      </c>
      <c r="C2433" s="134"/>
      <c r="D2433" s="135"/>
      <c r="E2433" s="134" t="s">
        <v>860</v>
      </c>
      <c r="F2433" s="135">
        <f t="shared" si="39"/>
        <v>174450081</v>
      </c>
      <c r="G2433" s="136" t="s">
        <v>188</v>
      </c>
      <c r="H2433" s="133" t="s">
        <v>323</v>
      </c>
      <c r="I2433" s="134" t="s">
        <v>108</v>
      </c>
    </row>
    <row r="2434" spans="1:9" x14ac:dyDescent="0.35">
      <c r="A2434" s="144">
        <v>45898</v>
      </c>
      <c r="B2434" s="135">
        <v>500000</v>
      </c>
      <c r="C2434" s="134"/>
      <c r="D2434" s="135"/>
      <c r="E2434" s="134" t="s">
        <v>860</v>
      </c>
      <c r="F2434" s="135">
        <f t="shared" si="39"/>
        <v>173950081</v>
      </c>
      <c r="G2434" s="136" t="s">
        <v>191</v>
      </c>
      <c r="H2434" s="133" t="s">
        <v>323</v>
      </c>
      <c r="I2434" s="134" t="s">
        <v>108</v>
      </c>
    </row>
    <row r="2435" spans="1:9" x14ac:dyDescent="0.35">
      <c r="A2435" s="144">
        <v>45900</v>
      </c>
      <c r="B2435" s="135"/>
      <c r="C2435" s="134"/>
      <c r="D2435" s="135">
        <v>2000000</v>
      </c>
      <c r="E2435" s="134" t="s">
        <v>860</v>
      </c>
      <c r="F2435" s="135">
        <f t="shared" si="39"/>
        <v>175950081</v>
      </c>
      <c r="G2435" s="136" t="s">
        <v>414</v>
      </c>
      <c r="H2435" s="133" t="s">
        <v>109</v>
      </c>
      <c r="I2435" s="134" t="s">
        <v>108</v>
      </c>
    </row>
    <row r="2436" spans="1:9" x14ac:dyDescent="0.35">
      <c r="A2436" s="144">
        <v>45900</v>
      </c>
      <c r="B2436" s="135">
        <v>250000</v>
      </c>
      <c r="C2436" s="134"/>
      <c r="D2436" s="135"/>
      <c r="E2436" s="134" t="s">
        <v>860</v>
      </c>
      <c r="F2436" s="135">
        <f t="shared" si="39"/>
        <v>175700081</v>
      </c>
      <c r="G2436" s="136" t="s">
        <v>822</v>
      </c>
      <c r="H2436" s="133" t="s">
        <v>327</v>
      </c>
      <c r="I2436" s="134" t="s">
        <v>108</v>
      </c>
    </row>
    <row r="2437" spans="1:9" x14ac:dyDescent="0.35">
      <c r="A2437" s="144">
        <v>45904</v>
      </c>
      <c r="B2437" s="135">
        <v>250000</v>
      </c>
      <c r="C2437" s="134"/>
      <c r="D2437" s="135"/>
      <c r="E2437" s="220" t="s">
        <v>861</v>
      </c>
      <c r="F2437" s="135">
        <f t="shared" si="39"/>
        <v>175450081</v>
      </c>
      <c r="G2437" s="136" t="s">
        <v>823</v>
      </c>
      <c r="H2437" s="133" t="s">
        <v>322</v>
      </c>
      <c r="I2437" s="134" t="s">
        <v>108</v>
      </c>
    </row>
    <row r="2438" spans="1:9" x14ac:dyDescent="0.35">
      <c r="A2438" s="144">
        <v>45904</v>
      </c>
      <c r="B2438" s="135">
        <v>100000</v>
      </c>
      <c r="C2438" s="134"/>
      <c r="D2438" s="135"/>
      <c r="E2438" s="220" t="s">
        <v>861</v>
      </c>
      <c r="F2438" s="135">
        <f t="shared" si="39"/>
        <v>175350081</v>
      </c>
      <c r="G2438" s="136" t="s">
        <v>824</v>
      </c>
      <c r="H2438" s="133" t="s">
        <v>327</v>
      </c>
      <c r="I2438" s="134" t="s">
        <v>108</v>
      </c>
    </row>
    <row r="2439" spans="1:9" x14ac:dyDescent="0.35">
      <c r="A2439" s="144">
        <v>45905</v>
      </c>
      <c r="B2439" s="135">
        <v>500000</v>
      </c>
      <c r="C2439" s="134"/>
      <c r="D2439" s="135"/>
      <c r="E2439" s="220" t="s">
        <v>861</v>
      </c>
      <c r="F2439" s="135">
        <f t="shared" ref="F2439:F2502" si="40">+F2438+D2439-B2439</f>
        <v>174850081</v>
      </c>
      <c r="G2439" s="136" t="s">
        <v>191</v>
      </c>
      <c r="H2439" s="133" t="s">
        <v>323</v>
      </c>
      <c r="I2439" s="134" t="s">
        <v>108</v>
      </c>
    </row>
    <row r="2440" spans="1:9" x14ac:dyDescent="0.35">
      <c r="A2440" s="144">
        <v>45907</v>
      </c>
      <c r="B2440" s="135"/>
      <c r="C2440" s="134"/>
      <c r="D2440" s="135">
        <v>1000000</v>
      </c>
      <c r="E2440" s="220" t="s">
        <v>861</v>
      </c>
      <c r="F2440" s="135">
        <f t="shared" si="40"/>
        <v>175850081</v>
      </c>
      <c r="G2440" s="136" t="s">
        <v>414</v>
      </c>
      <c r="H2440" s="133" t="s">
        <v>109</v>
      </c>
      <c r="I2440" s="134" t="s">
        <v>108</v>
      </c>
    </row>
    <row r="2441" spans="1:9" x14ac:dyDescent="0.35">
      <c r="A2441" s="144">
        <v>45907</v>
      </c>
      <c r="B2441" s="135">
        <v>250000</v>
      </c>
      <c r="C2441" s="134"/>
      <c r="D2441" s="135"/>
      <c r="E2441" s="220" t="s">
        <v>861</v>
      </c>
      <c r="F2441" s="135">
        <f t="shared" si="40"/>
        <v>175600081</v>
      </c>
      <c r="G2441" s="136" t="s">
        <v>822</v>
      </c>
      <c r="H2441" s="133" t="s">
        <v>327</v>
      </c>
      <c r="I2441" s="134" t="s">
        <v>108</v>
      </c>
    </row>
    <row r="2442" spans="1:9" x14ac:dyDescent="0.35">
      <c r="A2442" s="144">
        <v>45911</v>
      </c>
      <c r="B2442" s="135">
        <v>1400000</v>
      </c>
      <c r="C2442" s="134"/>
      <c r="D2442" s="135"/>
      <c r="E2442" s="220" t="s">
        <v>861</v>
      </c>
      <c r="F2442" s="135">
        <f t="shared" si="40"/>
        <v>174200081</v>
      </c>
      <c r="G2442" s="136" t="s">
        <v>829</v>
      </c>
      <c r="H2442" s="133" t="s">
        <v>327</v>
      </c>
      <c r="I2442" s="134" t="s">
        <v>108</v>
      </c>
    </row>
    <row r="2443" spans="1:9" x14ac:dyDescent="0.35">
      <c r="A2443" s="144">
        <v>45912</v>
      </c>
      <c r="B2443" s="135">
        <v>500000</v>
      </c>
      <c r="C2443" s="134"/>
      <c r="D2443" s="135"/>
      <c r="E2443" s="220" t="s">
        <v>861</v>
      </c>
      <c r="F2443" s="135">
        <f t="shared" si="40"/>
        <v>173700081</v>
      </c>
      <c r="G2443" s="136" t="s">
        <v>191</v>
      </c>
      <c r="H2443" s="133" t="s">
        <v>323</v>
      </c>
      <c r="I2443" s="134" t="s">
        <v>108</v>
      </c>
    </row>
    <row r="2444" spans="1:9" x14ac:dyDescent="0.35">
      <c r="A2444" s="144">
        <v>45913</v>
      </c>
      <c r="B2444" s="135"/>
      <c r="C2444" s="134"/>
      <c r="D2444" s="135">
        <v>3000000</v>
      </c>
      <c r="E2444" s="220" t="s">
        <v>861</v>
      </c>
      <c r="F2444" s="135">
        <f t="shared" si="40"/>
        <v>176700081</v>
      </c>
      <c r="G2444" s="136" t="s">
        <v>414</v>
      </c>
      <c r="H2444" s="133" t="s">
        <v>109</v>
      </c>
      <c r="I2444" s="134" t="s">
        <v>108</v>
      </c>
    </row>
    <row r="2445" spans="1:9" x14ac:dyDescent="0.35">
      <c r="A2445" s="144">
        <v>45913</v>
      </c>
      <c r="B2445" s="135">
        <v>750000</v>
      </c>
      <c r="C2445" s="134"/>
      <c r="D2445" s="135"/>
      <c r="E2445" s="220" t="s">
        <v>861</v>
      </c>
      <c r="F2445" s="135">
        <f t="shared" si="40"/>
        <v>175950081</v>
      </c>
      <c r="G2445" s="136" t="s">
        <v>833</v>
      </c>
      <c r="H2445" s="133" t="s">
        <v>323</v>
      </c>
      <c r="I2445" s="134" t="s">
        <v>108</v>
      </c>
    </row>
    <row r="2446" spans="1:9" x14ac:dyDescent="0.35">
      <c r="A2446" s="144">
        <v>45914</v>
      </c>
      <c r="B2446" s="135">
        <v>250000</v>
      </c>
      <c r="C2446" s="134"/>
      <c r="D2446" s="135"/>
      <c r="E2446" s="220" t="s">
        <v>861</v>
      </c>
      <c r="F2446" s="135">
        <f t="shared" si="40"/>
        <v>175700081</v>
      </c>
      <c r="G2446" s="136" t="s">
        <v>834</v>
      </c>
      <c r="H2446" s="133" t="s">
        <v>327</v>
      </c>
      <c r="I2446" s="134" t="s">
        <v>108</v>
      </c>
    </row>
    <row r="2447" spans="1:9" x14ac:dyDescent="0.35">
      <c r="A2447" s="144">
        <v>45915</v>
      </c>
      <c r="B2447" s="135">
        <v>160000</v>
      </c>
      <c r="C2447" s="134"/>
      <c r="D2447" s="135"/>
      <c r="E2447" s="220" t="s">
        <v>861</v>
      </c>
      <c r="F2447" s="135">
        <f t="shared" si="40"/>
        <v>175540081</v>
      </c>
      <c r="G2447" s="136" t="s">
        <v>835</v>
      </c>
      <c r="H2447" s="133" t="s">
        <v>322</v>
      </c>
      <c r="I2447" s="134" t="s">
        <v>108</v>
      </c>
    </row>
    <row r="2448" spans="1:9" x14ac:dyDescent="0.35">
      <c r="A2448" s="144">
        <v>45914</v>
      </c>
      <c r="B2448" s="135">
        <v>1000000</v>
      </c>
      <c r="C2448" s="134"/>
      <c r="D2448" s="135"/>
      <c r="E2448" s="220" t="s">
        <v>861</v>
      </c>
      <c r="F2448" s="135">
        <f t="shared" si="40"/>
        <v>174540081</v>
      </c>
      <c r="G2448" s="136" t="s">
        <v>296</v>
      </c>
      <c r="H2448" s="133" t="s">
        <v>321</v>
      </c>
      <c r="I2448" s="134" t="s">
        <v>108</v>
      </c>
    </row>
    <row r="2449" spans="1:9" x14ac:dyDescent="0.35">
      <c r="A2449" s="144">
        <v>45916</v>
      </c>
      <c r="B2449" s="135">
        <v>250000</v>
      </c>
      <c r="C2449" s="134"/>
      <c r="D2449" s="135"/>
      <c r="E2449" s="220" t="s">
        <v>861</v>
      </c>
      <c r="F2449" s="135">
        <f t="shared" si="40"/>
        <v>174290081</v>
      </c>
      <c r="G2449" s="136" t="s">
        <v>642</v>
      </c>
      <c r="H2449" s="133" t="s">
        <v>203</v>
      </c>
      <c r="I2449" s="134" t="s">
        <v>108</v>
      </c>
    </row>
    <row r="2450" spans="1:9" x14ac:dyDescent="0.35">
      <c r="A2450" s="144">
        <v>45919</v>
      </c>
      <c r="B2450" s="135">
        <v>500000</v>
      </c>
      <c r="C2450" s="134"/>
      <c r="D2450" s="135"/>
      <c r="E2450" s="220" t="s">
        <v>861</v>
      </c>
      <c r="F2450" s="135">
        <f t="shared" si="40"/>
        <v>173790081</v>
      </c>
      <c r="G2450" s="136" t="s">
        <v>191</v>
      </c>
      <c r="H2450" s="133" t="s">
        <v>323</v>
      </c>
      <c r="I2450" s="134" t="s">
        <v>108</v>
      </c>
    </row>
    <row r="2451" spans="1:9" x14ac:dyDescent="0.35">
      <c r="A2451" s="144">
        <v>45921</v>
      </c>
      <c r="B2451" s="135"/>
      <c r="C2451" s="134"/>
      <c r="D2451" s="135">
        <v>3000000</v>
      </c>
      <c r="E2451" s="220" t="s">
        <v>861</v>
      </c>
      <c r="F2451" s="135">
        <f t="shared" si="40"/>
        <v>176790081</v>
      </c>
      <c r="G2451" s="136" t="s">
        <v>414</v>
      </c>
      <c r="H2451" s="133" t="s">
        <v>109</v>
      </c>
      <c r="I2451" s="134" t="s">
        <v>108</v>
      </c>
    </row>
    <row r="2452" spans="1:9" x14ac:dyDescent="0.35">
      <c r="A2452" s="144">
        <v>45921</v>
      </c>
      <c r="B2452" s="135">
        <v>250000</v>
      </c>
      <c r="C2452" s="134"/>
      <c r="D2452" s="135"/>
      <c r="E2452" s="220" t="s">
        <v>861</v>
      </c>
      <c r="F2452" s="135">
        <f t="shared" si="40"/>
        <v>176540081</v>
      </c>
      <c r="G2452" s="136" t="s">
        <v>822</v>
      </c>
      <c r="H2452" s="133" t="s">
        <v>327</v>
      </c>
      <c r="I2452" s="134" t="s">
        <v>108</v>
      </c>
    </row>
    <row r="2453" spans="1:9" x14ac:dyDescent="0.35">
      <c r="A2453" s="144">
        <v>45923</v>
      </c>
      <c r="B2453" s="135">
        <v>320000</v>
      </c>
      <c r="C2453" s="134"/>
      <c r="D2453" s="135"/>
      <c r="E2453" s="220" t="s">
        <v>861</v>
      </c>
      <c r="F2453" s="135">
        <f t="shared" si="40"/>
        <v>176220081</v>
      </c>
      <c r="G2453" s="136" t="s">
        <v>840</v>
      </c>
      <c r="H2453" s="133" t="s">
        <v>322</v>
      </c>
      <c r="I2453" s="134" t="s">
        <v>108</v>
      </c>
    </row>
    <row r="2454" spans="1:9" x14ac:dyDescent="0.35">
      <c r="A2454" s="144">
        <v>45924</v>
      </c>
      <c r="B2454" s="135">
        <v>200000</v>
      </c>
      <c r="C2454" s="134"/>
      <c r="D2454" s="135"/>
      <c r="E2454" s="220" t="s">
        <v>861</v>
      </c>
      <c r="F2454" s="135">
        <f t="shared" si="40"/>
        <v>176020081</v>
      </c>
      <c r="G2454" s="136" t="s">
        <v>688</v>
      </c>
      <c r="H2454" s="133" t="s">
        <v>203</v>
      </c>
      <c r="I2454" s="134" t="s">
        <v>108</v>
      </c>
    </row>
    <row r="2455" spans="1:9" x14ac:dyDescent="0.35">
      <c r="A2455" s="144">
        <v>45926</v>
      </c>
      <c r="B2455" s="135">
        <v>500000</v>
      </c>
      <c r="C2455" s="134"/>
      <c r="D2455" s="135"/>
      <c r="E2455" s="220" t="s">
        <v>861</v>
      </c>
      <c r="F2455" s="135">
        <f t="shared" si="40"/>
        <v>175520081</v>
      </c>
      <c r="G2455" s="136" t="s">
        <v>191</v>
      </c>
      <c r="H2455" s="133" t="s">
        <v>323</v>
      </c>
      <c r="I2455" s="134" t="s">
        <v>108</v>
      </c>
    </row>
    <row r="2456" spans="1:9" x14ac:dyDescent="0.35">
      <c r="A2456" s="144">
        <v>45921</v>
      </c>
      <c r="B2456" s="135">
        <v>500000</v>
      </c>
      <c r="C2456" s="134"/>
      <c r="D2456" s="135"/>
      <c r="E2456" s="220" t="s">
        <v>861</v>
      </c>
      <c r="F2456" s="135">
        <f t="shared" si="40"/>
        <v>175020081</v>
      </c>
      <c r="G2456" s="136" t="s">
        <v>841</v>
      </c>
      <c r="H2456" s="133" t="s">
        <v>323</v>
      </c>
      <c r="I2456" s="134" t="s">
        <v>108</v>
      </c>
    </row>
    <row r="2457" spans="1:9" x14ac:dyDescent="0.35">
      <c r="A2457" s="144">
        <v>45926</v>
      </c>
      <c r="B2457" s="135"/>
      <c r="C2457" s="134"/>
      <c r="D2457" s="135">
        <v>2000000</v>
      </c>
      <c r="E2457" s="220" t="s">
        <v>861</v>
      </c>
      <c r="F2457" s="135">
        <f t="shared" si="40"/>
        <v>177020081</v>
      </c>
      <c r="G2457" s="136" t="s">
        <v>414</v>
      </c>
      <c r="H2457" s="133" t="s">
        <v>109</v>
      </c>
      <c r="I2457" s="134" t="s">
        <v>108</v>
      </c>
    </row>
    <row r="2458" spans="1:9" x14ac:dyDescent="0.35">
      <c r="A2458" s="144">
        <v>45926</v>
      </c>
      <c r="B2458" s="135">
        <v>180000</v>
      </c>
      <c r="C2458" s="134"/>
      <c r="D2458" s="135"/>
      <c r="E2458" s="220" t="s">
        <v>861</v>
      </c>
      <c r="F2458" s="135">
        <f t="shared" si="40"/>
        <v>176840081</v>
      </c>
      <c r="G2458" s="136" t="s">
        <v>857</v>
      </c>
      <c r="H2458" s="133" t="s">
        <v>322</v>
      </c>
      <c r="I2458" s="134" t="s">
        <v>108</v>
      </c>
    </row>
    <row r="2459" spans="1:9" x14ac:dyDescent="0.35">
      <c r="A2459" s="144">
        <v>45926</v>
      </c>
      <c r="B2459" s="135">
        <v>750000</v>
      </c>
      <c r="C2459" s="134"/>
      <c r="D2459" s="135"/>
      <c r="E2459" s="220" t="s">
        <v>861</v>
      </c>
      <c r="F2459" s="135">
        <f t="shared" si="40"/>
        <v>176090081</v>
      </c>
      <c r="G2459" s="136" t="s">
        <v>858</v>
      </c>
      <c r="H2459" s="133" t="s">
        <v>203</v>
      </c>
      <c r="I2459" s="134" t="s">
        <v>108</v>
      </c>
    </row>
    <row r="2460" spans="1:9" x14ac:dyDescent="0.35">
      <c r="A2460" s="144">
        <v>45926</v>
      </c>
      <c r="B2460" s="135">
        <v>450000</v>
      </c>
      <c r="C2460" s="134"/>
      <c r="D2460" s="135"/>
      <c r="E2460" s="220" t="s">
        <v>861</v>
      </c>
      <c r="F2460" s="135">
        <f t="shared" si="40"/>
        <v>175640081</v>
      </c>
      <c r="G2460" s="136" t="s">
        <v>859</v>
      </c>
      <c r="H2460" s="133" t="s">
        <v>323</v>
      </c>
      <c r="I2460" s="134" t="s">
        <v>108</v>
      </c>
    </row>
    <row r="2461" spans="1:9" x14ac:dyDescent="0.35">
      <c r="A2461" s="144">
        <v>45926</v>
      </c>
      <c r="B2461" s="135">
        <v>250000</v>
      </c>
      <c r="C2461" s="134"/>
      <c r="D2461" s="135"/>
      <c r="E2461" s="220" t="s">
        <v>861</v>
      </c>
      <c r="F2461" s="135">
        <f t="shared" si="40"/>
        <v>175390081</v>
      </c>
      <c r="G2461" s="136" t="s">
        <v>729</v>
      </c>
      <c r="H2461" s="133" t="s">
        <v>327</v>
      </c>
      <c r="I2461" s="134" t="s">
        <v>108</v>
      </c>
    </row>
    <row r="2462" spans="1:9" x14ac:dyDescent="0.35">
      <c r="A2462" s="144">
        <v>45926</v>
      </c>
      <c r="B2462" s="135">
        <v>400000</v>
      </c>
      <c r="C2462" s="134"/>
      <c r="D2462" s="135"/>
      <c r="E2462" s="220" t="s">
        <v>861</v>
      </c>
      <c r="F2462" s="135">
        <f t="shared" si="40"/>
        <v>174990081</v>
      </c>
      <c r="G2462" s="136" t="s">
        <v>188</v>
      </c>
      <c r="H2462" s="133" t="s">
        <v>323</v>
      </c>
      <c r="I2462" s="134" t="s">
        <v>108</v>
      </c>
    </row>
    <row r="2463" spans="1:9" x14ac:dyDescent="0.35">
      <c r="A2463" s="144">
        <v>45926</v>
      </c>
      <c r="B2463" s="135">
        <v>500000</v>
      </c>
      <c r="C2463" s="134"/>
      <c r="D2463" s="135"/>
      <c r="E2463" s="220" t="s">
        <v>861</v>
      </c>
      <c r="F2463" s="135">
        <f t="shared" si="40"/>
        <v>174490081</v>
      </c>
      <c r="G2463" s="136" t="s">
        <v>191</v>
      </c>
      <c r="H2463" s="133" t="s">
        <v>323</v>
      </c>
      <c r="I2463" s="134" t="s">
        <v>108</v>
      </c>
    </row>
    <row r="2464" spans="1:9" x14ac:dyDescent="0.35">
      <c r="A2464" s="144">
        <v>45935</v>
      </c>
      <c r="B2464" s="135"/>
      <c r="C2464" s="134"/>
      <c r="D2464" s="135">
        <v>2000000</v>
      </c>
      <c r="E2464" s="220" t="s">
        <v>893</v>
      </c>
      <c r="F2464" s="135">
        <f t="shared" si="40"/>
        <v>176490081</v>
      </c>
      <c r="G2464" s="136" t="s">
        <v>414</v>
      </c>
      <c r="H2464" s="133" t="s">
        <v>109</v>
      </c>
      <c r="I2464" s="134" t="s">
        <v>108</v>
      </c>
    </row>
    <row r="2465" spans="1:9" x14ac:dyDescent="0.35">
      <c r="A2465" s="144">
        <v>45935</v>
      </c>
      <c r="B2465" s="135">
        <v>250000</v>
      </c>
      <c r="C2465" s="134"/>
      <c r="D2465" s="135"/>
      <c r="E2465" s="220" t="s">
        <v>893</v>
      </c>
      <c r="F2465" s="135">
        <f t="shared" si="40"/>
        <v>176240081</v>
      </c>
      <c r="G2465" s="136" t="s">
        <v>894</v>
      </c>
      <c r="H2465" s="133" t="s">
        <v>327</v>
      </c>
      <c r="I2465" s="134" t="s">
        <v>108</v>
      </c>
    </row>
    <row r="2466" spans="1:9" x14ac:dyDescent="0.35">
      <c r="A2466" s="144">
        <v>45936</v>
      </c>
      <c r="B2466" s="135">
        <v>230000</v>
      </c>
      <c r="C2466" s="134"/>
      <c r="D2466" s="135"/>
      <c r="E2466" s="220" t="s">
        <v>893</v>
      </c>
      <c r="F2466" s="135">
        <f t="shared" si="40"/>
        <v>176010081</v>
      </c>
      <c r="G2466" s="136" t="s">
        <v>895</v>
      </c>
      <c r="H2466" s="133" t="s">
        <v>322</v>
      </c>
      <c r="I2466" s="134" t="s">
        <v>108</v>
      </c>
    </row>
    <row r="2467" spans="1:9" x14ac:dyDescent="0.35">
      <c r="A2467" s="144">
        <v>45939</v>
      </c>
      <c r="B2467" s="135">
        <v>250000</v>
      </c>
      <c r="C2467" s="134"/>
      <c r="D2467" s="135"/>
      <c r="E2467" s="220" t="s">
        <v>893</v>
      </c>
      <c r="F2467" s="135">
        <f t="shared" si="40"/>
        <v>175760081</v>
      </c>
      <c r="G2467" s="136" t="s">
        <v>896</v>
      </c>
      <c r="H2467" s="133" t="s">
        <v>322</v>
      </c>
      <c r="I2467" s="134" t="s">
        <v>108</v>
      </c>
    </row>
    <row r="2468" spans="1:9" x14ac:dyDescent="0.35">
      <c r="A2468" s="144">
        <v>45940</v>
      </c>
      <c r="B2468" s="135">
        <v>500000</v>
      </c>
      <c r="C2468" s="134"/>
      <c r="D2468" s="135"/>
      <c r="E2468" s="220" t="s">
        <v>893</v>
      </c>
      <c r="F2468" s="135">
        <f t="shared" si="40"/>
        <v>175260081</v>
      </c>
      <c r="G2468" s="136" t="s">
        <v>191</v>
      </c>
      <c r="H2468" s="133" t="s">
        <v>323</v>
      </c>
      <c r="I2468" s="134" t="s">
        <v>108</v>
      </c>
    </row>
    <row r="2469" spans="1:9" x14ac:dyDescent="0.35">
      <c r="A2469" s="144">
        <v>45942</v>
      </c>
      <c r="B2469" s="135"/>
      <c r="C2469" s="134"/>
      <c r="D2469" s="135">
        <v>2000000</v>
      </c>
      <c r="E2469" s="220" t="s">
        <v>893</v>
      </c>
      <c r="F2469" s="135">
        <f t="shared" si="40"/>
        <v>177260081</v>
      </c>
      <c r="G2469" s="136" t="s">
        <v>414</v>
      </c>
      <c r="H2469" s="133" t="s">
        <v>109</v>
      </c>
      <c r="I2469" s="134" t="s">
        <v>108</v>
      </c>
    </row>
    <row r="2470" spans="1:9" x14ac:dyDescent="0.35">
      <c r="A2470" s="144">
        <v>45942</v>
      </c>
      <c r="B2470" s="135">
        <v>250000</v>
      </c>
      <c r="C2470" s="134"/>
      <c r="D2470" s="135"/>
      <c r="E2470" s="220" t="s">
        <v>893</v>
      </c>
      <c r="F2470" s="135">
        <f t="shared" si="40"/>
        <v>177010081</v>
      </c>
      <c r="G2470" s="136" t="s">
        <v>897</v>
      </c>
      <c r="H2470" s="133" t="s">
        <v>327</v>
      </c>
      <c r="I2470" s="134" t="s">
        <v>108</v>
      </c>
    </row>
    <row r="2471" spans="1:9" x14ac:dyDescent="0.35">
      <c r="A2471" s="144">
        <v>45943</v>
      </c>
      <c r="B2471" s="135">
        <v>1000000</v>
      </c>
      <c r="C2471" s="134"/>
      <c r="D2471" s="135"/>
      <c r="E2471" s="220" t="s">
        <v>893</v>
      </c>
      <c r="F2471" s="135">
        <f t="shared" si="40"/>
        <v>176010081</v>
      </c>
      <c r="G2471" s="136" t="s">
        <v>898</v>
      </c>
      <c r="H2471" s="133" t="s">
        <v>203</v>
      </c>
      <c r="I2471" s="134" t="s">
        <v>108</v>
      </c>
    </row>
    <row r="2472" spans="1:9" x14ac:dyDescent="0.35">
      <c r="A2472" s="144">
        <v>45945</v>
      </c>
      <c r="B2472" s="135">
        <v>1000000</v>
      </c>
      <c r="C2472" s="134"/>
      <c r="D2472" s="135"/>
      <c r="E2472" s="220" t="s">
        <v>893</v>
      </c>
      <c r="F2472" s="135">
        <f t="shared" si="40"/>
        <v>175010081</v>
      </c>
      <c r="G2472" s="136" t="s">
        <v>296</v>
      </c>
      <c r="H2472" s="133" t="s">
        <v>321</v>
      </c>
      <c r="I2472" s="134" t="s">
        <v>108</v>
      </c>
    </row>
    <row r="2473" spans="1:9" x14ac:dyDescent="0.35">
      <c r="A2473" s="144">
        <v>45945</v>
      </c>
      <c r="B2473" s="135">
        <v>150000</v>
      </c>
      <c r="C2473" s="134"/>
      <c r="D2473" s="135"/>
      <c r="E2473" s="220" t="s">
        <v>893</v>
      </c>
      <c r="F2473" s="135">
        <f t="shared" si="40"/>
        <v>174860081</v>
      </c>
      <c r="G2473" s="136" t="s">
        <v>299</v>
      </c>
      <c r="H2473" s="133" t="s">
        <v>322</v>
      </c>
      <c r="I2473" s="134" t="s">
        <v>108</v>
      </c>
    </row>
    <row r="2474" spans="1:9" x14ac:dyDescent="0.35">
      <c r="A2474" s="144">
        <v>45947</v>
      </c>
      <c r="B2474" s="135">
        <v>500000</v>
      </c>
      <c r="C2474" s="134"/>
      <c r="D2474" s="135"/>
      <c r="E2474" s="220" t="s">
        <v>893</v>
      </c>
      <c r="F2474" s="135">
        <f t="shared" si="40"/>
        <v>174360081</v>
      </c>
      <c r="G2474" s="136" t="s">
        <v>191</v>
      </c>
      <c r="H2474" s="133" t="s">
        <v>323</v>
      </c>
      <c r="I2474" s="134" t="s">
        <v>108</v>
      </c>
    </row>
    <row r="2475" spans="1:9" x14ac:dyDescent="0.35">
      <c r="A2475" s="144">
        <v>45949</v>
      </c>
      <c r="B2475" s="135"/>
      <c r="C2475" s="134"/>
      <c r="D2475" s="135">
        <v>2000000</v>
      </c>
      <c r="E2475" s="220" t="s">
        <v>893</v>
      </c>
      <c r="F2475" s="135">
        <f t="shared" si="40"/>
        <v>176360081</v>
      </c>
      <c r="G2475" s="136" t="s">
        <v>414</v>
      </c>
      <c r="H2475" s="133" t="s">
        <v>109</v>
      </c>
      <c r="I2475" s="134" t="s">
        <v>108</v>
      </c>
    </row>
    <row r="2476" spans="1:9" x14ac:dyDescent="0.35">
      <c r="A2476" s="144">
        <v>45949</v>
      </c>
      <c r="B2476" s="135">
        <v>250000</v>
      </c>
      <c r="C2476" s="134"/>
      <c r="D2476" s="135"/>
      <c r="E2476" s="220" t="s">
        <v>893</v>
      </c>
      <c r="F2476" s="135">
        <f t="shared" si="40"/>
        <v>176110081</v>
      </c>
      <c r="G2476" s="136" t="s">
        <v>729</v>
      </c>
      <c r="H2476" s="133" t="s">
        <v>327</v>
      </c>
      <c r="I2476" s="134" t="s">
        <v>108</v>
      </c>
    </row>
    <row r="2477" spans="1:9" x14ac:dyDescent="0.35">
      <c r="A2477" s="144">
        <v>45950</v>
      </c>
      <c r="B2477" s="135">
        <v>1300000</v>
      </c>
      <c r="C2477" s="134"/>
      <c r="D2477" s="135"/>
      <c r="E2477" s="220" t="s">
        <v>893</v>
      </c>
      <c r="F2477" s="135">
        <f t="shared" si="40"/>
        <v>174810081</v>
      </c>
      <c r="G2477" s="136" t="s">
        <v>899</v>
      </c>
      <c r="H2477" s="133" t="s">
        <v>327</v>
      </c>
      <c r="I2477" s="134" t="s">
        <v>108</v>
      </c>
    </row>
    <row r="2478" spans="1:9" x14ac:dyDescent="0.35">
      <c r="A2478" s="144">
        <v>45954</v>
      </c>
      <c r="B2478" s="135">
        <v>500000</v>
      </c>
      <c r="C2478" s="134"/>
      <c r="D2478" s="135"/>
      <c r="E2478" s="220" t="s">
        <v>893</v>
      </c>
      <c r="F2478" s="135">
        <f t="shared" si="40"/>
        <v>174310081</v>
      </c>
      <c r="G2478" s="136" t="s">
        <v>191</v>
      </c>
      <c r="H2478" s="133" t="s">
        <v>323</v>
      </c>
      <c r="I2478" s="134" t="s">
        <v>108</v>
      </c>
    </row>
    <row r="2479" spans="1:9" x14ac:dyDescent="0.35">
      <c r="A2479" s="144">
        <v>45955</v>
      </c>
      <c r="B2479" s="135"/>
      <c r="C2479" s="134"/>
      <c r="D2479" s="135">
        <v>2000000</v>
      </c>
      <c r="E2479" s="220" t="s">
        <v>893</v>
      </c>
      <c r="F2479" s="135">
        <f t="shared" si="40"/>
        <v>176310081</v>
      </c>
      <c r="G2479" s="136" t="s">
        <v>414</v>
      </c>
      <c r="H2479" s="133" t="s">
        <v>109</v>
      </c>
      <c r="I2479" s="134" t="s">
        <v>108</v>
      </c>
    </row>
    <row r="2480" spans="1:9" x14ac:dyDescent="0.35">
      <c r="A2480" s="144">
        <v>45955</v>
      </c>
      <c r="B2480" s="135">
        <v>600000</v>
      </c>
      <c r="C2480" s="134"/>
      <c r="D2480" s="135"/>
      <c r="E2480" s="220" t="s">
        <v>893</v>
      </c>
      <c r="F2480" s="135">
        <f t="shared" si="40"/>
        <v>175710081</v>
      </c>
      <c r="G2480" s="136" t="s">
        <v>859</v>
      </c>
      <c r="H2480" s="133" t="s">
        <v>323</v>
      </c>
      <c r="I2480" s="134" t="s">
        <v>108</v>
      </c>
    </row>
    <row r="2481" spans="1:9" x14ac:dyDescent="0.35">
      <c r="A2481" s="144">
        <v>45956</v>
      </c>
      <c r="B2481" s="135">
        <v>250000</v>
      </c>
      <c r="C2481" s="134"/>
      <c r="D2481" s="135"/>
      <c r="E2481" s="220" t="s">
        <v>893</v>
      </c>
      <c r="F2481" s="135">
        <f t="shared" si="40"/>
        <v>175460081</v>
      </c>
      <c r="G2481" s="136" t="s">
        <v>900</v>
      </c>
      <c r="H2481" s="133" t="s">
        <v>327</v>
      </c>
      <c r="I2481" s="134" t="s">
        <v>108</v>
      </c>
    </row>
    <row r="2482" spans="1:9" x14ac:dyDescent="0.35">
      <c r="A2482" s="144">
        <v>45957</v>
      </c>
      <c r="B2482" s="135">
        <v>100000</v>
      </c>
      <c r="C2482" s="134"/>
      <c r="D2482" s="135"/>
      <c r="E2482" s="220" t="s">
        <v>893</v>
      </c>
      <c r="F2482" s="135">
        <f t="shared" si="40"/>
        <v>175360081</v>
      </c>
      <c r="G2482" s="136" t="s">
        <v>901</v>
      </c>
      <c r="H2482" s="133" t="s">
        <v>322</v>
      </c>
      <c r="I2482" s="134" t="s">
        <v>108</v>
      </c>
    </row>
    <row r="2483" spans="1:9" x14ac:dyDescent="0.35">
      <c r="A2483" s="144">
        <v>45958</v>
      </c>
      <c r="B2483" s="135">
        <v>480000</v>
      </c>
      <c r="C2483" s="134"/>
      <c r="D2483" s="135"/>
      <c r="E2483" s="220" t="s">
        <v>893</v>
      </c>
      <c r="F2483" s="135">
        <f t="shared" si="40"/>
        <v>174880081</v>
      </c>
      <c r="G2483" s="136" t="s">
        <v>902</v>
      </c>
      <c r="H2483" s="133" t="s">
        <v>322</v>
      </c>
      <c r="I2483" s="134" t="s">
        <v>108</v>
      </c>
    </row>
    <row r="2484" spans="1:9" x14ac:dyDescent="0.35">
      <c r="A2484" s="144">
        <v>45963</v>
      </c>
      <c r="B2484" s="135"/>
      <c r="C2484" s="134"/>
      <c r="D2484" s="135">
        <v>2000000</v>
      </c>
      <c r="E2484" s="220" t="s">
        <v>977</v>
      </c>
      <c r="F2484" s="135">
        <f t="shared" si="40"/>
        <v>176880081</v>
      </c>
      <c r="G2484" s="136" t="s">
        <v>414</v>
      </c>
      <c r="H2484" s="133" t="s">
        <v>109</v>
      </c>
      <c r="I2484" s="134" t="s">
        <v>108</v>
      </c>
    </row>
    <row r="2485" spans="1:9" x14ac:dyDescent="0.35">
      <c r="A2485" s="144">
        <v>45963</v>
      </c>
      <c r="B2485" s="135">
        <v>250000</v>
      </c>
      <c r="C2485" s="134"/>
      <c r="D2485" s="135"/>
      <c r="E2485" s="220" t="s">
        <v>977</v>
      </c>
      <c r="F2485" s="135">
        <f t="shared" si="40"/>
        <v>176630081</v>
      </c>
      <c r="G2485" s="136" t="s">
        <v>729</v>
      </c>
      <c r="H2485" s="133" t="s">
        <v>327</v>
      </c>
      <c r="I2485" s="134" t="s">
        <v>108</v>
      </c>
    </row>
    <row r="2486" spans="1:9" x14ac:dyDescent="0.35">
      <c r="A2486" s="144">
        <v>45964</v>
      </c>
      <c r="B2486" s="135">
        <v>200000</v>
      </c>
      <c r="C2486" s="134"/>
      <c r="D2486" s="135"/>
      <c r="E2486" s="220" t="s">
        <v>977</v>
      </c>
      <c r="F2486" s="135">
        <f t="shared" si="40"/>
        <v>176430081</v>
      </c>
      <c r="G2486" s="136" t="s">
        <v>978</v>
      </c>
      <c r="H2486" s="133" t="s">
        <v>322</v>
      </c>
      <c r="I2486" s="134" t="s">
        <v>108</v>
      </c>
    </row>
    <row r="2487" spans="1:9" x14ac:dyDescent="0.35">
      <c r="A2487" s="144">
        <v>45966</v>
      </c>
      <c r="B2487" s="135">
        <v>240000</v>
      </c>
      <c r="C2487" s="134"/>
      <c r="D2487" s="135"/>
      <c r="E2487" s="220" t="s">
        <v>977</v>
      </c>
      <c r="F2487" s="135">
        <f t="shared" si="40"/>
        <v>176190081</v>
      </c>
      <c r="G2487" s="136" t="s">
        <v>979</v>
      </c>
      <c r="H2487" s="133" t="s">
        <v>322</v>
      </c>
      <c r="I2487" s="134" t="s">
        <v>108</v>
      </c>
    </row>
    <row r="2488" spans="1:9" x14ac:dyDescent="0.35">
      <c r="A2488" s="144">
        <v>45968</v>
      </c>
      <c r="B2488" s="135">
        <v>500000</v>
      </c>
      <c r="C2488" s="134"/>
      <c r="D2488" s="135"/>
      <c r="E2488" s="220" t="s">
        <v>977</v>
      </c>
      <c r="F2488" s="135">
        <f t="shared" si="40"/>
        <v>175690081</v>
      </c>
      <c r="G2488" s="136" t="s">
        <v>191</v>
      </c>
      <c r="H2488" s="133" t="s">
        <v>323</v>
      </c>
      <c r="I2488" s="134" t="s">
        <v>108</v>
      </c>
    </row>
    <row r="2489" spans="1:9" x14ac:dyDescent="0.35">
      <c r="A2489" s="144">
        <v>45970</v>
      </c>
      <c r="B2489" s="135"/>
      <c r="C2489" s="134"/>
      <c r="D2489" s="135">
        <v>1000000</v>
      </c>
      <c r="E2489" s="220" t="s">
        <v>977</v>
      </c>
      <c r="F2489" s="135">
        <f t="shared" si="40"/>
        <v>176690081</v>
      </c>
      <c r="G2489" s="136" t="s">
        <v>414</v>
      </c>
      <c r="H2489" s="133" t="s">
        <v>109</v>
      </c>
      <c r="I2489" s="134" t="s">
        <v>108</v>
      </c>
    </row>
    <row r="2490" spans="1:9" x14ac:dyDescent="0.35">
      <c r="A2490" s="144">
        <v>45970</v>
      </c>
      <c r="B2490" s="135">
        <v>150000</v>
      </c>
      <c r="C2490" s="134"/>
      <c r="D2490" s="135"/>
      <c r="E2490" s="220" t="s">
        <v>977</v>
      </c>
      <c r="F2490" s="135">
        <f t="shared" si="40"/>
        <v>176540081</v>
      </c>
      <c r="G2490" s="136" t="s">
        <v>980</v>
      </c>
      <c r="H2490" s="133" t="s">
        <v>327</v>
      </c>
      <c r="I2490" s="134" t="s">
        <v>108</v>
      </c>
    </row>
    <row r="2491" spans="1:9" x14ac:dyDescent="0.35">
      <c r="A2491" s="144">
        <v>45973</v>
      </c>
      <c r="B2491" s="135">
        <v>250000</v>
      </c>
      <c r="C2491" s="134"/>
      <c r="D2491" s="135"/>
      <c r="E2491" s="220" t="s">
        <v>977</v>
      </c>
      <c r="F2491" s="135">
        <f t="shared" si="40"/>
        <v>176290081</v>
      </c>
      <c r="G2491" s="136" t="s">
        <v>981</v>
      </c>
      <c r="H2491" s="133" t="s">
        <v>499</v>
      </c>
      <c r="I2491" s="134" t="s">
        <v>108</v>
      </c>
    </row>
    <row r="2492" spans="1:9" x14ac:dyDescent="0.35">
      <c r="A2492" s="144">
        <v>45973</v>
      </c>
      <c r="B2492" s="135">
        <v>220000</v>
      </c>
      <c r="C2492" s="134"/>
      <c r="D2492" s="135"/>
      <c r="E2492" s="220" t="s">
        <v>977</v>
      </c>
      <c r="F2492" s="135">
        <f t="shared" si="40"/>
        <v>176070081</v>
      </c>
      <c r="G2492" s="136" t="s">
        <v>982</v>
      </c>
      <c r="H2492" s="133" t="s">
        <v>499</v>
      </c>
      <c r="I2492" s="134" t="s">
        <v>108</v>
      </c>
    </row>
    <row r="2493" spans="1:9" x14ac:dyDescent="0.35">
      <c r="A2493" s="144">
        <v>45975</v>
      </c>
      <c r="B2493" s="135">
        <v>500000</v>
      </c>
      <c r="C2493" s="134"/>
      <c r="D2493" s="135"/>
      <c r="E2493" s="220" t="s">
        <v>977</v>
      </c>
      <c r="F2493" s="135">
        <f t="shared" si="40"/>
        <v>175570081</v>
      </c>
      <c r="G2493" s="136" t="s">
        <v>191</v>
      </c>
      <c r="H2493" s="133" t="s">
        <v>323</v>
      </c>
      <c r="I2493" s="134" t="s">
        <v>108</v>
      </c>
    </row>
    <row r="2494" spans="1:9" x14ac:dyDescent="0.35">
      <c r="A2494" s="144">
        <v>45977</v>
      </c>
      <c r="B2494" s="135"/>
      <c r="C2494" s="134"/>
      <c r="D2494" s="135">
        <v>2000000</v>
      </c>
      <c r="E2494" s="220" t="s">
        <v>977</v>
      </c>
      <c r="F2494" s="135">
        <f t="shared" si="40"/>
        <v>177570081</v>
      </c>
      <c r="G2494" s="136" t="s">
        <v>414</v>
      </c>
      <c r="H2494" s="133" t="s">
        <v>109</v>
      </c>
      <c r="I2494" s="134" t="s">
        <v>108</v>
      </c>
    </row>
    <row r="2495" spans="1:9" x14ac:dyDescent="0.35">
      <c r="A2495" s="144">
        <v>45977</v>
      </c>
      <c r="B2495" s="135">
        <v>250000</v>
      </c>
      <c r="C2495" s="134"/>
      <c r="D2495" s="135"/>
      <c r="E2495" s="220" t="s">
        <v>977</v>
      </c>
      <c r="F2495" s="135">
        <f t="shared" si="40"/>
        <v>177320081</v>
      </c>
      <c r="G2495" s="136" t="s">
        <v>900</v>
      </c>
      <c r="H2495" s="133" t="s">
        <v>327</v>
      </c>
      <c r="I2495" s="134" t="s">
        <v>108</v>
      </c>
    </row>
    <row r="2496" spans="1:9" x14ac:dyDescent="0.35">
      <c r="A2496" s="144">
        <v>45979</v>
      </c>
      <c r="B2496" s="135">
        <v>350000</v>
      </c>
      <c r="C2496" s="134"/>
      <c r="D2496" s="135"/>
      <c r="E2496" s="220" t="s">
        <v>977</v>
      </c>
      <c r="F2496" s="135">
        <f t="shared" si="40"/>
        <v>176970081</v>
      </c>
      <c r="G2496" s="136" t="s">
        <v>979</v>
      </c>
      <c r="H2496" s="133" t="s">
        <v>322</v>
      </c>
      <c r="I2496" s="134" t="s">
        <v>108</v>
      </c>
    </row>
    <row r="2497" spans="1:9" x14ac:dyDescent="0.35">
      <c r="A2497" s="144">
        <v>45981</v>
      </c>
      <c r="B2497" s="135">
        <v>1000000</v>
      </c>
      <c r="C2497" s="134"/>
      <c r="D2497" s="135"/>
      <c r="E2497" s="220" t="s">
        <v>977</v>
      </c>
      <c r="F2497" s="135">
        <f t="shared" si="40"/>
        <v>175970081</v>
      </c>
      <c r="G2497" s="136" t="s">
        <v>296</v>
      </c>
      <c r="H2497" s="133" t="s">
        <v>321</v>
      </c>
      <c r="I2497" s="134" t="s">
        <v>108</v>
      </c>
    </row>
    <row r="2498" spans="1:9" x14ac:dyDescent="0.35">
      <c r="A2498" s="144">
        <v>45982</v>
      </c>
      <c r="B2498" s="135">
        <v>500000</v>
      </c>
      <c r="C2498" s="134"/>
      <c r="D2498" s="135"/>
      <c r="E2498" s="220" t="s">
        <v>977</v>
      </c>
      <c r="F2498" s="135">
        <f t="shared" si="40"/>
        <v>175470081</v>
      </c>
      <c r="G2498" s="136" t="s">
        <v>191</v>
      </c>
      <c r="H2498" s="133" t="s">
        <v>323</v>
      </c>
      <c r="I2498" s="134" t="s">
        <v>108</v>
      </c>
    </row>
    <row r="2499" spans="1:9" x14ac:dyDescent="0.35">
      <c r="A2499" s="144">
        <v>45984</v>
      </c>
      <c r="B2499" s="135"/>
      <c r="C2499" s="134"/>
      <c r="D2499" s="135">
        <v>1000000</v>
      </c>
      <c r="E2499" s="220" t="s">
        <v>977</v>
      </c>
      <c r="F2499" s="135">
        <f t="shared" si="40"/>
        <v>176470081</v>
      </c>
      <c r="G2499" s="136" t="s">
        <v>983</v>
      </c>
      <c r="H2499" s="133" t="s">
        <v>109</v>
      </c>
      <c r="I2499" s="134" t="s">
        <v>108</v>
      </c>
    </row>
    <row r="2500" spans="1:9" x14ac:dyDescent="0.35">
      <c r="A2500" s="144">
        <v>45984</v>
      </c>
      <c r="B2500" s="135">
        <v>250000</v>
      </c>
      <c r="C2500" s="134"/>
      <c r="D2500" s="135"/>
      <c r="E2500" s="220" t="s">
        <v>977</v>
      </c>
      <c r="F2500" s="135">
        <f t="shared" si="40"/>
        <v>176220081</v>
      </c>
      <c r="G2500" s="136" t="s">
        <v>984</v>
      </c>
      <c r="H2500" s="133" t="s">
        <v>327</v>
      </c>
      <c r="I2500" s="134" t="s">
        <v>108</v>
      </c>
    </row>
    <row r="2501" spans="1:9" x14ac:dyDescent="0.35">
      <c r="A2501" s="144">
        <v>45984</v>
      </c>
      <c r="B2501" s="135">
        <v>350000</v>
      </c>
      <c r="C2501" s="134"/>
      <c r="D2501" s="135"/>
      <c r="E2501" s="220" t="s">
        <v>977</v>
      </c>
      <c r="F2501" s="135">
        <f t="shared" si="40"/>
        <v>175870081</v>
      </c>
      <c r="G2501" s="136" t="s">
        <v>985</v>
      </c>
      <c r="H2501" s="133" t="s">
        <v>499</v>
      </c>
      <c r="I2501" s="134" t="s">
        <v>108</v>
      </c>
    </row>
    <row r="2502" spans="1:9" x14ac:dyDescent="0.35">
      <c r="A2502" s="144">
        <v>45985</v>
      </c>
      <c r="B2502" s="135">
        <v>500000</v>
      </c>
      <c r="C2502" s="134"/>
      <c r="D2502" s="135"/>
      <c r="E2502" s="220" t="s">
        <v>977</v>
      </c>
      <c r="F2502" s="135">
        <f t="shared" si="40"/>
        <v>175370081</v>
      </c>
      <c r="G2502" s="136" t="s">
        <v>986</v>
      </c>
      <c r="H2502" s="133" t="s">
        <v>323</v>
      </c>
      <c r="I2502" s="134" t="s">
        <v>108</v>
      </c>
    </row>
    <row r="2503" spans="1:9" x14ac:dyDescent="0.35">
      <c r="A2503" s="144">
        <v>45985</v>
      </c>
      <c r="B2503" s="135">
        <v>150000</v>
      </c>
      <c r="C2503" s="134"/>
      <c r="D2503" s="135"/>
      <c r="E2503" s="220" t="s">
        <v>977</v>
      </c>
      <c r="F2503" s="135">
        <f t="shared" ref="F2503:F2541" si="41">+F2502+D2503-B2503</f>
        <v>175220081</v>
      </c>
      <c r="G2503" s="136" t="s">
        <v>979</v>
      </c>
      <c r="H2503" s="133" t="s">
        <v>322</v>
      </c>
      <c r="I2503" s="134" t="s">
        <v>108</v>
      </c>
    </row>
    <row r="2504" spans="1:9" x14ac:dyDescent="0.35">
      <c r="A2504" s="144">
        <v>45989</v>
      </c>
      <c r="B2504" s="135">
        <v>500000</v>
      </c>
      <c r="C2504" s="134"/>
      <c r="D2504" s="135"/>
      <c r="E2504" s="220" t="s">
        <v>977</v>
      </c>
      <c r="F2504" s="135">
        <f t="shared" si="41"/>
        <v>174720081</v>
      </c>
      <c r="G2504" s="136" t="s">
        <v>191</v>
      </c>
      <c r="H2504" s="133" t="s">
        <v>323</v>
      </c>
      <c r="I2504" s="134" t="s">
        <v>108</v>
      </c>
    </row>
    <row r="2505" spans="1:9" x14ac:dyDescent="0.35">
      <c r="A2505" s="144">
        <v>45989</v>
      </c>
      <c r="B2505" s="135"/>
      <c r="C2505" s="134"/>
      <c r="D2505" s="135">
        <v>2000000</v>
      </c>
      <c r="E2505" s="220" t="s">
        <v>977</v>
      </c>
      <c r="F2505" s="135">
        <f t="shared" si="41"/>
        <v>176720081</v>
      </c>
      <c r="G2505" s="136" t="s">
        <v>414</v>
      </c>
      <c r="H2505" s="133" t="s">
        <v>109</v>
      </c>
      <c r="I2505" s="134" t="s">
        <v>108</v>
      </c>
    </row>
    <row r="2506" spans="1:9" x14ac:dyDescent="0.35">
      <c r="A2506" s="144">
        <v>45989</v>
      </c>
      <c r="B2506" s="135">
        <v>500000</v>
      </c>
      <c r="C2506" s="134"/>
      <c r="D2506" s="135"/>
      <c r="E2506" s="220" t="s">
        <v>977</v>
      </c>
      <c r="F2506" s="135">
        <f t="shared" si="41"/>
        <v>176220081</v>
      </c>
      <c r="G2506" s="136" t="s">
        <v>987</v>
      </c>
      <c r="H2506" s="133" t="s">
        <v>203</v>
      </c>
      <c r="I2506" s="134" t="s">
        <v>108</v>
      </c>
    </row>
    <row r="2507" spans="1:9" x14ac:dyDescent="0.35">
      <c r="A2507" s="144">
        <v>45990</v>
      </c>
      <c r="B2507" s="135">
        <v>450000</v>
      </c>
      <c r="C2507" s="134"/>
      <c r="D2507" s="135"/>
      <c r="E2507" s="220" t="s">
        <v>977</v>
      </c>
      <c r="F2507" s="135">
        <f t="shared" si="41"/>
        <v>175770081</v>
      </c>
      <c r="G2507" s="136" t="s">
        <v>988</v>
      </c>
      <c r="H2507" s="133" t="s">
        <v>323</v>
      </c>
      <c r="I2507" s="134" t="s">
        <v>108</v>
      </c>
    </row>
    <row r="2508" spans="1:9" x14ac:dyDescent="0.35">
      <c r="A2508" s="144">
        <v>45990</v>
      </c>
      <c r="B2508" s="135">
        <v>250000</v>
      </c>
      <c r="C2508" s="134"/>
      <c r="D2508" s="135"/>
      <c r="E2508" s="220" t="s">
        <v>977</v>
      </c>
      <c r="F2508" s="135">
        <f t="shared" si="41"/>
        <v>175520081</v>
      </c>
      <c r="G2508" s="136" t="s">
        <v>989</v>
      </c>
      <c r="H2508" s="133" t="s">
        <v>322</v>
      </c>
      <c r="I2508" s="134" t="s">
        <v>108</v>
      </c>
    </row>
    <row r="2509" spans="1:9" x14ac:dyDescent="0.35">
      <c r="A2509" s="144">
        <v>45991</v>
      </c>
      <c r="B2509" s="135">
        <v>400000</v>
      </c>
      <c r="C2509" s="134"/>
      <c r="D2509" s="135"/>
      <c r="E2509" s="220" t="s">
        <v>977</v>
      </c>
      <c r="F2509" s="135">
        <f t="shared" si="41"/>
        <v>175120081</v>
      </c>
      <c r="G2509" s="136" t="s">
        <v>188</v>
      </c>
      <c r="H2509" s="133" t="s">
        <v>323</v>
      </c>
      <c r="I2509" s="134" t="s">
        <v>108</v>
      </c>
    </row>
    <row r="2510" spans="1:9" x14ac:dyDescent="0.35">
      <c r="A2510" s="144">
        <v>45991</v>
      </c>
      <c r="B2510" s="135">
        <v>250000</v>
      </c>
      <c r="C2510" s="134"/>
      <c r="D2510" s="135"/>
      <c r="E2510" s="220" t="s">
        <v>977</v>
      </c>
      <c r="F2510" s="135">
        <f t="shared" si="41"/>
        <v>174870081</v>
      </c>
      <c r="G2510" s="136" t="s">
        <v>984</v>
      </c>
      <c r="H2510" s="133" t="s">
        <v>327</v>
      </c>
      <c r="I2510" s="134" t="s">
        <v>108</v>
      </c>
    </row>
    <row r="2511" spans="1:9" x14ac:dyDescent="0.35">
      <c r="A2511" s="144">
        <v>45995</v>
      </c>
      <c r="B2511" s="135">
        <v>250000</v>
      </c>
      <c r="C2511" s="134"/>
      <c r="D2511" s="135"/>
      <c r="E2511" s="220" t="s">
        <v>1010</v>
      </c>
      <c r="F2511" s="135">
        <f t="shared" si="41"/>
        <v>174620081</v>
      </c>
      <c r="G2511" s="136" t="s">
        <v>1011</v>
      </c>
      <c r="H2511" s="133" t="s">
        <v>203</v>
      </c>
      <c r="I2511" s="134" t="s">
        <v>108</v>
      </c>
    </row>
    <row r="2512" spans="1:9" x14ac:dyDescent="0.35">
      <c r="A2512" s="144">
        <v>45996</v>
      </c>
      <c r="B2512" s="135">
        <v>500000</v>
      </c>
      <c r="C2512" s="134"/>
      <c r="D2512" s="135"/>
      <c r="E2512" s="220" t="s">
        <v>1010</v>
      </c>
      <c r="F2512" s="135">
        <f t="shared" si="41"/>
        <v>174120081</v>
      </c>
      <c r="G2512" s="136" t="s">
        <v>191</v>
      </c>
      <c r="H2512" s="133" t="s">
        <v>323</v>
      </c>
      <c r="I2512" s="134" t="s">
        <v>108</v>
      </c>
    </row>
    <row r="2513" spans="1:9" x14ac:dyDescent="0.35">
      <c r="A2513" s="144">
        <v>45999</v>
      </c>
      <c r="B2513" s="135"/>
      <c r="C2513" s="134"/>
      <c r="D2513" s="135">
        <v>2000000</v>
      </c>
      <c r="E2513" s="220" t="s">
        <v>1010</v>
      </c>
      <c r="F2513" s="135">
        <f t="shared" si="41"/>
        <v>176120081</v>
      </c>
      <c r="G2513" s="136" t="s">
        <v>414</v>
      </c>
      <c r="H2513" s="133" t="s">
        <v>109</v>
      </c>
      <c r="I2513" s="134" t="s">
        <v>108</v>
      </c>
    </row>
    <row r="2514" spans="1:9" x14ac:dyDescent="0.35">
      <c r="A2514" s="144">
        <v>45999</v>
      </c>
      <c r="B2514" s="135">
        <v>160000</v>
      </c>
      <c r="C2514" s="134"/>
      <c r="D2514" s="135"/>
      <c r="E2514" s="220" t="s">
        <v>1010</v>
      </c>
      <c r="F2514" s="135">
        <f t="shared" si="41"/>
        <v>175960081</v>
      </c>
      <c r="G2514" s="136" t="s">
        <v>643</v>
      </c>
      <c r="H2514" s="133" t="s">
        <v>322</v>
      </c>
      <c r="I2514" s="134" t="s">
        <v>108</v>
      </c>
    </row>
    <row r="2515" spans="1:9" x14ac:dyDescent="0.35">
      <c r="A2515" s="144">
        <v>45999</v>
      </c>
      <c r="B2515" s="135">
        <v>250000</v>
      </c>
      <c r="C2515" s="134"/>
      <c r="D2515" s="135"/>
      <c r="E2515" s="220" t="s">
        <v>1010</v>
      </c>
      <c r="F2515" s="135">
        <f t="shared" si="41"/>
        <v>175710081</v>
      </c>
      <c r="G2515" s="136" t="s">
        <v>1012</v>
      </c>
      <c r="H2515" s="133" t="s">
        <v>327</v>
      </c>
      <c r="I2515" s="134" t="s">
        <v>108</v>
      </c>
    </row>
    <row r="2516" spans="1:9" x14ac:dyDescent="0.35">
      <c r="A2516" s="144">
        <v>46000</v>
      </c>
      <c r="B2516" s="135">
        <v>60000</v>
      </c>
      <c r="C2516" s="134"/>
      <c r="D2516" s="135"/>
      <c r="E2516" s="220" t="s">
        <v>1010</v>
      </c>
      <c r="F2516" s="135">
        <f t="shared" si="41"/>
        <v>175650081</v>
      </c>
      <c r="G2516" s="136" t="s">
        <v>1013</v>
      </c>
      <c r="H2516" s="133" t="s">
        <v>320</v>
      </c>
      <c r="I2516" s="134" t="s">
        <v>108</v>
      </c>
    </row>
    <row r="2517" spans="1:9" x14ac:dyDescent="0.35">
      <c r="A2517" s="144">
        <v>46002</v>
      </c>
      <c r="B2517" s="135">
        <v>1400000</v>
      </c>
      <c r="C2517" s="134"/>
      <c r="D2517" s="135"/>
      <c r="E2517" s="220" t="s">
        <v>1010</v>
      </c>
      <c r="F2517" s="135">
        <f t="shared" si="41"/>
        <v>174250081</v>
      </c>
      <c r="G2517" s="136" t="s">
        <v>829</v>
      </c>
      <c r="H2517" s="133" t="s">
        <v>327</v>
      </c>
      <c r="I2517" s="134" t="s">
        <v>108</v>
      </c>
    </row>
    <row r="2518" spans="1:9" x14ac:dyDescent="0.35">
      <c r="A2518" s="144">
        <v>46003</v>
      </c>
      <c r="B2518" s="135">
        <v>500000</v>
      </c>
      <c r="C2518" s="134"/>
      <c r="D2518" s="135"/>
      <c r="E2518" s="220" t="s">
        <v>1010</v>
      </c>
      <c r="F2518" s="135">
        <f t="shared" si="41"/>
        <v>173750081</v>
      </c>
      <c r="G2518" s="136" t="s">
        <v>191</v>
      </c>
      <c r="H2518" s="133" t="s">
        <v>323</v>
      </c>
      <c r="I2518" s="134" t="s">
        <v>108</v>
      </c>
    </row>
    <row r="2519" spans="1:9" x14ac:dyDescent="0.35">
      <c r="A2519" s="144">
        <v>46005</v>
      </c>
      <c r="B2519" s="135"/>
      <c r="C2519" s="134"/>
      <c r="D2519" s="135">
        <v>3000000</v>
      </c>
      <c r="E2519" s="220" t="s">
        <v>1010</v>
      </c>
      <c r="F2519" s="135">
        <f t="shared" si="41"/>
        <v>176750081</v>
      </c>
      <c r="G2519" s="136" t="s">
        <v>414</v>
      </c>
      <c r="H2519" s="133" t="s">
        <v>109</v>
      </c>
      <c r="I2519" s="134" t="s">
        <v>108</v>
      </c>
    </row>
    <row r="2520" spans="1:9" x14ac:dyDescent="0.35">
      <c r="A2520" s="144">
        <v>46005</v>
      </c>
      <c r="B2520" s="135">
        <v>250000</v>
      </c>
      <c r="C2520" s="134"/>
      <c r="D2520" s="135"/>
      <c r="E2520" s="220" t="s">
        <v>1010</v>
      </c>
      <c r="F2520" s="135">
        <f t="shared" si="41"/>
        <v>176500081</v>
      </c>
      <c r="G2520" s="136" t="s">
        <v>1012</v>
      </c>
      <c r="H2520" s="133" t="s">
        <v>327</v>
      </c>
      <c r="I2520" s="134" t="s">
        <v>108</v>
      </c>
    </row>
    <row r="2521" spans="1:9" x14ac:dyDescent="0.35">
      <c r="A2521" s="144">
        <v>46006</v>
      </c>
      <c r="B2521" s="135">
        <v>115000</v>
      </c>
      <c r="C2521" s="134"/>
      <c r="D2521" s="135"/>
      <c r="E2521" s="220" t="s">
        <v>1010</v>
      </c>
      <c r="F2521" s="135">
        <f t="shared" si="41"/>
        <v>176385081</v>
      </c>
      <c r="G2521" s="136" t="s">
        <v>1014</v>
      </c>
      <c r="H2521" s="133" t="s">
        <v>320</v>
      </c>
      <c r="I2521" s="134" t="s">
        <v>108</v>
      </c>
    </row>
    <row r="2522" spans="1:9" x14ac:dyDescent="0.35">
      <c r="A2522" s="144">
        <v>46007</v>
      </c>
      <c r="B2522" s="135">
        <v>500000</v>
      </c>
      <c r="C2522" s="134"/>
      <c r="D2522" s="135"/>
      <c r="E2522" s="220" t="s">
        <v>1010</v>
      </c>
      <c r="F2522" s="135">
        <f t="shared" si="41"/>
        <v>175885081</v>
      </c>
      <c r="G2522" s="136" t="s">
        <v>296</v>
      </c>
      <c r="H2522" s="133" t="s">
        <v>321</v>
      </c>
      <c r="I2522" s="134" t="s">
        <v>108</v>
      </c>
    </row>
    <row r="2523" spans="1:9" x14ac:dyDescent="0.35">
      <c r="A2523" s="144">
        <v>46009</v>
      </c>
      <c r="B2523" s="135">
        <v>500000</v>
      </c>
      <c r="C2523" s="134"/>
      <c r="D2523" s="135"/>
      <c r="E2523" s="220" t="s">
        <v>1010</v>
      </c>
      <c r="F2523" s="135">
        <f t="shared" si="41"/>
        <v>175385081</v>
      </c>
      <c r="G2523" s="136" t="s">
        <v>191</v>
      </c>
      <c r="H2523" s="133" t="s">
        <v>323</v>
      </c>
      <c r="I2523" s="134" t="s">
        <v>108</v>
      </c>
    </row>
    <row r="2524" spans="1:9" x14ac:dyDescent="0.35">
      <c r="A2524" s="144">
        <v>46010</v>
      </c>
      <c r="B2524" s="135"/>
      <c r="C2524" s="134"/>
      <c r="D2524" s="135">
        <f>1812000-950000</f>
        <v>862000</v>
      </c>
      <c r="E2524" s="220" t="s">
        <v>1010</v>
      </c>
      <c r="F2524" s="135">
        <f t="shared" si="41"/>
        <v>176247081</v>
      </c>
      <c r="G2524" s="136"/>
      <c r="H2524" s="133" t="s">
        <v>107</v>
      </c>
      <c r="I2524" s="134" t="s">
        <v>108</v>
      </c>
    </row>
    <row r="2525" spans="1:9" x14ac:dyDescent="0.35">
      <c r="A2525" s="144">
        <v>46010</v>
      </c>
      <c r="B2525" s="135"/>
      <c r="C2525" s="134"/>
      <c r="D2525" s="135">
        <v>3409000</v>
      </c>
      <c r="E2525" s="220" t="s">
        <v>1010</v>
      </c>
      <c r="F2525" s="135">
        <f t="shared" si="41"/>
        <v>179656081</v>
      </c>
      <c r="G2525" s="136" t="s">
        <v>414</v>
      </c>
      <c r="H2525" s="133" t="s">
        <v>109</v>
      </c>
      <c r="I2525" s="134" t="s">
        <v>108</v>
      </c>
    </row>
    <row r="2526" spans="1:9" x14ac:dyDescent="0.35">
      <c r="A2526" s="144"/>
      <c r="B2526" s="135"/>
      <c r="C2526" s="135">
        <v>4271000</v>
      </c>
      <c r="D2526" s="135"/>
      <c r="E2526" s="220"/>
      <c r="F2526" s="135">
        <f t="shared" si="41"/>
        <v>179656081</v>
      </c>
      <c r="G2526" s="136"/>
      <c r="H2526" s="133"/>
      <c r="I2526" s="134"/>
    </row>
    <row r="2527" spans="1:9" x14ac:dyDescent="0.35">
      <c r="A2527" s="144">
        <v>46010</v>
      </c>
      <c r="B2527" s="135">
        <v>250000</v>
      </c>
      <c r="C2527" s="134"/>
      <c r="D2527" s="135"/>
      <c r="E2527" s="220" t="s">
        <v>1010</v>
      </c>
      <c r="F2527" s="135">
        <f t="shared" si="41"/>
        <v>179406081</v>
      </c>
      <c r="G2527" s="136" t="s">
        <v>1011</v>
      </c>
      <c r="H2527" s="133" t="s">
        <v>203</v>
      </c>
      <c r="I2527" s="134" t="s">
        <v>108</v>
      </c>
    </row>
    <row r="2528" spans="1:9" x14ac:dyDescent="0.35">
      <c r="A2528" s="144">
        <v>46010</v>
      </c>
      <c r="B2528" s="135">
        <v>65000</v>
      </c>
      <c r="C2528" s="134"/>
      <c r="D2528" s="135"/>
      <c r="E2528" s="220" t="s">
        <v>1010</v>
      </c>
      <c r="F2528" s="135">
        <f t="shared" si="41"/>
        <v>179341081</v>
      </c>
      <c r="G2528" s="136" t="s">
        <v>1015</v>
      </c>
      <c r="H2528" s="133" t="s">
        <v>322</v>
      </c>
      <c r="I2528" s="134" t="s">
        <v>108</v>
      </c>
    </row>
    <row r="2529" spans="1:9" x14ac:dyDescent="0.35">
      <c r="A2529" s="144">
        <v>46010</v>
      </c>
      <c r="B2529" s="135">
        <v>501000</v>
      </c>
      <c r="C2529" s="134"/>
      <c r="D2529" s="135"/>
      <c r="E2529" s="220" t="s">
        <v>1010</v>
      </c>
      <c r="F2529" s="135">
        <f t="shared" si="41"/>
        <v>178840081</v>
      </c>
      <c r="G2529" s="136" t="s">
        <v>296</v>
      </c>
      <c r="H2529" s="133" t="s">
        <v>322</v>
      </c>
      <c r="I2529" s="134" t="s">
        <v>108</v>
      </c>
    </row>
    <row r="2530" spans="1:9" x14ac:dyDescent="0.35">
      <c r="A2530" s="144">
        <v>46009</v>
      </c>
      <c r="B2530" s="135">
        <v>750000</v>
      </c>
      <c r="C2530" s="134"/>
      <c r="D2530" s="135"/>
      <c r="E2530" s="220" t="s">
        <v>1010</v>
      </c>
      <c r="F2530" s="135">
        <f t="shared" si="41"/>
        <v>178090081</v>
      </c>
      <c r="G2530" s="136" t="s">
        <v>1016</v>
      </c>
      <c r="H2530" s="133" t="s">
        <v>323</v>
      </c>
      <c r="I2530" s="134" t="s">
        <v>108</v>
      </c>
    </row>
    <row r="2531" spans="1:9" x14ac:dyDescent="0.35">
      <c r="A2531" s="144">
        <v>46012</v>
      </c>
      <c r="B2531" s="135">
        <v>750000</v>
      </c>
      <c r="C2531" s="134"/>
      <c r="D2531" s="135"/>
      <c r="E2531" s="220" t="s">
        <v>1010</v>
      </c>
      <c r="F2531" s="135">
        <f t="shared" si="41"/>
        <v>177340081</v>
      </c>
      <c r="G2531" s="136" t="s">
        <v>1017</v>
      </c>
      <c r="H2531" s="133" t="s">
        <v>323</v>
      </c>
      <c r="I2531" s="134" t="s">
        <v>108</v>
      </c>
    </row>
    <row r="2532" spans="1:9" x14ac:dyDescent="0.35">
      <c r="A2532" s="144">
        <v>46012</v>
      </c>
      <c r="B2532" s="135">
        <v>250000</v>
      </c>
      <c r="C2532" s="134"/>
      <c r="D2532" s="135"/>
      <c r="E2532" s="220" t="s">
        <v>1010</v>
      </c>
      <c r="F2532" s="135">
        <f t="shared" si="41"/>
        <v>177090081</v>
      </c>
      <c r="G2532" s="136" t="s">
        <v>1018</v>
      </c>
      <c r="H2532" s="133" t="s">
        <v>327</v>
      </c>
      <c r="I2532" s="134" t="s">
        <v>108</v>
      </c>
    </row>
    <row r="2533" spans="1:9" x14ac:dyDescent="0.35">
      <c r="A2533" s="144">
        <v>46013</v>
      </c>
      <c r="B2533" s="135">
        <v>3200000</v>
      </c>
      <c r="C2533" s="134"/>
      <c r="D2533" s="135"/>
      <c r="E2533" s="220" t="s">
        <v>1010</v>
      </c>
      <c r="F2533" s="135">
        <f t="shared" si="41"/>
        <v>173890081</v>
      </c>
      <c r="G2533" s="136" t="s">
        <v>1019</v>
      </c>
      <c r="H2533" s="133" t="s">
        <v>328</v>
      </c>
      <c r="I2533" s="134" t="s">
        <v>108</v>
      </c>
    </row>
    <row r="2534" spans="1:9" x14ac:dyDescent="0.35">
      <c r="A2534" s="144">
        <v>46017</v>
      </c>
      <c r="B2534" s="135">
        <v>500000</v>
      </c>
      <c r="C2534" s="134"/>
      <c r="D2534" s="135"/>
      <c r="E2534" s="220" t="s">
        <v>1010</v>
      </c>
      <c r="F2534" s="135">
        <f t="shared" si="41"/>
        <v>173390081</v>
      </c>
      <c r="G2534" s="136" t="s">
        <v>302</v>
      </c>
      <c r="H2534" s="133" t="s">
        <v>323</v>
      </c>
      <c r="I2534" s="134" t="s">
        <v>108</v>
      </c>
    </row>
    <row r="2535" spans="1:9" x14ac:dyDescent="0.35">
      <c r="A2535" s="144">
        <v>46018</v>
      </c>
      <c r="B2535" s="135"/>
      <c r="C2535" s="134"/>
      <c r="D2535" s="135">
        <v>2000000</v>
      </c>
      <c r="E2535" s="220" t="s">
        <v>1010</v>
      </c>
      <c r="F2535" s="135">
        <f t="shared" si="41"/>
        <v>175390081</v>
      </c>
      <c r="G2535" s="136" t="s">
        <v>414</v>
      </c>
      <c r="H2535" s="133" t="s">
        <v>109</v>
      </c>
      <c r="I2535" s="134" t="s">
        <v>108</v>
      </c>
    </row>
    <row r="2536" spans="1:9" x14ac:dyDescent="0.35">
      <c r="A2536" s="144">
        <v>46018</v>
      </c>
      <c r="B2536" s="135">
        <v>750000</v>
      </c>
      <c r="C2536" s="134"/>
      <c r="D2536" s="135"/>
      <c r="E2536" s="220" t="s">
        <v>1010</v>
      </c>
      <c r="F2536" s="135">
        <f t="shared" si="41"/>
        <v>174640081</v>
      </c>
      <c r="G2536" s="136" t="s">
        <v>986</v>
      </c>
      <c r="H2536" s="133" t="s">
        <v>323</v>
      </c>
      <c r="I2536" s="134" t="s">
        <v>108</v>
      </c>
    </row>
    <row r="2537" spans="1:9" x14ac:dyDescent="0.35">
      <c r="A2537" s="144">
        <v>46018</v>
      </c>
      <c r="B2537" s="135">
        <v>150000</v>
      </c>
      <c r="C2537" s="134"/>
      <c r="D2537" s="135"/>
      <c r="E2537" s="220" t="s">
        <v>1010</v>
      </c>
      <c r="F2537" s="135">
        <f t="shared" si="41"/>
        <v>174490081</v>
      </c>
      <c r="G2537" s="136" t="s">
        <v>701</v>
      </c>
      <c r="H2537" s="133" t="s">
        <v>322</v>
      </c>
      <c r="I2537" s="134" t="s">
        <v>108</v>
      </c>
    </row>
    <row r="2538" spans="1:9" x14ac:dyDescent="0.35">
      <c r="A2538" s="144">
        <v>46019</v>
      </c>
      <c r="B2538" s="135">
        <v>250000</v>
      </c>
      <c r="C2538" s="134"/>
      <c r="D2538" s="135"/>
      <c r="E2538" s="220" t="s">
        <v>1010</v>
      </c>
      <c r="F2538" s="135">
        <f t="shared" si="41"/>
        <v>174240081</v>
      </c>
      <c r="G2538" s="136" t="s">
        <v>1018</v>
      </c>
      <c r="H2538" s="133" t="s">
        <v>327</v>
      </c>
      <c r="I2538" s="134" t="s">
        <v>108</v>
      </c>
    </row>
    <row r="2539" spans="1:9" x14ac:dyDescent="0.35">
      <c r="A2539" s="144">
        <v>46021</v>
      </c>
      <c r="B2539" s="135">
        <v>200000</v>
      </c>
      <c r="C2539" s="134"/>
      <c r="D2539" s="135"/>
      <c r="E2539" s="220" t="s">
        <v>1010</v>
      </c>
      <c r="F2539" s="135">
        <f t="shared" si="41"/>
        <v>174040081</v>
      </c>
      <c r="G2539" s="136" t="s">
        <v>1020</v>
      </c>
      <c r="H2539" s="133" t="s">
        <v>327</v>
      </c>
      <c r="I2539" s="134" t="s">
        <v>108</v>
      </c>
    </row>
    <row r="2540" spans="1:9" x14ac:dyDescent="0.35">
      <c r="A2540" s="144">
        <v>46021</v>
      </c>
      <c r="B2540" s="135">
        <v>400000</v>
      </c>
      <c r="C2540" s="134"/>
      <c r="D2540" s="135"/>
      <c r="E2540" s="220" t="s">
        <v>1010</v>
      </c>
      <c r="F2540" s="135">
        <f t="shared" si="41"/>
        <v>173640081</v>
      </c>
      <c r="G2540" s="136" t="s">
        <v>188</v>
      </c>
      <c r="H2540" s="133" t="s">
        <v>323</v>
      </c>
      <c r="I2540" s="134" t="s">
        <v>108</v>
      </c>
    </row>
    <row r="2541" spans="1:9" x14ac:dyDescent="0.35">
      <c r="A2541" s="144">
        <v>46022</v>
      </c>
      <c r="B2541" s="135">
        <v>60000</v>
      </c>
      <c r="C2541" s="134"/>
      <c r="D2541" s="135"/>
      <c r="E2541" s="220" t="s">
        <v>1010</v>
      </c>
      <c r="F2541" s="135">
        <f t="shared" si="41"/>
        <v>173580081</v>
      </c>
      <c r="G2541" s="136" t="s">
        <v>320</v>
      </c>
      <c r="H2541" s="133" t="s">
        <v>320</v>
      </c>
      <c r="I2541" s="134" t="s">
        <v>108</v>
      </c>
    </row>
    <row r="2542" spans="1:9" x14ac:dyDescent="0.35">
      <c r="F2542" s="26"/>
    </row>
  </sheetData>
  <autoFilter ref="A7:I2541" xr:uid="{00000000-0009-0000-0000-000005000000}"/>
  <mergeCells count="1">
    <mergeCell ref="A1:G1"/>
  </mergeCell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L1271"/>
  <sheetViews>
    <sheetView zoomScale="85" zoomScaleNormal="85" workbookViewId="0">
      <pane xSplit="1" ySplit="7" topLeftCell="B1165" activePane="bottomRight" state="frozen"/>
      <selection pane="topRight" activeCell="C1" sqref="C1"/>
      <selection pane="bottomLeft" activeCell="A8" sqref="A8"/>
      <selection pane="bottomRight" activeCell="G1177" sqref="G1177"/>
    </sheetView>
  </sheetViews>
  <sheetFormatPr defaultRowHeight="14.5" x14ac:dyDescent="0.35"/>
  <cols>
    <col min="1" max="1" width="12.1796875" style="18" bestFit="1" customWidth="1"/>
    <col min="2" max="4" width="11.81640625" style="18" bestFit="1" customWidth="1"/>
    <col min="5" max="5" width="11.54296875" style="18" customWidth="1"/>
    <col min="6" max="6" width="12.81640625" style="18" bestFit="1" customWidth="1"/>
    <col min="7" max="7" width="45.26953125" style="18" customWidth="1"/>
    <col min="8" max="8" width="29.1796875" style="18" customWidth="1"/>
    <col min="9" max="9" width="30.81640625" style="18" bestFit="1" customWidth="1"/>
    <col min="10" max="10" width="30.54296875" customWidth="1"/>
    <col min="11" max="11" width="12.453125" customWidth="1"/>
    <col min="12" max="12" width="13.1796875" bestFit="1" customWidth="1"/>
  </cols>
  <sheetData>
    <row r="1" spans="1:12" x14ac:dyDescent="0.35">
      <c r="A1" s="244" t="s">
        <v>104</v>
      </c>
      <c r="B1" s="244"/>
      <c r="C1" s="244"/>
      <c r="D1" s="244"/>
      <c r="E1" s="244"/>
      <c r="F1" s="244"/>
      <c r="G1" s="244"/>
      <c r="H1" s="37"/>
      <c r="I1" s="25"/>
    </row>
    <row r="2" spans="1:12" x14ac:dyDescent="0.35">
      <c r="A2" s="2"/>
      <c r="B2" s="2"/>
      <c r="C2" s="2"/>
      <c r="D2" s="2"/>
      <c r="E2" s="2"/>
      <c r="F2" s="2"/>
      <c r="G2" s="2"/>
      <c r="I2" s="25"/>
    </row>
    <row r="3" spans="1:12" x14ac:dyDescent="0.35">
      <c r="A3" s="22" t="s">
        <v>49</v>
      </c>
      <c r="H3" s="26"/>
    </row>
    <row r="4" spans="1:12" x14ac:dyDescent="0.35">
      <c r="A4" s="22" t="s">
        <v>50</v>
      </c>
      <c r="F4" s="25"/>
      <c r="H4" s="181"/>
      <c r="I4" s="2"/>
    </row>
    <row r="5" spans="1:12" x14ac:dyDescent="0.35">
      <c r="A5" s="22" t="s">
        <v>589</v>
      </c>
      <c r="F5" s="25"/>
      <c r="J5" s="36" t="s">
        <v>192</v>
      </c>
      <c r="K5" t="s">
        <v>588</v>
      </c>
    </row>
    <row r="6" spans="1:12" x14ac:dyDescent="0.35">
      <c r="F6" s="191">
        <v>216536021</v>
      </c>
    </row>
    <row r="7" spans="1:12" x14ac:dyDescent="0.35">
      <c r="A7" s="6" t="s">
        <v>2</v>
      </c>
      <c r="B7" s="6" t="s">
        <v>3</v>
      </c>
      <c r="C7" s="6" t="s">
        <v>138</v>
      </c>
      <c r="D7" s="6" t="s">
        <v>4</v>
      </c>
      <c r="E7" s="6" t="s">
        <v>192</v>
      </c>
      <c r="F7" s="6" t="s">
        <v>5</v>
      </c>
      <c r="G7" s="6" t="s">
        <v>6</v>
      </c>
      <c r="H7" s="34" t="s">
        <v>141</v>
      </c>
      <c r="I7" s="34" t="s">
        <v>359</v>
      </c>
      <c r="J7" s="36" t="s">
        <v>149</v>
      </c>
      <c r="K7" t="s">
        <v>151</v>
      </c>
      <c r="L7" t="s">
        <v>148</v>
      </c>
    </row>
    <row r="8" spans="1:12" x14ac:dyDescent="0.35">
      <c r="A8" s="19">
        <v>45650</v>
      </c>
      <c r="B8" s="20"/>
      <c r="C8" s="20"/>
      <c r="D8" s="20">
        <v>5000000</v>
      </c>
      <c r="E8" s="43" t="s">
        <v>357</v>
      </c>
      <c r="F8" s="20">
        <v>5000000</v>
      </c>
      <c r="G8" s="10" t="s">
        <v>57</v>
      </c>
      <c r="H8" s="59" t="s">
        <v>204</v>
      </c>
      <c r="I8" s="32" t="s">
        <v>152</v>
      </c>
      <c r="J8" s="13" t="s">
        <v>107</v>
      </c>
      <c r="K8" s="160"/>
      <c r="L8" s="160">
        <v>3203000</v>
      </c>
    </row>
    <row r="9" spans="1:12" x14ac:dyDescent="0.35">
      <c r="A9" s="19">
        <v>45659</v>
      </c>
      <c r="B9" s="43">
        <v>200000</v>
      </c>
      <c r="C9" s="20"/>
      <c r="D9" s="20"/>
      <c r="E9" s="43" t="s">
        <v>357</v>
      </c>
      <c r="F9" s="20">
        <f>+F8+D9-B9</f>
        <v>4800000</v>
      </c>
      <c r="G9" s="10" t="s">
        <v>102</v>
      </c>
      <c r="H9" s="59" t="s">
        <v>320</v>
      </c>
      <c r="I9" s="32" t="s">
        <v>152</v>
      </c>
      <c r="J9" s="13" t="s">
        <v>320</v>
      </c>
      <c r="K9" s="160">
        <v>81500</v>
      </c>
      <c r="L9" s="160"/>
    </row>
    <row r="10" spans="1:12" x14ac:dyDescent="0.35">
      <c r="A10" s="19">
        <v>45660</v>
      </c>
      <c r="B10" s="43"/>
      <c r="C10" s="20"/>
      <c r="D10" s="43">
        <v>500000</v>
      </c>
      <c r="E10" s="43" t="s">
        <v>357</v>
      </c>
      <c r="F10" s="20">
        <f t="shared" ref="F10:F73" si="0">+F9+D10-B10</f>
        <v>5300000</v>
      </c>
      <c r="G10" s="10" t="s">
        <v>53</v>
      </c>
      <c r="H10" s="59" t="s">
        <v>109</v>
      </c>
      <c r="I10" s="32" t="s">
        <v>152</v>
      </c>
      <c r="J10" s="13" t="s">
        <v>323</v>
      </c>
      <c r="K10" s="160">
        <v>3519500</v>
      </c>
      <c r="L10" s="160"/>
    </row>
    <row r="11" spans="1:12" x14ac:dyDescent="0.35">
      <c r="A11" s="19">
        <v>45660</v>
      </c>
      <c r="B11" s="43"/>
      <c r="C11" s="20"/>
      <c r="D11" s="43">
        <v>1800000</v>
      </c>
      <c r="E11" s="43" t="s">
        <v>357</v>
      </c>
      <c r="F11" s="20">
        <f t="shared" si="0"/>
        <v>7100000</v>
      </c>
      <c r="G11" s="10" t="s">
        <v>84</v>
      </c>
      <c r="H11" s="59" t="s">
        <v>109</v>
      </c>
      <c r="I11" s="32" t="s">
        <v>152</v>
      </c>
      <c r="J11" s="13" t="s">
        <v>325</v>
      </c>
      <c r="K11" s="160">
        <v>7013000</v>
      </c>
      <c r="L11" s="160"/>
    </row>
    <row r="12" spans="1:12" x14ac:dyDescent="0.35">
      <c r="A12" s="19">
        <v>45660</v>
      </c>
      <c r="B12" s="43"/>
      <c r="C12" s="20"/>
      <c r="D12" s="43">
        <v>2000000</v>
      </c>
      <c r="E12" s="43" t="s">
        <v>357</v>
      </c>
      <c r="F12" s="20">
        <f t="shared" si="0"/>
        <v>9100000</v>
      </c>
      <c r="G12" s="10" t="s">
        <v>55</v>
      </c>
      <c r="H12" s="59" t="s">
        <v>109</v>
      </c>
      <c r="I12" s="32" t="s">
        <v>152</v>
      </c>
      <c r="J12" s="13" t="s">
        <v>109</v>
      </c>
      <c r="K12" s="160"/>
      <c r="L12" s="160">
        <v>8168002</v>
      </c>
    </row>
    <row r="13" spans="1:12" x14ac:dyDescent="0.35">
      <c r="A13" s="19">
        <v>45663</v>
      </c>
      <c r="B13" s="43"/>
      <c r="C13" s="20"/>
      <c r="D13" s="43">
        <v>400000</v>
      </c>
      <c r="E13" s="43" t="s">
        <v>357</v>
      </c>
      <c r="F13" s="20">
        <f t="shared" si="0"/>
        <v>9500000</v>
      </c>
      <c r="G13" s="10" t="s">
        <v>56</v>
      </c>
      <c r="H13" s="59" t="s">
        <v>109</v>
      </c>
      <c r="I13" s="32" t="s">
        <v>152</v>
      </c>
      <c r="J13" s="13" t="s">
        <v>217</v>
      </c>
      <c r="K13" s="160"/>
      <c r="L13" s="160"/>
    </row>
    <row r="14" spans="1:12" x14ac:dyDescent="0.35">
      <c r="A14" s="19">
        <v>45663</v>
      </c>
      <c r="B14" s="43"/>
      <c r="C14" s="23"/>
      <c r="D14" s="23">
        <v>44196050</v>
      </c>
      <c r="E14" s="43" t="s">
        <v>357</v>
      </c>
      <c r="F14" s="20">
        <f t="shared" si="0"/>
        <v>53696050</v>
      </c>
      <c r="G14" s="24" t="s">
        <v>105</v>
      </c>
      <c r="H14" s="59" t="s">
        <v>204</v>
      </c>
      <c r="I14" s="32" t="s">
        <v>152</v>
      </c>
      <c r="J14" s="13" t="s">
        <v>613</v>
      </c>
      <c r="K14" s="160"/>
      <c r="L14" s="160">
        <v>16500000</v>
      </c>
    </row>
    <row r="15" spans="1:12" x14ac:dyDescent="0.35">
      <c r="A15" s="19">
        <v>45663</v>
      </c>
      <c r="B15" s="43"/>
      <c r="C15" s="23"/>
      <c r="D15" s="23">
        <v>33983823</v>
      </c>
      <c r="E15" s="43" t="s">
        <v>357</v>
      </c>
      <c r="F15" s="20">
        <f t="shared" si="0"/>
        <v>87679873</v>
      </c>
      <c r="G15" s="24" t="s">
        <v>106</v>
      </c>
      <c r="H15" s="59" t="s">
        <v>205</v>
      </c>
      <c r="I15" s="32" t="s">
        <v>152</v>
      </c>
      <c r="J15" s="13" t="s">
        <v>150</v>
      </c>
      <c r="K15" s="160">
        <v>10614000</v>
      </c>
      <c r="L15" s="160">
        <v>27871002</v>
      </c>
    </row>
    <row r="16" spans="1:12" x14ac:dyDescent="0.35">
      <c r="A16" s="19"/>
      <c r="B16" s="43"/>
      <c r="C16" s="20">
        <v>78179873</v>
      </c>
      <c r="D16" s="20"/>
      <c r="E16" s="20"/>
      <c r="F16" s="20">
        <f t="shared" si="0"/>
        <v>87679873</v>
      </c>
      <c r="G16" s="10" t="s">
        <v>57</v>
      </c>
      <c r="H16" s="59"/>
      <c r="I16" s="32"/>
    </row>
    <row r="17" spans="1:9" x14ac:dyDescent="0.35">
      <c r="A17" s="19">
        <v>45663</v>
      </c>
      <c r="B17" s="43"/>
      <c r="C17" s="23"/>
      <c r="D17" s="23">
        <v>5594227</v>
      </c>
      <c r="E17" s="43" t="s">
        <v>357</v>
      </c>
      <c r="F17" s="20">
        <f t="shared" si="0"/>
        <v>93274100</v>
      </c>
      <c r="G17" s="24" t="s">
        <v>106</v>
      </c>
      <c r="H17" s="59" t="s">
        <v>205</v>
      </c>
      <c r="I17" s="32" t="s">
        <v>152</v>
      </c>
    </row>
    <row r="18" spans="1:9" x14ac:dyDescent="0.35">
      <c r="A18" s="19">
        <v>45663</v>
      </c>
      <c r="B18" s="43"/>
      <c r="C18" s="23"/>
      <c r="D18" s="23">
        <v>39840773</v>
      </c>
      <c r="E18" s="43" t="s">
        <v>357</v>
      </c>
      <c r="F18" s="20">
        <f t="shared" si="0"/>
        <v>133114873</v>
      </c>
      <c r="G18" s="24" t="s">
        <v>107</v>
      </c>
      <c r="H18" s="59" t="s">
        <v>206</v>
      </c>
      <c r="I18" s="32" t="s">
        <v>152</v>
      </c>
    </row>
    <row r="19" spans="1:9" x14ac:dyDescent="0.35">
      <c r="A19" s="19">
        <v>45663</v>
      </c>
      <c r="B19" s="43"/>
      <c r="C19" s="20">
        <v>45435000</v>
      </c>
      <c r="D19" s="20"/>
      <c r="E19" s="20"/>
      <c r="F19" s="20">
        <f t="shared" si="0"/>
        <v>133114873</v>
      </c>
      <c r="G19" s="10" t="s">
        <v>58</v>
      </c>
      <c r="H19" s="59"/>
      <c r="I19" s="32"/>
    </row>
    <row r="20" spans="1:9" x14ac:dyDescent="0.35">
      <c r="A20" s="19">
        <v>45664</v>
      </c>
      <c r="B20" s="43"/>
      <c r="C20" s="20"/>
      <c r="D20" s="43">
        <v>1000000</v>
      </c>
      <c r="E20" s="43" t="s">
        <v>357</v>
      </c>
      <c r="F20" s="20">
        <f t="shared" si="0"/>
        <v>134114873</v>
      </c>
      <c r="G20" s="10" t="s">
        <v>83</v>
      </c>
      <c r="H20" s="59" t="s">
        <v>139</v>
      </c>
      <c r="I20" s="32" t="s">
        <v>152</v>
      </c>
    </row>
    <row r="21" spans="1:9" x14ac:dyDescent="0.35">
      <c r="A21" s="19">
        <v>45664</v>
      </c>
      <c r="B21" s="43"/>
      <c r="C21" s="20"/>
      <c r="D21" s="43">
        <v>300000</v>
      </c>
      <c r="E21" s="43" t="s">
        <v>357</v>
      </c>
      <c r="F21" s="20">
        <f t="shared" si="0"/>
        <v>134414873</v>
      </c>
      <c r="G21" s="10" t="s">
        <v>60</v>
      </c>
      <c r="H21" s="59" t="s">
        <v>139</v>
      </c>
      <c r="I21" s="32" t="s">
        <v>152</v>
      </c>
    </row>
    <row r="22" spans="1:9" x14ac:dyDescent="0.35">
      <c r="A22" s="19">
        <v>45664</v>
      </c>
      <c r="B22" s="43"/>
      <c r="C22" s="20"/>
      <c r="D22" s="43">
        <v>600000</v>
      </c>
      <c r="E22" s="43" t="s">
        <v>357</v>
      </c>
      <c r="F22" s="20">
        <f t="shared" si="0"/>
        <v>135014873</v>
      </c>
      <c r="G22" s="10" t="s">
        <v>61</v>
      </c>
      <c r="H22" s="59" t="s">
        <v>139</v>
      </c>
      <c r="I22" s="32" t="s">
        <v>152</v>
      </c>
    </row>
    <row r="23" spans="1:9" x14ac:dyDescent="0.35">
      <c r="A23" s="19">
        <v>45664</v>
      </c>
      <c r="B23" s="43">
        <v>1250000</v>
      </c>
      <c r="C23" s="20"/>
      <c r="D23" s="43"/>
      <c r="E23" s="43" t="s">
        <v>357</v>
      </c>
      <c r="F23" s="20">
        <f t="shared" si="0"/>
        <v>133764873</v>
      </c>
      <c r="G23" s="10" t="s">
        <v>62</v>
      </c>
      <c r="H23" s="59" t="s">
        <v>321</v>
      </c>
      <c r="I23" s="32" t="s">
        <v>152</v>
      </c>
    </row>
    <row r="24" spans="1:9" x14ac:dyDescent="0.35">
      <c r="A24" s="19">
        <v>45664</v>
      </c>
      <c r="B24" s="43">
        <v>2500</v>
      </c>
      <c r="C24" s="20"/>
      <c r="D24" s="43"/>
      <c r="E24" s="43" t="s">
        <v>357</v>
      </c>
      <c r="F24" s="20">
        <f t="shared" si="0"/>
        <v>133762373</v>
      </c>
      <c r="G24" s="10" t="s">
        <v>63</v>
      </c>
      <c r="H24" s="59" t="s">
        <v>321</v>
      </c>
      <c r="I24" s="32" t="s">
        <v>152</v>
      </c>
    </row>
    <row r="25" spans="1:9" x14ac:dyDescent="0.35">
      <c r="A25" s="19">
        <v>45664</v>
      </c>
      <c r="B25" s="43"/>
      <c r="C25" s="20"/>
      <c r="D25" s="43">
        <v>600000</v>
      </c>
      <c r="E25" s="43" t="s">
        <v>357</v>
      </c>
      <c r="F25" s="20">
        <f t="shared" si="0"/>
        <v>134362373</v>
      </c>
      <c r="G25" s="10" t="s">
        <v>64</v>
      </c>
      <c r="H25" s="59" t="s">
        <v>139</v>
      </c>
      <c r="I25" s="32" t="s">
        <v>152</v>
      </c>
    </row>
    <row r="26" spans="1:9" x14ac:dyDescent="0.35">
      <c r="A26" s="19">
        <v>45665</v>
      </c>
      <c r="B26" s="43"/>
      <c r="C26" s="20"/>
      <c r="D26" s="43">
        <v>300000</v>
      </c>
      <c r="E26" s="43" t="s">
        <v>357</v>
      </c>
      <c r="F26" s="20">
        <f t="shared" si="0"/>
        <v>134662373</v>
      </c>
      <c r="G26" s="10" t="s">
        <v>65</v>
      </c>
      <c r="H26" s="59" t="s">
        <v>139</v>
      </c>
      <c r="I26" s="32" t="s">
        <v>152</v>
      </c>
    </row>
    <row r="27" spans="1:9" x14ac:dyDescent="0.35">
      <c r="A27" s="19">
        <v>45665</v>
      </c>
      <c r="B27" s="43"/>
      <c r="C27" s="20"/>
      <c r="D27" s="43">
        <v>300000</v>
      </c>
      <c r="E27" s="43" t="s">
        <v>357</v>
      </c>
      <c r="F27" s="20">
        <f t="shared" si="0"/>
        <v>134962373</v>
      </c>
      <c r="G27" s="10" t="s">
        <v>66</v>
      </c>
      <c r="H27" s="59" t="s">
        <v>139</v>
      </c>
      <c r="I27" s="32" t="s">
        <v>152</v>
      </c>
    </row>
    <row r="28" spans="1:9" x14ac:dyDescent="0.35">
      <c r="A28" s="19">
        <v>45665</v>
      </c>
      <c r="B28" s="43"/>
      <c r="C28" s="20"/>
      <c r="D28" s="43">
        <v>300000</v>
      </c>
      <c r="E28" s="43" t="s">
        <v>357</v>
      </c>
      <c r="F28" s="20">
        <f t="shared" si="0"/>
        <v>135262373</v>
      </c>
      <c r="G28" s="10" t="s">
        <v>67</v>
      </c>
      <c r="H28" s="59" t="s">
        <v>139</v>
      </c>
      <c r="I28" s="32" t="s">
        <v>152</v>
      </c>
    </row>
    <row r="29" spans="1:9" x14ac:dyDescent="0.35">
      <c r="A29" s="19">
        <v>45665</v>
      </c>
      <c r="B29" s="43"/>
      <c r="C29" s="20"/>
      <c r="D29" s="43">
        <v>300000</v>
      </c>
      <c r="E29" s="43" t="s">
        <v>357</v>
      </c>
      <c r="F29" s="20">
        <f t="shared" si="0"/>
        <v>135562373</v>
      </c>
      <c r="G29" s="10" t="s">
        <v>68</v>
      </c>
      <c r="H29" s="59" t="s">
        <v>139</v>
      </c>
      <c r="I29" s="32" t="s">
        <v>152</v>
      </c>
    </row>
    <row r="30" spans="1:9" x14ac:dyDescent="0.35">
      <c r="A30" s="19">
        <v>45665</v>
      </c>
      <c r="B30" s="43">
        <v>500000</v>
      </c>
      <c r="C30" s="20"/>
      <c r="D30" s="43"/>
      <c r="E30" s="43" t="s">
        <v>357</v>
      </c>
      <c r="F30" s="20">
        <f t="shared" si="0"/>
        <v>135062373</v>
      </c>
      <c r="G30" s="10" t="s">
        <v>85</v>
      </c>
      <c r="H30" s="59" t="s">
        <v>322</v>
      </c>
      <c r="I30" s="32" t="s">
        <v>152</v>
      </c>
    </row>
    <row r="31" spans="1:9" x14ac:dyDescent="0.35">
      <c r="A31" s="19">
        <v>45665</v>
      </c>
      <c r="B31" s="43">
        <v>2000000</v>
      </c>
      <c r="C31" s="20"/>
      <c r="D31" s="43"/>
      <c r="E31" s="43" t="s">
        <v>357</v>
      </c>
      <c r="F31" s="20">
        <f t="shared" si="0"/>
        <v>133062373</v>
      </c>
      <c r="G31" s="10" t="s">
        <v>69</v>
      </c>
      <c r="H31" s="59" t="s">
        <v>143</v>
      </c>
      <c r="I31" s="32" t="s">
        <v>152</v>
      </c>
    </row>
    <row r="32" spans="1:9" x14ac:dyDescent="0.35">
      <c r="A32" s="19">
        <v>45665</v>
      </c>
      <c r="B32" s="43">
        <v>2500</v>
      </c>
      <c r="C32" s="20"/>
      <c r="D32" s="43"/>
      <c r="E32" s="43" t="s">
        <v>357</v>
      </c>
      <c r="F32" s="20">
        <f t="shared" si="0"/>
        <v>133059873</v>
      </c>
      <c r="G32" s="10" t="s">
        <v>70</v>
      </c>
      <c r="H32" s="59" t="s">
        <v>143</v>
      </c>
      <c r="I32" s="32" t="s">
        <v>152</v>
      </c>
    </row>
    <row r="33" spans="1:9" x14ac:dyDescent="0.35">
      <c r="A33" s="19">
        <v>45665</v>
      </c>
      <c r="B33" s="43"/>
      <c r="C33" s="20"/>
      <c r="D33" s="43">
        <v>504000</v>
      </c>
      <c r="E33" s="43" t="s">
        <v>357</v>
      </c>
      <c r="F33" s="20">
        <f t="shared" si="0"/>
        <v>133563873</v>
      </c>
      <c r="G33" s="10" t="s">
        <v>71</v>
      </c>
      <c r="H33" s="59" t="s">
        <v>139</v>
      </c>
      <c r="I33" s="32" t="s">
        <v>152</v>
      </c>
    </row>
    <row r="34" spans="1:9" x14ac:dyDescent="0.35">
      <c r="A34" s="19">
        <v>45665</v>
      </c>
      <c r="B34" s="43"/>
      <c r="C34" s="20"/>
      <c r="D34" s="43">
        <v>100000</v>
      </c>
      <c r="E34" s="43" t="s">
        <v>357</v>
      </c>
      <c r="F34" s="20">
        <f t="shared" si="0"/>
        <v>133663873</v>
      </c>
      <c r="G34" s="10" t="s">
        <v>72</v>
      </c>
      <c r="H34" s="59" t="s">
        <v>139</v>
      </c>
      <c r="I34" s="32" t="s">
        <v>152</v>
      </c>
    </row>
    <row r="35" spans="1:9" x14ac:dyDescent="0.35">
      <c r="A35" s="17">
        <v>45666</v>
      </c>
      <c r="B35" s="44"/>
      <c r="C35" s="21"/>
      <c r="D35" s="44">
        <v>400000</v>
      </c>
      <c r="E35" s="43" t="s">
        <v>357</v>
      </c>
      <c r="F35" s="20">
        <f t="shared" si="0"/>
        <v>134063873</v>
      </c>
      <c r="G35" s="10" t="s">
        <v>86</v>
      </c>
      <c r="H35" s="59" t="s">
        <v>140</v>
      </c>
      <c r="I35" s="32" t="s">
        <v>152</v>
      </c>
    </row>
    <row r="36" spans="1:9" x14ac:dyDescent="0.35">
      <c r="A36" s="17">
        <v>45666</v>
      </c>
      <c r="B36" s="44"/>
      <c r="C36" s="21"/>
      <c r="D36" s="44">
        <v>300000</v>
      </c>
      <c r="E36" s="43" t="s">
        <v>357</v>
      </c>
      <c r="F36" s="20">
        <f t="shared" si="0"/>
        <v>134363873</v>
      </c>
      <c r="G36" s="10" t="s">
        <v>87</v>
      </c>
      <c r="H36" s="59" t="s">
        <v>139</v>
      </c>
      <c r="I36" s="32" t="s">
        <v>152</v>
      </c>
    </row>
    <row r="37" spans="1:9" x14ac:dyDescent="0.35">
      <c r="A37" s="17">
        <v>45666</v>
      </c>
      <c r="B37" s="44"/>
      <c r="C37" s="21"/>
      <c r="D37" s="44">
        <v>300000</v>
      </c>
      <c r="E37" s="43" t="s">
        <v>357</v>
      </c>
      <c r="F37" s="20">
        <f t="shared" si="0"/>
        <v>134663873</v>
      </c>
      <c r="G37" s="10" t="s">
        <v>88</v>
      </c>
      <c r="H37" s="59" t="s">
        <v>139</v>
      </c>
      <c r="I37" s="32" t="s">
        <v>152</v>
      </c>
    </row>
    <row r="38" spans="1:9" x14ac:dyDescent="0.35">
      <c r="A38" s="17">
        <v>45667</v>
      </c>
      <c r="B38" s="44"/>
      <c r="C38" s="21"/>
      <c r="D38" s="44">
        <v>600000</v>
      </c>
      <c r="E38" s="43" t="s">
        <v>357</v>
      </c>
      <c r="F38" s="20">
        <f t="shared" si="0"/>
        <v>135263873</v>
      </c>
      <c r="G38" s="10" t="s">
        <v>89</v>
      </c>
      <c r="H38" s="59" t="s">
        <v>139</v>
      </c>
      <c r="I38" s="32" t="s">
        <v>152</v>
      </c>
    </row>
    <row r="39" spans="1:9" x14ac:dyDescent="0.35">
      <c r="A39" s="17">
        <v>45667</v>
      </c>
      <c r="B39" s="44"/>
      <c r="C39" s="21"/>
      <c r="D39" s="44">
        <v>350000</v>
      </c>
      <c r="E39" s="43" t="s">
        <v>357</v>
      </c>
      <c r="F39" s="20">
        <f t="shared" si="0"/>
        <v>135613873</v>
      </c>
      <c r="G39" s="10" t="s">
        <v>90</v>
      </c>
      <c r="H39" s="59" t="s">
        <v>139</v>
      </c>
      <c r="I39" s="32" t="s">
        <v>152</v>
      </c>
    </row>
    <row r="40" spans="1:9" x14ac:dyDescent="0.35">
      <c r="A40" s="17">
        <v>45667</v>
      </c>
      <c r="B40" s="44">
        <v>1600000</v>
      </c>
      <c r="C40" s="21"/>
      <c r="D40" s="21"/>
      <c r="E40" s="43" t="s">
        <v>357</v>
      </c>
      <c r="F40" s="20">
        <f t="shared" si="0"/>
        <v>134013873</v>
      </c>
      <c r="G40" s="10" t="s">
        <v>91</v>
      </c>
      <c r="H40" s="59" t="s">
        <v>143</v>
      </c>
      <c r="I40" s="32" t="s">
        <v>152</v>
      </c>
    </row>
    <row r="41" spans="1:9" x14ac:dyDescent="0.35">
      <c r="A41" s="17">
        <v>45667</v>
      </c>
      <c r="B41" s="44">
        <v>2500</v>
      </c>
      <c r="C41" s="21"/>
      <c r="D41" s="21"/>
      <c r="E41" s="43" t="s">
        <v>357</v>
      </c>
      <c r="F41" s="20">
        <f t="shared" si="0"/>
        <v>134011373</v>
      </c>
      <c r="G41" s="10" t="s">
        <v>92</v>
      </c>
      <c r="H41" s="59" t="s">
        <v>143</v>
      </c>
      <c r="I41" s="32" t="s">
        <v>152</v>
      </c>
    </row>
    <row r="42" spans="1:9" x14ac:dyDescent="0.35">
      <c r="A42" s="17">
        <v>45670</v>
      </c>
      <c r="B42" s="39">
        <v>750000</v>
      </c>
      <c r="C42" s="21"/>
      <c r="D42" s="21"/>
      <c r="E42" s="43" t="s">
        <v>357</v>
      </c>
      <c r="F42" s="20">
        <f t="shared" si="0"/>
        <v>133261373</v>
      </c>
      <c r="G42" s="10" t="s">
        <v>93</v>
      </c>
      <c r="H42" s="59" t="s">
        <v>323</v>
      </c>
      <c r="I42" s="32" t="s">
        <v>152</v>
      </c>
    </row>
    <row r="43" spans="1:9" x14ac:dyDescent="0.35">
      <c r="A43" s="17">
        <v>45670</v>
      </c>
      <c r="B43" s="39">
        <v>2500</v>
      </c>
      <c r="C43" s="21"/>
      <c r="D43" s="21"/>
      <c r="E43" s="43" t="s">
        <v>357</v>
      </c>
      <c r="F43" s="20">
        <f t="shared" si="0"/>
        <v>133258873</v>
      </c>
      <c r="G43" s="10" t="s">
        <v>94</v>
      </c>
      <c r="H43" s="59" t="s">
        <v>323</v>
      </c>
      <c r="I43" s="32" t="s">
        <v>152</v>
      </c>
    </row>
    <row r="44" spans="1:9" x14ac:dyDescent="0.35">
      <c r="A44" s="17">
        <v>45670</v>
      </c>
      <c r="B44" s="21"/>
      <c r="C44" s="21"/>
      <c r="D44" s="39">
        <v>300000</v>
      </c>
      <c r="E44" s="43" t="s">
        <v>357</v>
      </c>
      <c r="F44" s="20">
        <f t="shared" si="0"/>
        <v>133558873</v>
      </c>
      <c r="G44" s="10" t="s">
        <v>95</v>
      </c>
      <c r="H44" s="59" t="s">
        <v>109</v>
      </c>
      <c r="I44" s="32" t="s">
        <v>152</v>
      </c>
    </row>
    <row r="45" spans="1:9" x14ac:dyDescent="0.35">
      <c r="A45" s="17">
        <v>45670</v>
      </c>
      <c r="B45" s="21"/>
      <c r="C45" s="21"/>
      <c r="D45" s="39">
        <v>50000</v>
      </c>
      <c r="E45" s="43" t="s">
        <v>357</v>
      </c>
      <c r="F45" s="20">
        <f t="shared" si="0"/>
        <v>133608873</v>
      </c>
      <c r="G45" s="10" t="s">
        <v>56</v>
      </c>
      <c r="H45" s="59" t="s">
        <v>109</v>
      </c>
      <c r="I45" s="32" t="s">
        <v>152</v>
      </c>
    </row>
    <row r="46" spans="1:9" x14ac:dyDescent="0.35">
      <c r="A46" s="17">
        <v>45670</v>
      </c>
      <c r="B46" s="21"/>
      <c r="C46" s="21"/>
      <c r="D46" s="39">
        <v>100000</v>
      </c>
      <c r="E46" s="43" t="s">
        <v>357</v>
      </c>
      <c r="F46" s="20">
        <f t="shared" si="0"/>
        <v>133708873</v>
      </c>
      <c r="G46" s="10" t="s">
        <v>244</v>
      </c>
      <c r="H46" s="59" t="s">
        <v>109</v>
      </c>
      <c r="I46" s="32" t="s">
        <v>152</v>
      </c>
    </row>
    <row r="47" spans="1:9" x14ac:dyDescent="0.35">
      <c r="A47" s="17">
        <v>45670</v>
      </c>
      <c r="B47" s="21"/>
      <c r="C47" s="21"/>
      <c r="D47" s="39">
        <v>3000000</v>
      </c>
      <c r="E47" s="43" t="s">
        <v>357</v>
      </c>
      <c r="F47" s="20">
        <f t="shared" si="0"/>
        <v>136708873</v>
      </c>
      <c r="G47" s="10" t="s">
        <v>245</v>
      </c>
      <c r="H47" s="59" t="s">
        <v>109</v>
      </c>
      <c r="I47" s="32" t="s">
        <v>152</v>
      </c>
    </row>
    <row r="48" spans="1:9" x14ac:dyDescent="0.35">
      <c r="A48" s="17">
        <v>45670</v>
      </c>
      <c r="B48" s="21"/>
      <c r="C48" s="23"/>
      <c r="D48" s="23">
        <v>2773000</v>
      </c>
      <c r="E48" s="43" t="s">
        <v>357</v>
      </c>
      <c r="F48" s="20">
        <f t="shared" si="0"/>
        <v>139481873</v>
      </c>
      <c r="G48" s="24" t="s">
        <v>107</v>
      </c>
      <c r="H48" s="59" t="s">
        <v>107</v>
      </c>
      <c r="I48" s="32" t="s">
        <v>152</v>
      </c>
    </row>
    <row r="49" spans="1:9" x14ac:dyDescent="0.35">
      <c r="A49" s="17">
        <v>45670</v>
      </c>
      <c r="B49" s="21"/>
      <c r="C49" s="23"/>
      <c r="D49" s="23">
        <v>3977000</v>
      </c>
      <c r="E49" s="43" t="s">
        <v>357</v>
      </c>
      <c r="F49" s="20">
        <f t="shared" si="0"/>
        <v>143458873</v>
      </c>
      <c r="G49" s="24" t="s">
        <v>109</v>
      </c>
      <c r="H49" s="59" t="s">
        <v>109</v>
      </c>
      <c r="I49" s="32" t="s">
        <v>152</v>
      </c>
    </row>
    <row r="50" spans="1:9" x14ac:dyDescent="0.35">
      <c r="A50" s="17">
        <v>45670</v>
      </c>
      <c r="B50" s="27">
        <v>2000000</v>
      </c>
      <c r="C50" s="27"/>
      <c r="D50" s="39"/>
      <c r="E50" s="43" t="s">
        <v>357</v>
      </c>
      <c r="F50" s="20">
        <f t="shared" si="0"/>
        <v>141458873</v>
      </c>
      <c r="G50" s="28" t="s">
        <v>114</v>
      </c>
      <c r="H50" s="59" t="s">
        <v>320</v>
      </c>
      <c r="I50" s="32" t="s">
        <v>152</v>
      </c>
    </row>
    <row r="51" spans="1:9" x14ac:dyDescent="0.35">
      <c r="A51" s="17">
        <v>45670</v>
      </c>
      <c r="B51" s="27">
        <v>200000</v>
      </c>
      <c r="C51" s="27"/>
      <c r="D51" s="39"/>
      <c r="E51" s="43" t="s">
        <v>357</v>
      </c>
      <c r="F51" s="20">
        <f t="shared" si="0"/>
        <v>141258873</v>
      </c>
      <c r="G51" s="28" t="s">
        <v>115</v>
      </c>
      <c r="H51" s="59" t="s">
        <v>320</v>
      </c>
      <c r="I51" s="32" t="s">
        <v>152</v>
      </c>
    </row>
    <row r="52" spans="1:9" x14ac:dyDescent="0.35">
      <c r="A52" s="17"/>
      <c r="B52" s="21"/>
      <c r="C52" s="39">
        <v>4550000</v>
      </c>
      <c r="D52" s="39"/>
      <c r="E52" s="39"/>
      <c r="F52" s="20">
        <f t="shared" si="0"/>
        <v>141258873</v>
      </c>
      <c r="G52" s="10" t="s">
        <v>98</v>
      </c>
      <c r="H52" s="59"/>
      <c r="I52" s="32"/>
    </row>
    <row r="53" spans="1:9" x14ac:dyDescent="0.35">
      <c r="A53" s="17">
        <v>45671</v>
      </c>
      <c r="B53" s="21"/>
      <c r="C53" s="21"/>
      <c r="D53" s="39">
        <v>100000</v>
      </c>
      <c r="E53" s="43" t="s">
        <v>357</v>
      </c>
      <c r="F53" s="20">
        <f t="shared" si="0"/>
        <v>141358873</v>
      </c>
      <c r="G53" s="10" t="s">
        <v>246</v>
      </c>
      <c r="H53" s="59" t="s">
        <v>109</v>
      </c>
      <c r="I53" s="32" t="s">
        <v>152</v>
      </c>
    </row>
    <row r="54" spans="1:9" x14ac:dyDescent="0.35">
      <c r="A54" s="17">
        <v>45671</v>
      </c>
      <c r="B54" s="21"/>
      <c r="C54" s="21"/>
      <c r="D54" s="39">
        <v>7000</v>
      </c>
      <c r="E54" s="43" t="s">
        <v>357</v>
      </c>
      <c r="F54" s="20">
        <f t="shared" si="0"/>
        <v>141365873</v>
      </c>
      <c r="G54" s="10" t="s">
        <v>247</v>
      </c>
      <c r="H54" s="59" t="s">
        <v>109</v>
      </c>
      <c r="I54" s="32" t="s">
        <v>152</v>
      </c>
    </row>
    <row r="55" spans="1:9" x14ac:dyDescent="0.35">
      <c r="A55" s="17">
        <v>45671</v>
      </c>
      <c r="B55" s="21"/>
      <c r="C55" s="21"/>
      <c r="D55" s="39">
        <v>1000000</v>
      </c>
      <c r="E55" s="43" t="s">
        <v>357</v>
      </c>
      <c r="F55" s="20">
        <f t="shared" si="0"/>
        <v>142365873</v>
      </c>
      <c r="G55" s="10" t="s">
        <v>248</v>
      </c>
      <c r="H55" s="59" t="s">
        <v>109</v>
      </c>
      <c r="I55" s="32" t="s">
        <v>152</v>
      </c>
    </row>
    <row r="56" spans="1:9" x14ac:dyDescent="0.35">
      <c r="A56" s="17">
        <v>45672</v>
      </c>
      <c r="B56" s="21"/>
      <c r="C56" s="21"/>
      <c r="D56" s="39">
        <v>600000</v>
      </c>
      <c r="E56" s="43" t="s">
        <v>357</v>
      </c>
      <c r="F56" s="20">
        <f t="shared" si="0"/>
        <v>142965873</v>
      </c>
      <c r="G56" s="10" t="s">
        <v>249</v>
      </c>
      <c r="H56" s="59" t="s">
        <v>140</v>
      </c>
      <c r="I56" s="32" t="s">
        <v>152</v>
      </c>
    </row>
    <row r="57" spans="1:9" x14ac:dyDescent="0.35">
      <c r="A57" s="19">
        <v>45673</v>
      </c>
      <c r="B57" s="9"/>
      <c r="C57" s="9"/>
      <c r="D57" s="40">
        <v>250000</v>
      </c>
      <c r="E57" s="43" t="s">
        <v>357</v>
      </c>
      <c r="F57" s="20">
        <f t="shared" si="0"/>
        <v>143215873</v>
      </c>
      <c r="G57" s="10" t="s">
        <v>61</v>
      </c>
      <c r="H57" s="59" t="s">
        <v>139</v>
      </c>
      <c r="I57" s="32" t="s">
        <v>152</v>
      </c>
    </row>
    <row r="58" spans="1:9" x14ac:dyDescent="0.35">
      <c r="A58" s="19">
        <v>45674</v>
      </c>
      <c r="B58" s="40">
        <v>2500000</v>
      </c>
      <c r="C58" s="9"/>
      <c r="D58" s="9"/>
      <c r="E58" s="43" t="s">
        <v>357</v>
      </c>
      <c r="F58" s="20">
        <f t="shared" si="0"/>
        <v>140715873</v>
      </c>
      <c r="G58" s="10" t="s">
        <v>103</v>
      </c>
      <c r="H58" s="59" t="s">
        <v>143</v>
      </c>
      <c r="I58" s="32" t="s">
        <v>152</v>
      </c>
    </row>
    <row r="59" spans="1:9" x14ac:dyDescent="0.35">
      <c r="A59" s="17">
        <v>45677</v>
      </c>
      <c r="B59" s="9"/>
      <c r="C59" s="32"/>
      <c r="D59" s="47">
        <v>50000</v>
      </c>
      <c r="E59" s="43" t="s">
        <v>357</v>
      </c>
      <c r="F59" s="20">
        <f t="shared" si="0"/>
        <v>140765873</v>
      </c>
      <c r="G59" s="10" t="s">
        <v>250</v>
      </c>
      <c r="H59" s="59" t="s">
        <v>109</v>
      </c>
      <c r="I59" s="32" t="s">
        <v>152</v>
      </c>
    </row>
    <row r="60" spans="1:9" x14ac:dyDescent="0.35">
      <c r="A60" s="17">
        <v>45677</v>
      </c>
      <c r="B60" s="9"/>
      <c r="C60" s="32"/>
      <c r="D60" s="47">
        <v>5000</v>
      </c>
      <c r="E60" s="43" t="s">
        <v>357</v>
      </c>
      <c r="F60" s="20">
        <f t="shared" si="0"/>
        <v>140770873</v>
      </c>
      <c r="G60" s="10" t="s">
        <v>251</v>
      </c>
      <c r="H60" s="59" t="s">
        <v>109</v>
      </c>
      <c r="I60" s="32" t="s">
        <v>152</v>
      </c>
    </row>
    <row r="61" spans="1:9" x14ac:dyDescent="0.35">
      <c r="A61" s="17">
        <v>45677</v>
      </c>
      <c r="B61" s="9"/>
      <c r="C61" s="23"/>
      <c r="D61" s="23">
        <v>4044000</v>
      </c>
      <c r="E61" s="43" t="s">
        <v>357</v>
      </c>
      <c r="F61" s="20">
        <f t="shared" si="0"/>
        <v>144814873</v>
      </c>
      <c r="G61" s="24" t="s">
        <v>107</v>
      </c>
      <c r="H61" s="59" t="s">
        <v>107</v>
      </c>
      <c r="I61" s="32" t="s">
        <v>152</v>
      </c>
    </row>
    <row r="62" spans="1:9" x14ac:dyDescent="0.35">
      <c r="A62" s="17">
        <v>45677</v>
      </c>
      <c r="B62" s="96"/>
      <c r="C62" s="23"/>
      <c r="D62" s="23">
        <v>2967000</v>
      </c>
      <c r="E62" s="43" t="s">
        <v>357</v>
      </c>
      <c r="F62" s="20">
        <f t="shared" si="0"/>
        <v>147781873</v>
      </c>
      <c r="G62" s="24" t="s">
        <v>109</v>
      </c>
      <c r="H62" s="59" t="s">
        <v>109</v>
      </c>
      <c r="I62" s="32" t="s">
        <v>152</v>
      </c>
    </row>
    <row r="63" spans="1:9" x14ac:dyDescent="0.35">
      <c r="A63" s="17">
        <v>45677</v>
      </c>
      <c r="B63" s="23">
        <v>3000000</v>
      </c>
      <c r="C63" s="23"/>
      <c r="D63" s="96"/>
      <c r="E63" s="43" t="s">
        <v>357</v>
      </c>
      <c r="F63" s="20">
        <f t="shared" si="0"/>
        <v>144781873</v>
      </c>
      <c r="G63" s="28" t="s">
        <v>114</v>
      </c>
      <c r="H63" s="59" t="s">
        <v>320</v>
      </c>
      <c r="I63" s="32" t="s">
        <v>152</v>
      </c>
    </row>
    <row r="64" spans="1:9" x14ac:dyDescent="0.35">
      <c r="A64" s="17">
        <v>45677</v>
      </c>
      <c r="B64" s="23">
        <v>20000</v>
      </c>
      <c r="C64" s="23"/>
      <c r="D64" s="96"/>
      <c r="E64" s="43" t="s">
        <v>357</v>
      </c>
      <c r="F64" s="20">
        <f t="shared" si="0"/>
        <v>144761873</v>
      </c>
      <c r="G64" s="28" t="s">
        <v>115</v>
      </c>
      <c r="H64" s="59" t="s">
        <v>320</v>
      </c>
      <c r="I64" s="32" t="s">
        <v>152</v>
      </c>
    </row>
    <row r="65" spans="1:9" x14ac:dyDescent="0.35">
      <c r="A65" s="17">
        <v>45677</v>
      </c>
      <c r="B65" s="96"/>
      <c r="C65" s="96">
        <v>3991000</v>
      </c>
      <c r="D65" s="96"/>
      <c r="E65" s="9"/>
      <c r="F65" s="20">
        <f t="shared" si="0"/>
        <v>144761873</v>
      </c>
      <c r="G65" s="10" t="s">
        <v>98</v>
      </c>
      <c r="H65" s="59"/>
      <c r="I65" s="32"/>
    </row>
    <row r="66" spans="1:9" x14ac:dyDescent="0.35">
      <c r="A66" s="17"/>
      <c r="B66" s="9"/>
      <c r="C66" s="23">
        <v>6850000</v>
      </c>
      <c r="D66" s="23"/>
      <c r="E66" s="9"/>
      <c r="F66" s="20">
        <f t="shared" si="0"/>
        <v>144761873</v>
      </c>
      <c r="G66" s="24" t="s">
        <v>134</v>
      </c>
      <c r="H66" s="59"/>
      <c r="I66" s="32"/>
    </row>
    <row r="67" spans="1:9" x14ac:dyDescent="0.35">
      <c r="A67" s="17"/>
      <c r="B67" s="27"/>
      <c r="C67" s="27">
        <v>-1000000</v>
      </c>
      <c r="D67" s="9"/>
      <c r="E67" s="9"/>
      <c r="F67" s="20">
        <f t="shared" si="0"/>
        <v>144761873</v>
      </c>
      <c r="G67" s="28" t="s">
        <v>136</v>
      </c>
      <c r="H67" s="59"/>
      <c r="I67" s="32"/>
    </row>
    <row r="68" spans="1:9" x14ac:dyDescent="0.35">
      <c r="A68" s="17"/>
      <c r="B68" s="27"/>
      <c r="C68" s="27">
        <v>-685000</v>
      </c>
      <c r="D68" s="9"/>
      <c r="E68" s="9"/>
      <c r="F68" s="20">
        <f t="shared" si="0"/>
        <v>144761873</v>
      </c>
      <c r="G68" s="28" t="s">
        <v>135</v>
      </c>
      <c r="H68" s="59"/>
      <c r="I68" s="32"/>
    </row>
    <row r="69" spans="1:9" x14ac:dyDescent="0.35">
      <c r="A69" s="17">
        <v>45677</v>
      </c>
      <c r="B69" s="9"/>
      <c r="C69" s="32"/>
      <c r="D69" s="47">
        <v>5165000</v>
      </c>
      <c r="E69" s="43" t="s">
        <v>357</v>
      </c>
      <c r="F69" s="20">
        <f t="shared" si="0"/>
        <v>149926873</v>
      </c>
      <c r="G69" s="10" t="s">
        <v>98</v>
      </c>
      <c r="H69" s="59" t="s">
        <v>109</v>
      </c>
      <c r="I69" s="32" t="s">
        <v>152</v>
      </c>
    </row>
    <row r="70" spans="1:9" x14ac:dyDescent="0.35">
      <c r="A70" s="17">
        <v>45678</v>
      </c>
      <c r="B70" s="9"/>
      <c r="C70" s="32"/>
      <c r="D70" s="47">
        <v>10000</v>
      </c>
      <c r="E70" s="43" t="s">
        <v>357</v>
      </c>
      <c r="F70" s="20">
        <f t="shared" si="0"/>
        <v>149936873</v>
      </c>
      <c r="G70" s="10" t="s">
        <v>251</v>
      </c>
      <c r="H70" s="59" t="s">
        <v>109</v>
      </c>
      <c r="I70" s="32" t="s">
        <v>152</v>
      </c>
    </row>
    <row r="71" spans="1:9" x14ac:dyDescent="0.35">
      <c r="A71" s="17">
        <v>45678</v>
      </c>
      <c r="B71" s="9"/>
      <c r="C71" s="32"/>
      <c r="D71" s="47">
        <v>10000</v>
      </c>
      <c r="E71" s="43" t="s">
        <v>357</v>
      </c>
      <c r="F71" s="20">
        <f t="shared" si="0"/>
        <v>149946873</v>
      </c>
      <c r="G71" s="10" t="s">
        <v>252</v>
      </c>
      <c r="H71" s="59" t="s">
        <v>109</v>
      </c>
      <c r="I71" s="32" t="s">
        <v>152</v>
      </c>
    </row>
    <row r="72" spans="1:9" x14ac:dyDescent="0.35">
      <c r="A72" s="17">
        <v>45678</v>
      </c>
      <c r="B72" s="9">
        <v>750000</v>
      </c>
      <c r="C72" s="32"/>
      <c r="D72" s="47"/>
      <c r="E72" s="43" t="s">
        <v>357</v>
      </c>
      <c r="F72" s="20">
        <f t="shared" si="0"/>
        <v>149196873</v>
      </c>
      <c r="G72" s="7" t="s">
        <v>131</v>
      </c>
      <c r="H72" s="59" t="s">
        <v>323</v>
      </c>
      <c r="I72" s="32" t="s">
        <v>152</v>
      </c>
    </row>
    <row r="73" spans="1:9" x14ac:dyDescent="0.35">
      <c r="A73" s="17">
        <v>45678</v>
      </c>
      <c r="B73" s="9">
        <v>2500</v>
      </c>
      <c r="C73" s="32"/>
      <c r="D73" s="47"/>
      <c r="E73" s="43" t="s">
        <v>357</v>
      </c>
      <c r="F73" s="20">
        <f t="shared" si="0"/>
        <v>149194373</v>
      </c>
      <c r="G73" s="7" t="s">
        <v>130</v>
      </c>
      <c r="H73" s="59" t="s">
        <v>323</v>
      </c>
      <c r="I73" s="32" t="s">
        <v>152</v>
      </c>
    </row>
    <row r="74" spans="1:9" x14ac:dyDescent="0.35">
      <c r="A74" s="17">
        <v>45678</v>
      </c>
      <c r="B74" s="9">
        <v>756500</v>
      </c>
      <c r="C74" s="32"/>
      <c r="D74" s="47"/>
      <c r="E74" s="43" t="s">
        <v>357</v>
      </c>
      <c r="F74" s="20">
        <f t="shared" ref="F74:F137" si="1">+F73+D74-B74</f>
        <v>148437873</v>
      </c>
      <c r="G74" s="7" t="s">
        <v>132</v>
      </c>
      <c r="H74" s="59" t="s">
        <v>323</v>
      </c>
      <c r="I74" s="32" t="s">
        <v>152</v>
      </c>
    </row>
    <row r="75" spans="1:9" x14ac:dyDescent="0.35">
      <c r="A75" s="17">
        <v>45678</v>
      </c>
      <c r="B75" s="9">
        <v>2500</v>
      </c>
      <c r="C75" s="32"/>
      <c r="D75" s="47"/>
      <c r="E75" s="43" t="s">
        <v>357</v>
      </c>
      <c r="F75" s="20">
        <f t="shared" si="1"/>
        <v>148435373</v>
      </c>
      <c r="G75" s="7" t="s">
        <v>133</v>
      </c>
      <c r="H75" s="59" t="s">
        <v>323</v>
      </c>
      <c r="I75" s="32" t="s">
        <v>152</v>
      </c>
    </row>
    <row r="76" spans="1:9" x14ac:dyDescent="0.35">
      <c r="A76" s="17">
        <v>45679</v>
      </c>
      <c r="B76" s="9"/>
      <c r="C76" s="32"/>
      <c r="D76" s="47">
        <v>10000</v>
      </c>
      <c r="E76" s="43" t="s">
        <v>357</v>
      </c>
      <c r="F76" s="20">
        <f t="shared" si="1"/>
        <v>148445373</v>
      </c>
      <c r="G76" s="10" t="s">
        <v>252</v>
      </c>
      <c r="H76" s="59" t="s">
        <v>109</v>
      </c>
      <c r="I76" s="32" t="s">
        <v>152</v>
      </c>
    </row>
    <row r="77" spans="1:9" x14ac:dyDescent="0.35">
      <c r="A77" s="17">
        <v>45679</v>
      </c>
      <c r="B77" s="9"/>
      <c r="C77" s="32"/>
      <c r="D77" s="47">
        <v>1200000</v>
      </c>
      <c r="E77" s="43" t="s">
        <v>357</v>
      </c>
      <c r="F77" s="20">
        <f t="shared" si="1"/>
        <v>149645373</v>
      </c>
      <c r="G77" s="10" t="s">
        <v>253</v>
      </c>
      <c r="H77" s="59" t="s">
        <v>109</v>
      </c>
      <c r="I77" s="32" t="s">
        <v>152</v>
      </c>
    </row>
    <row r="78" spans="1:9" x14ac:dyDescent="0.35">
      <c r="A78" s="17">
        <v>45679</v>
      </c>
      <c r="B78" s="9"/>
      <c r="C78" s="32"/>
      <c r="D78" s="47">
        <v>500000</v>
      </c>
      <c r="E78" s="43" t="s">
        <v>357</v>
      </c>
      <c r="F78" s="20">
        <f t="shared" si="1"/>
        <v>150145373</v>
      </c>
      <c r="G78" s="10" t="s">
        <v>145</v>
      </c>
      <c r="H78" s="59" t="s">
        <v>139</v>
      </c>
      <c r="I78" s="32" t="s">
        <v>152</v>
      </c>
    </row>
    <row r="79" spans="1:9" x14ac:dyDescent="0.35">
      <c r="A79" s="17">
        <v>45680</v>
      </c>
      <c r="B79" s="9"/>
      <c r="C79" s="32"/>
      <c r="D79" s="47">
        <v>10000</v>
      </c>
      <c r="E79" s="43" t="s">
        <v>357</v>
      </c>
      <c r="F79" s="20">
        <f t="shared" si="1"/>
        <v>150155373</v>
      </c>
      <c r="G79" s="10" t="s">
        <v>254</v>
      </c>
      <c r="H79" s="59" t="s">
        <v>109</v>
      </c>
      <c r="I79" s="32" t="s">
        <v>152</v>
      </c>
    </row>
    <row r="80" spans="1:9" x14ac:dyDescent="0.35">
      <c r="A80" s="17">
        <v>45680</v>
      </c>
      <c r="B80" s="9"/>
      <c r="C80" s="32"/>
      <c r="D80" s="47">
        <v>300000</v>
      </c>
      <c r="E80" s="43" t="s">
        <v>357</v>
      </c>
      <c r="F80" s="20">
        <f t="shared" si="1"/>
        <v>150455373</v>
      </c>
      <c r="G80" s="10" t="s">
        <v>147</v>
      </c>
      <c r="H80" s="59" t="s">
        <v>139</v>
      </c>
      <c r="I80" s="32" t="s">
        <v>152</v>
      </c>
    </row>
    <row r="81" spans="1:9" x14ac:dyDescent="0.35">
      <c r="A81" s="17">
        <v>45681</v>
      </c>
      <c r="B81" s="9"/>
      <c r="C81" s="32"/>
      <c r="D81" s="47">
        <v>300000</v>
      </c>
      <c r="E81" s="43" t="s">
        <v>357</v>
      </c>
      <c r="F81" s="20">
        <f t="shared" si="1"/>
        <v>150755373</v>
      </c>
      <c r="G81" s="10" t="s">
        <v>61</v>
      </c>
      <c r="H81" s="59" t="s">
        <v>139</v>
      </c>
      <c r="I81" s="32" t="s">
        <v>152</v>
      </c>
    </row>
    <row r="82" spans="1:9" x14ac:dyDescent="0.35">
      <c r="A82" s="17">
        <v>45681</v>
      </c>
      <c r="B82" s="9"/>
      <c r="C82" s="32"/>
      <c r="D82" s="47">
        <v>150000</v>
      </c>
      <c r="E82" s="43" t="s">
        <v>357</v>
      </c>
      <c r="F82" s="20">
        <f t="shared" si="1"/>
        <v>150905373</v>
      </c>
      <c r="G82" s="10" t="s">
        <v>255</v>
      </c>
      <c r="H82" s="59" t="s">
        <v>109</v>
      </c>
      <c r="I82" s="32" t="s">
        <v>152</v>
      </c>
    </row>
    <row r="83" spans="1:9" x14ac:dyDescent="0.35">
      <c r="A83" s="17">
        <v>45681</v>
      </c>
      <c r="B83" s="9"/>
      <c r="C83" s="32"/>
      <c r="D83" s="47">
        <v>10000</v>
      </c>
      <c r="E83" s="43" t="s">
        <v>357</v>
      </c>
      <c r="F83" s="20">
        <f t="shared" si="1"/>
        <v>150915373</v>
      </c>
      <c r="G83" s="10" t="s">
        <v>256</v>
      </c>
      <c r="H83" s="59" t="s">
        <v>109</v>
      </c>
      <c r="I83" s="32" t="s">
        <v>152</v>
      </c>
    </row>
    <row r="84" spans="1:9" x14ac:dyDescent="0.35">
      <c r="A84" s="17">
        <v>45681</v>
      </c>
      <c r="B84" s="9"/>
      <c r="C84" s="32"/>
      <c r="D84" s="47">
        <v>300000</v>
      </c>
      <c r="E84" s="43" t="s">
        <v>357</v>
      </c>
      <c r="F84" s="20">
        <f t="shared" si="1"/>
        <v>151215373</v>
      </c>
      <c r="G84" s="10" t="s">
        <v>87</v>
      </c>
      <c r="H84" s="59" t="s">
        <v>139</v>
      </c>
      <c r="I84" s="32" t="s">
        <v>152</v>
      </c>
    </row>
    <row r="85" spans="1:9" x14ac:dyDescent="0.35">
      <c r="A85" s="17">
        <v>45681</v>
      </c>
      <c r="B85" s="9"/>
      <c r="C85" s="32"/>
      <c r="D85" s="47">
        <v>300000</v>
      </c>
      <c r="E85" s="43" t="s">
        <v>357</v>
      </c>
      <c r="F85" s="20">
        <f t="shared" si="1"/>
        <v>151515373</v>
      </c>
      <c r="G85" s="10" t="s">
        <v>256</v>
      </c>
      <c r="H85" s="59" t="s">
        <v>109</v>
      </c>
      <c r="I85" s="32" t="s">
        <v>152</v>
      </c>
    </row>
    <row r="86" spans="1:9" x14ac:dyDescent="0.35">
      <c r="A86" s="48">
        <v>45681</v>
      </c>
      <c r="B86" s="49">
        <v>1400000</v>
      </c>
      <c r="C86" s="50"/>
      <c r="D86" s="51"/>
      <c r="E86" s="52" t="s">
        <v>357</v>
      </c>
      <c r="F86" s="53">
        <f t="shared" si="1"/>
        <v>150115373</v>
      </c>
      <c r="G86" s="54" t="s">
        <v>158</v>
      </c>
      <c r="H86" s="105" t="s">
        <v>143</v>
      </c>
      <c r="I86" s="32" t="s">
        <v>152</v>
      </c>
    </row>
    <row r="87" spans="1:9" x14ac:dyDescent="0.35">
      <c r="A87" s="17">
        <v>45687</v>
      </c>
      <c r="B87" s="9"/>
      <c r="C87" s="32"/>
      <c r="D87" s="57">
        <v>100000</v>
      </c>
      <c r="E87" s="43" t="s">
        <v>357</v>
      </c>
      <c r="F87" s="20">
        <f t="shared" si="1"/>
        <v>150215373</v>
      </c>
      <c r="G87" s="10" t="s">
        <v>256</v>
      </c>
      <c r="H87" s="59" t="s">
        <v>109</v>
      </c>
      <c r="I87" s="32" t="s">
        <v>152</v>
      </c>
    </row>
    <row r="88" spans="1:9" x14ac:dyDescent="0.35">
      <c r="A88" s="17">
        <v>45687</v>
      </c>
      <c r="B88" s="9"/>
      <c r="C88" s="32"/>
      <c r="D88" s="57">
        <v>10000</v>
      </c>
      <c r="E88" s="43" t="s">
        <v>357</v>
      </c>
      <c r="F88" s="20">
        <f t="shared" si="1"/>
        <v>150225373</v>
      </c>
      <c r="G88" s="10" t="s">
        <v>256</v>
      </c>
      <c r="H88" s="59" t="s">
        <v>109</v>
      </c>
      <c r="I88" s="32" t="s">
        <v>152</v>
      </c>
    </row>
    <row r="89" spans="1:9" x14ac:dyDescent="0.35">
      <c r="A89" s="17">
        <v>45687</v>
      </c>
      <c r="B89" s="9">
        <v>750000</v>
      </c>
      <c r="C89" s="32"/>
      <c r="D89" s="57"/>
      <c r="E89" s="43" t="s">
        <v>357</v>
      </c>
      <c r="F89" s="20">
        <f t="shared" si="1"/>
        <v>149475373</v>
      </c>
      <c r="G89" s="10" t="s">
        <v>160</v>
      </c>
      <c r="H89" s="59" t="s">
        <v>323</v>
      </c>
      <c r="I89" s="32" t="s">
        <v>152</v>
      </c>
    </row>
    <row r="90" spans="1:9" x14ac:dyDescent="0.35">
      <c r="A90" s="17">
        <v>45687</v>
      </c>
      <c r="B90" s="9">
        <v>2500</v>
      </c>
      <c r="C90" s="32"/>
      <c r="D90" s="57"/>
      <c r="E90" s="43" t="s">
        <v>357</v>
      </c>
      <c r="F90" s="20">
        <f t="shared" si="1"/>
        <v>149472873</v>
      </c>
      <c r="G90" s="10" t="s">
        <v>161</v>
      </c>
      <c r="H90" s="59" t="s">
        <v>323</v>
      </c>
      <c r="I90" s="32" t="s">
        <v>152</v>
      </c>
    </row>
    <row r="91" spans="1:9" x14ac:dyDescent="0.35">
      <c r="A91" s="17">
        <v>45687</v>
      </c>
      <c r="B91" s="9"/>
      <c r="C91" s="32"/>
      <c r="D91" s="57">
        <v>100000</v>
      </c>
      <c r="E91" s="43" t="s">
        <v>357</v>
      </c>
      <c r="F91" s="20">
        <f t="shared" si="1"/>
        <v>149572873</v>
      </c>
      <c r="G91" s="10" t="s">
        <v>257</v>
      </c>
      <c r="H91" s="59" t="s">
        <v>109</v>
      </c>
      <c r="I91" s="32" t="s">
        <v>152</v>
      </c>
    </row>
    <row r="92" spans="1:9" x14ac:dyDescent="0.35">
      <c r="A92" s="17">
        <v>45687</v>
      </c>
      <c r="B92" s="9"/>
      <c r="C92" s="32"/>
      <c r="D92" s="57">
        <v>200000</v>
      </c>
      <c r="E92" s="43" t="s">
        <v>357</v>
      </c>
      <c r="F92" s="20">
        <f t="shared" si="1"/>
        <v>149772873</v>
      </c>
      <c r="G92" s="10" t="s">
        <v>258</v>
      </c>
      <c r="H92" s="59" t="s">
        <v>140</v>
      </c>
      <c r="I92" s="32" t="s">
        <v>152</v>
      </c>
    </row>
    <row r="93" spans="1:9" x14ac:dyDescent="0.35">
      <c r="A93" s="17">
        <v>45687</v>
      </c>
      <c r="B93" s="9"/>
      <c r="C93" s="32"/>
      <c r="D93" s="57">
        <v>300000</v>
      </c>
      <c r="E93" s="43" t="s">
        <v>357</v>
      </c>
      <c r="F93" s="20">
        <f t="shared" si="1"/>
        <v>150072873</v>
      </c>
      <c r="G93" s="10" t="s">
        <v>259</v>
      </c>
      <c r="H93" s="59" t="s">
        <v>109</v>
      </c>
      <c r="I93" s="32" t="s">
        <v>152</v>
      </c>
    </row>
    <row r="94" spans="1:9" x14ac:dyDescent="0.35">
      <c r="A94" s="17">
        <v>45687</v>
      </c>
      <c r="B94" s="9">
        <v>1000000</v>
      </c>
      <c r="C94" s="32"/>
      <c r="D94" s="57"/>
      <c r="E94" s="43" t="s">
        <v>357</v>
      </c>
      <c r="F94" s="20">
        <f t="shared" si="1"/>
        <v>149072873</v>
      </c>
      <c r="G94" s="10" t="s">
        <v>165</v>
      </c>
      <c r="H94" s="59" t="s">
        <v>323</v>
      </c>
      <c r="I94" s="32" t="s">
        <v>152</v>
      </c>
    </row>
    <row r="95" spans="1:9" x14ac:dyDescent="0.35">
      <c r="A95" s="17">
        <v>45687</v>
      </c>
      <c r="B95" s="9">
        <v>2500</v>
      </c>
      <c r="C95" s="32"/>
      <c r="D95" s="57"/>
      <c r="E95" s="43" t="s">
        <v>357</v>
      </c>
      <c r="F95" s="20">
        <f t="shared" si="1"/>
        <v>149070373</v>
      </c>
      <c r="G95" s="10" t="s">
        <v>166</v>
      </c>
      <c r="H95" s="59" t="s">
        <v>323</v>
      </c>
      <c r="I95" s="32" t="s">
        <v>152</v>
      </c>
    </row>
    <row r="96" spans="1:9" x14ac:dyDescent="0.35">
      <c r="A96" s="17">
        <v>45687</v>
      </c>
      <c r="B96" s="9"/>
      <c r="C96" s="32"/>
      <c r="D96" s="57">
        <v>10000</v>
      </c>
      <c r="E96" s="43" t="s">
        <v>357</v>
      </c>
      <c r="F96" s="20">
        <f t="shared" si="1"/>
        <v>149080373</v>
      </c>
      <c r="G96" s="10" t="s">
        <v>256</v>
      </c>
      <c r="H96" s="59" t="s">
        <v>109</v>
      </c>
      <c r="I96" s="32" t="s">
        <v>152</v>
      </c>
    </row>
    <row r="97" spans="1:9" x14ac:dyDescent="0.35">
      <c r="A97" s="17">
        <v>45687</v>
      </c>
      <c r="B97" s="9"/>
      <c r="C97" s="32"/>
      <c r="D97" s="57">
        <v>5000</v>
      </c>
      <c r="E97" s="43" t="s">
        <v>357</v>
      </c>
      <c r="F97" s="20">
        <f t="shared" si="1"/>
        <v>149085373</v>
      </c>
      <c r="G97" s="10" t="s">
        <v>256</v>
      </c>
      <c r="H97" s="59" t="s">
        <v>109</v>
      </c>
      <c r="I97" s="32" t="s">
        <v>152</v>
      </c>
    </row>
    <row r="98" spans="1:9" x14ac:dyDescent="0.35">
      <c r="A98" s="17">
        <v>45687</v>
      </c>
      <c r="B98" s="9"/>
      <c r="C98" s="32"/>
      <c r="D98" s="57">
        <v>200000</v>
      </c>
      <c r="E98" s="43" t="s">
        <v>357</v>
      </c>
      <c r="F98" s="20">
        <f t="shared" si="1"/>
        <v>149285373</v>
      </c>
      <c r="G98" t="s">
        <v>240</v>
      </c>
      <c r="H98" s="59" t="s">
        <v>109</v>
      </c>
      <c r="I98" s="32" t="s">
        <v>152</v>
      </c>
    </row>
    <row r="99" spans="1:9" x14ac:dyDescent="0.35">
      <c r="A99" s="17">
        <v>45687</v>
      </c>
      <c r="B99" s="9"/>
      <c r="C99" s="32"/>
      <c r="D99" s="57">
        <v>10000</v>
      </c>
      <c r="E99" s="43" t="s">
        <v>357</v>
      </c>
      <c r="F99" s="20">
        <f t="shared" si="1"/>
        <v>149295373</v>
      </c>
      <c r="G99" s="10" t="s">
        <v>256</v>
      </c>
      <c r="H99" s="59" t="s">
        <v>109</v>
      </c>
      <c r="I99" s="32" t="s">
        <v>152</v>
      </c>
    </row>
    <row r="100" spans="1:9" x14ac:dyDescent="0.35">
      <c r="A100" s="17">
        <v>45687</v>
      </c>
      <c r="B100" s="9">
        <v>3250000</v>
      </c>
      <c r="C100" s="32"/>
      <c r="D100" s="57"/>
      <c r="E100" s="43" t="s">
        <v>357</v>
      </c>
      <c r="F100" s="20">
        <f t="shared" si="1"/>
        <v>146045373</v>
      </c>
      <c r="G100" s="10" t="s">
        <v>169</v>
      </c>
      <c r="H100" s="59" t="s">
        <v>325</v>
      </c>
      <c r="I100" s="32" t="s">
        <v>152</v>
      </c>
    </row>
    <row r="101" spans="1:9" x14ac:dyDescent="0.35">
      <c r="A101" s="17">
        <v>45687</v>
      </c>
      <c r="B101" s="9">
        <v>6500</v>
      </c>
      <c r="C101" s="32"/>
      <c r="D101" s="57"/>
      <c r="E101" s="43" t="s">
        <v>357</v>
      </c>
      <c r="F101" s="20">
        <f t="shared" si="1"/>
        <v>146038873</v>
      </c>
      <c r="G101" s="10" t="s">
        <v>170</v>
      </c>
      <c r="H101" s="59" t="s">
        <v>325</v>
      </c>
      <c r="I101" s="32" t="s">
        <v>152</v>
      </c>
    </row>
    <row r="102" spans="1:9" x14ac:dyDescent="0.35">
      <c r="A102" s="17">
        <v>45687</v>
      </c>
      <c r="B102" s="9">
        <v>2000000</v>
      </c>
      <c r="C102" s="32"/>
      <c r="D102" s="57"/>
      <c r="E102" s="43" t="s">
        <v>357</v>
      </c>
      <c r="F102" s="20">
        <f t="shared" si="1"/>
        <v>144038873</v>
      </c>
      <c r="G102" s="10" t="s">
        <v>171</v>
      </c>
      <c r="H102" s="59" t="s">
        <v>325</v>
      </c>
      <c r="I102" s="32" t="s">
        <v>152</v>
      </c>
    </row>
    <row r="103" spans="1:9" x14ac:dyDescent="0.35">
      <c r="A103" s="17">
        <v>45687</v>
      </c>
      <c r="B103" s="9">
        <v>6500</v>
      </c>
      <c r="C103" s="32"/>
      <c r="D103" s="57"/>
      <c r="E103" s="43" t="s">
        <v>357</v>
      </c>
      <c r="F103" s="20">
        <f t="shared" si="1"/>
        <v>144032373</v>
      </c>
      <c r="G103" s="10" t="s">
        <v>172</v>
      </c>
      <c r="H103" s="59" t="s">
        <v>325</v>
      </c>
      <c r="I103" s="32" t="s">
        <v>152</v>
      </c>
    </row>
    <row r="104" spans="1:9" x14ac:dyDescent="0.35">
      <c r="A104" s="17">
        <v>45687</v>
      </c>
      <c r="B104" s="9">
        <v>2500000</v>
      </c>
      <c r="C104" s="32"/>
      <c r="D104" s="57"/>
      <c r="E104" s="43" t="s">
        <v>357</v>
      </c>
      <c r="F104" s="20">
        <f t="shared" si="1"/>
        <v>141532373</v>
      </c>
      <c r="G104" s="10" t="s">
        <v>173</v>
      </c>
      <c r="H104" s="59" t="s">
        <v>325</v>
      </c>
      <c r="I104" s="32" t="s">
        <v>152</v>
      </c>
    </row>
    <row r="105" spans="1:9" x14ac:dyDescent="0.35">
      <c r="A105" s="17">
        <v>45687</v>
      </c>
      <c r="B105" s="9">
        <v>6500</v>
      </c>
      <c r="C105" s="32"/>
      <c r="D105" s="57"/>
      <c r="E105" s="43" t="s">
        <v>357</v>
      </c>
      <c r="F105" s="20">
        <f t="shared" si="1"/>
        <v>141525873</v>
      </c>
      <c r="G105" s="10" t="s">
        <v>174</v>
      </c>
      <c r="H105" s="59" t="s">
        <v>325</v>
      </c>
      <c r="I105" s="32" t="s">
        <v>152</v>
      </c>
    </row>
    <row r="106" spans="1:9" x14ac:dyDescent="0.35">
      <c r="A106" s="17">
        <v>45687</v>
      </c>
      <c r="B106" s="9">
        <f>2700000</f>
        <v>2700000</v>
      </c>
      <c r="C106" s="32"/>
      <c r="D106" s="57"/>
      <c r="E106" s="43" t="s">
        <v>357</v>
      </c>
      <c r="F106" s="20">
        <f t="shared" si="1"/>
        <v>138825873</v>
      </c>
      <c r="G106" s="10" t="s">
        <v>175</v>
      </c>
      <c r="H106" s="59" t="s">
        <v>201</v>
      </c>
      <c r="I106" s="32" t="s">
        <v>152</v>
      </c>
    </row>
    <row r="107" spans="1:9" x14ac:dyDescent="0.35">
      <c r="A107" s="17">
        <v>45687</v>
      </c>
      <c r="B107" s="9">
        <v>6500</v>
      </c>
      <c r="C107" s="32"/>
      <c r="D107" s="57"/>
      <c r="E107" s="43" t="s">
        <v>357</v>
      </c>
      <c r="F107" s="20">
        <f t="shared" si="1"/>
        <v>138819373</v>
      </c>
      <c r="G107" s="10" t="s">
        <v>176</v>
      </c>
      <c r="H107" s="59" t="s">
        <v>201</v>
      </c>
      <c r="I107" s="32" t="s">
        <v>152</v>
      </c>
    </row>
    <row r="108" spans="1:9" x14ac:dyDescent="0.35">
      <c r="A108" s="17">
        <v>45687</v>
      </c>
      <c r="B108" s="9">
        <v>2000000</v>
      </c>
      <c r="C108" s="32"/>
      <c r="D108" s="57"/>
      <c r="E108" s="43" t="s">
        <v>357</v>
      </c>
      <c r="F108" s="20">
        <f t="shared" si="1"/>
        <v>136819373</v>
      </c>
      <c r="G108" s="10" t="s">
        <v>180</v>
      </c>
      <c r="H108" s="59" t="s">
        <v>325</v>
      </c>
      <c r="I108" s="32" t="s">
        <v>152</v>
      </c>
    </row>
    <row r="109" spans="1:9" x14ac:dyDescent="0.35">
      <c r="A109" s="17">
        <v>45687</v>
      </c>
      <c r="B109" s="9">
        <v>6500</v>
      </c>
      <c r="C109" s="32"/>
      <c r="D109" s="57"/>
      <c r="E109" s="43" t="s">
        <v>357</v>
      </c>
      <c r="F109" s="20">
        <f t="shared" si="1"/>
        <v>136812873</v>
      </c>
      <c r="G109" s="10" t="s">
        <v>177</v>
      </c>
      <c r="H109" s="59" t="s">
        <v>325</v>
      </c>
      <c r="I109" s="32" t="s">
        <v>152</v>
      </c>
    </row>
    <row r="110" spans="1:9" x14ac:dyDescent="0.35">
      <c r="A110" s="17">
        <v>45687</v>
      </c>
      <c r="B110" s="9">
        <v>1500000</v>
      </c>
      <c r="C110" s="32"/>
      <c r="D110" s="57"/>
      <c r="E110" s="43" t="s">
        <v>357</v>
      </c>
      <c r="F110" s="20">
        <f t="shared" si="1"/>
        <v>135312873</v>
      </c>
      <c r="G110" s="10" t="s">
        <v>178</v>
      </c>
      <c r="H110" s="59" t="s">
        <v>325</v>
      </c>
      <c r="I110" s="32" t="s">
        <v>152</v>
      </c>
    </row>
    <row r="111" spans="1:9" x14ac:dyDescent="0.35">
      <c r="A111" s="17">
        <v>45687</v>
      </c>
      <c r="B111" s="9">
        <v>6500</v>
      </c>
      <c r="C111" s="32"/>
      <c r="D111" s="57"/>
      <c r="E111" s="43" t="s">
        <v>357</v>
      </c>
      <c r="F111" s="20">
        <f t="shared" si="1"/>
        <v>135306373</v>
      </c>
      <c r="G111" s="10" t="s">
        <v>179</v>
      </c>
      <c r="H111" s="59" t="s">
        <v>325</v>
      </c>
      <c r="I111" s="32" t="s">
        <v>152</v>
      </c>
    </row>
    <row r="112" spans="1:9" x14ac:dyDescent="0.35">
      <c r="A112" s="17">
        <v>45687</v>
      </c>
      <c r="B112" s="9">
        <v>2500000</v>
      </c>
      <c r="C112" s="32"/>
      <c r="D112" s="57"/>
      <c r="E112" s="43" t="s">
        <v>357</v>
      </c>
      <c r="F112" s="20">
        <f t="shared" si="1"/>
        <v>132806373</v>
      </c>
      <c r="G112" s="10" t="s">
        <v>181</v>
      </c>
      <c r="H112" s="59" t="s">
        <v>325</v>
      </c>
      <c r="I112" s="32" t="s">
        <v>152</v>
      </c>
    </row>
    <row r="113" spans="1:9" x14ac:dyDescent="0.35">
      <c r="A113" s="17">
        <v>45687</v>
      </c>
      <c r="B113" s="9"/>
      <c r="C113" s="32"/>
      <c r="D113" s="9">
        <v>6000000</v>
      </c>
      <c r="E113" s="43" t="s">
        <v>357</v>
      </c>
      <c r="F113" s="20">
        <f t="shared" si="1"/>
        <v>138806373</v>
      </c>
      <c r="G113" s="10" t="s">
        <v>260</v>
      </c>
      <c r="H113" s="59" t="s">
        <v>109</v>
      </c>
      <c r="I113" s="32" t="s">
        <v>152</v>
      </c>
    </row>
    <row r="114" spans="1:9" x14ac:dyDescent="0.35">
      <c r="A114" s="17">
        <v>45687</v>
      </c>
      <c r="B114" s="9"/>
      <c r="C114" s="32"/>
      <c r="D114" s="57">
        <v>10000</v>
      </c>
      <c r="E114" s="43" t="s">
        <v>357</v>
      </c>
      <c r="F114" s="20">
        <f t="shared" si="1"/>
        <v>138816373</v>
      </c>
      <c r="G114" s="10" t="s">
        <v>256</v>
      </c>
      <c r="H114" s="59" t="s">
        <v>109</v>
      </c>
      <c r="I114" s="32" t="s">
        <v>152</v>
      </c>
    </row>
    <row r="115" spans="1:9" x14ac:dyDescent="0.35">
      <c r="A115" s="17">
        <v>45687</v>
      </c>
      <c r="B115" s="9">
        <v>3000000</v>
      </c>
      <c r="C115" s="32"/>
      <c r="D115" s="57"/>
      <c r="E115" s="43" t="s">
        <v>357</v>
      </c>
      <c r="F115" s="20">
        <f t="shared" si="1"/>
        <v>135816373</v>
      </c>
      <c r="G115" s="10" t="s">
        <v>183</v>
      </c>
      <c r="H115" s="59" t="s">
        <v>203</v>
      </c>
      <c r="I115" s="32" t="s">
        <v>152</v>
      </c>
    </row>
    <row r="116" spans="1:9" x14ac:dyDescent="0.35">
      <c r="A116" s="17">
        <v>45687</v>
      </c>
      <c r="B116" s="9">
        <v>2000000</v>
      </c>
      <c r="C116" s="32"/>
      <c r="D116" s="57"/>
      <c r="E116" s="43" t="s">
        <v>357</v>
      </c>
      <c r="F116" s="20">
        <f t="shared" si="1"/>
        <v>133816373</v>
      </c>
      <c r="G116" s="10" t="s">
        <v>184</v>
      </c>
      <c r="H116" s="59" t="s">
        <v>323</v>
      </c>
      <c r="I116" s="32" t="s">
        <v>152</v>
      </c>
    </row>
    <row r="117" spans="1:9" x14ac:dyDescent="0.35">
      <c r="A117" s="17">
        <v>45687</v>
      </c>
      <c r="B117" s="9">
        <v>2500</v>
      </c>
      <c r="C117" s="32"/>
      <c r="D117" s="57"/>
      <c r="E117" s="43" t="s">
        <v>357</v>
      </c>
      <c r="F117" s="20">
        <f t="shared" si="1"/>
        <v>133813873</v>
      </c>
      <c r="G117" s="10" t="s">
        <v>185</v>
      </c>
      <c r="H117" s="59" t="s">
        <v>323</v>
      </c>
      <c r="I117" s="32" t="s">
        <v>152</v>
      </c>
    </row>
    <row r="118" spans="1:9" x14ac:dyDescent="0.35">
      <c r="A118" s="17">
        <v>45687</v>
      </c>
      <c r="B118" s="9"/>
      <c r="C118" s="32"/>
      <c r="D118" s="57">
        <v>1000</v>
      </c>
      <c r="E118" s="43" t="s">
        <v>357</v>
      </c>
      <c r="F118" s="20">
        <f t="shared" si="1"/>
        <v>133814873</v>
      </c>
      <c r="G118" s="10" t="s">
        <v>168</v>
      </c>
      <c r="H118" s="59" t="s">
        <v>139</v>
      </c>
      <c r="I118" s="32" t="s">
        <v>152</v>
      </c>
    </row>
    <row r="119" spans="1:9" x14ac:dyDescent="0.35">
      <c r="A119" s="17">
        <v>45687</v>
      </c>
      <c r="B119" s="9"/>
      <c r="C119" s="32"/>
      <c r="D119" s="57">
        <v>750000</v>
      </c>
      <c r="E119" s="43" t="s">
        <v>357</v>
      </c>
      <c r="F119" s="20">
        <f t="shared" si="1"/>
        <v>134564873</v>
      </c>
      <c r="G119" s="10" t="s">
        <v>261</v>
      </c>
      <c r="H119" s="59" t="s">
        <v>109</v>
      </c>
      <c r="I119" s="32" t="s">
        <v>152</v>
      </c>
    </row>
    <row r="120" spans="1:9" x14ac:dyDescent="0.35">
      <c r="A120" s="17">
        <v>45687</v>
      </c>
      <c r="B120" s="9"/>
      <c r="C120" s="32"/>
      <c r="D120" s="57">
        <v>10000</v>
      </c>
      <c r="E120" s="43" t="s">
        <v>357</v>
      </c>
      <c r="F120" s="20">
        <f t="shared" si="1"/>
        <v>134574873</v>
      </c>
      <c r="G120" s="10" t="s">
        <v>256</v>
      </c>
      <c r="H120" s="59" t="s">
        <v>109</v>
      </c>
      <c r="I120" s="32" t="s">
        <v>152</v>
      </c>
    </row>
    <row r="121" spans="1:9" x14ac:dyDescent="0.35">
      <c r="A121" s="17">
        <v>45687</v>
      </c>
      <c r="B121" s="9"/>
      <c r="C121" s="32"/>
      <c r="D121" s="57"/>
      <c r="E121" s="43" t="s">
        <v>357</v>
      </c>
      <c r="F121" s="20">
        <f t="shared" si="1"/>
        <v>134574873</v>
      </c>
      <c r="G121" s="10" t="s">
        <v>256</v>
      </c>
      <c r="H121" s="59" t="s">
        <v>109</v>
      </c>
      <c r="I121" s="32" t="s">
        <v>152</v>
      </c>
    </row>
    <row r="122" spans="1:9" x14ac:dyDescent="0.35">
      <c r="A122" s="17">
        <v>45687</v>
      </c>
      <c r="B122" s="9"/>
      <c r="C122" s="32"/>
      <c r="D122" s="57"/>
      <c r="E122" s="43" t="s">
        <v>357</v>
      </c>
      <c r="F122" s="20">
        <f t="shared" si="1"/>
        <v>134574873</v>
      </c>
      <c r="G122" s="10" t="s">
        <v>256</v>
      </c>
      <c r="H122" s="59" t="s">
        <v>109</v>
      </c>
      <c r="I122" s="32" t="s">
        <v>152</v>
      </c>
    </row>
    <row r="123" spans="1:9" x14ac:dyDescent="0.35">
      <c r="A123" s="17">
        <v>45687</v>
      </c>
      <c r="B123" s="32"/>
      <c r="C123" s="23"/>
      <c r="D123" s="23">
        <v>2643000</v>
      </c>
      <c r="E123" s="43" t="s">
        <v>357</v>
      </c>
      <c r="F123" s="20">
        <f t="shared" si="1"/>
        <v>137217873</v>
      </c>
      <c r="G123" s="24" t="s">
        <v>107</v>
      </c>
      <c r="H123" s="59" t="s">
        <v>107</v>
      </c>
      <c r="I123" s="32" t="s">
        <v>152</v>
      </c>
    </row>
    <row r="124" spans="1:9" x14ac:dyDescent="0.35">
      <c r="A124" s="17">
        <v>45687</v>
      </c>
      <c r="B124" s="32"/>
      <c r="C124" s="23"/>
      <c r="D124" s="23">
        <v>4823000</v>
      </c>
      <c r="E124" s="43" t="s">
        <v>357</v>
      </c>
      <c r="F124" s="20">
        <f t="shared" si="1"/>
        <v>142040873</v>
      </c>
      <c r="G124" s="24" t="s">
        <v>109</v>
      </c>
      <c r="H124" s="59" t="s">
        <v>109</v>
      </c>
      <c r="I124" s="32" t="s">
        <v>152</v>
      </c>
    </row>
    <row r="125" spans="1:9" x14ac:dyDescent="0.35">
      <c r="A125" s="17">
        <v>45687</v>
      </c>
      <c r="B125" s="27">
        <v>2000000</v>
      </c>
      <c r="C125" s="27"/>
      <c r="D125" s="20"/>
      <c r="E125" s="43" t="s">
        <v>357</v>
      </c>
      <c r="F125" s="20">
        <f t="shared" si="1"/>
        <v>140040873</v>
      </c>
      <c r="G125" s="28" t="s">
        <v>114</v>
      </c>
      <c r="H125" s="59" t="s">
        <v>320</v>
      </c>
      <c r="I125" s="32" t="s">
        <v>152</v>
      </c>
    </row>
    <row r="126" spans="1:9" x14ac:dyDescent="0.35">
      <c r="A126" s="17">
        <v>45687</v>
      </c>
      <c r="B126" s="27">
        <v>50000</v>
      </c>
      <c r="C126" s="27"/>
      <c r="D126" s="20"/>
      <c r="E126" s="43" t="s">
        <v>357</v>
      </c>
      <c r="F126" s="20">
        <f t="shared" si="1"/>
        <v>139990873</v>
      </c>
      <c r="G126" s="28" t="s">
        <v>115</v>
      </c>
      <c r="H126" s="59" t="s">
        <v>320</v>
      </c>
      <c r="I126" s="32" t="s">
        <v>152</v>
      </c>
    </row>
    <row r="127" spans="1:9" x14ac:dyDescent="0.35">
      <c r="A127" s="17"/>
      <c r="B127" s="32"/>
      <c r="C127" s="20">
        <v>5416000</v>
      </c>
      <c r="D127" s="20"/>
      <c r="E127" s="56"/>
      <c r="F127" s="20">
        <f t="shared" si="1"/>
        <v>139990873</v>
      </c>
      <c r="G127" s="10" t="s">
        <v>98</v>
      </c>
      <c r="H127" s="59"/>
      <c r="I127" s="32"/>
    </row>
    <row r="128" spans="1:9" x14ac:dyDescent="0.35">
      <c r="A128" s="17">
        <v>45687</v>
      </c>
      <c r="B128" s="9">
        <v>4613000</v>
      </c>
      <c r="C128" s="32"/>
      <c r="D128" s="57"/>
      <c r="E128" s="43" t="s">
        <v>357</v>
      </c>
      <c r="F128" s="20">
        <f t="shared" si="1"/>
        <v>135377873</v>
      </c>
      <c r="G128" s="10" t="s">
        <v>195</v>
      </c>
      <c r="H128" s="59" t="s">
        <v>203</v>
      </c>
      <c r="I128" s="32" t="s">
        <v>152</v>
      </c>
    </row>
    <row r="129" spans="1:9" x14ac:dyDescent="0.35">
      <c r="A129" s="17">
        <v>45687</v>
      </c>
      <c r="B129" s="9">
        <v>2500</v>
      </c>
      <c r="C129" s="32"/>
      <c r="D129" s="57"/>
      <c r="E129" s="43" t="s">
        <v>357</v>
      </c>
      <c r="F129" s="20">
        <f t="shared" si="1"/>
        <v>135375373</v>
      </c>
      <c r="G129" s="10" t="s">
        <v>194</v>
      </c>
      <c r="H129" s="59" t="s">
        <v>203</v>
      </c>
      <c r="I129" s="32" t="s">
        <v>152</v>
      </c>
    </row>
    <row r="130" spans="1:9" x14ac:dyDescent="0.35">
      <c r="A130" s="17">
        <v>45687</v>
      </c>
      <c r="B130" s="9">
        <v>4000000</v>
      </c>
      <c r="C130" s="32"/>
      <c r="D130" s="57"/>
      <c r="E130" s="43" t="s">
        <v>357</v>
      </c>
      <c r="F130" s="20">
        <f t="shared" si="1"/>
        <v>131375373</v>
      </c>
      <c r="G130" s="10" t="s">
        <v>196</v>
      </c>
      <c r="H130" s="59" t="s">
        <v>201</v>
      </c>
      <c r="I130" s="32" t="s">
        <v>152</v>
      </c>
    </row>
    <row r="131" spans="1:9" x14ac:dyDescent="0.35">
      <c r="A131" s="17">
        <v>45687</v>
      </c>
      <c r="B131" s="9">
        <v>2500</v>
      </c>
      <c r="C131" s="32"/>
      <c r="D131" s="57"/>
      <c r="E131" s="43" t="s">
        <v>357</v>
      </c>
      <c r="F131" s="20">
        <f t="shared" si="1"/>
        <v>131372873</v>
      </c>
      <c r="G131" s="10" t="s">
        <v>197</v>
      </c>
      <c r="H131" s="59" t="s">
        <v>201</v>
      </c>
      <c r="I131" s="32" t="s">
        <v>152</v>
      </c>
    </row>
    <row r="132" spans="1:9" x14ac:dyDescent="0.35">
      <c r="A132" s="17">
        <v>45687</v>
      </c>
      <c r="B132" s="155">
        <v>4950000</v>
      </c>
      <c r="C132" s="32"/>
      <c r="D132" s="156"/>
      <c r="E132" s="157" t="s">
        <v>357</v>
      </c>
      <c r="F132" s="38">
        <f t="shared" si="1"/>
        <v>126422873</v>
      </c>
      <c r="G132" s="10" t="s">
        <v>216</v>
      </c>
      <c r="H132" s="59" t="s">
        <v>322</v>
      </c>
      <c r="I132" s="32" t="s">
        <v>152</v>
      </c>
    </row>
    <row r="133" spans="1:9" x14ac:dyDescent="0.35">
      <c r="A133" s="17">
        <v>45688</v>
      </c>
      <c r="B133" s="9"/>
      <c r="C133" s="32"/>
      <c r="D133" s="57">
        <v>100000</v>
      </c>
      <c r="E133" s="43" t="s">
        <v>357</v>
      </c>
      <c r="F133" s="20">
        <f t="shared" si="1"/>
        <v>126522873</v>
      </c>
      <c r="G133" s="10" t="s">
        <v>219</v>
      </c>
      <c r="H133" s="59" t="s">
        <v>105</v>
      </c>
      <c r="I133" s="32" t="s">
        <v>152</v>
      </c>
    </row>
    <row r="134" spans="1:9" x14ac:dyDescent="0.35">
      <c r="A134" s="19">
        <v>45691</v>
      </c>
      <c r="B134" s="20">
        <v>1000000</v>
      </c>
      <c r="C134" s="32"/>
      <c r="D134" s="20"/>
      <c r="E134" s="56" t="s">
        <v>358</v>
      </c>
      <c r="F134" s="20">
        <f t="shared" si="1"/>
        <v>125522873</v>
      </c>
      <c r="G134" s="10" t="s">
        <v>230</v>
      </c>
      <c r="H134" s="59" t="s">
        <v>323</v>
      </c>
      <c r="I134" s="32" t="s">
        <v>152</v>
      </c>
    </row>
    <row r="135" spans="1:9" x14ac:dyDescent="0.35">
      <c r="A135" s="19">
        <v>45691</v>
      </c>
      <c r="B135" s="20">
        <v>2500</v>
      </c>
      <c r="C135" s="32"/>
      <c r="D135" s="20"/>
      <c r="E135" s="56" t="s">
        <v>358</v>
      </c>
      <c r="F135" s="20">
        <f t="shared" si="1"/>
        <v>125520373</v>
      </c>
      <c r="G135" s="10" t="s">
        <v>231</v>
      </c>
      <c r="H135" s="59" t="s">
        <v>323</v>
      </c>
      <c r="I135" s="32" t="s">
        <v>152</v>
      </c>
    </row>
    <row r="136" spans="1:9" x14ac:dyDescent="0.35">
      <c r="A136" s="19">
        <v>45691</v>
      </c>
      <c r="B136" s="20"/>
      <c r="C136" s="32"/>
      <c r="D136" s="20">
        <v>1000</v>
      </c>
      <c r="E136" s="56" t="s">
        <v>358</v>
      </c>
      <c r="F136" s="20">
        <f t="shared" si="1"/>
        <v>125521373</v>
      </c>
      <c r="G136" s="7" t="s">
        <v>252</v>
      </c>
      <c r="H136" s="59" t="s">
        <v>109</v>
      </c>
      <c r="I136" s="32" t="s">
        <v>152</v>
      </c>
    </row>
    <row r="137" spans="1:9" x14ac:dyDescent="0.35">
      <c r="A137" s="19">
        <v>45691</v>
      </c>
      <c r="B137" s="20"/>
      <c r="C137" s="32"/>
      <c r="D137" s="20">
        <v>75000</v>
      </c>
      <c r="E137" s="56" t="s">
        <v>358</v>
      </c>
      <c r="F137" s="20">
        <f t="shared" si="1"/>
        <v>125596373</v>
      </c>
      <c r="G137" s="7" t="s">
        <v>264</v>
      </c>
      <c r="H137" s="59" t="s">
        <v>109</v>
      </c>
      <c r="I137" s="32" t="s">
        <v>152</v>
      </c>
    </row>
    <row r="138" spans="1:9" x14ac:dyDescent="0.35">
      <c r="A138" s="19">
        <v>45691</v>
      </c>
      <c r="B138" s="20"/>
      <c r="C138" s="32"/>
      <c r="D138" s="20">
        <v>500000</v>
      </c>
      <c r="E138" s="56" t="s">
        <v>358</v>
      </c>
      <c r="F138" s="20">
        <f t="shared" ref="F138:F201" si="2">+F137+D138-B138</f>
        <v>126096373</v>
      </c>
      <c r="G138" s="7" t="s">
        <v>233</v>
      </c>
      <c r="H138" s="59" t="s">
        <v>109</v>
      </c>
      <c r="I138" s="32" t="s">
        <v>152</v>
      </c>
    </row>
    <row r="139" spans="1:9" x14ac:dyDescent="0.35">
      <c r="A139" s="19">
        <v>45691</v>
      </c>
      <c r="B139" s="20"/>
      <c r="C139" s="32"/>
      <c r="D139" s="20">
        <v>200000</v>
      </c>
      <c r="E139" s="56" t="s">
        <v>358</v>
      </c>
      <c r="F139" s="20">
        <f t="shared" si="2"/>
        <v>126296373</v>
      </c>
      <c r="G139" s="7" t="s">
        <v>232</v>
      </c>
      <c r="H139" s="59" t="s">
        <v>109</v>
      </c>
      <c r="I139" s="32" t="s">
        <v>152</v>
      </c>
    </row>
    <row r="140" spans="1:9" x14ac:dyDescent="0.35">
      <c r="A140" s="19">
        <v>45691</v>
      </c>
      <c r="B140" s="20"/>
      <c r="C140" s="32"/>
      <c r="D140" s="20">
        <v>15000</v>
      </c>
      <c r="E140" s="56" t="s">
        <v>358</v>
      </c>
      <c r="F140" s="20">
        <f t="shared" si="2"/>
        <v>126311373</v>
      </c>
      <c r="G140" s="7" t="s">
        <v>263</v>
      </c>
      <c r="H140" s="59" t="s">
        <v>109</v>
      </c>
      <c r="I140" s="32" t="s">
        <v>152</v>
      </c>
    </row>
    <row r="141" spans="1:9" x14ac:dyDescent="0.35">
      <c r="A141" s="19">
        <v>45691</v>
      </c>
      <c r="B141" s="20"/>
      <c r="C141" s="32"/>
      <c r="D141" s="20">
        <v>300000</v>
      </c>
      <c r="E141" s="56" t="s">
        <v>358</v>
      </c>
      <c r="F141" s="20">
        <f t="shared" si="2"/>
        <v>126611373</v>
      </c>
      <c r="G141" s="7" t="s">
        <v>243</v>
      </c>
      <c r="H141" s="59" t="s">
        <v>109</v>
      </c>
      <c r="I141" s="32" t="s">
        <v>152</v>
      </c>
    </row>
    <row r="142" spans="1:9" x14ac:dyDescent="0.35">
      <c r="A142" s="19">
        <v>45691</v>
      </c>
      <c r="B142" s="20"/>
      <c r="C142" s="32"/>
      <c r="D142" s="20">
        <v>200000</v>
      </c>
      <c r="E142" s="56" t="s">
        <v>358</v>
      </c>
      <c r="F142" s="20">
        <f t="shared" si="2"/>
        <v>126811373</v>
      </c>
      <c r="G142" s="7" t="s">
        <v>262</v>
      </c>
      <c r="H142" s="59" t="s">
        <v>109</v>
      </c>
      <c r="I142" s="32" t="s">
        <v>152</v>
      </c>
    </row>
    <row r="143" spans="1:9" x14ac:dyDescent="0.35">
      <c r="A143" s="19">
        <v>45691</v>
      </c>
      <c r="B143" s="20"/>
      <c r="C143" s="32"/>
      <c r="D143" s="20">
        <v>300000</v>
      </c>
      <c r="E143" s="56" t="s">
        <v>358</v>
      </c>
      <c r="F143" s="20">
        <f t="shared" si="2"/>
        <v>127111373</v>
      </c>
      <c r="G143" s="7" t="s">
        <v>234</v>
      </c>
      <c r="H143" s="59" t="s">
        <v>109</v>
      </c>
      <c r="I143" s="32" t="s">
        <v>152</v>
      </c>
    </row>
    <row r="144" spans="1:9" x14ac:dyDescent="0.35">
      <c r="A144" s="19">
        <v>45691</v>
      </c>
      <c r="B144" s="20">
        <v>750000</v>
      </c>
      <c r="C144" s="32"/>
      <c r="D144" s="20"/>
      <c r="E144" s="56" t="s">
        <v>358</v>
      </c>
      <c r="F144" s="20">
        <f t="shared" si="2"/>
        <v>126361373</v>
      </c>
      <c r="G144" s="10" t="s">
        <v>235</v>
      </c>
      <c r="H144" s="59" t="s">
        <v>323</v>
      </c>
      <c r="I144" s="32" t="s">
        <v>152</v>
      </c>
    </row>
    <row r="145" spans="1:9" x14ac:dyDescent="0.35">
      <c r="A145" s="19">
        <v>45691</v>
      </c>
      <c r="B145" s="20">
        <v>2500</v>
      </c>
      <c r="C145" s="32"/>
      <c r="D145" s="20"/>
      <c r="E145" s="56" t="s">
        <v>358</v>
      </c>
      <c r="F145" s="20">
        <f t="shared" si="2"/>
        <v>126358873</v>
      </c>
      <c r="G145" s="10" t="s">
        <v>236</v>
      </c>
      <c r="H145" s="59" t="s">
        <v>323</v>
      </c>
      <c r="I145" s="32" t="s">
        <v>152</v>
      </c>
    </row>
    <row r="146" spans="1:9" x14ac:dyDescent="0.35">
      <c r="A146" s="19">
        <v>45691</v>
      </c>
      <c r="B146" s="20"/>
      <c r="C146" s="32"/>
      <c r="D146" s="20">
        <v>500000</v>
      </c>
      <c r="E146" s="56" t="s">
        <v>358</v>
      </c>
      <c r="F146" s="20">
        <f t="shared" si="2"/>
        <v>126858873</v>
      </c>
      <c r="G146" s="7" t="s">
        <v>242</v>
      </c>
      <c r="H146" s="59" t="s">
        <v>109</v>
      </c>
      <c r="I146" s="32" t="s">
        <v>152</v>
      </c>
    </row>
    <row r="147" spans="1:9" x14ac:dyDescent="0.35">
      <c r="A147" s="19">
        <v>45691</v>
      </c>
      <c r="B147" s="20"/>
      <c r="C147" s="32"/>
      <c r="D147" s="20">
        <v>200000</v>
      </c>
      <c r="E147" s="56" t="s">
        <v>358</v>
      </c>
      <c r="F147" s="20">
        <f t="shared" si="2"/>
        <v>127058873</v>
      </c>
      <c r="G147" s="7" t="s">
        <v>237</v>
      </c>
      <c r="H147" s="59" t="s">
        <v>109</v>
      </c>
      <c r="I147" s="32" t="s">
        <v>152</v>
      </c>
    </row>
    <row r="148" spans="1:9" x14ac:dyDescent="0.35">
      <c r="A148" s="19">
        <v>45691</v>
      </c>
      <c r="B148" s="20"/>
      <c r="C148" s="32"/>
      <c r="D148" s="20">
        <v>400000</v>
      </c>
      <c r="E148" s="56" t="s">
        <v>358</v>
      </c>
      <c r="F148" s="20">
        <f t="shared" si="2"/>
        <v>127458873</v>
      </c>
      <c r="G148" s="7" t="s">
        <v>238</v>
      </c>
      <c r="H148" s="59" t="s">
        <v>109</v>
      </c>
      <c r="I148" s="32" t="s">
        <v>152</v>
      </c>
    </row>
    <row r="149" spans="1:9" x14ac:dyDescent="0.35">
      <c r="A149" s="19">
        <v>45691</v>
      </c>
      <c r="B149" s="20"/>
      <c r="C149" s="32"/>
      <c r="D149" s="20">
        <v>200000</v>
      </c>
      <c r="E149" s="56" t="s">
        <v>358</v>
      </c>
      <c r="F149" s="20">
        <f t="shared" si="2"/>
        <v>127658873</v>
      </c>
      <c r="G149" s="7" t="s">
        <v>232</v>
      </c>
      <c r="H149" s="59" t="s">
        <v>109</v>
      </c>
      <c r="I149" s="32" t="s">
        <v>152</v>
      </c>
    </row>
    <row r="150" spans="1:9" x14ac:dyDescent="0.35">
      <c r="A150" s="19">
        <v>45691</v>
      </c>
      <c r="B150" s="20"/>
      <c r="C150" s="32"/>
      <c r="D150" s="20">
        <v>500000</v>
      </c>
      <c r="E150" s="56" t="s">
        <v>358</v>
      </c>
      <c r="F150" s="20">
        <f t="shared" si="2"/>
        <v>128158873</v>
      </c>
      <c r="G150" s="7" t="s">
        <v>53</v>
      </c>
      <c r="H150" s="59" t="s">
        <v>109</v>
      </c>
      <c r="I150" s="32" t="s">
        <v>152</v>
      </c>
    </row>
    <row r="151" spans="1:9" x14ac:dyDescent="0.35">
      <c r="A151" s="19">
        <v>45691</v>
      </c>
      <c r="B151" s="20"/>
      <c r="C151" s="23"/>
      <c r="D151" s="23">
        <v>2412000</v>
      </c>
      <c r="E151" s="56" t="s">
        <v>358</v>
      </c>
      <c r="F151" s="20">
        <f t="shared" si="2"/>
        <v>130570873</v>
      </c>
      <c r="G151" s="24" t="s">
        <v>107</v>
      </c>
      <c r="H151" s="59" t="s">
        <v>107</v>
      </c>
      <c r="I151" s="32" t="s">
        <v>152</v>
      </c>
    </row>
    <row r="152" spans="1:9" x14ac:dyDescent="0.35">
      <c r="A152" s="19">
        <v>45691</v>
      </c>
      <c r="B152" s="20"/>
      <c r="C152" s="23"/>
      <c r="D152" s="23">
        <v>3924000</v>
      </c>
      <c r="E152" s="56" t="s">
        <v>358</v>
      </c>
      <c r="F152" s="20">
        <f t="shared" si="2"/>
        <v>134494873</v>
      </c>
      <c r="G152" s="24" t="s">
        <v>109</v>
      </c>
      <c r="H152" s="59" t="s">
        <v>109</v>
      </c>
      <c r="I152" s="32" t="s">
        <v>152</v>
      </c>
    </row>
    <row r="153" spans="1:9" x14ac:dyDescent="0.35">
      <c r="A153" s="19"/>
      <c r="B153" s="20"/>
      <c r="C153" s="23">
        <v>6336000</v>
      </c>
      <c r="D153" s="20"/>
      <c r="E153" s="56"/>
      <c r="F153" s="20">
        <f t="shared" si="2"/>
        <v>134494873</v>
      </c>
      <c r="G153" s="10" t="s">
        <v>98</v>
      </c>
      <c r="H153" s="59"/>
      <c r="I153" s="32"/>
    </row>
    <row r="154" spans="1:9" x14ac:dyDescent="0.35">
      <c r="A154" s="19">
        <v>45693</v>
      </c>
      <c r="B154" s="20"/>
      <c r="C154" s="32"/>
      <c r="D154" s="20">
        <v>1000000</v>
      </c>
      <c r="E154" s="56" t="s">
        <v>358</v>
      </c>
      <c r="F154" s="20">
        <f t="shared" si="2"/>
        <v>135494873</v>
      </c>
      <c r="G154" s="7" t="s">
        <v>241</v>
      </c>
      <c r="H154" s="59" t="s">
        <v>109</v>
      </c>
      <c r="I154" s="32" t="s">
        <v>152</v>
      </c>
    </row>
    <row r="155" spans="1:9" x14ac:dyDescent="0.35">
      <c r="A155" s="19">
        <v>45694</v>
      </c>
      <c r="B155" s="20"/>
      <c r="C155" s="32"/>
      <c r="D155" s="20">
        <v>200000</v>
      </c>
      <c r="E155" s="56" t="s">
        <v>358</v>
      </c>
      <c r="F155" s="20">
        <f t="shared" si="2"/>
        <v>135694873</v>
      </c>
      <c r="G155" s="7" t="s">
        <v>240</v>
      </c>
      <c r="H155" s="59" t="s">
        <v>109</v>
      </c>
      <c r="I155" s="32" t="s">
        <v>152</v>
      </c>
    </row>
    <row r="156" spans="1:9" x14ac:dyDescent="0.35">
      <c r="A156" s="19">
        <v>45694</v>
      </c>
      <c r="B156" s="20"/>
      <c r="C156" s="32"/>
      <c r="D156" s="20">
        <v>100000</v>
      </c>
      <c r="E156" s="56" t="s">
        <v>358</v>
      </c>
      <c r="F156" s="20">
        <f t="shared" si="2"/>
        <v>135794873</v>
      </c>
      <c r="G156" s="7" t="s">
        <v>239</v>
      </c>
      <c r="H156" s="59" t="s">
        <v>109</v>
      </c>
      <c r="I156" s="32" t="s">
        <v>152</v>
      </c>
    </row>
    <row r="157" spans="1:9" x14ac:dyDescent="0.35">
      <c r="A157" s="19">
        <v>45694</v>
      </c>
      <c r="B157" s="20">
        <v>2000000</v>
      </c>
      <c r="C157" s="20"/>
      <c r="D157" s="20"/>
      <c r="E157" s="56" t="s">
        <v>358</v>
      </c>
      <c r="F157" s="20">
        <f t="shared" si="2"/>
        <v>133794873</v>
      </c>
      <c r="G157" s="7" t="s">
        <v>269</v>
      </c>
      <c r="H157" s="59" t="s">
        <v>323</v>
      </c>
      <c r="I157" s="32" t="s">
        <v>152</v>
      </c>
    </row>
    <row r="158" spans="1:9" x14ac:dyDescent="0.35">
      <c r="A158" s="19">
        <v>45694</v>
      </c>
      <c r="B158" s="20">
        <v>2500</v>
      </c>
      <c r="C158" s="20"/>
      <c r="D158" s="20"/>
      <c r="E158" s="56" t="s">
        <v>358</v>
      </c>
      <c r="F158" s="20">
        <f t="shared" si="2"/>
        <v>133792373</v>
      </c>
      <c r="G158" s="7" t="s">
        <v>270</v>
      </c>
      <c r="H158" s="59" t="s">
        <v>323</v>
      </c>
      <c r="I158" s="32" t="s">
        <v>152</v>
      </c>
    </row>
    <row r="159" spans="1:9" x14ac:dyDescent="0.35">
      <c r="A159" s="19">
        <v>45695</v>
      </c>
      <c r="B159" s="20"/>
      <c r="C159" s="20"/>
      <c r="D159" s="20">
        <v>2000000</v>
      </c>
      <c r="E159" s="56" t="s">
        <v>358</v>
      </c>
      <c r="F159" s="20">
        <f t="shared" si="2"/>
        <v>135792373</v>
      </c>
      <c r="G159" s="7" t="s">
        <v>55</v>
      </c>
      <c r="H159" s="59" t="s">
        <v>109</v>
      </c>
      <c r="I159" s="32" t="s">
        <v>152</v>
      </c>
    </row>
    <row r="160" spans="1:9" x14ac:dyDescent="0.35">
      <c r="A160" s="19">
        <v>45695</v>
      </c>
      <c r="B160" s="20"/>
      <c r="C160" s="20"/>
      <c r="D160" s="20">
        <v>250000</v>
      </c>
      <c r="E160" s="56" t="s">
        <v>358</v>
      </c>
      <c r="F160" s="20">
        <f t="shared" si="2"/>
        <v>136042373</v>
      </c>
      <c r="G160" s="7" t="s">
        <v>271</v>
      </c>
      <c r="H160" s="59" t="s">
        <v>109</v>
      </c>
      <c r="I160" s="32" t="s">
        <v>152</v>
      </c>
    </row>
    <row r="161" spans="1:9" x14ac:dyDescent="0.35">
      <c r="A161" s="19">
        <v>45695</v>
      </c>
      <c r="B161" s="20"/>
      <c r="C161" s="20"/>
      <c r="D161" s="20">
        <v>66500</v>
      </c>
      <c r="E161" s="56" t="s">
        <v>358</v>
      </c>
      <c r="F161" s="20">
        <f t="shared" si="2"/>
        <v>136108873</v>
      </c>
      <c r="G161" s="7" t="s">
        <v>274</v>
      </c>
      <c r="H161" s="59" t="s">
        <v>109</v>
      </c>
      <c r="I161" s="32" t="s">
        <v>152</v>
      </c>
    </row>
    <row r="162" spans="1:9" x14ac:dyDescent="0.35">
      <c r="A162" s="19">
        <v>45696</v>
      </c>
      <c r="B162" s="20">
        <v>750000</v>
      </c>
      <c r="C162" s="20"/>
      <c r="D162" s="20"/>
      <c r="E162" s="56" t="s">
        <v>358</v>
      </c>
      <c r="F162" s="20">
        <f t="shared" si="2"/>
        <v>135358873</v>
      </c>
      <c r="G162" s="10" t="s">
        <v>93</v>
      </c>
      <c r="H162" s="59" t="s">
        <v>323</v>
      </c>
      <c r="I162" s="32" t="s">
        <v>152</v>
      </c>
    </row>
    <row r="163" spans="1:9" x14ac:dyDescent="0.35">
      <c r="A163" s="19">
        <v>45696</v>
      </c>
      <c r="B163" s="20">
        <v>2500</v>
      </c>
      <c r="C163" s="20"/>
      <c r="D163" s="20"/>
      <c r="E163" s="56" t="s">
        <v>358</v>
      </c>
      <c r="F163" s="20">
        <f t="shared" si="2"/>
        <v>135356373</v>
      </c>
      <c r="G163" s="10" t="s">
        <v>94</v>
      </c>
      <c r="H163" s="59" t="s">
        <v>323</v>
      </c>
      <c r="I163" s="32" t="s">
        <v>152</v>
      </c>
    </row>
    <row r="164" spans="1:9" x14ac:dyDescent="0.35">
      <c r="A164" s="19">
        <v>45696</v>
      </c>
      <c r="B164" s="20"/>
      <c r="C164" s="20"/>
      <c r="D164" s="20">
        <v>20000</v>
      </c>
      <c r="E164" s="56" t="s">
        <v>358</v>
      </c>
      <c r="F164" s="20">
        <f t="shared" si="2"/>
        <v>135376373</v>
      </c>
      <c r="G164" s="7" t="s">
        <v>252</v>
      </c>
      <c r="H164" s="59" t="s">
        <v>109</v>
      </c>
      <c r="I164" s="32" t="s">
        <v>152</v>
      </c>
    </row>
    <row r="165" spans="1:9" x14ac:dyDescent="0.35">
      <c r="A165" s="19">
        <v>45696</v>
      </c>
      <c r="B165" s="20"/>
      <c r="C165" s="20"/>
      <c r="D165" s="20">
        <v>75000</v>
      </c>
      <c r="E165" s="56" t="s">
        <v>358</v>
      </c>
      <c r="F165" s="20">
        <f t="shared" si="2"/>
        <v>135451373</v>
      </c>
      <c r="G165" s="7" t="s">
        <v>264</v>
      </c>
      <c r="H165" s="59" t="s">
        <v>109</v>
      </c>
      <c r="I165" s="32" t="s">
        <v>152</v>
      </c>
    </row>
    <row r="166" spans="1:9" x14ac:dyDescent="0.35">
      <c r="A166" s="19">
        <v>45696</v>
      </c>
      <c r="B166" s="20"/>
      <c r="C166" s="20"/>
      <c r="D166" s="20">
        <v>1500</v>
      </c>
      <c r="E166" s="56" t="s">
        <v>358</v>
      </c>
      <c r="F166" s="20">
        <f t="shared" si="2"/>
        <v>135452873</v>
      </c>
      <c r="G166" s="7" t="s">
        <v>251</v>
      </c>
      <c r="H166" s="59" t="s">
        <v>109</v>
      </c>
      <c r="I166" s="32" t="s">
        <v>152</v>
      </c>
    </row>
    <row r="167" spans="1:9" x14ac:dyDescent="0.35">
      <c r="A167" s="19">
        <v>45696</v>
      </c>
      <c r="B167" s="20"/>
      <c r="C167" s="20"/>
      <c r="D167" s="20">
        <v>1250000</v>
      </c>
      <c r="E167" s="56" t="s">
        <v>358</v>
      </c>
      <c r="F167" s="20">
        <f t="shared" si="2"/>
        <v>136702873</v>
      </c>
      <c r="G167" s="7" t="s">
        <v>275</v>
      </c>
      <c r="H167" s="59" t="s">
        <v>109</v>
      </c>
      <c r="I167" s="32" t="s">
        <v>152</v>
      </c>
    </row>
    <row r="168" spans="1:9" x14ac:dyDescent="0.35">
      <c r="A168" s="19">
        <v>45697</v>
      </c>
      <c r="B168" s="20">
        <v>750000</v>
      </c>
      <c r="C168" s="20"/>
      <c r="D168" s="20"/>
      <c r="E168" s="56" t="s">
        <v>358</v>
      </c>
      <c r="F168" s="20">
        <f t="shared" si="2"/>
        <v>135952873</v>
      </c>
      <c r="G168" s="10" t="s">
        <v>276</v>
      </c>
      <c r="H168" s="59" t="s">
        <v>323</v>
      </c>
      <c r="I168" s="32" t="s">
        <v>152</v>
      </c>
    </row>
    <row r="169" spans="1:9" x14ac:dyDescent="0.35">
      <c r="A169" s="19">
        <v>45697</v>
      </c>
      <c r="B169" s="20"/>
      <c r="C169" s="20"/>
      <c r="D169" s="20">
        <v>2000000</v>
      </c>
      <c r="E169" s="56" t="s">
        <v>358</v>
      </c>
      <c r="F169" s="20">
        <f t="shared" si="2"/>
        <v>137952873</v>
      </c>
      <c r="G169" s="7" t="s">
        <v>277</v>
      </c>
      <c r="H169" s="59" t="s">
        <v>109</v>
      </c>
      <c r="I169" s="32" t="s">
        <v>152</v>
      </c>
    </row>
    <row r="170" spans="1:9" x14ac:dyDescent="0.35">
      <c r="A170" s="19">
        <v>45698</v>
      </c>
      <c r="B170" s="20"/>
      <c r="C170" s="20"/>
      <c r="D170" s="20">
        <v>20000</v>
      </c>
      <c r="E170" s="56" t="s">
        <v>358</v>
      </c>
      <c r="F170" s="20">
        <f t="shared" si="2"/>
        <v>137972873</v>
      </c>
      <c r="G170" s="7" t="s">
        <v>279</v>
      </c>
      <c r="H170" s="59" t="s">
        <v>109</v>
      </c>
      <c r="I170" s="32" t="s">
        <v>152</v>
      </c>
    </row>
    <row r="171" spans="1:9" x14ac:dyDescent="0.35">
      <c r="A171" s="19">
        <v>45698</v>
      </c>
      <c r="B171" s="20"/>
      <c r="C171" s="23"/>
      <c r="D171" s="23">
        <v>3222000</v>
      </c>
      <c r="E171" s="56" t="s">
        <v>358</v>
      </c>
      <c r="F171" s="20">
        <f t="shared" si="2"/>
        <v>141194873</v>
      </c>
      <c r="G171" s="24" t="s">
        <v>107</v>
      </c>
      <c r="H171" s="59" t="s">
        <v>107</v>
      </c>
      <c r="I171" s="32" t="s">
        <v>152</v>
      </c>
    </row>
    <row r="172" spans="1:9" x14ac:dyDescent="0.35">
      <c r="A172" s="19">
        <v>45698</v>
      </c>
      <c r="B172" s="20"/>
      <c r="C172" s="23"/>
      <c r="D172" s="23">
        <v>4084000</v>
      </c>
      <c r="E172" s="56" t="s">
        <v>358</v>
      </c>
      <c r="F172" s="20">
        <f t="shared" si="2"/>
        <v>145278873</v>
      </c>
      <c r="G172" s="24" t="s">
        <v>109</v>
      </c>
      <c r="H172" s="59" t="s">
        <v>109</v>
      </c>
      <c r="I172" s="32" t="s">
        <v>152</v>
      </c>
    </row>
    <row r="173" spans="1:9" x14ac:dyDescent="0.35">
      <c r="A173" s="19"/>
      <c r="B173" s="20"/>
      <c r="C173" s="23">
        <v>7306000</v>
      </c>
      <c r="D173" s="20"/>
      <c r="E173" s="56"/>
      <c r="F173" s="20">
        <f t="shared" si="2"/>
        <v>145278873</v>
      </c>
      <c r="G173" s="7" t="s">
        <v>98</v>
      </c>
      <c r="H173" s="59"/>
      <c r="I173" s="32"/>
    </row>
    <row r="174" spans="1:9" x14ac:dyDescent="0.35">
      <c r="A174" s="19">
        <v>45698</v>
      </c>
      <c r="B174" s="20">
        <v>840000</v>
      </c>
      <c r="C174" s="20"/>
      <c r="D174" s="20"/>
      <c r="E174" s="56" t="s">
        <v>358</v>
      </c>
      <c r="F174" s="20">
        <f t="shared" si="2"/>
        <v>144438873</v>
      </c>
      <c r="G174" s="7" t="s">
        <v>272</v>
      </c>
      <c r="H174" s="59" t="s">
        <v>322</v>
      </c>
      <c r="I174" s="32" t="s">
        <v>152</v>
      </c>
    </row>
    <row r="175" spans="1:9" x14ac:dyDescent="0.35">
      <c r="A175" s="19">
        <v>45698</v>
      </c>
      <c r="B175" s="20">
        <v>2500</v>
      </c>
      <c r="C175" s="20"/>
      <c r="D175" s="20"/>
      <c r="E175" s="56" t="s">
        <v>358</v>
      </c>
      <c r="F175" s="20">
        <f t="shared" si="2"/>
        <v>144436373</v>
      </c>
      <c r="G175" s="7" t="s">
        <v>272</v>
      </c>
      <c r="H175" s="59" t="s">
        <v>322</v>
      </c>
      <c r="I175" s="32" t="s">
        <v>152</v>
      </c>
    </row>
    <row r="176" spans="1:9" x14ac:dyDescent="0.35">
      <c r="A176" s="19">
        <v>45699</v>
      </c>
      <c r="B176" s="20">
        <v>1000000</v>
      </c>
      <c r="C176" s="20"/>
      <c r="D176" s="20"/>
      <c r="E176" s="56" t="s">
        <v>358</v>
      </c>
      <c r="F176" s="20">
        <f t="shared" si="2"/>
        <v>143436373</v>
      </c>
      <c r="G176" s="7" t="s">
        <v>273</v>
      </c>
      <c r="H176" s="59" t="s">
        <v>322</v>
      </c>
      <c r="I176" s="32" t="s">
        <v>152</v>
      </c>
    </row>
    <row r="177" spans="1:9" x14ac:dyDescent="0.35">
      <c r="A177" s="19">
        <v>45699</v>
      </c>
      <c r="B177" s="20">
        <v>2500</v>
      </c>
      <c r="C177" s="20"/>
      <c r="D177" s="20"/>
      <c r="E177" s="56" t="s">
        <v>358</v>
      </c>
      <c r="F177" s="20">
        <f t="shared" si="2"/>
        <v>143433873</v>
      </c>
      <c r="G177" s="7" t="s">
        <v>273</v>
      </c>
      <c r="H177" s="59" t="s">
        <v>322</v>
      </c>
      <c r="I177" s="32" t="s">
        <v>152</v>
      </c>
    </row>
    <row r="178" spans="1:9" x14ac:dyDescent="0.35">
      <c r="A178" s="19">
        <v>45699</v>
      </c>
      <c r="B178" s="20"/>
      <c r="C178" s="20"/>
      <c r="D178" s="20">
        <v>1800000</v>
      </c>
      <c r="E178" s="56" t="s">
        <v>358</v>
      </c>
      <c r="F178" s="20">
        <f t="shared" si="2"/>
        <v>145233873</v>
      </c>
      <c r="G178" s="7" t="s">
        <v>278</v>
      </c>
      <c r="H178" s="59" t="s">
        <v>109</v>
      </c>
      <c r="I178" s="32" t="s">
        <v>152</v>
      </c>
    </row>
    <row r="179" spans="1:9" x14ac:dyDescent="0.35">
      <c r="A179" s="19">
        <v>45701</v>
      </c>
      <c r="B179" s="20"/>
      <c r="C179" s="20"/>
      <c r="D179" s="20">
        <v>10000</v>
      </c>
      <c r="E179" s="56" t="s">
        <v>358</v>
      </c>
      <c r="F179" s="20">
        <f t="shared" si="2"/>
        <v>145243873</v>
      </c>
      <c r="G179" s="7" t="s">
        <v>252</v>
      </c>
      <c r="H179" s="59" t="s">
        <v>109</v>
      </c>
      <c r="I179" s="32" t="s">
        <v>152</v>
      </c>
    </row>
    <row r="180" spans="1:9" x14ac:dyDescent="0.35">
      <c r="A180" s="19">
        <v>45702</v>
      </c>
      <c r="B180" s="20"/>
      <c r="C180" s="20"/>
      <c r="D180" s="9">
        <v>20000</v>
      </c>
      <c r="E180" s="56" t="s">
        <v>358</v>
      </c>
      <c r="F180" s="20">
        <f t="shared" si="2"/>
        <v>145263873</v>
      </c>
      <c r="G180" s="7" t="s">
        <v>282</v>
      </c>
      <c r="H180" s="59" t="s">
        <v>109</v>
      </c>
      <c r="I180" s="32" t="s">
        <v>152</v>
      </c>
    </row>
    <row r="181" spans="1:9" x14ac:dyDescent="0.35">
      <c r="A181" s="19">
        <v>45702</v>
      </c>
      <c r="B181" s="20"/>
      <c r="C181" s="20"/>
      <c r="D181" s="9">
        <v>10000</v>
      </c>
      <c r="E181" s="56" t="s">
        <v>358</v>
      </c>
      <c r="F181" s="20">
        <f t="shared" si="2"/>
        <v>145273873</v>
      </c>
      <c r="G181" s="7" t="s">
        <v>282</v>
      </c>
      <c r="H181" s="59" t="s">
        <v>109</v>
      </c>
      <c r="I181" s="32" t="s">
        <v>152</v>
      </c>
    </row>
    <row r="182" spans="1:9" x14ac:dyDescent="0.35">
      <c r="A182" s="19">
        <v>45702</v>
      </c>
      <c r="B182" s="20"/>
      <c r="C182" s="20"/>
      <c r="D182" s="9">
        <v>25000</v>
      </c>
      <c r="E182" s="56" t="s">
        <v>358</v>
      </c>
      <c r="F182" s="20">
        <f t="shared" si="2"/>
        <v>145298873</v>
      </c>
      <c r="G182" s="7" t="s">
        <v>282</v>
      </c>
      <c r="H182" s="59" t="s">
        <v>109</v>
      </c>
      <c r="I182" s="32" t="s">
        <v>152</v>
      </c>
    </row>
    <row r="183" spans="1:9" x14ac:dyDescent="0.35">
      <c r="A183" s="19">
        <v>45702</v>
      </c>
      <c r="B183" s="20"/>
      <c r="C183" s="20"/>
      <c r="D183" s="9">
        <v>400000</v>
      </c>
      <c r="E183" s="56" t="s">
        <v>358</v>
      </c>
      <c r="F183" s="20">
        <f t="shared" si="2"/>
        <v>145698873</v>
      </c>
      <c r="G183" s="7" t="s">
        <v>290</v>
      </c>
      <c r="H183" s="59" t="s">
        <v>140</v>
      </c>
      <c r="I183" s="32" t="s">
        <v>152</v>
      </c>
    </row>
    <row r="184" spans="1:9" x14ac:dyDescent="0.35">
      <c r="A184" s="19">
        <v>45705</v>
      </c>
      <c r="B184" s="20"/>
      <c r="C184" s="20"/>
      <c r="D184" s="9">
        <v>100000</v>
      </c>
      <c r="E184" s="56" t="s">
        <v>358</v>
      </c>
      <c r="F184" s="20">
        <f t="shared" si="2"/>
        <v>145798873</v>
      </c>
      <c r="G184" s="7" t="s">
        <v>282</v>
      </c>
      <c r="H184" s="59" t="s">
        <v>109</v>
      </c>
      <c r="I184" s="32" t="s">
        <v>152</v>
      </c>
    </row>
    <row r="185" spans="1:9" x14ac:dyDescent="0.35">
      <c r="A185" s="19">
        <v>45705</v>
      </c>
      <c r="B185" s="20"/>
      <c r="C185" s="20"/>
      <c r="D185" s="9">
        <v>10000</v>
      </c>
      <c r="E185" s="56" t="s">
        <v>358</v>
      </c>
      <c r="F185" s="20">
        <f t="shared" si="2"/>
        <v>145808873</v>
      </c>
      <c r="G185" s="7" t="s">
        <v>282</v>
      </c>
      <c r="H185" s="59" t="s">
        <v>109</v>
      </c>
      <c r="I185" s="32" t="s">
        <v>152</v>
      </c>
    </row>
    <row r="186" spans="1:9" x14ac:dyDescent="0.35">
      <c r="A186" s="19">
        <v>45705</v>
      </c>
      <c r="B186" s="20"/>
      <c r="C186" s="20"/>
      <c r="D186" s="9">
        <v>1700</v>
      </c>
      <c r="E186" s="56" t="s">
        <v>358</v>
      </c>
      <c r="F186" s="20">
        <f t="shared" si="2"/>
        <v>145810573</v>
      </c>
      <c r="G186" s="7" t="s">
        <v>282</v>
      </c>
      <c r="H186" s="59" t="s">
        <v>109</v>
      </c>
      <c r="I186" s="32" t="s">
        <v>152</v>
      </c>
    </row>
    <row r="187" spans="1:9" x14ac:dyDescent="0.35">
      <c r="A187" s="19">
        <v>45705</v>
      </c>
      <c r="B187" s="20">
        <v>750000</v>
      </c>
      <c r="C187" s="20"/>
      <c r="D187" s="9"/>
      <c r="E187" s="56" t="s">
        <v>358</v>
      </c>
      <c r="F187" s="20">
        <f t="shared" si="2"/>
        <v>145060573</v>
      </c>
      <c r="G187" s="7" t="s">
        <v>283</v>
      </c>
      <c r="H187" s="59" t="s">
        <v>323</v>
      </c>
      <c r="I187" s="32" t="s">
        <v>152</v>
      </c>
    </row>
    <row r="188" spans="1:9" x14ac:dyDescent="0.35">
      <c r="A188" s="19">
        <v>45705</v>
      </c>
      <c r="B188" s="20">
        <v>2500</v>
      </c>
      <c r="C188" s="20"/>
      <c r="D188" s="9"/>
      <c r="E188" s="56" t="s">
        <v>358</v>
      </c>
      <c r="F188" s="20">
        <f t="shared" si="2"/>
        <v>145058073</v>
      </c>
      <c r="G188" s="7" t="s">
        <v>284</v>
      </c>
      <c r="H188" s="59" t="s">
        <v>323</v>
      </c>
      <c r="I188" s="32" t="s">
        <v>152</v>
      </c>
    </row>
    <row r="189" spans="1:9" x14ac:dyDescent="0.35">
      <c r="A189" s="19">
        <v>45705</v>
      </c>
      <c r="B189" s="20">
        <v>750000</v>
      </c>
      <c r="C189" s="20"/>
      <c r="D189" s="9"/>
      <c r="E189" s="56" t="s">
        <v>358</v>
      </c>
      <c r="F189" s="20">
        <f t="shared" si="2"/>
        <v>144308073</v>
      </c>
      <c r="G189" s="7" t="s">
        <v>285</v>
      </c>
      <c r="H189" s="59" t="s">
        <v>323</v>
      </c>
      <c r="I189" s="32" t="s">
        <v>152</v>
      </c>
    </row>
    <row r="190" spans="1:9" x14ac:dyDescent="0.35">
      <c r="A190" s="19">
        <v>45705</v>
      </c>
      <c r="B190" s="20">
        <v>2500</v>
      </c>
      <c r="C190" s="20"/>
      <c r="D190" s="9"/>
      <c r="E190" s="56" t="s">
        <v>358</v>
      </c>
      <c r="F190" s="20">
        <f t="shared" si="2"/>
        <v>144305573</v>
      </c>
      <c r="G190" s="7" t="s">
        <v>284</v>
      </c>
      <c r="H190" s="59" t="s">
        <v>323</v>
      </c>
      <c r="I190" s="32" t="s">
        <v>152</v>
      </c>
    </row>
    <row r="191" spans="1:9" x14ac:dyDescent="0.35">
      <c r="A191" s="19">
        <v>45705</v>
      </c>
      <c r="B191" s="20"/>
      <c r="C191" s="20"/>
      <c r="D191" s="9">
        <v>10000</v>
      </c>
      <c r="E191" s="56" t="s">
        <v>358</v>
      </c>
      <c r="F191" s="20">
        <f t="shared" si="2"/>
        <v>144315573</v>
      </c>
      <c r="G191" s="7" t="s">
        <v>282</v>
      </c>
      <c r="H191" s="59" t="s">
        <v>109</v>
      </c>
      <c r="I191" s="32" t="s">
        <v>152</v>
      </c>
    </row>
    <row r="192" spans="1:9" x14ac:dyDescent="0.35">
      <c r="A192" s="19">
        <v>45705</v>
      </c>
      <c r="B192" s="20"/>
      <c r="C192" s="20"/>
      <c r="D192" s="9">
        <v>1550000</v>
      </c>
      <c r="E192" s="56" t="s">
        <v>358</v>
      </c>
      <c r="F192" s="20">
        <f t="shared" si="2"/>
        <v>145865573</v>
      </c>
      <c r="G192" s="7" t="s">
        <v>293</v>
      </c>
      <c r="H192" s="59" t="s">
        <v>109</v>
      </c>
      <c r="I192" s="32" t="s">
        <v>152</v>
      </c>
    </row>
    <row r="193" spans="1:9" x14ac:dyDescent="0.35">
      <c r="A193" s="19">
        <v>45705</v>
      </c>
      <c r="B193" s="20"/>
      <c r="C193" s="20"/>
      <c r="D193" s="9">
        <v>10000</v>
      </c>
      <c r="E193" s="56" t="s">
        <v>358</v>
      </c>
      <c r="F193" s="20">
        <f t="shared" si="2"/>
        <v>145875573</v>
      </c>
      <c r="G193" s="7" t="s">
        <v>282</v>
      </c>
      <c r="H193" s="59" t="s">
        <v>109</v>
      </c>
      <c r="I193" s="32" t="s">
        <v>152</v>
      </c>
    </row>
    <row r="194" spans="1:9" x14ac:dyDescent="0.35">
      <c r="A194" s="19">
        <v>45706</v>
      </c>
      <c r="B194" s="20"/>
      <c r="C194" s="20"/>
      <c r="D194" s="23">
        <v>3264000</v>
      </c>
      <c r="E194" s="56" t="s">
        <v>358</v>
      </c>
      <c r="F194" s="20">
        <f t="shared" si="2"/>
        <v>149139573</v>
      </c>
      <c r="G194" s="24" t="s">
        <v>107</v>
      </c>
      <c r="H194" s="59" t="s">
        <v>107</v>
      </c>
      <c r="I194" s="32" t="s">
        <v>152</v>
      </c>
    </row>
    <row r="195" spans="1:9" x14ac:dyDescent="0.35">
      <c r="A195" s="19">
        <v>45706</v>
      </c>
      <c r="B195" s="20"/>
      <c r="C195" s="20"/>
      <c r="D195" s="23">
        <v>3961000</v>
      </c>
      <c r="E195" s="56" t="s">
        <v>358</v>
      </c>
      <c r="F195" s="20">
        <f t="shared" si="2"/>
        <v>153100573</v>
      </c>
      <c r="G195" s="24" t="s">
        <v>109</v>
      </c>
      <c r="H195" s="59" t="s">
        <v>109</v>
      </c>
      <c r="I195" s="32" t="s">
        <v>152</v>
      </c>
    </row>
    <row r="196" spans="1:9" x14ac:dyDescent="0.35">
      <c r="A196" s="19">
        <v>45706</v>
      </c>
      <c r="B196" s="23">
        <v>2000000</v>
      </c>
      <c r="C196" s="20"/>
      <c r="D196" s="9"/>
      <c r="E196" s="56" t="s">
        <v>358</v>
      </c>
      <c r="F196" s="20">
        <f t="shared" si="2"/>
        <v>151100573</v>
      </c>
      <c r="G196" s="24" t="s">
        <v>110</v>
      </c>
      <c r="H196" s="59" t="s">
        <v>320</v>
      </c>
      <c r="I196" s="32" t="s">
        <v>152</v>
      </c>
    </row>
    <row r="197" spans="1:9" x14ac:dyDescent="0.35">
      <c r="A197" s="19"/>
      <c r="B197" s="20"/>
      <c r="C197" s="9">
        <v>5225000</v>
      </c>
      <c r="D197" s="9"/>
      <c r="E197" s="56"/>
      <c r="F197" s="20">
        <f t="shared" si="2"/>
        <v>151100573</v>
      </c>
      <c r="G197" s="7" t="s">
        <v>98</v>
      </c>
      <c r="H197" s="59"/>
      <c r="I197" s="32"/>
    </row>
    <row r="198" spans="1:9" x14ac:dyDescent="0.35">
      <c r="A198" s="19">
        <v>45706</v>
      </c>
      <c r="B198" s="20">
        <v>625000</v>
      </c>
      <c r="C198" s="20"/>
      <c r="D198" s="9"/>
      <c r="E198" s="56" t="s">
        <v>358</v>
      </c>
      <c r="F198" s="20">
        <f t="shared" si="2"/>
        <v>150475573</v>
      </c>
      <c r="G198" s="7" t="s">
        <v>286</v>
      </c>
      <c r="H198" s="59" t="s">
        <v>320</v>
      </c>
      <c r="I198" s="32" t="s">
        <v>152</v>
      </c>
    </row>
    <row r="199" spans="1:9" x14ac:dyDescent="0.35">
      <c r="A199" s="19">
        <v>45706</v>
      </c>
      <c r="B199" s="20">
        <v>2500</v>
      </c>
      <c r="C199" s="20"/>
      <c r="D199" s="9"/>
      <c r="E199" s="56" t="s">
        <v>358</v>
      </c>
      <c r="F199" s="20">
        <f t="shared" si="2"/>
        <v>150473073</v>
      </c>
      <c r="G199" s="7" t="s">
        <v>287</v>
      </c>
      <c r="H199" s="59" t="s">
        <v>320</v>
      </c>
      <c r="I199" s="32" t="s">
        <v>152</v>
      </c>
    </row>
    <row r="200" spans="1:9" x14ac:dyDescent="0.35">
      <c r="A200" s="19">
        <v>45706</v>
      </c>
      <c r="B200" s="20"/>
      <c r="C200" s="20"/>
      <c r="D200" s="9">
        <v>150000</v>
      </c>
      <c r="E200" s="56" t="s">
        <v>358</v>
      </c>
      <c r="F200" s="20">
        <f t="shared" si="2"/>
        <v>150623073</v>
      </c>
      <c r="G200" s="7" t="s">
        <v>291</v>
      </c>
      <c r="H200" s="59" t="s">
        <v>109</v>
      </c>
      <c r="I200" s="32" t="s">
        <v>152</v>
      </c>
    </row>
    <row r="201" spans="1:9" x14ac:dyDescent="0.35">
      <c r="A201" s="19">
        <v>45707</v>
      </c>
      <c r="B201" s="20"/>
      <c r="C201" s="20"/>
      <c r="D201" s="9">
        <v>20000</v>
      </c>
      <c r="E201" s="56" t="s">
        <v>358</v>
      </c>
      <c r="F201" s="20">
        <f t="shared" si="2"/>
        <v>150643073</v>
      </c>
      <c r="G201" s="7" t="s">
        <v>282</v>
      </c>
      <c r="H201" s="59" t="s">
        <v>109</v>
      </c>
      <c r="I201" s="32" t="s">
        <v>152</v>
      </c>
    </row>
    <row r="202" spans="1:9" x14ac:dyDescent="0.35">
      <c r="A202" s="19">
        <v>45707</v>
      </c>
      <c r="B202" s="20"/>
      <c r="C202" s="20"/>
      <c r="D202" s="9">
        <v>1000000</v>
      </c>
      <c r="E202" s="56" t="s">
        <v>358</v>
      </c>
      <c r="F202" s="20">
        <f t="shared" ref="F202:F265" si="3">+F201+D202-B202</f>
        <v>151643073</v>
      </c>
      <c r="G202" s="7" t="s">
        <v>292</v>
      </c>
      <c r="H202" s="59" t="s">
        <v>109</v>
      </c>
      <c r="I202" s="32" t="s">
        <v>152</v>
      </c>
    </row>
    <row r="203" spans="1:9" x14ac:dyDescent="0.35">
      <c r="A203" s="19">
        <v>45707</v>
      </c>
      <c r="B203" s="20"/>
      <c r="C203" s="20"/>
      <c r="D203" s="9">
        <v>400000</v>
      </c>
      <c r="E203" s="56" t="s">
        <v>358</v>
      </c>
      <c r="F203" s="20">
        <f t="shared" si="3"/>
        <v>152043073</v>
      </c>
      <c r="G203" s="7" t="s">
        <v>288</v>
      </c>
      <c r="H203" s="59" t="s">
        <v>140</v>
      </c>
      <c r="I203" s="32" t="s">
        <v>152</v>
      </c>
    </row>
    <row r="204" spans="1:9" x14ac:dyDescent="0.35">
      <c r="A204" s="19">
        <v>45708</v>
      </c>
      <c r="B204" s="20"/>
      <c r="C204" s="20"/>
      <c r="D204" s="9">
        <v>20000</v>
      </c>
      <c r="E204" s="56" t="s">
        <v>358</v>
      </c>
      <c r="F204" s="20">
        <f t="shared" si="3"/>
        <v>152063073</v>
      </c>
      <c r="G204" s="7" t="s">
        <v>282</v>
      </c>
      <c r="H204" s="59" t="s">
        <v>109</v>
      </c>
      <c r="I204" s="32" t="s">
        <v>152</v>
      </c>
    </row>
    <row r="205" spans="1:9" x14ac:dyDescent="0.35">
      <c r="A205" s="19"/>
      <c r="B205" s="20"/>
      <c r="C205" s="23">
        <v>2650000</v>
      </c>
      <c r="D205" s="9"/>
      <c r="E205" s="56"/>
      <c r="F205" s="20">
        <f t="shared" si="3"/>
        <v>152063073</v>
      </c>
      <c r="G205" s="7" t="s">
        <v>294</v>
      </c>
      <c r="H205" s="59"/>
      <c r="I205" s="32"/>
    </row>
    <row r="206" spans="1:9" x14ac:dyDescent="0.35">
      <c r="A206" s="19"/>
      <c r="B206" s="20"/>
      <c r="C206" s="27">
        <v>-265000</v>
      </c>
      <c r="D206" s="9"/>
      <c r="E206" s="56"/>
      <c r="F206" s="20">
        <f t="shared" si="3"/>
        <v>152063073</v>
      </c>
      <c r="G206" s="7" t="s">
        <v>295</v>
      </c>
      <c r="H206" s="59"/>
      <c r="I206" s="32"/>
    </row>
    <row r="207" spans="1:9" x14ac:dyDescent="0.35">
      <c r="A207" s="19">
        <v>45708</v>
      </c>
      <c r="B207" s="20"/>
      <c r="C207" s="20"/>
      <c r="D207" s="9">
        <v>2385000</v>
      </c>
      <c r="E207" s="56" t="s">
        <v>358</v>
      </c>
      <c r="F207" s="20">
        <f t="shared" si="3"/>
        <v>154448073</v>
      </c>
      <c r="G207" s="7" t="s">
        <v>289</v>
      </c>
      <c r="H207" s="59" t="s">
        <v>109</v>
      </c>
      <c r="I207" s="32" t="s">
        <v>152</v>
      </c>
    </row>
    <row r="208" spans="1:9" x14ac:dyDescent="0.35">
      <c r="A208" s="19">
        <v>45709</v>
      </c>
      <c r="B208" s="20"/>
      <c r="C208" s="20"/>
      <c r="D208" s="9">
        <v>100000</v>
      </c>
      <c r="E208" s="56" t="s">
        <v>358</v>
      </c>
      <c r="F208" s="20">
        <f t="shared" si="3"/>
        <v>154548073</v>
      </c>
      <c r="G208" s="7" t="s">
        <v>255</v>
      </c>
      <c r="H208" s="59" t="s">
        <v>109</v>
      </c>
      <c r="I208" s="32" t="s">
        <v>152</v>
      </c>
    </row>
    <row r="209" spans="1:9" x14ac:dyDescent="0.35">
      <c r="A209" s="19">
        <v>45712</v>
      </c>
      <c r="B209" s="20">
        <v>750000</v>
      </c>
      <c r="C209" s="20"/>
      <c r="D209" s="9"/>
      <c r="E209" s="56" t="s">
        <v>358</v>
      </c>
      <c r="F209" s="20">
        <f t="shared" si="3"/>
        <v>153798073</v>
      </c>
      <c r="G209" s="7" t="s">
        <v>160</v>
      </c>
      <c r="H209" s="59" t="s">
        <v>323</v>
      </c>
      <c r="I209" s="32" t="s">
        <v>152</v>
      </c>
    </row>
    <row r="210" spans="1:9" x14ac:dyDescent="0.35">
      <c r="A210" s="19">
        <v>45712</v>
      </c>
      <c r="B210" s="20">
        <v>2500</v>
      </c>
      <c r="C210" s="20"/>
      <c r="D210" s="9"/>
      <c r="E210" s="56" t="s">
        <v>358</v>
      </c>
      <c r="F210" s="20">
        <f t="shared" si="3"/>
        <v>153795573</v>
      </c>
      <c r="G210" s="7" t="s">
        <v>161</v>
      </c>
      <c r="H210" s="59" t="s">
        <v>323</v>
      </c>
      <c r="I210" s="32" t="s">
        <v>152</v>
      </c>
    </row>
    <row r="211" spans="1:9" x14ac:dyDescent="0.35">
      <c r="A211" s="19">
        <v>45712</v>
      </c>
      <c r="B211" s="20"/>
      <c r="C211" s="20"/>
      <c r="D211" s="9">
        <v>50000</v>
      </c>
      <c r="E211" s="56" t="s">
        <v>358</v>
      </c>
      <c r="F211" s="20">
        <f t="shared" si="3"/>
        <v>153845573</v>
      </c>
      <c r="G211" s="7" t="s">
        <v>282</v>
      </c>
      <c r="H211" s="59" t="s">
        <v>109</v>
      </c>
      <c r="I211" s="32" t="s">
        <v>152</v>
      </c>
    </row>
    <row r="212" spans="1:9" x14ac:dyDescent="0.35">
      <c r="A212" s="19">
        <v>45712</v>
      </c>
      <c r="B212" s="20"/>
      <c r="C212" s="20"/>
      <c r="D212" s="9">
        <v>20000</v>
      </c>
      <c r="E212" s="56" t="s">
        <v>358</v>
      </c>
      <c r="F212" s="20">
        <f t="shared" si="3"/>
        <v>153865573</v>
      </c>
      <c r="G212" s="7" t="s">
        <v>282</v>
      </c>
      <c r="H212" s="59" t="s">
        <v>109</v>
      </c>
      <c r="I212" s="32" t="s">
        <v>152</v>
      </c>
    </row>
    <row r="213" spans="1:9" x14ac:dyDescent="0.35">
      <c r="A213" s="19">
        <v>45712</v>
      </c>
      <c r="B213" s="20"/>
      <c r="C213" s="20"/>
      <c r="D213" s="9">
        <v>150000</v>
      </c>
      <c r="E213" s="56" t="s">
        <v>358</v>
      </c>
      <c r="F213" s="20">
        <f t="shared" si="3"/>
        <v>154015573</v>
      </c>
      <c r="G213" s="7" t="s">
        <v>282</v>
      </c>
      <c r="H213" s="59" t="s">
        <v>109</v>
      </c>
      <c r="I213" s="32" t="s">
        <v>152</v>
      </c>
    </row>
    <row r="214" spans="1:9" x14ac:dyDescent="0.35">
      <c r="A214" s="19">
        <v>45712</v>
      </c>
      <c r="B214" s="20"/>
      <c r="C214" s="20"/>
      <c r="D214" s="9">
        <v>1904</v>
      </c>
      <c r="E214" s="56" t="s">
        <v>358</v>
      </c>
      <c r="F214" s="20">
        <f t="shared" si="3"/>
        <v>154017477</v>
      </c>
      <c r="G214" s="7" t="s">
        <v>282</v>
      </c>
      <c r="H214" s="59" t="s">
        <v>109</v>
      </c>
      <c r="I214" s="32" t="s">
        <v>152</v>
      </c>
    </row>
    <row r="215" spans="1:9" x14ac:dyDescent="0.35">
      <c r="A215" s="19">
        <v>45712</v>
      </c>
      <c r="B215" s="20">
        <v>1000000</v>
      </c>
      <c r="C215" s="20"/>
      <c r="D215" s="9"/>
      <c r="E215" s="56" t="s">
        <v>358</v>
      </c>
      <c r="F215" s="20">
        <f t="shared" si="3"/>
        <v>153017477</v>
      </c>
      <c r="G215" s="7" t="s">
        <v>165</v>
      </c>
      <c r="H215" s="59" t="s">
        <v>323</v>
      </c>
      <c r="I215" s="32" t="s">
        <v>152</v>
      </c>
    </row>
    <row r="216" spans="1:9" x14ac:dyDescent="0.35">
      <c r="A216" s="19">
        <v>45712</v>
      </c>
      <c r="B216" s="20">
        <v>2500</v>
      </c>
      <c r="C216" s="20"/>
      <c r="D216" s="9"/>
      <c r="E216" s="56" t="s">
        <v>358</v>
      </c>
      <c r="F216" s="20">
        <f t="shared" si="3"/>
        <v>153014977</v>
      </c>
      <c r="G216" s="7" t="s">
        <v>166</v>
      </c>
      <c r="H216" s="59" t="s">
        <v>323</v>
      </c>
      <c r="I216" s="32" t="s">
        <v>152</v>
      </c>
    </row>
    <row r="217" spans="1:9" x14ac:dyDescent="0.35">
      <c r="A217" s="19">
        <v>45712</v>
      </c>
      <c r="B217" s="20">
        <v>1500000</v>
      </c>
      <c r="C217" s="20"/>
      <c r="D217" s="9"/>
      <c r="E217" s="56" t="s">
        <v>358</v>
      </c>
      <c r="F217" s="20">
        <f t="shared" si="3"/>
        <v>151514977</v>
      </c>
      <c r="G217" s="7" t="s">
        <v>303</v>
      </c>
      <c r="H217" s="59" t="s">
        <v>323</v>
      </c>
      <c r="I217" s="32" t="s">
        <v>152</v>
      </c>
    </row>
    <row r="218" spans="1:9" x14ac:dyDescent="0.35">
      <c r="A218" s="19">
        <v>45712</v>
      </c>
      <c r="B218" s="20">
        <v>6500</v>
      </c>
      <c r="C218" s="20"/>
      <c r="D218" s="9"/>
      <c r="E218" s="56" t="s">
        <v>358</v>
      </c>
      <c r="F218" s="20">
        <f t="shared" si="3"/>
        <v>151508477</v>
      </c>
      <c r="G218" s="7" t="s">
        <v>304</v>
      </c>
      <c r="H218" s="59" t="s">
        <v>323</v>
      </c>
      <c r="I218" s="32" t="s">
        <v>152</v>
      </c>
    </row>
    <row r="219" spans="1:9" x14ac:dyDescent="0.35">
      <c r="A219" s="19">
        <v>45712</v>
      </c>
      <c r="B219" s="20"/>
      <c r="C219" s="20"/>
      <c r="D219" s="9">
        <v>5000</v>
      </c>
      <c r="E219" s="56" t="s">
        <v>358</v>
      </c>
      <c r="F219" s="20">
        <f t="shared" si="3"/>
        <v>151513477</v>
      </c>
      <c r="G219" s="7" t="s">
        <v>282</v>
      </c>
      <c r="H219" s="59" t="s">
        <v>109</v>
      </c>
      <c r="I219" s="32" t="s">
        <v>152</v>
      </c>
    </row>
    <row r="220" spans="1:9" x14ac:dyDescent="0.35">
      <c r="A220" s="19">
        <v>45712</v>
      </c>
      <c r="B220" s="20"/>
      <c r="C220" s="20"/>
      <c r="D220" s="9">
        <v>1000</v>
      </c>
      <c r="E220" s="56" t="s">
        <v>358</v>
      </c>
      <c r="F220" s="20">
        <f t="shared" si="3"/>
        <v>151514477</v>
      </c>
      <c r="G220" s="7" t="s">
        <v>282</v>
      </c>
      <c r="H220" s="59" t="s">
        <v>109</v>
      </c>
      <c r="I220" s="32" t="s">
        <v>152</v>
      </c>
    </row>
    <row r="221" spans="1:9" x14ac:dyDescent="0.35">
      <c r="A221" s="19">
        <v>45712</v>
      </c>
      <c r="B221" s="20"/>
      <c r="C221" s="20"/>
      <c r="D221" s="23">
        <v>2641000</v>
      </c>
      <c r="E221" s="56" t="s">
        <v>358</v>
      </c>
      <c r="F221" s="20">
        <f t="shared" si="3"/>
        <v>154155477</v>
      </c>
      <c r="G221" s="24" t="s">
        <v>107</v>
      </c>
      <c r="H221" s="59" t="s">
        <v>107</v>
      </c>
      <c r="I221" s="32" t="s">
        <v>152</v>
      </c>
    </row>
    <row r="222" spans="1:9" x14ac:dyDescent="0.35">
      <c r="A222" s="19">
        <v>45712</v>
      </c>
      <c r="B222" s="20"/>
      <c r="C222" s="20"/>
      <c r="D222" s="23">
        <v>3441000</v>
      </c>
      <c r="E222" s="56" t="s">
        <v>358</v>
      </c>
      <c r="F222" s="20">
        <f t="shared" si="3"/>
        <v>157596477</v>
      </c>
      <c r="G222" s="24" t="s">
        <v>109</v>
      </c>
      <c r="H222" s="59" t="s">
        <v>109</v>
      </c>
      <c r="I222" s="32" t="s">
        <v>152</v>
      </c>
    </row>
    <row r="223" spans="1:9" x14ac:dyDescent="0.35">
      <c r="A223" s="19">
        <v>45712</v>
      </c>
      <c r="B223" s="23">
        <v>1000000</v>
      </c>
      <c r="C223" s="20"/>
      <c r="D223" s="23"/>
      <c r="E223" s="56" t="s">
        <v>358</v>
      </c>
      <c r="F223" s="20">
        <f t="shared" si="3"/>
        <v>156596477</v>
      </c>
      <c r="G223" s="24" t="s">
        <v>110</v>
      </c>
      <c r="H223" s="59" t="s">
        <v>320</v>
      </c>
      <c r="I223" s="32" t="s">
        <v>152</v>
      </c>
    </row>
    <row r="224" spans="1:9" x14ac:dyDescent="0.35">
      <c r="A224" s="19">
        <v>45712</v>
      </c>
      <c r="B224" s="23">
        <v>62000</v>
      </c>
      <c r="C224" s="20"/>
      <c r="D224" s="9"/>
      <c r="E224" s="56" t="s">
        <v>358</v>
      </c>
      <c r="F224" s="20">
        <f t="shared" si="3"/>
        <v>156534477</v>
      </c>
      <c r="G224" s="24" t="s">
        <v>115</v>
      </c>
      <c r="H224" s="59" t="s">
        <v>320</v>
      </c>
      <c r="I224" s="32" t="s">
        <v>152</v>
      </c>
    </row>
    <row r="225" spans="1:9" x14ac:dyDescent="0.35">
      <c r="A225" s="19"/>
      <c r="B225" s="20"/>
      <c r="C225" s="95">
        <v>5020000</v>
      </c>
      <c r="D225" s="9"/>
      <c r="E225" s="56"/>
      <c r="F225" s="20">
        <f t="shared" si="3"/>
        <v>156534477</v>
      </c>
      <c r="G225" s="7" t="s">
        <v>305</v>
      </c>
      <c r="H225" s="59"/>
      <c r="I225" s="32"/>
    </row>
    <row r="226" spans="1:9" x14ac:dyDescent="0.35">
      <c r="A226" s="19">
        <v>45713</v>
      </c>
      <c r="B226" s="20"/>
      <c r="C226" s="20"/>
      <c r="D226" s="9">
        <v>50000</v>
      </c>
      <c r="E226" s="56" t="s">
        <v>358</v>
      </c>
      <c r="F226" s="20">
        <f t="shared" si="3"/>
        <v>156584477</v>
      </c>
      <c r="G226" s="7" t="s">
        <v>282</v>
      </c>
      <c r="H226" s="59" t="s">
        <v>109</v>
      </c>
      <c r="I226" s="32" t="s">
        <v>152</v>
      </c>
    </row>
    <row r="227" spans="1:9" x14ac:dyDescent="0.35">
      <c r="A227" s="19">
        <v>45713</v>
      </c>
      <c r="B227" s="20"/>
      <c r="C227" s="20"/>
      <c r="D227" s="9">
        <v>10000</v>
      </c>
      <c r="E227" s="56" t="s">
        <v>358</v>
      </c>
      <c r="F227" s="20">
        <f t="shared" si="3"/>
        <v>156594477</v>
      </c>
      <c r="G227" s="7" t="s">
        <v>282</v>
      </c>
      <c r="H227" s="59" t="s">
        <v>109</v>
      </c>
      <c r="I227" s="32" t="s">
        <v>152</v>
      </c>
    </row>
    <row r="228" spans="1:9" x14ac:dyDescent="0.35">
      <c r="A228" s="19">
        <v>45713</v>
      </c>
      <c r="B228" s="20"/>
      <c r="C228" s="20"/>
      <c r="D228" s="9">
        <v>200000</v>
      </c>
      <c r="E228" s="56" t="s">
        <v>358</v>
      </c>
      <c r="F228" s="20">
        <f t="shared" si="3"/>
        <v>156794477</v>
      </c>
      <c r="G228" s="7" t="s">
        <v>306</v>
      </c>
      <c r="H228" s="59" t="s">
        <v>109</v>
      </c>
      <c r="I228" s="32" t="s">
        <v>152</v>
      </c>
    </row>
    <row r="229" spans="1:9" x14ac:dyDescent="0.35">
      <c r="A229" s="19">
        <v>45713</v>
      </c>
      <c r="B229" s="20">
        <v>15000</v>
      </c>
      <c r="C229" s="20"/>
      <c r="D229" s="9"/>
      <c r="E229" s="56" t="s">
        <v>358</v>
      </c>
      <c r="F229" s="20">
        <f t="shared" si="3"/>
        <v>156779477</v>
      </c>
      <c r="G229" s="7" t="s">
        <v>307</v>
      </c>
      <c r="H229" s="59" t="s">
        <v>320</v>
      </c>
      <c r="I229" s="32" t="s">
        <v>152</v>
      </c>
    </row>
    <row r="230" spans="1:9" x14ac:dyDescent="0.35">
      <c r="A230" s="19">
        <v>45713</v>
      </c>
      <c r="B230" s="20">
        <v>2500</v>
      </c>
      <c r="C230" s="20"/>
      <c r="D230" s="9"/>
      <c r="E230" s="56" t="s">
        <v>358</v>
      </c>
      <c r="F230" s="20">
        <f t="shared" si="3"/>
        <v>156776977</v>
      </c>
      <c r="G230" s="7" t="s">
        <v>308</v>
      </c>
      <c r="H230" s="59" t="s">
        <v>320</v>
      </c>
      <c r="I230" s="32" t="s">
        <v>152</v>
      </c>
    </row>
    <row r="231" spans="1:9" x14ac:dyDescent="0.35">
      <c r="A231" s="19">
        <v>45714</v>
      </c>
      <c r="B231" s="20"/>
      <c r="C231" s="20"/>
      <c r="D231" s="9">
        <v>10000</v>
      </c>
      <c r="E231" s="56" t="s">
        <v>358</v>
      </c>
      <c r="F231" s="20">
        <f t="shared" si="3"/>
        <v>156786977</v>
      </c>
      <c r="G231" s="7" t="s">
        <v>282</v>
      </c>
      <c r="H231" s="59" t="s">
        <v>109</v>
      </c>
      <c r="I231" s="32" t="s">
        <v>152</v>
      </c>
    </row>
    <row r="232" spans="1:9" x14ac:dyDescent="0.35">
      <c r="A232" s="19">
        <v>45715</v>
      </c>
      <c r="B232" s="20"/>
      <c r="C232" s="20"/>
      <c r="D232" s="9">
        <v>10000</v>
      </c>
      <c r="E232" s="56" t="s">
        <v>358</v>
      </c>
      <c r="F232" s="20">
        <f t="shared" si="3"/>
        <v>156796977</v>
      </c>
      <c r="G232" s="7" t="s">
        <v>282</v>
      </c>
      <c r="H232" s="59" t="s">
        <v>109</v>
      </c>
      <c r="I232" s="32" t="s">
        <v>152</v>
      </c>
    </row>
    <row r="233" spans="1:9" x14ac:dyDescent="0.35">
      <c r="A233" s="19">
        <v>45715</v>
      </c>
      <c r="B233" s="20"/>
      <c r="C233" s="20"/>
      <c r="D233" s="9">
        <v>20000</v>
      </c>
      <c r="E233" s="56" t="s">
        <v>358</v>
      </c>
      <c r="F233" s="20">
        <f t="shared" si="3"/>
        <v>156816977</v>
      </c>
      <c r="G233" s="7" t="s">
        <v>282</v>
      </c>
      <c r="H233" s="59" t="s">
        <v>109</v>
      </c>
      <c r="I233" s="32" t="s">
        <v>152</v>
      </c>
    </row>
    <row r="234" spans="1:9" x14ac:dyDescent="0.35">
      <c r="A234" s="19">
        <v>45715</v>
      </c>
      <c r="B234" s="20"/>
      <c r="C234" s="20"/>
      <c r="D234" s="9">
        <v>10000</v>
      </c>
      <c r="E234" s="56" t="s">
        <v>358</v>
      </c>
      <c r="F234" s="20">
        <f t="shared" si="3"/>
        <v>156826977</v>
      </c>
      <c r="G234" s="7" t="s">
        <v>282</v>
      </c>
      <c r="H234" s="59" t="s">
        <v>109</v>
      </c>
      <c r="I234" s="32" t="s">
        <v>152</v>
      </c>
    </row>
    <row r="235" spans="1:9" x14ac:dyDescent="0.35">
      <c r="A235" s="19">
        <v>45715</v>
      </c>
      <c r="B235" s="20"/>
      <c r="C235" s="20"/>
      <c r="D235" s="20">
        <v>1000000</v>
      </c>
      <c r="E235" s="56" t="s">
        <v>358</v>
      </c>
      <c r="F235" s="20">
        <f t="shared" si="3"/>
        <v>157826977</v>
      </c>
      <c r="G235" s="7" t="s">
        <v>314</v>
      </c>
      <c r="H235" s="59" t="s">
        <v>109</v>
      </c>
      <c r="I235" s="32" t="s">
        <v>152</v>
      </c>
    </row>
    <row r="236" spans="1:9" x14ac:dyDescent="0.35">
      <c r="A236" s="19">
        <v>45715</v>
      </c>
      <c r="B236" s="20">
        <v>2000000</v>
      </c>
      <c r="C236" s="20"/>
      <c r="D236" s="20"/>
      <c r="E236" s="56" t="s">
        <v>358</v>
      </c>
      <c r="F236" s="20">
        <f t="shared" si="3"/>
        <v>155826977</v>
      </c>
      <c r="G236" s="7" t="s">
        <v>171</v>
      </c>
      <c r="H236" s="59" t="s">
        <v>325</v>
      </c>
      <c r="I236" s="32" t="s">
        <v>152</v>
      </c>
    </row>
    <row r="237" spans="1:9" x14ac:dyDescent="0.35">
      <c r="A237" s="19">
        <v>45715</v>
      </c>
      <c r="B237" s="20">
        <v>6500</v>
      </c>
      <c r="C237" s="20"/>
      <c r="D237" s="20"/>
      <c r="E237" s="56" t="s">
        <v>358</v>
      </c>
      <c r="F237" s="20">
        <f t="shared" si="3"/>
        <v>155820477</v>
      </c>
      <c r="G237" s="7" t="s">
        <v>171</v>
      </c>
      <c r="H237" s="59" t="s">
        <v>325</v>
      </c>
      <c r="I237" s="32" t="s">
        <v>152</v>
      </c>
    </row>
    <row r="238" spans="1:9" x14ac:dyDescent="0.35">
      <c r="A238" s="19">
        <v>45715</v>
      </c>
      <c r="B238" s="20">
        <v>2000000</v>
      </c>
      <c r="C238" s="20"/>
      <c r="D238" s="20"/>
      <c r="E238" s="56" t="s">
        <v>358</v>
      </c>
      <c r="F238" s="20">
        <f t="shared" si="3"/>
        <v>153820477</v>
      </c>
      <c r="G238" s="7" t="s">
        <v>180</v>
      </c>
      <c r="H238" s="59" t="s">
        <v>325</v>
      </c>
      <c r="I238" s="32" t="s">
        <v>152</v>
      </c>
    </row>
    <row r="239" spans="1:9" x14ac:dyDescent="0.35">
      <c r="A239" s="19">
        <v>45715</v>
      </c>
      <c r="B239" s="20">
        <v>6500</v>
      </c>
      <c r="C239" s="20"/>
      <c r="D239" s="20"/>
      <c r="E239" s="56" t="s">
        <v>358</v>
      </c>
      <c r="F239" s="20">
        <f t="shared" si="3"/>
        <v>153813977</v>
      </c>
      <c r="G239" s="7" t="s">
        <v>180</v>
      </c>
      <c r="H239" s="59" t="s">
        <v>325</v>
      </c>
      <c r="I239" s="32" t="s">
        <v>152</v>
      </c>
    </row>
    <row r="240" spans="1:9" x14ac:dyDescent="0.35">
      <c r="A240" s="19">
        <v>45715</v>
      </c>
      <c r="B240" s="20">
        <v>2500000</v>
      </c>
      <c r="C240" s="20"/>
      <c r="D240" s="20"/>
      <c r="E240" s="56" t="s">
        <v>358</v>
      </c>
      <c r="F240" s="20">
        <f t="shared" si="3"/>
        <v>151313977</v>
      </c>
      <c r="G240" s="7" t="s">
        <v>315</v>
      </c>
      <c r="H240" s="59" t="s">
        <v>325</v>
      </c>
      <c r="I240" s="32" t="s">
        <v>152</v>
      </c>
    </row>
    <row r="241" spans="1:9" x14ac:dyDescent="0.35">
      <c r="A241" s="19">
        <v>45715</v>
      </c>
      <c r="B241" s="20">
        <v>6500</v>
      </c>
      <c r="C241" s="20"/>
      <c r="D241" s="20"/>
      <c r="E241" s="56" t="s">
        <v>358</v>
      </c>
      <c r="F241" s="20">
        <f t="shared" si="3"/>
        <v>151307477</v>
      </c>
      <c r="G241" s="7" t="s">
        <v>315</v>
      </c>
      <c r="H241" s="59" t="s">
        <v>325</v>
      </c>
      <c r="I241" s="32" t="s">
        <v>152</v>
      </c>
    </row>
    <row r="242" spans="1:9" x14ac:dyDescent="0.35">
      <c r="A242" s="19">
        <v>45715</v>
      </c>
      <c r="B242" s="20">
        <v>3250000</v>
      </c>
      <c r="C242" s="20"/>
      <c r="D242" s="20"/>
      <c r="E242" s="56" t="s">
        <v>358</v>
      </c>
      <c r="F242" s="20">
        <f t="shared" si="3"/>
        <v>148057477</v>
      </c>
      <c r="G242" s="7" t="s">
        <v>169</v>
      </c>
      <c r="H242" s="59" t="s">
        <v>325</v>
      </c>
      <c r="I242" s="32" t="s">
        <v>152</v>
      </c>
    </row>
    <row r="243" spans="1:9" x14ac:dyDescent="0.35">
      <c r="A243" s="19">
        <v>45715</v>
      </c>
      <c r="B243" s="20">
        <v>6500</v>
      </c>
      <c r="C243" s="20"/>
      <c r="D243" s="20"/>
      <c r="E243" s="56" t="s">
        <v>358</v>
      </c>
      <c r="F243" s="20">
        <f t="shared" si="3"/>
        <v>148050977</v>
      </c>
      <c r="G243" s="7" t="s">
        <v>169</v>
      </c>
      <c r="H243" s="59" t="s">
        <v>325</v>
      </c>
      <c r="I243" s="32" t="s">
        <v>152</v>
      </c>
    </row>
    <row r="244" spans="1:9" x14ac:dyDescent="0.35">
      <c r="A244" s="19">
        <v>45715</v>
      </c>
      <c r="B244" s="20">
        <v>2700000</v>
      </c>
      <c r="C244" s="20"/>
      <c r="D244" s="20"/>
      <c r="E244" s="56" t="s">
        <v>358</v>
      </c>
      <c r="F244" s="20">
        <f t="shared" si="3"/>
        <v>145350977</v>
      </c>
      <c r="G244" s="7" t="s">
        <v>175</v>
      </c>
      <c r="H244" s="59" t="s">
        <v>201</v>
      </c>
      <c r="I244" s="32" t="s">
        <v>152</v>
      </c>
    </row>
    <row r="245" spans="1:9" x14ac:dyDescent="0.35">
      <c r="A245" s="19">
        <v>45715</v>
      </c>
      <c r="B245" s="20">
        <v>6500</v>
      </c>
      <c r="C245" s="20"/>
      <c r="D245" s="20"/>
      <c r="E245" s="56" t="s">
        <v>358</v>
      </c>
      <c r="F245" s="20">
        <f t="shared" si="3"/>
        <v>145344477</v>
      </c>
      <c r="G245" s="7" t="s">
        <v>175</v>
      </c>
      <c r="H245" s="59" t="s">
        <v>201</v>
      </c>
      <c r="I245" s="32" t="s">
        <v>152</v>
      </c>
    </row>
    <row r="246" spans="1:9" x14ac:dyDescent="0.35">
      <c r="A246" s="19">
        <v>45715</v>
      </c>
      <c r="B246" s="20">
        <v>1500000</v>
      </c>
      <c r="C246" s="20"/>
      <c r="D246" s="20"/>
      <c r="E246" s="56" t="s">
        <v>358</v>
      </c>
      <c r="F246" s="20">
        <f t="shared" si="3"/>
        <v>143844477</v>
      </c>
      <c r="G246" s="7" t="s">
        <v>178</v>
      </c>
      <c r="H246" s="59" t="s">
        <v>325</v>
      </c>
      <c r="I246" s="32" t="s">
        <v>152</v>
      </c>
    </row>
    <row r="247" spans="1:9" x14ac:dyDescent="0.35">
      <c r="A247" s="19">
        <v>45715</v>
      </c>
      <c r="B247" s="20">
        <v>6500</v>
      </c>
      <c r="C247" s="20"/>
      <c r="D247" s="20"/>
      <c r="E247" s="56" t="s">
        <v>358</v>
      </c>
      <c r="F247" s="20">
        <f t="shared" si="3"/>
        <v>143837977</v>
      </c>
      <c r="G247" s="7" t="s">
        <v>178</v>
      </c>
      <c r="H247" s="59" t="s">
        <v>325</v>
      </c>
      <c r="I247" s="32" t="s">
        <v>152</v>
      </c>
    </row>
    <row r="248" spans="1:9" x14ac:dyDescent="0.35">
      <c r="A248" s="19">
        <v>45715</v>
      </c>
      <c r="B248" s="20">
        <v>2500000</v>
      </c>
      <c r="C248" s="20"/>
      <c r="D248" s="20"/>
      <c r="E248" s="56" t="s">
        <v>358</v>
      </c>
      <c r="F248" s="20">
        <f t="shared" si="3"/>
        <v>141337977</v>
      </c>
      <c r="G248" s="7" t="s">
        <v>181</v>
      </c>
      <c r="H248" s="59" t="s">
        <v>325</v>
      </c>
      <c r="I248" s="32" t="s">
        <v>152</v>
      </c>
    </row>
    <row r="249" spans="1:9" x14ac:dyDescent="0.35">
      <c r="A249" s="19">
        <v>45715</v>
      </c>
      <c r="B249" s="20"/>
      <c r="C249" s="20"/>
      <c r="D249" s="20">
        <v>1250000</v>
      </c>
      <c r="E249" s="56" t="s">
        <v>358</v>
      </c>
      <c r="F249" s="20">
        <f t="shared" si="3"/>
        <v>142587977</v>
      </c>
      <c r="G249" s="7" t="s">
        <v>316</v>
      </c>
      <c r="H249" s="59" t="s">
        <v>109</v>
      </c>
      <c r="I249" s="32" t="s">
        <v>152</v>
      </c>
    </row>
    <row r="250" spans="1:9" x14ac:dyDescent="0.35">
      <c r="A250" s="19">
        <v>45716</v>
      </c>
      <c r="B250" s="20"/>
      <c r="C250" s="20"/>
      <c r="D250" s="20">
        <v>10000</v>
      </c>
      <c r="E250" s="56" t="s">
        <v>358</v>
      </c>
      <c r="F250" s="20">
        <f t="shared" si="3"/>
        <v>142597977</v>
      </c>
      <c r="G250" s="7" t="s">
        <v>282</v>
      </c>
      <c r="H250" s="59" t="s">
        <v>109</v>
      </c>
      <c r="I250" s="32" t="s">
        <v>152</v>
      </c>
    </row>
    <row r="251" spans="1:9" x14ac:dyDescent="0.35">
      <c r="A251" s="19">
        <v>45716</v>
      </c>
      <c r="B251" s="20"/>
      <c r="C251" s="20"/>
      <c r="D251" s="20">
        <v>50000</v>
      </c>
      <c r="E251" s="56" t="s">
        <v>358</v>
      </c>
      <c r="F251" s="20">
        <f t="shared" si="3"/>
        <v>142647977</v>
      </c>
      <c r="G251" s="7" t="s">
        <v>282</v>
      </c>
      <c r="H251" s="59" t="s">
        <v>109</v>
      </c>
      <c r="I251" s="32" t="s">
        <v>152</v>
      </c>
    </row>
    <row r="252" spans="1:9" x14ac:dyDescent="0.35">
      <c r="A252" s="19">
        <v>45716</v>
      </c>
      <c r="B252" s="20">
        <v>4000000</v>
      </c>
      <c r="C252" s="20"/>
      <c r="D252" s="20"/>
      <c r="E252" s="56" t="s">
        <v>358</v>
      </c>
      <c r="F252" s="20">
        <f t="shared" si="3"/>
        <v>138647977</v>
      </c>
      <c r="G252" s="7" t="s">
        <v>317</v>
      </c>
      <c r="H252" s="59" t="s">
        <v>201</v>
      </c>
      <c r="I252" s="32" t="s">
        <v>152</v>
      </c>
    </row>
    <row r="253" spans="1:9" x14ac:dyDescent="0.35">
      <c r="A253" s="19">
        <v>45716</v>
      </c>
      <c r="B253" s="20">
        <v>2500</v>
      </c>
      <c r="C253" s="20"/>
      <c r="D253" s="20"/>
      <c r="E253" s="56" t="s">
        <v>358</v>
      </c>
      <c r="F253" s="20">
        <f t="shared" si="3"/>
        <v>138645477</v>
      </c>
      <c r="G253" s="7" t="s">
        <v>318</v>
      </c>
      <c r="H253" s="59" t="s">
        <v>201</v>
      </c>
      <c r="I253" s="32" t="s">
        <v>152</v>
      </c>
    </row>
    <row r="254" spans="1:9" x14ac:dyDescent="0.35">
      <c r="A254" s="19">
        <v>45716</v>
      </c>
      <c r="B254" s="20">
        <v>7000</v>
      </c>
      <c r="C254" s="20"/>
      <c r="D254" s="20"/>
      <c r="E254" s="56" t="s">
        <v>358</v>
      </c>
      <c r="F254" s="20">
        <f t="shared" si="3"/>
        <v>138638477</v>
      </c>
      <c r="G254" s="7" t="s">
        <v>319</v>
      </c>
      <c r="H254" s="59" t="s">
        <v>320</v>
      </c>
      <c r="I254" s="32" t="s">
        <v>152</v>
      </c>
    </row>
    <row r="255" spans="1:9" x14ac:dyDescent="0.35">
      <c r="A255" s="19">
        <v>45719</v>
      </c>
      <c r="B255" s="20"/>
      <c r="C255" s="20"/>
      <c r="D255" s="20">
        <v>50000</v>
      </c>
      <c r="E255" s="99" t="s">
        <v>521</v>
      </c>
      <c r="F255" s="20">
        <f t="shared" si="3"/>
        <v>138688477</v>
      </c>
      <c r="G255" s="7" t="s">
        <v>330</v>
      </c>
      <c r="H255" s="24" t="s">
        <v>109</v>
      </c>
      <c r="I255" s="32" t="s">
        <v>152</v>
      </c>
    </row>
    <row r="256" spans="1:9" x14ac:dyDescent="0.35">
      <c r="A256" s="19">
        <v>45719</v>
      </c>
      <c r="B256" s="20"/>
      <c r="C256" s="20"/>
      <c r="D256" s="20">
        <v>20000</v>
      </c>
      <c r="E256" s="99" t="s">
        <v>521</v>
      </c>
      <c r="F256" s="20">
        <f t="shared" si="3"/>
        <v>138708477</v>
      </c>
      <c r="G256" s="7" t="s">
        <v>330</v>
      </c>
      <c r="H256" s="24" t="s">
        <v>109</v>
      </c>
      <c r="I256" s="32" t="s">
        <v>152</v>
      </c>
    </row>
    <row r="257" spans="1:9" x14ac:dyDescent="0.35">
      <c r="A257" s="19">
        <v>45719</v>
      </c>
      <c r="B257" s="20"/>
      <c r="C257" s="20"/>
      <c r="D257" s="20">
        <v>10000</v>
      </c>
      <c r="E257" s="99" t="s">
        <v>521</v>
      </c>
      <c r="F257" s="20">
        <f t="shared" si="3"/>
        <v>138718477</v>
      </c>
      <c r="G257" s="7" t="s">
        <v>330</v>
      </c>
      <c r="H257" s="24" t="s">
        <v>109</v>
      </c>
      <c r="I257" s="32" t="s">
        <v>152</v>
      </c>
    </row>
    <row r="258" spans="1:9" x14ac:dyDescent="0.35">
      <c r="A258" s="19">
        <v>45719</v>
      </c>
      <c r="B258" s="20"/>
      <c r="C258" s="20"/>
      <c r="D258" s="20">
        <v>75000</v>
      </c>
      <c r="E258" s="99" t="s">
        <v>521</v>
      </c>
      <c r="F258" s="20">
        <f t="shared" si="3"/>
        <v>138793477</v>
      </c>
      <c r="G258" s="7" t="s">
        <v>330</v>
      </c>
      <c r="H258" s="24" t="s">
        <v>109</v>
      </c>
      <c r="I258" s="32" t="s">
        <v>152</v>
      </c>
    </row>
    <row r="259" spans="1:9" x14ac:dyDescent="0.35">
      <c r="A259" s="19">
        <v>45719</v>
      </c>
      <c r="B259" s="20"/>
      <c r="C259" s="20"/>
      <c r="D259" s="20">
        <v>10000</v>
      </c>
      <c r="E259" s="99" t="s">
        <v>521</v>
      </c>
      <c r="F259" s="20">
        <f t="shared" si="3"/>
        <v>138803477</v>
      </c>
      <c r="G259" s="7" t="s">
        <v>330</v>
      </c>
      <c r="H259" s="24" t="s">
        <v>109</v>
      </c>
      <c r="I259" s="32" t="s">
        <v>152</v>
      </c>
    </row>
    <row r="260" spans="1:9" x14ac:dyDescent="0.35">
      <c r="A260" s="19">
        <v>45719</v>
      </c>
      <c r="B260" s="20"/>
      <c r="C260" s="20"/>
      <c r="D260" s="20">
        <v>800</v>
      </c>
      <c r="E260" s="99" t="s">
        <v>521</v>
      </c>
      <c r="F260" s="20">
        <f t="shared" si="3"/>
        <v>138804277</v>
      </c>
      <c r="G260" s="7" t="s">
        <v>330</v>
      </c>
      <c r="H260" s="24" t="s">
        <v>109</v>
      </c>
      <c r="I260" s="32" t="s">
        <v>152</v>
      </c>
    </row>
    <row r="261" spans="1:9" x14ac:dyDescent="0.35">
      <c r="A261" s="19">
        <v>45719</v>
      </c>
      <c r="B261" s="20"/>
      <c r="C261" s="20"/>
      <c r="D261" s="20">
        <v>200000</v>
      </c>
      <c r="E261" s="99" t="s">
        <v>521</v>
      </c>
      <c r="F261" s="20">
        <f t="shared" si="3"/>
        <v>139004277</v>
      </c>
      <c r="G261" s="7" t="s">
        <v>331</v>
      </c>
      <c r="H261" s="24" t="s">
        <v>109</v>
      </c>
      <c r="I261" s="32" t="s">
        <v>152</v>
      </c>
    </row>
    <row r="262" spans="1:9" x14ac:dyDescent="0.35">
      <c r="A262" s="19">
        <v>45719</v>
      </c>
      <c r="B262" s="20">
        <v>4002500</v>
      </c>
      <c r="C262" s="20"/>
      <c r="D262" s="20"/>
      <c r="E262" s="99" t="s">
        <v>521</v>
      </c>
      <c r="F262" s="20">
        <f t="shared" si="3"/>
        <v>135001777</v>
      </c>
      <c r="G262" s="7" t="s">
        <v>332</v>
      </c>
      <c r="H262" s="24" t="s">
        <v>327</v>
      </c>
      <c r="I262" s="32" t="s">
        <v>152</v>
      </c>
    </row>
    <row r="263" spans="1:9" x14ac:dyDescent="0.35">
      <c r="A263" s="19">
        <v>45719</v>
      </c>
      <c r="B263" s="20"/>
      <c r="C263" s="20"/>
      <c r="D263" s="20">
        <v>10000</v>
      </c>
      <c r="E263" s="99" t="s">
        <v>521</v>
      </c>
      <c r="F263" s="20">
        <f t="shared" si="3"/>
        <v>135011777</v>
      </c>
      <c r="G263" s="7" t="s">
        <v>330</v>
      </c>
      <c r="H263" s="24" t="s">
        <v>109</v>
      </c>
      <c r="I263" s="32" t="s">
        <v>152</v>
      </c>
    </row>
    <row r="264" spans="1:9" x14ac:dyDescent="0.35">
      <c r="A264" s="19">
        <v>45719</v>
      </c>
      <c r="B264" s="20"/>
      <c r="C264" s="20"/>
      <c r="D264" s="20">
        <v>50000</v>
      </c>
      <c r="E264" s="99" t="s">
        <v>521</v>
      </c>
      <c r="F264" s="20">
        <f t="shared" si="3"/>
        <v>135061777</v>
      </c>
      <c r="G264" s="7" t="s">
        <v>330</v>
      </c>
      <c r="H264" s="24" t="s">
        <v>109</v>
      </c>
      <c r="I264" s="32" t="s">
        <v>152</v>
      </c>
    </row>
    <row r="265" spans="1:9" x14ac:dyDescent="0.35">
      <c r="A265" s="19">
        <v>45719</v>
      </c>
      <c r="B265" s="20"/>
      <c r="C265" s="20"/>
      <c r="D265" s="20">
        <v>5000</v>
      </c>
      <c r="E265" s="99" t="s">
        <v>521</v>
      </c>
      <c r="F265" s="20">
        <f t="shared" si="3"/>
        <v>135066777</v>
      </c>
      <c r="G265" s="7" t="s">
        <v>330</v>
      </c>
      <c r="H265" s="24" t="s">
        <v>109</v>
      </c>
      <c r="I265" s="32" t="s">
        <v>152</v>
      </c>
    </row>
    <row r="266" spans="1:9" x14ac:dyDescent="0.35">
      <c r="A266" s="19">
        <v>45719</v>
      </c>
      <c r="B266" s="20"/>
      <c r="C266" s="20"/>
      <c r="D266" s="20">
        <v>50000</v>
      </c>
      <c r="E266" s="99" t="s">
        <v>521</v>
      </c>
      <c r="F266" s="20">
        <f t="shared" ref="F266:F329" si="4">+F265+D266-B266</f>
        <v>135116777</v>
      </c>
      <c r="G266" s="7" t="s">
        <v>330</v>
      </c>
      <c r="H266" s="24" t="s">
        <v>109</v>
      </c>
      <c r="I266" s="32" t="s">
        <v>152</v>
      </c>
    </row>
    <row r="267" spans="1:9" x14ac:dyDescent="0.35">
      <c r="A267" s="19">
        <v>45719</v>
      </c>
      <c r="B267" s="20"/>
      <c r="C267" s="20"/>
      <c r="D267" s="20">
        <v>10000</v>
      </c>
      <c r="E267" s="99" t="s">
        <v>521</v>
      </c>
      <c r="F267" s="20">
        <f t="shared" si="4"/>
        <v>135126777</v>
      </c>
      <c r="G267" s="7" t="s">
        <v>330</v>
      </c>
      <c r="H267" s="24" t="s">
        <v>109</v>
      </c>
      <c r="I267" s="32" t="s">
        <v>152</v>
      </c>
    </row>
    <row r="268" spans="1:9" x14ac:dyDescent="0.35">
      <c r="A268" s="19">
        <v>45719</v>
      </c>
      <c r="B268" s="20"/>
      <c r="C268" s="20"/>
      <c r="D268" s="20">
        <v>20000</v>
      </c>
      <c r="E268" s="99" t="s">
        <v>521</v>
      </c>
      <c r="F268" s="20">
        <f t="shared" si="4"/>
        <v>135146777</v>
      </c>
      <c r="G268" s="7" t="s">
        <v>330</v>
      </c>
      <c r="H268" s="24" t="s">
        <v>109</v>
      </c>
      <c r="I268" s="32" t="s">
        <v>152</v>
      </c>
    </row>
    <row r="269" spans="1:9" x14ac:dyDescent="0.35">
      <c r="A269" s="19">
        <v>45719</v>
      </c>
      <c r="B269" s="20"/>
      <c r="C269" s="20"/>
      <c r="D269" s="20">
        <v>10000</v>
      </c>
      <c r="E269" s="99" t="s">
        <v>521</v>
      </c>
      <c r="F269" s="20">
        <f t="shared" si="4"/>
        <v>135156777</v>
      </c>
      <c r="G269" s="7" t="s">
        <v>330</v>
      </c>
      <c r="H269" s="24" t="s">
        <v>109</v>
      </c>
      <c r="I269" s="32" t="s">
        <v>152</v>
      </c>
    </row>
    <row r="270" spans="1:9" x14ac:dyDescent="0.35">
      <c r="A270" s="19">
        <v>45719</v>
      </c>
      <c r="B270" s="20"/>
      <c r="C270" s="20"/>
      <c r="D270" s="20">
        <v>5000</v>
      </c>
      <c r="E270" s="99" t="s">
        <v>521</v>
      </c>
      <c r="F270" s="20">
        <f t="shared" si="4"/>
        <v>135161777</v>
      </c>
      <c r="G270" s="7" t="s">
        <v>330</v>
      </c>
      <c r="H270" s="24" t="s">
        <v>109</v>
      </c>
      <c r="I270" s="32" t="s">
        <v>152</v>
      </c>
    </row>
    <row r="271" spans="1:9" x14ac:dyDescent="0.35">
      <c r="A271" s="19">
        <v>45719</v>
      </c>
      <c r="B271" s="20"/>
      <c r="C271" s="20"/>
      <c r="D271" s="20">
        <v>100000</v>
      </c>
      <c r="E271" s="99" t="s">
        <v>521</v>
      </c>
      <c r="F271" s="20">
        <f t="shared" si="4"/>
        <v>135261777</v>
      </c>
      <c r="G271" s="7" t="s">
        <v>330</v>
      </c>
      <c r="H271" s="24" t="s">
        <v>109</v>
      </c>
      <c r="I271" s="32" t="s">
        <v>152</v>
      </c>
    </row>
    <row r="272" spans="1:9" x14ac:dyDescent="0.35">
      <c r="A272" s="19">
        <v>45719</v>
      </c>
      <c r="B272" s="20"/>
      <c r="C272" s="20"/>
      <c r="D272" s="20">
        <v>20000</v>
      </c>
      <c r="E272" s="99" t="s">
        <v>521</v>
      </c>
      <c r="F272" s="20">
        <f t="shared" si="4"/>
        <v>135281777</v>
      </c>
      <c r="G272" s="7" t="s">
        <v>330</v>
      </c>
      <c r="H272" s="24" t="s">
        <v>109</v>
      </c>
      <c r="I272" s="32" t="s">
        <v>152</v>
      </c>
    </row>
    <row r="273" spans="1:9" x14ac:dyDescent="0.35">
      <c r="A273" s="19">
        <v>45719</v>
      </c>
      <c r="B273" s="20"/>
      <c r="C273" s="20"/>
      <c r="D273" s="20">
        <v>10000</v>
      </c>
      <c r="E273" s="99" t="s">
        <v>521</v>
      </c>
      <c r="F273" s="20">
        <f t="shared" si="4"/>
        <v>135291777</v>
      </c>
      <c r="G273" s="7" t="s">
        <v>330</v>
      </c>
      <c r="H273" s="24" t="s">
        <v>109</v>
      </c>
      <c r="I273" s="32" t="s">
        <v>152</v>
      </c>
    </row>
    <row r="274" spans="1:9" x14ac:dyDescent="0.35">
      <c r="A274" s="19">
        <v>45719</v>
      </c>
      <c r="B274" s="20"/>
      <c r="C274" s="20"/>
      <c r="D274" s="20">
        <v>5000</v>
      </c>
      <c r="E274" s="99" t="s">
        <v>521</v>
      </c>
      <c r="F274" s="20">
        <f t="shared" si="4"/>
        <v>135296777</v>
      </c>
      <c r="G274" s="7" t="s">
        <v>330</v>
      </c>
      <c r="H274" s="24" t="s">
        <v>109</v>
      </c>
      <c r="I274" s="32" t="s">
        <v>152</v>
      </c>
    </row>
    <row r="275" spans="1:9" x14ac:dyDescent="0.35">
      <c r="A275" s="19">
        <v>45719</v>
      </c>
      <c r="B275" s="20"/>
      <c r="C275" s="20"/>
      <c r="D275" s="20">
        <v>5000</v>
      </c>
      <c r="E275" s="99" t="s">
        <v>521</v>
      </c>
      <c r="F275" s="20">
        <f t="shared" si="4"/>
        <v>135301777</v>
      </c>
      <c r="G275" s="7" t="s">
        <v>330</v>
      </c>
      <c r="H275" s="24" t="s">
        <v>109</v>
      </c>
      <c r="I275" s="32" t="s">
        <v>152</v>
      </c>
    </row>
    <row r="276" spans="1:9" x14ac:dyDescent="0.35">
      <c r="A276" s="19">
        <v>45719</v>
      </c>
      <c r="B276" s="20"/>
      <c r="C276" s="20"/>
      <c r="D276" s="20">
        <v>200000</v>
      </c>
      <c r="E276" s="99" t="s">
        <v>521</v>
      </c>
      <c r="F276" s="20">
        <f t="shared" si="4"/>
        <v>135501777</v>
      </c>
      <c r="G276" s="7" t="s">
        <v>333</v>
      </c>
      <c r="H276" s="24" t="s">
        <v>109</v>
      </c>
      <c r="I276" s="32" t="s">
        <v>152</v>
      </c>
    </row>
    <row r="277" spans="1:9" x14ac:dyDescent="0.35">
      <c r="A277" s="19">
        <v>45719</v>
      </c>
      <c r="B277" s="20"/>
      <c r="C277" s="20"/>
      <c r="D277" s="20">
        <v>550000</v>
      </c>
      <c r="E277" s="99" t="s">
        <v>521</v>
      </c>
      <c r="F277" s="20">
        <f t="shared" si="4"/>
        <v>136051777</v>
      </c>
      <c r="G277" s="7" t="s">
        <v>330</v>
      </c>
      <c r="H277" s="24" t="s">
        <v>109</v>
      </c>
      <c r="I277" s="32" t="s">
        <v>152</v>
      </c>
    </row>
    <row r="278" spans="1:9" x14ac:dyDescent="0.35">
      <c r="A278" s="19">
        <v>45719</v>
      </c>
      <c r="B278" s="20"/>
      <c r="C278" s="20"/>
      <c r="D278" s="20">
        <v>50000</v>
      </c>
      <c r="E278" s="99" t="s">
        <v>521</v>
      </c>
      <c r="F278" s="20">
        <f t="shared" si="4"/>
        <v>136101777</v>
      </c>
      <c r="G278" s="7" t="s">
        <v>330</v>
      </c>
      <c r="H278" s="24" t="s">
        <v>109</v>
      </c>
      <c r="I278" s="32" t="s">
        <v>152</v>
      </c>
    </row>
    <row r="279" spans="1:9" x14ac:dyDescent="0.35">
      <c r="A279" s="19">
        <v>45719</v>
      </c>
      <c r="B279" s="20"/>
      <c r="C279" s="20"/>
      <c r="D279" s="20">
        <v>21439</v>
      </c>
      <c r="E279" s="99" t="s">
        <v>521</v>
      </c>
      <c r="F279" s="20">
        <f t="shared" si="4"/>
        <v>136123216</v>
      </c>
      <c r="G279" s="7" t="s">
        <v>330</v>
      </c>
      <c r="H279" s="24" t="s">
        <v>109</v>
      </c>
      <c r="I279" s="32" t="s">
        <v>152</v>
      </c>
    </row>
    <row r="280" spans="1:9" x14ac:dyDescent="0.35">
      <c r="A280" s="19">
        <v>45719</v>
      </c>
      <c r="B280" s="20"/>
      <c r="C280" s="20"/>
      <c r="D280" s="20">
        <v>50000</v>
      </c>
      <c r="E280" s="99" t="s">
        <v>521</v>
      </c>
      <c r="F280" s="20">
        <f t="shared" si="4"/>
        <v>136173216</v>
      </c>
      <c r="G280" s="7" t="s">
        <v>330</v>
      </c>
      <c r="H280" s="24" t="s">
        <v>109</v>
      </c>
      <c r="I280" s="32" t="s">
        <v>152</v>
      </c>
    </row>
    <row r="281" spans="1:9" x14ac:dyDescent="0.35">
      <c r="A281" s="19">
        <v>45719</v>
      </c>
      <c r="B281" s="20"/>
      <c r="C281" s="20"/>
      <c r="D281" s="20">
        <v>10000</v>
      </c>
      <c r="E281" s="99" t="s">
        <v>521</v>
      </c>
      <c r="F281" s="20">
        <f t="shared" si="4"/>
        <v>136183216</v>
      </c>
      <c r="G281" s="7" t="s">
        <v>330</v>
      </c>
      <c r="H281" s="24" t="s">
        <v>109</v>
      </c>
      <c r="I281" s="32" t="s">
        <v>152</v>
      </c>
    </row>
    <row r="282" spans="1:9" x14ac:dyDescent="0.35">
      <c r="A282" s="19">
        <v>45719</v>
      </c>
      <c r="B282" s="20"/>
      <c r="C282" s="20"/>
      <c r="D282" s="20">
        <v>10000</v>
      </c>
      <c r="E282" s="99" t="s">
        <v>521</v>
      </c>
      <c r="F282" s="20">
        <f t="shared" si="4"/>
        <v>136193216</v>
      </c>
      <c r="G282" s="7" t="s">
        <v>330</v>
      </c>
      <c r="H282" s="24" t="s">
        <v>109</v>
      </c>
      <c r="I282" s="32" t="s">
        <v>152</v>
      </c>
    </row>
    <row r="283" spans="1:9" x14ac:dyDescent="0.35">
      <c r="A283" s="19">
        <v>45719</v>
      </c>
      <c r="B283" s="20"/>
      <c r="C283" s="20"/>
      <c r="D283" s="20">
        <v>5000</v>
      </c>
      <c r="E283" s="99" t="s">
        <v>521</v>
      </c>
      <c r="F283" s="20">
        <f t="shared" si="4"/>
        <v>136198216</v>
      </c>
      <c r="G283" s="7" t="s">
        <v>330</v>
      </c>
      <c r="H283" s="24" t="s">
        <v>109</v>
      </c>
      <c r="I283" s="32" t="s">
        <v>152</v>
      </c>
    </row>
    <row r="284" spans="1:9" x14ac:dyDescent="0.35">
      <c r="A284" s="19">
        <v>45719</v>
      </c>
      <c r="B284" s="20"/>
      <c r="C284" s="20"/>
      <c r="D284" s="20">
        <v>20000</v>
      </c>
      <c r="E284" s="99" t="s">
        <v>521</v>
      </c>
      <c r="F284" s="20">
        <f t="shared" si="4"/>
        <v>136218216</v>
      </c>
      <c r="G284" s="7" t="s">
        <v>330</v>
      </c>
      <c r="H284" s="24" t="s">
        <v>109</v>
      </c>
      <c r="I284" s="32" t="s">
        <v>152</v>
      </c>
    </row>
    <row r="285" spans="1:9" x14ac:dyDescent="0.35">
      <c r="A285" s="19">
        <v>45719</v>
      </c>
      <c r="B285" s="20"/>
      <c r="C285" s="20"/>
      <c r="D285" s="20">
        <v>100000</v>
      </c>
      <c r="E285" s="99" t="s">
        <v>521</v>
      </c>
      <c r="F285" s="20">
        <f t="shared" si="4"/>
        <v>136318216</v>
      </c>
      <c r="G285" s="7" t="s">
        <v>330</v>
      </c>
      <c r="H285" s="24" t="s">
        <v>109</v>
      </c>
      <c r="I285" s="32" t="s">
        <v>152</v>
      </c>
    </row>
    <row r="286" spans="1:9" x14ac:dyDescent="0.35">
      <c r="A286" s="19">
        <v>45719</v>
      </c>
      <c r="B286" s="20"/>
      <c r="C286" s="20"/>
      <c r="D286" s="20">
        <v>100000</v>
      </c>
      <c r="E286" s="99" t="s">
        <v>521</v>
      </c>
      <c r="F286" s="20">
        <f t="shared" si="4"/>
        <v>136418216</v>
      </c>
      <c r="G286" s="7" t="s">
        <v>330</v>
      </c>
      <c r="H286" s="24" t="s">
        <v>109</v>
      </c>
      <c r="I286" s="32" t="s">
        <v>152</v>
      </c>
    </row>
    <row r="287" spans="1:9" x14ac:dyDescent="0.35">
      <c r="A287" s="19">
        <v>45719</v>
      </c>
      <c r="B287" s="20"/>
      <c r="C287" s="20"/>
      <c r="D287" s="20">
        <v>50000</v>
      </c>
      <c r="E287" s="99" t="s">
        <v>521</v>
      </c>
      <c r="F287" s="20">
        <f t="shared" si="4"/>
        <v>136468216</v>
      </c>
      <c r="G287" s="7" t="s">
        <v>330</v>
      </c>
      <c r="H287" s="24" t="s">
        <v>109</v>
      </c>
      <c r="I287" s="32" t="s">
        <v>152</v>
      </c>
    </row>
    <row r="288" spans="1:9" x14ac:dyDescent="0.35">
      <c r="A288" s="19">
        <v>45719</v>
      </c>
      <c r="B288" s="20"/>
      <c r="C288" s="20"/>
      <c r="D288" s="20">
        <v>25000</v>
      </c>
      <c r="E288" s="99" t="s">
        <v>521</v>
      </c>
      <c r="F288" s="20">
        <f t="shared" si="4"/>
        <v>136493216</v>
      </c>
      <c r="G288" s="7" t="s">
        <v>330</v>
      </c>
      <c r="H288" s="24" t="s">
        <v>109</v>
      </c>
      <c r="I288" s="32" t="s">
        <v>152</v>
      </c>
    </row>
    <row r="289" spans="1:9" x14ac:dyDescent="0.35">
      <c r="A289" s="19">
        <v>45719</v>
      </c>
      <c r="B289" s="20"/>
      <c r="C289" s="20"/>
      <c r="D289" s="20">
        <v>20000</v>
      </c>
      <c r="E289" s="99" t="s">
        <v>521</v>
      </c>
      <c r="F289" s="20">
        <f t="shared" si="4"/>
        <v>136513216</v>
      </c>
      <c r="G289" s="7" t="s">
        <v>330</v>
      </c>
      <c r="H289" s="24" t="s">
        <v>109</v>
      </c>
      <c r="I289" s="32" t="s">
        <v>152</v>
      </c>
    </row>
    <row r="290" spans="1:9" x14ac:dyDescent="0.35">
      <c r="A290" s="19">
        <v>45719</v>
      </c>
      <c r="B290" s="20"/>
      <c r="C290" s="20"/>
      <c r="D290" s="20">
        <v>10000</v>
      </c>
      <c r="E290" s="99" t="s">
        <v>521</v>
      </c>
      <c r="F290" s="20">
        <f t="shared" si="4"/>
        <v>136523216</v>
      </c>
      <c r="G290" s="7" t="s">
        <v>330</v>
      </c>
      <c r="H290" s="24" t="s">
        <v>109</v>
      </c>
      <c r="I290" s="32" t="s">
        <v>152</v>
      </c>
    </row>
    <row r="291" spans="1:9" x14ac:dyDescent="0.35">
      <c r="A291" s="19">
        <v>45719</v>
      </c>
      <c r="B291" s="20"/>
      <c r="C291" s="20"/>
      <c r="D291" s="20">
        <v>4000</v>
      </c>
      <c r="E291" s="99" t="s">
        <v>521</v>
      </c>
      <c r="F291" s="20">
        <f t="shared" si="4"/>
        <v>136527216</v>
      </c>
      <c r="G291" s="7" t="s">
        <v>330</v>
      </c>
      <c r="H291" s="24" t="s">
        <v>109</v>
      </c>
      <c r="I291" s="32" t="s">
        <v>152</v>
      </c>
    </row>
    <row r="292" spans="1:9" x14ac:dyDescent="0.35">
      <c r="A292" s="19">
        <v>45719</v>
      </c>
      <c r="B292" s="20"/>
      <c r="C292" s="20"/>
      <c r="D292" s="20">
        <v>500000</v>
      </c>
      <c r="E292" s="99" t="s">
        <v>521</v>
      </c>
      <c r="F292" s="20">
        <f t="shared" si="4"/>
        <v>137027216</v>
      </c>
      <c r="G292" s="7" t="s">
        <v>233</v>
      </c>
      <c r="H292" s="24" t="s">
        <v>109</v>
      </c>
      <c r="I292" s="32" t="s">
        <v>152</v>
      </c>
    </row>
    <row r="293" spans="1:9" x14ac:dyDescent="0.35">
      <c r="A293" s="19">
        <v>45719</v>
      </c>
      <c r="B293" s="20"/>
      <c r="C293" s="20"/>
      <c r="D293" s="23">
        <v>2885000</v>
      </c>
      <c r="E293" s="99" t="s">
        <v>521</v>
      </c>
      <c r="F293" s="20">
        <f t="shared" si="4"/>
        <v>139912216</v>
      </c>
      <c r="G293" s="24" t="s">
        <v>107</v>
      </c>
      <c r="H293" s="24" t="s">
        <v>107</v>
      </c>
      <c r="I293" s="32" t="s">
        <v>152</v>
      </c>
    </row>
    <row r="294" spans="1:9" x14ac:dyDescent="0.35">
      <c r="A294" s="19">
        <v>45719</v>
      </c>
      <c r="B294" s="20"/>
      <c r="C294" s="20"/>
      <c r="D294" s="23">
        <v>1322000</v>
      </c>
      <c r="E294" s="99" t="s">
        <v>521</v>
      </c>
      <c r="F294" s="20">
        <f t="shared" si="4"/>
        <v>141234216</v>
      </c>
      <c r="G294" s="24" t="s">
        <v>109</v>
      </c>
      <c r="H294" s="24" t="s">
        <v>109</v>
      </c>
      <c r="I294" s="32" t="s">
        <v>152</v>
      </c>
    </row>
    <row r="295" spans="1:9" x14ac:dyDescent="0.35">
      <c r="A295" s="19"/>
      <c r="B295" s="20"/>
      <c r="C295" s="20">
        <v>4207000</v>
      </c>
      <c r="D295" s="20"/>
      <c r="E295" s="99"/>
      <c r="F295" s="20">
        <f t="shared" si="4"/>
        <v>141234216</v>
      </c>
      <c r="G295" s="7" t="s">
        <v>305</v>
      </c>
      <c r="H295" s="24"/>
      <c r="I295" s="32"/>
    </row>
    <row r="296" spans="1:9" x14ac:dyDescent="0.35">
      <c r="A296" s="19">
        <v>45719</v>
      </c>
      <c r="B296" s="20"/>
      <c r="C296" s="20"/>
      <c r="D296" s="20">
        <v>200000</v>
      </c>
      <c r="E296" s="99" t="s">
        <v>521</v>
      </c>
      <c r="F296" s="20">
        <f t="shared" si="4"/>
        <v>141434216</v>
      </c>
      <c r="G296" s="7" t="s">
        <v>237</v>
      </c>
      <c r="H296" s="24" t="s">
        <v>109</v>
      </c>
      <c r="I296" s="32" t="s">
        <v>152</v>
      </c>
    </row>
    <row r="297" spans="1:9" x14ac:dyDescent="0.35">
      <c r="A297" s="19">
        <v>45720</v>
      </c>
      <c r="B297" s="20"/>
      <c r="C297" s="20"/>
      <c r="D297" s="20">
        <v>900000</v>
      </c>
      <c r="E297" s="99" t="s">
        <v>521</v>
      </c>
      <c r="F297" s="20">
        <f t="shared" si="4"/>
        <v>142334216</v>
      </c>
      <c r="G297" s="7" t="s">
        <v>334</v>
      </c>
      <c r="H297" s="24" t="s">
        <v>109</v>
      </c>
      <c r="I297" s="32" t="s">
        <v>152</v>
      </c>
    </row>
    <row r="298" spans="1:9" x14ac:dyDescent="0.35">
      <c r="A298" s="19">
        <v>45720</v>
      </c>
      <c r="B298" s="20"/>
      <c r="C298" s="20"/>
      <c r="D298" s="20">
        <v>300000</v>
      </c>
      <c r="E298" s="99" t="s">
        <v>521</v>
      </c>
      <c r="F298" s="20">
        <f t="shared" si="4"/>
        <v>142634216</v>
      </c>
      <c r="G298" s="7" t="s">
        <v>335</v>
      </c>
      <c r="H298" s="24" t="s">
        <v>109</v>
      </c>
      <c r="I298" s="32" t="s">
        <v>152</v>
      </c>
    </row>
    <row r="299" spans="1:9" x14ac:dyDescent="0.35">
      <c r="A299" s="19">
        <v>45720</v>
      </c>
      <c r="B299" s="20"/>
      <c r="C299" s="20"/>
      <c r="D299" s="20">
        <v>10000</v>
      </c>
      <c r="E299" s="99" t="s">
        <v>521</v>
      </c>
      <c r="F299" s="20">
        <f t="shared" si="4"/>
        <v>142644216</v>
      </c>
      <c r="G299" s="7" t="s">
        <v>330</v>
      </c>
      <c r="H299" s="24" t="s">
        <v>109</v>
      </c>
      <c r="I299" s="32" t="s">
        <v>152</v>
      </c>
    </row>
    <row r="300" spans="1:9" x14ac:dyDescent="0.35">
      <c r="A300" s="19">
        <v>45720</v>
      </c>
      <c r="B300" s="20"/>
      <c r="C300" s="20"/>
      <c r="D300" s="20">
        <v>5000</v>
      </c>
      <c r="E300" s="99" t="s">
        <v>521</v>
      </c>
      <c r="F300" s="20">
        <f t="shared" si="4"/>
        <v>142649216</v>
      </c>
      <c r="G300" s="7" t="s">
        <v>330</v>
      </c>
      <c r="H300" s="24" t="s">
        <v>109</v>
      </c>
      <c r="I300" s="32" t="s">
        <v>152</v>
      </c>
    </row>
    <row r="301" spans="1:9" x14ac:dyDescent="0.35">
      <c r="A301" s="19">
        <v>45720</v>
      </c>
      <c r="B301" s="20"/>
      <c r="C301" s="20"/>
      <c r="D301" s="20">
        <v>20000</v>
      </c>
      <c r="E301" s="99" t="s">
        <v>521</v>
      </c>
      <c r="F301" s="20">
        <f t="shared" si="4"/>
        <v>142669216</v>
      </c>
      <c r="G301" s="7" t="s">
        <v>330</v>
      </c>
      <c r="H301" s="24" t="s">
        <v>109</v>
      </c>
      <c r="I301" s="32" t="s">
        <v>152</v>
      </c>
    </row>
    <row r="302" spans="1:9" x14ac:dyDescent="0.35">
      <c r="A302" s="19">
        <v>45720</v>
      </c>
      <c r="B302" s="20"/>
      <c r="C302" s="20"/>
      <c r="D302" s="20">
        <v>50000</v>
      </c>
      <c r="E302" s="99" t="s">
        <v>521</v>
      </c>
      <c r="F302" s="20">
        <f t="shared" si="4"/>
        <v>142719216</v>
      </c>
      <c r="G302" s="7" t="s">
        <v>330</v>
      </c>
      <c r="H302" s="24" t="s">
        <v>109</v>
      </c>
      <c r="I302" s="32" t="s">
        <v>152</v>
      </c>
    </row>
    <row r="303" spans="1:9" x14ac:dyDescent="0.35">
      <c r="A303" s="19">
        <v>45720</v>
      </c>
      <c r="B303" s="20"/>
      <c r="C303" s="20"/>
      <c r="D303" s="20">
        <v>10000</v>
      </c>
      <c r="E303" s="99" t="s">
        <v>521</v>
      </c>
      <c r="F303" s="20">
        <f t="shared" si="4"/>
        <v>142729216</v>
      </c>
      <c r="G303" s="7" t="s">
        <v>330</v>
      </c>
      <c r="H303" s="24" t="s">
        <v>109</v>
      </c>
      <c r="I303" s="32" t="s">
        <v>152</v>
      </c>
    </row>
    <row r="304" spans="1:9" x14ac:dyDescent="0.35">
      <c r="A304" s="19">
        <v>45720</v>
      </c>
      <c r="B304" s="20"/>
      <c r="C304" s="20"/>
      <c r="D304" s="20">
        <v>10000</v>
      </c>
      <c r="E304" s="99" t="s">
        <v>521</v>
      </c>
      <c r="F304" s="20">
        <f t="shared" si="4"/>
        <v>142739216</v>
      </c>
      <c r="G304" s="7" t="s">
        <v>330</v>
      </c>
      <c r="H304" s="24" t="s">
        <v>109</v>
      </c>
      <c r="I304" s="32" t="s">
        <v>152</v>
      </c>
    </row>
    <row r="305" spans="1:9" x14ac:dyDescent="0.35">
      <c r="A305" s="19">
        <v>45720</v>
      </c>
      <c r="B305" s="20">
        <v>855000</v>
      </c>
      <c r="C305" s="20"/>
      <c r="D305" s="20"/>
      <c r="E305" s="99" t="s">
        <v>521</v>
      </c>
      <c r="F305" s="20">
        <f t="shared" si="4"/>
        <v>141884216</v>
      </c>
      <c r="G305" s="7" t="s">
        <v>336</v>
      </c>
      <c r="H305" s="24" t="s">
        <v>322</v>
      </c>
      <c r="I305" s="32" t="s">
        <v>152</v>
      </c>
    </row>
    <row r="306" spans="1:9" x14ac:dyDescent="0.35">
      <c r="A306" s="19">
        <v>45720</v>
      </c>
      <c r="B306" s="20">
        <v>2500</v>
      </c>
      <c r="C306" s="20"/>
      <c r="D306" s="20"/>
      <c r="E306" s="99" t="s">
        <v>521</v>
      </c>
      <c r="F306" s="20">
        <f t="shared" si="4"/>
        <v>141881716</v>
      </c>
      <c r="G306" s="7" t="s">
        <v>337</v>
      </c>
      <c r="H306" s="24" t="s">
        <v>322</v>
      </c>
      <c r="I306" s="32" t="s">
        <v>152</v>
      </c>
    </row>
    <row r="307" spans="1:9" x14ac:dyDescent="0.35">
      <c r="A307" s="19">
        <v>45720</v>
      </c>
      <c r="B307" s="20"/>
      <c r="C307" s="20"/>
      <c r="D307" s="20">
        <v>150000</v>
      </c>
      <c r="E307" s="99" t="s">
        <v>521</v>
      </c>
      <c r="F307" s="20">
        <f t="shared" si="4"/>
        <v>142031716</v>
      </c>
      <c r="G307" s="7" t="s">
        <v>338</v>
      </c>
      <c r="H307" s="24" t="s">
        <v>109</v>
      </c>
      <c r="I307" s="32" t="s">
        <v>152</v>
      </c>
    </row>
    <row r="308" spans="1:9" x14ac:dyDescent="0.35">
      <c r="A308" s="19">
        <v>45721</v>
      </c>
      <c r="B308" s="20"/>
      <c r="C308" s="20"/>
      <c r="D308" s="20">
        <v>1000000</v>
      </c>
      <c r="E308" s="99" t="s">
        <v>521</v>
      </c>
      <c r="F308" s="20">
        <f t="shared" si="4"/>
        <v>143031716</v>
      </c>
      <c r="G308" s="7" t="s">
        <v>339</v>
      </c>
      <c r="H308" s="24" t="s">
        <v>109</v>
      </c>
      <c r="I308" s="32" t="s">
        <v>152</v>
      </c>
    </row>
    <row r="309" spans="1:9" x14ac:dyDescent="0.35">
      <c r="A309" s="19">
        <v>45721</v>
      </c>
      <c r="B309" s="20">
        <v>1350000</v>
      </c>
      <c r="C309" s="20"/>
      <c r="D309" s="20"/>
      <c r="E309" s="99" t="s">
        <v>521</v>
      </c>
      <c r="F309" s="20">
        <f t="shared" si="4"/>
        <v>141681716</v>
      </c>
      <c r="G309" s="7" t="s">
        <v>340</v>
      </c>
      <c r="H309" s="24" t="s">
        <v>321</v>
      </c>
      <c r="I309" s="32" t="s">
        <v>152</v>
      </c>
    </row>
    <row r="310" spans="1:9" x14ac:dyDescent="0.35">
      <c r="A310" s="19">
        <v>45721</v>
      </c>
      <c r="B310" s="20">
        <v>2500</v>
      </c>
      <c r="C310" s="20"/>
      <c r="D310" s="20"/>
      <c r="E310" s="99" t="s">
        <v>521</v>
      </c>
      <c r="F310" s="20">
        <f t="shared" si="4"/>
        <v>141679216</v>
      </c>
      <c r="G310" s="7" t="s">
        <v>341</v>
      </c>
      <c r="H310" s="24" t="s">
        <v>321</v>
      </c>
      <c r="I310" s="32" t="s">
        <v>152</v>
      </c>
    </row>
    <row r="311" spans="1:9" x14ac:dyDescent="0.35">
      <c r="A311" s="19">
        <v>45721</v>
      </c>
      <c r="B311" s="20"/>
      <c r="C311" s="20"/>
      <c r="D311" s="20">
        <v>1000000</v>
      </c>
      <c r="E311" s="99" t="s">
        <v>521</v>
      </c>
      <c r="F311" s="20">
        <f t="shared" si="4"/>
        <v>142679216</v>
      </c>
      <c r="G311" s="7" t="s">
        <v>342</v>
      </c>
      <c r="H311" s="24" t="s">
        <v>109</v>
      </c>
      <c r="I311" s="32" t="s">
        <v>152</v>
      </c>
    </row>
    <row r="312" spans="1:9" x14ac:dyDescent="0.35">
      <c r="A312" s="19">
        <v>45721</v>
      </c>
      <c r="B312" s="20"/>
      <c r="C312" s="20"/>
      <c r="D312" s="20">
        <v>10000</v>
      </c>
      <c r="E312" s="99" t="s">
        <v>521</v>
      </c>
      <c r="F312" s="20">
        <f t="shared" si="4"/>
        <v>142689216</v>
      </c>
      <c r="G312" s="7" t="s">
        <v>330</v>
      </c>
      <c r="H312" s="24" t="s">
        <v>109</v>
      </c>
      <c r="I312" s="32" t="s">
        <v>152</v>
      </c>
    </row>
    <row r="313" spans="1:9" x14ac:dyDescent="0.35">
      <c r="A313" s="19">
        <v>45721</v>
      </c>
      <c r="B313" s="20"/>
      <c r="C313" s="20"/>
      <c r="D313" s="20">
        <v>100000</v>
      </c>
      <c r="E313" s="99" t="s">
        <v>521</v>
      </c>
      <c r="F313" s="20">
        <f t="shared" si="4"/>
        <v>142789216</v>
      </c>
      <c r="G313" s="7" t="s">
        <v>330</v>
      </c>
      <c r="H313" s="24" t="s">
        <v>109</v>
      </c>
      <c r="I313" s="32" t="s">
        <v>152</v>
      </c>
    </row>
    <row r="314" spans="1:9" x14ac:dyDescent="0.35">
      <c r="A314" s="19">
        <v>45721</v>
      </c>
      <c r="B314" s="20"/>
      <c r="C314" s="20"/>
      <c r="D314" s="20">
        <v>20000</v>
      </c>
      <c r="E314" s="99" t="s">
        <v>521</v>
      </c>
      <c r="F314" s="20">
        <f t="shared" si="4"/>
        <v>142809216</v>
      </c>
      <c r="G314" s="7" t="s">
        <v>330</v>
      </c>
      <c r="H314" s="24" t="s">
        <v>109</v>
      </c>
      <c r="I314" s="32" t="s">
        <v>152</v>
      </c>
    </row>
    <row r="315" spans="1:9" x14ac:dyDescent="0.35">
      <c r="A315" s="19">
        <v>45721</v>
      </c>
      <c r="B315" s="20"/>
      <c r="C315" s="20"/>
      <c r="D315" s="20">
        <v>25000</v>
      </c>
      <c r="E315" s="99" t="s">
        <v>521</v>
      </c>
      <c r="F315" s="20">
        <f t="shared" si="4"/>
        <v>142834216</v>
      </c>
      <c r="G315" s="7" t="s">
        <v>330</v>
      </c>
      <c r="H315" s="24" t="s">
        <v>109</v>
      </c>
      <c r="I315" s="32" t="s">
        <v>152</v>
      </c>
    </row>
    <row r="316" spans="1:9" x14ac:dyDescent="0.35">
      <c r="A316" s="19">
        <v>45721</v>
      </c>
      <c r="B316" s="20"/>
      <c r="C316" s="20"/>
      <c r="D316" s="20">
        <v>10000</v>
      </c>
      <c r="E316" s="99" t="s">
        <v>521</v>
      </c>
      <c r="F316" s="20">
        <f t="shared" si="4"/>
        <v>142844216</v>
      </c>
      <c r="G316" s="7" t="s">
        <v>330</v>
      </c>
      <c r="H316" s="24" t="s">
        <v>109</v>
      </c>
      <c r="I316" s="32" t="s">
        <v>152</v>
      </c>
    </row>
    <row r="317" spans="1:9" x14ac:dyDescent="0.35">
      <c r="A317" s="19">
        <v>45721</v>
      </c>
      <c r="B317" s="20"/>
      <c r="C317" s="20"/>
      <c r="D317" s="20">
        <v>50000</v>
      </c>
      <c r="E317" s="99" t="s">
        <v>521</v>
      </c>
      <c r="F317" s="20">
        <f t="shared" si="4"/>
        <v>142894216</v>
      </c>
      <c r="G317" s="7" t="s">
        <v>330</v>
      </c>
      <c r="H317" s="24" t="s">
        <v>109</v>
      </c>
      <c r="I317" s="32" t="s">
        <v>152</v>
      </c>
    </row>
    <row r="318" spans="1:9" x14ac:dyDescent="0.35">
      <c r="A318" s="19">
        <v>45721</v>
      </c>
      <c r="B318" s="20"/>
      <c r="C318" s="20"/>
      <c r="D318" s="20">
        <v>4341</v>
      </c>
      <c r="E318" s="99" t="s">
        <v>521</v>
      </c>
      <c r="F318" s="20">
        <f t="shared" si="4"/>
        <v>142898557</v>
      </c>
      <c r="G318" s="7" t="s">
        <v>330</v>
      </c>
      <c r="H318" s="24" t="s">
        <v>109</v>
      </c>
      <c r="I318" s="32" t="s">
        <v>152</v>
      </c>
    </row>
    <row r="319" spans="1:9" x14ac:dyDescent="0.35">
      <c r="A319" s="19">
        <v>45721</v>
      </c>
      <c r="B319" s="20"/>
      <c r="C319" s="20"/>
      <c r="D319" s="20">
        <v>16000</v>
      </c>
      <c r="E319" s="99" t="s">
        <v>521</v>
      </c>
      <c r="F319" s="20">
        <f t="shared" si="4"/>
        <v>142914557</v>
      </c>
      <c r="G319" s="7" t="s">
        <v>330</v>
      </c>
      <c r="H319" s="24" t="s">
        <v>109</v>
      </c>
      <c r="I319" s="32" t="s">
        <v>152</v>
      </c>
    </row>
    <row r="320" spans="1:9" x14ac:dyDescent="0.35">
      <c r="A320" s="19">
        <v>45721</v>
      </c>
      <c r="B320" s="20"/>
      <c r="C320" s="20"/>
      <c r="D320" s="20">
        <v>216</v>
      </c>
      <c r="E320" s="99" t="s">
        <v>521</v>
      </c>
      <c r="F320" s="20">
        <f t="shared" si="4"/>
        <v>142914773</v>
      </c>
      <c r="G320" s="7" t="s">
        <v>330</v>
      </c>
      <c r="H320" s="24" t="s">
        <v>109</v>
      </c>
      <c r="I320" s="32" t="s">
        <v>152</v>
      </c>
    </row>
    <row r="321" spans="1:9" x14ac:dyDescent="0.35">
      <c r="A321" s="19">
        <v>45721</v>
      </c>
      <c r="B321" s="20">
        <v>500000</v>
      </c>
      <c r="C321" s="20"/>
      <c r="D321" s="20"/>
      <c r="E321" s="99" t="s">
        <v>521</v>
      </c>
      <c r="F321" s="20">
        <f t="shared" si="4"/>
        <v>142414773</v>
      </c>
      <c r="G321" s="7" t="s">
        <v>343</v>
      </c>
      <c r="H321" s="24" t="s">
        <v>322</v>
      </c>
      <c r="I321" s="32" t="s">
        <v>152</v>
      </c>
    </row>
    <row r="322" spans="1:9" x14ac:dyDescent="0.35">
      <c r="A322" s="19">
        <v>45721</v>
      </c>
      <c r="B322" s="20">
        <v>2500</v>
      </c>
      <c r="C322" s="20"/>
      <c r="D322" s="20"/>
      <c r="E322" s="99" t="s">
        <v>521</v>
      </c>
      <c r="F322" s="20">
        <f t="shared" si="4"/>
        <v>142412273</v>
      </c>
      <c r="G322" s="7" t="s">
        <v>344</v>
      </c>
      <c r="H322" s="24" t="s">
        <v>322</v>
      </c>
      <c r="I322" s="32" t="s">
        <v>152</v>
      </c>
    </row>
    <row r="323" spans="1:9" x14ac:dyDescent="0.35">
      <c r="A323" s="19">
        <v>45721</v>
      </c>
      <c r="B323" s="20"/>
      <c r="C323" s="20"/>
      <c r="D323" s="20">
        <v>600000</v>
      </c>
      <c r="E323" s="99" t="s">
        <v>521</v>
      </c>
      <c r="F323" s="20">
        <f t="shared" si="4"/>
        <v>143012273</v>
      </c>
      <c r="G323" s="7" t="s">
        <v>345</v>
      </c>
      <c r="H323" s="24" t="s">
        <v>109</v>
      </c>
      <c r="I323" s="32" t="s">
        <v>152</v>
      </c>
    </row>
    <row r="324" spans="1:9" x14ac:dyDescent="0.35">
      <c r="A324" s="19">
        <v>45721</v>
      </c>
      <c r="B324" s="20"/>
      <c r="C324" s="20"/>
      <c r="D324" s="20">
        <v>78000</v>
      </c>
      <c r="E324" s="99" t="s">
        <v>521</v>
      </c>
      <c r="F324" s="20">
        <f t="shared" si="4"/>
        <v>143090273</v>
      </c>
      <c r="G324" s="7" t="s">
        <v>346</v>
      </c>
      <c r="H324" s="24" t="s">
        <v>109</v>
      </c>
      <c r="I324" s="32" t="s">
        <v>152</v>
      </c>
    </row>
    <row r="325" spans="1:9" x14ac:dyDescent="0.35">
      <c r="A325" s="19">
        <v>45722</v>
      </c>
      <c r="B325" s="20"/>
      <c r="C325" s="20"/>
      <c r="D325" s="20">
        <v>10000000</v>
      </c>
      <c r="E325" s="99" t="s">
        <v>521</v>
      </c>
      <c r="F325" s="20">
        <f t="shared" si="4"/>
        <v>153090273</v>
      </c>
      <c r="G325" s="7" t="s">
        <v>347</v>
      </c>
      <c r="H325" s="24" t="s">
        <v>105</v>
      </c>
      <c r="I325" s="32" t="s">
        <v>152</v>
      </c>
    </row>
    <row r="326" spans="1:9" x14ac:dyDescent="0.35">
      <c r="A326" s="19">
        <v>45722</v>
      </c>
      <c r="B326" s="20"/>
      <c r="C326" s="20"/>
      <c r="D326" s="20">
        <v>540000</v>
      </c>
      <c r="E326" s="99" t="s">
        <v>521</v>
      </c>
      <c r="F326" s="20">
        <f t="shared" si="4"/>
        <v>153630273</v>
      </c>
      <c r="G326" s="7" t="s">
        <v>330</v>
      </c>
      <c r="H326" s="24" t="s">
        <v>109</v>
      </c>
      <c r="I326" s="32" t="s">
        <v>152</v>
      </c>
    </row>
    <row r="327" spans="1:9" x14ac:dyDescent="0.35">
      <c r="A327" s="19">
        <v>45722</v>
      </c>
      <c r="B327" s="20"/>
      <c r="C327" s="20"/>
      <c r="D327" s="20">
        <v>100000</v>
      </c>
      <c r="E327" s="99" t="s">
        <v>521</v>
      </c>
      <c r="F327" s="20">
        <f t="shared" si="4"/>
        <v>153730273</v>
      </c>
      <c r="G327" s="7" t="s">
        <v>330</v>
      </c>
      <c r="H327" s="24" t="s">
        <v>109</v>
      </c>
      <c r="I327" s="32" t="s">
        <v>152</v>
      </c>
    </row>
    <row r="328" spans="1:9" x14ac:dyDescent="0.35">
      <c r="A328" s="19">
        <v>45722</v>
      </c>
      <c r="B328" s="20"/>
      <c r="C328" s="20"/>
      <c r="D328" s="20">
        <v>50000</v>
      </c>
      <c r="E328" s="99" t="s">
        <v>521</v>
      </c>
      <c r="F328" s="20">
        <f t="shared" si="4"/>
        <v>153780273</v>
      </c>
      <c r="G328" s="7" t="s">
        <v>330</v>
      </c>
      <c r="H328" s="24" t="s">
        <v>109</v>
      </c>
      <c r="I328" s="32" t="s">
        <v>152</v>
      </c>
    </row>
    <row r="329" spans="1:9" x14ac:dyDescent="0.35">
      <c r="A329" s="19">
        <v>45722</v>
      </c>
      <c r="B329" s="20"/>
      <c r="C329" s="20"/>
      <c r="D329" s="20">
        <v>10000</v>
      </c>
      <c r="E329" s="99" t="s">
        <v>521</v>
      </c>
      <c r="F329" s="20">
        <f t="shared" si="4"/>
        <v>153790273</v>
      </c>
      <c r="G329" s="7" t="s">
        <v>330</v>
      </c>
      <c r="H329" s="24" t="s">
        <v>109</v>
      </c>
      <c r="I329" s="32" t="s">
        <v>152</v>
      </c>
    </row>
    <row r="330" spans="1:9" x14ac:dyDescent="0.35">
      <c r="A330" s="19">
        <v>45722</v>
      </c>
      <c r="B330" s="20"/>
      <c r="C330" s="20"/>
      <c r="D330" s="20">
        <v>10000</v>
      </c>
      <c r="E330" s="99" t="s">
        <v>521</v>
      </c>
      <c r="F330" s="20">
        <f t="shared" ref="F330:F393" si="5">+F329+D330-B330</f>
        <v>153800273</v>
      </c>
      <c r="G330" s="7" t="s">
        <v>330</v>
      </c>
      <c r="H330" s="24" t="s">
        <v>109</v>
      </c>
      <c r="I330" s="32" t="s">
        <v>152</v>
      </c>
    </row>
    <row r="331" spans="1:9" x14ac:dyDescent="0.35">
      <c r="A331" s="19">
        <v>45722</v>
      </c>
      <c r="B331" s="20"/>
      <c r="C331" s="20"/>
      <c r="D331" s="20">
        <v>100000</v>
      </c>
      <c r="E331" s="99" t="s">
        <v>521</v>
      </c>
      <c r="F331" s="20">
        <f t="shared" si="5"/>
        <v>153900273</v>
      </c>
      <c r="G331" s="7" t="s">
        <v>330</v>
      </c>
      <c r="H331" s="24" t="s">
        <v>109</v>
      </c>
      <c r="I331" s="32" t="s">
        <v>152</v>
      </c>
    </row>
    <row r="332" spans="1:9" x14ac:dyDescent="0.35">
      <c r="A332" s="19">
        <v>45722</v>
      </c>
      <c r="B332" s="20"/>
      <c r="C332" s="20"/>
      <c r="D332" s="20">
        <v>5000</v>
      </c>
      <c r="E332" s="99" t="s">
        <v>521</v>
      </c>
      <c r="F332" s="20">
        <f t="shared" si="5"/>
        <v>153905273</v>
      </c>
      <c r="G332" s="7" t="s">
        <v>330</v>
      </c>
      <c r="H332" s="24" t="s">
        <v>109</v>
      </c>
      <c r="I332" s="32" t="s">
        <v>152</v>
      </c>
    </row>
    <row r="333" spans="1:9" x14ac:dyDescent="0.35">
      <c r="A333" s="19">
        <v>45722</v>
      </c>
      <c r="B333" s="20"/>
      <c r="C333" s="20"/>
      <c r="D333" s="20">
        <v>50000</v>
      </c>
      <c r="E333" s="99" t="s">
        <v>521</v>
      </c>
      <c r="F333" s="20">
        <f t="shared" si="5"/>
        <v>153955273</v>
      </c>
      <c r="G333" s="7" t="s">
        <v>330</v>
      </c>
      <c r="H333" s="24" t="s">
        <v>109</v>
      </c>
      <c r="I333" s="32" t="s">
        <v>152</v>
      </c>
    </row>
    <row r="334" spans="1:9" x14ac:dyDescent="0.35">
      <c r="A334" s="19">
        <v>45722</v>
      </c>
      <c r="B334" s="20"/>
      <c r="C334" s="20"/>
      <c r="D334" s="20">
        <v>100000</v>
      </c>
      <c r="E334" s="99" t="s">
        <v>521</v>
      </c>
      <c r="F334" s="20">
        <f t="shared" si="5"/>
        <v>154055273</v>
      </c>
      <c r="G334" s="7" t="s">
        <v>348</v>
      </c>
      <c r="H334" s="24" t="s">
        <v>109</v>
      </c>
      <c r="I334" s="32" t="s">
        <v>152</v>
      </c>
    </row>
    <row r="335" spans="1:9" x14ac:dyDescent="0.35">
      <c r="A335" s="19">
        <v>45722</v>
      </c>
      <c r="B335" s="20"/>
      <c r="C335" s="20"/>
      <c r="D335" s="20">
        <v>400000</v>
      </c>
      <c r="E335" s="99" t="s">
        <v>521</v>
      </c>
      <c r="F335" s="20">
        <f t="shared" si="5"/>
        <v>154455273</v>
      </c>
      <c r="G335" s="7" t="s">
        <v>238</v>
      </c>
      <c r="H335" s="24" t="s">
        <v>109</v>
      </c>
      <c r="I335" s="32" t="s">
        <v>152</v>
      </c>
    </row>
    <row r="336" spans="1:9" x14ac:dyDescent="0.35">
      <c r="A336" s="19">
        <v>45722</v>
      </c>
      <c r="B336" s="20"/>
      <c r="C336" s="20"/>
      <c r="D336" s="20">
        <v>50000</v>
      </c>
      <c r="E336" s="99" t="s">
        <v>521</v>
      </c>
      <c r="F336" s="20">
        <f t="shared" si="5"/>
        <v>154505273</v>
      </c>
      <c r="G336" s="7" t="s">
        <v>349</v>
      </c>
      <c r="H336" s="24" t="s">
        <v>109</v>
      </c>
      <c r="I336" s="32" t="s">
        <v>152</v>
      </c>
    </row>
    <row r="337" spans="1:9" x14ac:dyDescent="0.35">
      <c r="A337" s="19">
        <v>45723</v>
      </c>
      <c r="B337" s="20"/>
      <c r="C337" s="20"/>
      <c r="D337" s="20">
        <v>2000000</v>
      </c>
      <c r="E337" s="99" t="s">
        <v>521</v>
      </c>
      <c r="F337" s="20">
        <f t="shared" si="5"/>
        <v>156505273</v>
      </c>
      <c r="G337" s="7" t="s">
        <v>350</v>
      </c>
      <c r="H337" s="24" t="s">
        <v>109</v>
      </c>
      <c r="I337" s="32" t="s">
        <v>152</v>
      </c>
    </row>
    <row r="338" spans="1:9" x14ac:dyDescent="0.35">
      <c r="A338" s="19">
        <v>45723</v>
      </c>
      <c r="B338" s="20"/>
      <c r="C338" s="20"/>
      <c r="D338" s="20">
        <v>50000</v>
      </c>
      <c r="E338" s="99" t="s">
        <v>521</v>
      </c>
      <c r="F338" s="20">
        <f t="shared" si="5"/>
        <v>156555273</v>
      </c>
      <c r="G338" s="7" t="s">
        <v>330</v>
      </c>
      <c r="H338" s="24" t="s">
        <v>109</v>
      </c>
      <c r="I338" s="32" t="s">
        <v>152</v>
      </c>
    </row>
    <row r="339" spans="1:9" x14ac:dyDescent="0.35">
      <c r="A339" s="19">
        <v>45723</v>
      </c>
      <c r="B339" s="20"/>
      <c r="C339" s="20"/>
      <c r="D339" s="20">
        <v>50000</v>
      </c>
      <c r="E339" s="99" t="s">
        <v>521</v>
      </c>
      <c r="F339" s="20">
        <f t="shared" si="5"/>
        <v>156605273</v>
      </c>
      <c r="G339" s="7" t="s">
        <v>330</v>
      </c>
      <c r="H339" s="24" t="s">
        <v>109</v>
      </c>
      <c r="I339" s="32" t="s">
        <v>152</v>
      </c>
    </row>
    <row r="340" spans="1:9" x14ac:dyDescent="0.35">
      <c r="A340" s="19">
        <v>45723</v>
      </c>
      <c r="B340" s="20"/>
      <c r="C340" s="20"/>
      <c r="D340" s="20">
        <v>50000</v>
      </c>
      <c r="E340" s="99" t="s">
        <v>521</v>
      </c>
      <c r="F340" s="20">
        <f t="shared" si="5"/>
        <v>156655273</v>
      </c>
      <c r="G340" s="7" t="s">
        <v>330</v>
      </c>
      <c r="H340" s="24" t="s">
        <v>109</v>
      </c>
      <c r="I340" s="32" t="s">
        <v>152</v>
      </c>
    </row>
    <row r="341" spans="1:9" x14ac:dyDescent="0.35">
      <c r="A341" s="19">
        <v>45723</v>
      </c>
      <c r="B341" s="20"/>
      <c r="C341" s="20"/>
      <c r="D341" s="20">
        <v>100000</v>
      </c>
      <c r="E341" s="99" t="s">
        <v>521</v>
      </c>
      <c r="F341" s="20">
        <f t="shared" si="5"/>
        <v>156755273</v>
      </c>
      <c r="G341" s="7" t="s">
        <v>330</v>
      </c>
      <c r="H341" s="24" t="s">
        <v>109</v>
      </c>
      <c r="I341" s="32" t="s">
        <v>152</v>
      </c>
    </row>
    <row r="342" spans="1:9" x14ac:dyDescent="0.35">
      <c r="A342" s="19">
        <v>45723</v>
      </c>
      <c r="B342" s="20"/>
      <c r="C342" s="20"/>
      <c r="D342" s="20">
        <v>100000</v>
      </c>
      <c r="E342" s="99" t="s">
        <v>521</v>
      </c>
      <c r="F342" s="20">
        <f t="shared" si="5"/>
        <v>156855273</v>
      </c>
      <c r="G342" s="7" t="s">
        <v>330</v>
      </c>
      <c r="H342" s="24" t="s">
        <v>109</v>
      </c>
      <c r="I342" s="32" t="s">
        <v>152</v>
      </c>
    </row>
    <row r="343" spans="1:9" x14ac:dyDescent="0.35">
      <c r="A343" s="19">
        <v>45723</v>
      </c>
      <c r="B343" s="20"/>
      <c r="C343" s="20"/>
      <c r="D343" s="20">
        <v>100000</v>
      </c>
      <c r="E343" s="99" t="s">
        <v>521</v>
      </c>
      <c r="F343" s="20">
        <f t="shared" si="5"/>
        <v>156955273</v>
      </c>
      <c r="G343" s="7" t="s">
        <v>330</v>
      </c>
      <c r="H343" s="24" t="s">
        <v>109</v>
      </c>
      <c r="I343" s="32" t="s">
        <v>152</v>
      </c>
    </row>
    <row r="344" spans="1:9" x14ac:dyDescent="0.35">
      <c r="A344" s="19">
        <v>45723</v>
      </c>
      <c r="B344" s="20"/>
      <c r="C344" s="20"/>
      <c r="D344" s="20">
        <v>10000</v>
      </c>
      <c r="E344" s="99" t="s">
        <v>521</v>
      </c>
      <c r="F344" s="20">
        <f t="shared" si="5"/>
        <v>156965273</v>
      </c>
      <c r="G344" s="7" t="s">
        <v>330</v>
      </c>
      <c r="H344" s="24" t="s">
        <v>109</v>
      </c>
      <c r="I344" s="32" t="s">
        <v>152</v>
      </c>
    </row>
    <row r="345" spans="1:9" x14ac:dyDescent="0.35">
      <c r="A345" s="19">
        <v>45723</v>
      </c>
      <c r="B345" s="20"/>
      <c r="C345" s="20"/>
      <c r="D345" s="20">
        <v>50000</v>
      </c>
      <c r="E345" s="99" t="s">
        <v>521</v>
      </c>
      <c r="F345" s="20">
        <f t="shared" si="5"/>
        <v>157015273</v>
      </c>
      <c r="G345" s="7" t="s">
        <v>330</v>
      </c>
      <c r="H345" s="24" t="s">
        <v>109</v>
      </c>
      <c r="I345" s="32" t="s">
        <v>152</v>
      </c>
    </row>
    <row r="346" spans="1:9" x14ac:dyDescent="0.35">
      <c r="A346" s="19">
        <v>45723</v>
      </c>
      <c r="B346" s="20"/>
      <c r="C346" s="20"/>
      <c r="D346" s="20">
        <v>10000</v>
      </c>
      <c r="E346" s="99" t="s">
        <v>521</v>
      </c>
      <c r="F346" s="20">
        <f t="shared" si="5"/>
        <v>157025273</v>
      </c>
      <c r="G346" s="7" t="s">
        <v>330</v>
      </c>
      <c r="H346" s="24" t="s">
        <v>109</v>
      </c>
      <c r="I346" s="32" t="s">
        <v>152</v>
      </c>
    </row>
    <row r="347" spans="1:9" x14ac:dyDescent="0.35">
      <c r="A347" s="19">
        <v>45723</v>
      </c>
      <c r="B347" s="20"/>
      <c r="C347" s="20"/>
      <c r="D347" s="20">
        <v>100000</v>
      </c>
      <c r="E347" s="99" t="s">
        <v>521</v>
      </c>
      <c r="F347" s="20">
        <f t="shared" si="5"/>
        <v>157125273</v>
      </c>
      <c r="G347" s="7" t="s">
        <v>330</v>
      </c>
      <c r="H347" s="24" t="s">
        <v>109</v>
      </c>
      <c r="I347" s="32" t="s">
        <v>152</v>
      </c>
    </row>
    <row r="348" spans="1:9" x14ac:dyDescent="0.35">
      <c r="A348" s="19">
        <v>45723</v>
      </c>
      <c r="B348" s="20"/>
      <c r="C348" s="20"/>
      <c r="D348" s="20">
        <v>99359</v>
      </c>
      <c r="E348" s="99" t="s">
        <v>521</v>
      </c>
      <c r="F348" s="20">
        <f t="shared" si="5"/>
        <v>157224632</v>
      </c>
      <c r="G348" s="7" t="s">
        <v>330</v>
      </c>
      <c r="H348" s="24" t="s">
        <v>109</v>
      </c>
      <c r="I348" s="32" t="s">
        <v>152</v>
      </c>
    </row>
    <row r="349" spans="1:9" x14ac:dyDescent="0.35">
      <c r="A349" s="19">
        <v>45723</v>
      </c>
      <c r="B349" s="20"/>
      <c r="C349" s="20"/>
      <c r="D349" s="20">
        <v>25000</v>
      </c>
      <c r="E349" s="99" t="s">
        <v>521</v>
      </c>
      <c r="F349" s="20">
        <f t="shared" si="5"/>
        <v>157249632</v>
      </c>
      <c r="G349" s="7" t="s">
        <v>330</v>
      </c>
      <c r="H349" s="24" t="s">
        <v>109</v>
      </c>
      <c r="I349" s="32" t="s">
        <v>152</v>
      </c>
    </row>
    <row r="350" spans="1:9" x14ac:dyDescent="0.35">
      <c r="A350" s="19">
        <v>45723</v>
      </c>
      <c r="B350" s="20"/>
      <c r="C350" s="20"/>
      <c r="D350" s="20">
        <v>20000</v>
      </c>
      <c r="E350" s="99" t="s">
        <v>521</v>
      </c>
      <c r="F350" s="20">
        <f t="shared" si="5"/>
        <v>157269632</v>
      </c>
      <c r="G350" s="7" t="s">
        <v>330</v>
      </c>
      <c r="H350" s="24" t="s">
        <v>109</v>
      </c>
      <c r="I350" s="32" t="s">
        <v>152</v>
      </c>
    </row>
    <row r="351" spans="1:9" x14ac:dyDescent="0.35">
      <c r="A351" s="19">
        <v>45723</v>
      </c>
      <c r="B351" s="20"/>
      <c r="C351" s="20"/>
      <c r="D351" s="20">
        <v>4331</v>
      </c>
      <c r="E351" s="99" t="s">
        <v>521</v>
      </c>
      <c r="F351" s="20">
        <f t="shared" si="5"/>
        <v>157273963</v>
      </c>
      <c r="G351" s="7" t="s">
        <v>330</v>
      </c>
      <c r="H351" s="24" t="s">
        <v>109</v>
      </c>
      <c r="I351" s="32" t="s">
        <v>152</v>
      </c>
    </row>
    <row r="352" spans="1:9" x14ac:dyDescent="0.35">
      <c r="A352" s="19">
        <v>45723</v>
      </c>
      <c r="B352" s="20">
        <v>2000000</v>
      </c>
      <c r="C352" s="20"/>
      <c r="D352" s="20"/>
      <c r="E352" s="99" t="s">
        <v>521</v>
      </c>
      <c r="F352" s="20">
        <f t="shared" si="5"/>
        <v>155273963</v>
      </c>
      <c r="G352" s="7" t="s">
        <v>351</v>
      </c>
      <c r="H352" s="24" t="s">
        <v>323</v>
      </c>
      <c r="I352" s="32" t="s">
        <v>152</v>
      </c>
    </row>
    <row r="353" spans="1:9" x14ac:dyDescent="0.35">
      <c r="A353" s="19">
        <v>45723</v>
      </c>
      <c r="B353" s="20">
        <v>2500</v>
      </c>
      <c r="C353" s="20"/>
      <c r="D353" s="20"/>
      <c r="E353" s="99" t="s">
        <v>521</v>
      </c>
      <c r="F353" s="20">
        <f t="shared" si="5"/>
        <v>155271463</v>
      </c>
      <c r="G353" s="7" t="s">
        <v>352</v>
      </c>
      <c r="H353" s="24" t="s">
        <v>323</v>
      </c>
      <c r="I353" s="32" t="s">
        <v>152</v>
      </c>
    </row>
    <row r="354" spans="1:9" x14ac:dyDescent="0.35">
      <c r="A354" s="19">
        <v>45726</v>
      </c>
      <c r="B354" s="20">
        <v>1350000</v>
      </c>
      <c r="C354" s="20"/>
      <c r="D354" s="20"/>
      <c r="E354" s="99" t="s">
        <v>521</v>
      </c>
      <c r="F354" s="20">
        <f t="shared" si="5"/>
        <v>153921463</v>
      </c>
      <c r="G354" s="7" t="s">
        <v>368</v>
      </c>
      <c r="H354" s="24" t="s">
        <v>320</v>
      </c>
      <c r="I354" s="32" t="s">
        <v>152</v>
      </c>
    </row>
    <row r="355" spans="1:9" x14ac:dyDescent="0.35">
      <c r="A355" s="19">
        <v>45726</v>
      </c>
      <c r="B355" s="20"/>
      <c r="C355" s="20"/>
      <c r="D355" s="20">
        <v>250000</v>
      </c>
      <c r="E355" s="99" t="s">
        <v>521</v>
      </c>
      <c r="F355" s="20">
        <f t="shared" si="5"/>
        <v>154171463</v>
      </c>
      <c r="G355" s="7" t="s">
        <v>369</v>
      </c>
      <c r="H355" s="24" t="s">
        <v>109</v>
      </c>
      <c r="I355" s="32" t="s">
        <v>152</v>
      </c>
    </row>
    <row r="356" spans="1:9" x14ac:dyDescent="0.35">
      <c r="A356" s="19">
        <v>45726</v>
      </c>
      <c r="B356" s="20"/>
      <c r="C356" s="20"/>
      <c r="D356" s="20">
        <v>50000</v>
      </c>
      <c r="E356" s="99" t="s">
        <v>521</v>
      </c>
      <c r="F356" s="20">
        <f t="shared" si="5"/>
        <v>154221463</v>
      </c>
      <c r="G356" s="7" t="s">
        <v>369</v>
      </c>
      <c r="H356" s="24" t="s">
        <v>109</v>
      </c>
      <c r="I356" s="32" t="s">
        <v>152</v>
      </c>
    </row>
    <row r="357" spans="1:9" x14ac:dyDescent="0.35">
      <c r="A357" s="19">
        <v>45726</v>
      </c>
      <c r="B357" s="20"/>
      <c r="C357" s="20"/>
      <c r="D357" s="20">
        <v>50000</v>
      </c>
      <c r="E357" s="99" t="s">
        <v>521</v>
      </c>
      <c r="F357" s="20">
        <f t="shared" si="5"/>
        <v>154271463</v>
      </c>
      <c r="G357" s="7" t="s">
        <v>369</v>
      </c>
      <c r="H357" s="24" t="s">
        <v>109</v>
      </c>
      <c r="I357" s="32" t="s">
        <v>152</v>
      </c>
    </row>
    <row r="358" spans="1:9" x14ac:dyDescent="0.35">
      <c r="A358" s="19">
        <v>45726</v>
      </c>
      <c r="B358" s="20"/>
      <c r="C358" s="20"/>
      <c r="D358" s="20">
        <v>50000</v>
      </c>
      <c r="E358" s="99" t="s">
        <v>521</v>
      </c>
      <c r="F358" s="20">
        <f t="shared" si="5"/>
        <v>154321463</v>
      </c>
      <c r="G358" s="7" t="s">
        <v>369</v>
      </c>
      <c r="H358" s="24" t="s">
        <v>109</v>
      </c>
      <c r="I358" s="32" t="s">
        <v>152</v>
      </c>
    </row>
    <row r="359" spans="1:9" x14ac:dyDescent="0.35">
      <c r="A359" s="19">
        <v>45726</v>
      </c>
      <c r="B359" s="20"/>
      <c r="C359" s="20"/>
      <c r="D359" s="20">
        <v>100000</v>
      </c>
      <c r="E359" s="99" t="s">
        <v>521</v>
      </c>
      <c r="F359" s="20">
        <f t="shared" si="5"/>
        <v>154421463</v>
      </c>
      <c r="G359" s="7" t="s">
        <v>369</v>
      </c>
      <c r="H359" s="24" t="s">
        <v>109</v>
      </c>
      <c r="I359" s="32" t="s">
        <v>152</v>
      </c>
    </row>
    <row r="360" spans="1:9" x14ac:dyDescent="0.35">
      <c r="A360" s="19">
        <v>45726</v>
      </c>
      <c r="B360" s="20"/>
      <c r="C360" s="20"/>
      <c r="D360" s="20">
        <v>25000</v>
      </c>
      <c r="E360" s="99" t="s">
        <v>521</v>
      </c>
      <c r="F360" s="20">
        <f t="shared" si="5"/>
        <v>154446463</v>
      </c>
      <c r="G360" s="7" t="s">
        <v>369</v>
      </c>
      <c r="H360" s="24" t="s">
        <v>109</v>
      </c>
      <c r="I360" s="32" t="s">
        <v>152</v>
      </c>
    </row>
    <row r="361" spans="1:9" x14ac:dyDescent="0.35">
      <c r="A361" s="19">
        <v>45726</v>
      </c>
      <c r="B361" s="20"/>
      <c r="C361" s="20"/>
      <c r="D361" s="20">
        <v>10000</v>
      </c>
      <c r="E361" s="99" t="s">
        <v>521</v>
      </c>
      <c r="F361" s="20">
        <f t="shared" si="5"/>
        <v>154456463</v>
      </c>
      <c r="G361" s="7" t="s">
        <v>369</v>
      </c>
      <c r="H361" s="24" t="s">
        <v>109</v>
      </c>
      <c r="I361" s="32" t="s">
        <v>152</v>
      </c>
    </row>
    <row r="362" spans="1:9" x14ac:dyDescent="0.35">
      <c r="A362" s="19">
        <v>45726</v>
      </c>
      <c r="B362" s="20"/>
      <c r="C362" s="20"/>
      <c r="D362" s="20">
        <v>50000</v>
      </c>
      <c r="E362" s="99" t="s">
        <v>521</v>
      </c>
      <c r="F362" s="20">
        <f t="shared" si="5"/>
        <v>154506463</v>
      </c>
      <c r="G362" s="7" t="s">
        <v>369</v>
      </c>
      <c r="H362" s="24" t="s">
        <v>109</v>
      </c>
      <c r="I362" s="32" t="s">
        <v>152</v>
      </c>
    </row>
    <row r="363" spans="1:9" x14ac:dyDescent="0.35">
      <c r="A363" s="19">
        <v>45726</v>
      </c>
      <c r="B363" s="20"/>
      <c r="C363" s="20"/>
      <c r="D363" s="20">
        <v>10000</v>
      </c>
      <c r="E363" s="99" t="s">
        <v>521</v>
      </c>
      <c r="F363" s="20">
        <f t="shared" si="5"/>
        <v>154516463</v>
      </c>
      <c r="G363" s="7" t="s">
        <v>369</v>
      </c>
      <c r="H363" s="24" t="s">
        <v>109</v>
      </c>
      <c r="I363" s="32" t="s">
        <v>152</v>
      </c>
    </row>
    <row r="364" spans="1:9" x14ac:dyDescent="0.35">
      <c r="A364" s="19">
        <v>45726</v>
      </c>
      <c r="B364" s="20"/>
      <c r="C364" s="20"/>
      <c r="D364" s="20">
        <v>20000</v>
      </c>
      <c r="E364" s="99" t="s">
        <v>521</v>
      </c>
      <c r="F364" s="20">
        <f t="shared" si="5"/>
        <v>154536463</v>
      </c>
      <c r="G364" s="7" t="s">
        <v>369</v>
      </c>
      <c r="H364" s="24" t="s">
        <v>109</v>
      </c>
      <c r="I364" s="32" t="s">
        <v>152</v>
      </c>
    </row>
    <row r="365" spans="1:9" x14ac:dyDescent="0.35">
      <c r="A365" s="19">
        <v>45726</v>
      </c>
      <c r="B365" s="20"/>
      <c r="C365" s="20"/>
      <c r="D365" s="20">
        <v>3000</v>
      </c>
      <c r="E365" s="99" t="s">
        <v>521</v>
      </c>
      <c r="F365" s="20">
        <f t="shared" si="5"/>
        <v>154539463</v>
      </c>
      <c r="G365" s="7" t="s">
        <v>369</v>
      </c>
      <c r="H365" s="24" t="s">
        <v>109</v>
      </c>
      <c r="I365" s="32" t="s">
        <v>152</v>
      </c>
    </row>
    <row r="366" spans="1:9" x14ac:dyDescent="0.35">
      <c r="A366" s="19">
        <v>45726</v>
      </c>
      <c r="B366" s="20"/>
      <c r="C366" s="20"/>
      <c r="D366" s="20">
        <v>916</v>
      </c>
      <c r="E366" s="99" t="s">
        <v>521</v>
      </c>
      <c r="F366" s="20">
        <f t="shared" si="5"/>
        <v>154540379</v>
      </c>
      <c r="G366" s="7" t="s">
        <v>369</v>
      </c>
      <c r="H366" s="24" t="s">
        <v>109</v>
      </c>
      <c r="I366" s="32" t="s">
        <v>152</v>
      </c>
    </row>
    <row r="367" spans="1:9" x14ac:dyDescent="0.35">
      <c r="A367" s="19">
        <v>45726</v>
      </c>
      <c r="B367" s="20">
        <v>750000</v>
      </c>
      <c r="C367" s="20"/>
      <c r="D367" s="20"/>
      <c r="E367" s="99" t="s">
        <v>521</v>
      </c>
      <c r="F367" s="20">
        <f t="shared" si="5"/>
        <v>153790379</v>
      </c>
      <c r="G367" s="7" t="s">
        <v>370</v>
      </c>
      <c r="H367" s="24" t="s">
        <v>323</v>
      </c>
      <c r="I367" s="32" t="s">
        <v>152</v>
      </c>
    </row>
    <row r="368" spans="1:9" x14ac:dyDescent="0.35">
      <c r="A368" s="19">
        <v>45726</v>
      </c>
      <c r="B368" s="20">
        <v>2500</v>
      </c>
      <c r="C368" s="20"/>
      <c r="D368" s="20"/>
      <c r="E368" s="99" t="s">
        <v>521</v>
      </c>
      <c r="F368" s="20">
        <f t="shared" si="5"/>
        <v>153787879</v>
      </c>
      <c r="G368" s="7" t="s">
        <v>371</v>
      </c>
      <c r="H368" s="24" t="s">
        <v>323</v>
      </c>
      <c r="I368" s="32" t="s">
        <v>152</v>
      </c>
    </row>
    <row r="369" spans="1:9" x14ac:dyDescent="0.35">
      <c r="A369" s="19">
        <v>45726</v>
      </c>
      <c r="B369" s="20"/>
      <c r="C369" s="20"/>
      <c r="D369" s="20">
        <v>400000</v>
      </c>
      <c r="E369" s="99" t="s">
        <v>521</v>
      </c>
      <c r="F369" s="20">
        <f t="shared" si="5"/>
        <v>154187879</v>
      </c>
      <c r="G369" s="7" t="s">
        <v>372</v>
      </c>
      <c r="H369" s="24" t="s">
        <v>109</v>
      </c>
      <c r="I369" s="32" t="s">
        <v>152</v>
      </c>
    </row>
    <row r="370" spans="1:9" x14ac:dyDescent="0.35">
      <c r="A370" s="19">
        <v>45726</v>
      </c>
      <c r="B370" s="20"/>
      <c r="C370" s="20"/>
      <c r="D370" s="20">
        <v>20000</v>
      </c>
      <c r="E370" s="99" t="s">
        <v>521</v>
      </c>
      <c r="F370" s="20">
        <f t="shared" si="5"/>
        <v>154207879</v>
      </c>
      <c r="G370" s="7" t="s">
        <v>369</v>
      </c>
      <c r="H370" s="24" t="s">
        <v>109</v>
      </c>
      <c r="I370" s="32" t="s">
        <v>152</v>
      </c>
    </row>
    <row r="371" spans="1:9" x14ac:dyDescent="0.35">
      <c r="A371" s="19">
        <v>45726</v>
      </c>
      <c r="B371" s="20"/>
      <c r="C371" s="20"/>
      <c r="D371" s="20">
        <v>25000</v>
      </c>
      <c r="E371" s="99" t="s">
        <v>521</v>
      </c>
      <c r="F371" s="20">
        <f t="shared" si="5"/>
        <v>154232879</v>
      </c>
      <c r="G371" s="7" t="s">
        <v>369</v>
      </c>
      <c r="H371" s="24" t="s">
        <v>109</v>
      </c>
      <c r="I371" s="32" t="s">
        <v>152</v>
      </c>
    </row>
    <row r="372" spans="1:9" x14ac:dyDescent="0.35">
      <c r="A372" s="19">
        <v>45726</v>
      </c>
      <c r="B372" s="20"/>
      <c r="C372" s="20"/>
      <c r="D372" s="20">
        <v>100000</v>
      </c>
      <c r="E372" s="99" t="s">
        <v>521</v>
      </c>
      <c r="F372" s="20">
        <f t="shared" si="5"/>
        <v>154332879</v>
      </c>
      <c r="G372" s="7" t="s">
        <v>369</v>
      </c>
      <c r="H372" s="24" t="s">
        <v>109</v>
      </c>
      <c r="I372" s="32" t="s">
        <v>152</v>
      </c>
    </row>
    <row r="373" spans="1:9" x14ac:dyDescent="0.35">
      <c r="A373" s="19">
        <v>45726</v>
      </c>
      <c r="B373" s="20"/>
      <c r="C373" s="20"/>
      <c r="D373" s="20">
        <v>50000</v>
      </c>
      <c r="E373" s="99" t="s">
        <v>521</v>
      </c>
      <c r="F373" s="20">
        <f t="shared" si="5"/>
        <v>154382879</v>
      </c>
      <c r="G373" s="7" t="s">
        <v>369</v>
      </c>
      <c r="H373" s="24" t="s">
        <v>109</v>
      </c>
      <c r="I373" s="32" t="s">
        <v>152</v>
      </c>
    </row>
    <row r="374" spans="1:9" x14ac:dyDescent="0.35">
      <c r="A374" s="19">
        <v>45726</v>
      </c>
      <c r="B374" s="20"/>
      <c r="C374" s="20"/>
      <c r="D374" s="20">
        <v>100000</v>
      </c>
      <c r="E374" s="99" t="s">
        <v>521</v>
      </c>
      <c r="F374" s="20">
        <f t="shared" si="5"/>
        <v>154482879</v>
      </c>
      <c r="G374" s="7" t="s">
        <v>369</v>
      </c>
      <c r="H374" s="24" t="s">
        <v>109</v>
      </c>
      <c r="I374" s="32" t="s">
        <v>152</v>
      </c>
    </row>
    <row r="375" spans="1:9" x14ac:dyDescent="0.35">
      <c r="A375" s="19">
        <v>45726</v>
      </c>
      <c r="B375" s="20"/>
      <c r="C375" s="20"/>
      <c r="D375" s="20">
        <v>25000</v>
      </c>
      <c r="E375" s="99" t="s">
        <v>521</v>
      </c>
      <c r="F375" s="20">
        <f t="shared" si="5"/>
        <v>154507879</v>
      </c>
      <c r="G375" s="7" t="s">
        <v>369</v>
      </c>
      <c r="H375" s="24" t="s">
        <v>109</v>
      </c>
      <c r="I375" s="32" t="s">
        <v>152</v>
      </c>
    </row>
    <row r="376" spans="1:9" x14ac:dyDescent="0.35">
      <c r="A376" s="19">
        <v>45726</v>
      </c>
      <c r="B376" s="20"/>
      <c r="C376" s="20"/>
      <c r="D376" s="20">
        <v>25000</v>
      </c>
      <c r="E376" s="99" t="s">
        <v>521</v>
      </c>
      <c r="F376" s="20">
        <f t="shared" si="5"/>
        <v>154532879</v>
      </c>
      <c r="G376" s="7" t="s">
        <v>369</v>
      </c>
      <c r="H376" s="24" t="s">
        <v>109</v>
      </c>
      <c r="I376" s="32" t="s">
        <v>152</v>
      </c>
    </row>
    <row r="377" spans="1:9" x14ac:dyDescent="0.35">
      <c r="A377" s="19">
        <v>45726</v>
      </c>
      <c r="B377" s="20"/>
      <c r="C377" s="20"/>
      <c r="D377" s="20">
        <v>50000</v>
      </c>
      <c r="E377" s="99" t="s">
        <v>521</v>
      </c>
      <c r="F377" s="20">
        <f t="shared" si="5"/>
        <v>154582879</v>
      </c>
      <c r="G377" s="7" t="s">
        <v>369</v>
      </c>
      <c r="H377" s="24" t="s">
        <v>109</v>
      </c>
      <c r="I377" s="32" t="s">
        <v>152</v>
      </c>
    </row>
    <row r="378" spans="1:9" x14ac:dyDescent="0.35">
      <c r="A378" s="19">
        <v>45726</v>
      </c>
      <c r="B378" s="20"/>
      <c r="C378" s="20"/>
      <c r="D378" s="20">
        <v>10000</v>
      </c>
      <c r="E378" s="99" t="s">
        <v>521</v>
      </c>
      <c r="F378" s="20">
        <f t="shared" si="5"/>
        <v>154592879</v>
      </c>
      <c r="G378" s="7" t="s">
        <v>369</v>
      </c>
      <c r="H378" s="24" t="s">
        <v>109</v>
      </c>
      <c r="I378" s="32" t="s">
        <v>152</v>
      </c>
    </row>
    <row r="379" spans="1:9" x14ac:dyDescent="0.35">
      <c r="A379" s="19">
        <v>45726</v>
      </c>
      <c r="B379" s="20"/>
      <c r="C379" s="20"/>
      <c r="D379" s="20">
        <v>100000</v>
      </c>
      <c r="E379" s="99" t="s">
        <v>521</v>
      </c>
      <c r="F379" s="20">
        <f t="shared" si="5"/>
        <v>154692879</v>
      </c>
      <c r="G379" s="7" t="s">
        <v>369</v>
      </c>
      <c r="H379" s="24" t="s">
        <v>109</v>
      </c>
      <c r="I379" s="32" t="s">
        <v>152</v>
      </c>
    </row>
    <row r="380" spans="1:9" x14ac:dyDescent="0.35">
      <c r="A380" s="19">
        <v>45726</v>
      </c>
      <c r="B380" s="20"/>
      <c r="C380" s="20"/>
      <c r="D380" s="20">
        <v>50000</v>
      </c>
      <c r="E380" s="99" t="s">
        <v>521</v>
      </c>
      <c r="F380" s="20">
        <f t="shared" si="5"/>
        <v>154742879</v>
      </c>
      <c r="G380" s="7" t="s">
        <v>369</v>
      </c>
      <c r="H380" s="24" t="s">
        <v>109</v>
      </c>
      <c r="I380" s="32" t="s">
        <v>152</v>
      </c>
    </row>
    <row r="381" spans="1:9" x14ac:dyDescent="0.35">
      <c r="A381" s="19">
        <v>45726</v>
      </c>
      <c r="B381" s="20"/>
      <c r="C381" s="20"/>
      <c r="D381" s="20">
        <v>100000</v>
      </c>
      <c r="E381" s="99" t="s">
        <v>521</v>
      </c>
      <c r="F381" s="20">
        <f t="shared" si="5"/>
        <v>154842879</v>
      </c>
      <c r="G381" s="7" t="s">
        <v>369</v>
      </c>
      <c r="H381" s="24" t="s">
        <v>109</v>
      </c>
      <c r="I381" s="32" t="s">
        <v>152</v>
      </c>
    </row>
    <row r="382" spans="1:9" x14ac:dyDescent="0.35">
      <c r="A382" s="19">
        <v>45726</v>
      </c>
      <c r="B382" s="20"/>
      <c r="C382" s="20"/>
      <c r="D382" s="20">
        <v>25000</v>
      </c>
      <c r="E382" s="99" t="s">
        <v>521</v>
      </c>
      <c r="F382" s="20">
        <f t="shared" si="5"/>
        <v>154867879</v>
      </c>
      <c r="G382" s="7" t="s">
        <v>369</v>
      </c>
      <c r="H382" s="24" t="s">
        <v>109</v>
      </c>
      <c r="I382" s="32" t="s">
        <v>152</v>
      </c>
    </row>
    <row r="383" spans="1:9" x14ac:dyDescent="0.35">
      <c r="A383" s="19">
        <v>45726</v>
      </c>
      <c r="B383" s="20"/>
      <c r="C383" s="20"/>
      <c r="D383" s="20">
        <v>200000</v>
      </c>
      <c r="E383" s="99" t="s">
        <v>521</v>
      </c>
      <c r="F383" s="20">
        <f t="shared" si="5"/>
        <v>155067879</v>
      </c>
      <c r="G383" s="7" t="s">
        <v>380</v>
      </c>
      <c r="H383" s="24" t="s">
        <v>109</v>
      </c>
      <c r="I383" s="32" t="s">
        <v>152</v>
      </c>
    </row>
    <row r="384" spans="1:9" x14ac:dyDescent="0.35">
      <c r="A384" s="19">
        <v>45726</v>
      </c>
      <c r="B384" s="20"/>
      <c r="C384" s="20"/>
      <c r="D384" s="20">
        <v>20000</v>
      </c>
      <c r="E384" s="99" t="s">
        <v>521</v>
      </c>
      <c r="F384" s="20">
        <f t="shared" si="5"/>
        <v>155087879</v>
      </c>
      <c r="G384" s="7" t="s">
        <v>369</v>
      </c>
      <c r="H384" s="24" t="s">
        <v>109</v>
      </c>
      <c r="I384" s="32" t="s">
        <v>152</v>
      </c>
    </row>
    <row r="385" spans="1:9" x14ac:dyDescent="0.35">
      <c r="A385" s="19">
        <v>45726</v>
      </c>
      <c r="B385" s="20"/>
      <c r="C385" s="20"/>
      <c r="D385" s="20">
        <v>100000</v>
      </c>
      <c r="E385" s="99" t="s">
        <v>521</v>
      </c>
      <c r="F385" s="20">
        <f t="shared" si="5"/>
        <v>155187879</v>
      </c>
      <c r="G385" s="7" t="s">
        <v>369</v>
      </c>
      <c r="H385" s="24" t="s">
        <v>109</v>
      </c>
      <c r="I385" s="32" t="s">
        <v>152</v>
      </c>
    </row>
    <row r="386" spans="1:9" x14ac:dyDescent="0.35">
      <c r="A386" s="19">
        <v>45726</v>
      </c>
      <c r="B386" s="20"/>
      <c r="C386" s="20"/>
      <c r="D386" s="20">
        <v>25000</v>
      </c>
      <c r="E386" s="99" t="s">
        <v>521</v>
      </c>
      <c r="F386" s="20">
        <f t="shared" si="5"/>
        <v>155212879</v>
      </c>
      <c r="G386" s="7" t="s">
        <v>369</v>
      </c>
      <c r="H386" s="24" t="s">
        <v>109</v>
      </c>
      <c r="I386" s="32" t="s">
        <v>152</v>
      </c>
    </row>
    <row r="387" spans="1:9" x14ac:dyDescent="0.35">
      <c r="A387" s="19">
        <v>45726</v>
      </c>
      <c r="B387" s="20"/>
      <c r="C387" s="20"/>
      <c r="D387" s="20">
        <v>25000</v>
      </c>
      <c r="E387" s="99" t="s">
        <v>521</v>
      </c>
      <c r="F387" s="20">
        <f t="shared" si="5"/>
        <v>155237879</v>
      </c>
      <c r="G387" s="7" t="s">
        <v>369</v>
      </c>
      <c r="H387" s="24" t="s">
        <v>109</v>
      </c>
      <c r="I387" s="32" t="s">
        <v>152</v>
      </c>
    </row>
    <row r="388" spans="1:9" x14ac:dyDescent="0.35">
      <c r="A388" s="19">
        <v>45726</v>
      </c>
      <c r="B388" s="20"/>
      <c r="C388" s="20"/>
      <c r="D388" s="20">
        <v>100000</v>
      </c>
      <c r="E388" s="99" t="s">
        <v>521</v>
      </c>
      <c r="F388" s="20">
        <f t="shared" si="5"/>
        <v>155337879</v>
      </c>
      <c r="G388" s="7" t="s">
        <v>369</v>
      </c>
      <c r="H388" s="24" t="s">
        <v>109</v>
      </c>
      <c r="I388" s="32" t="s">
        <v>152</v>
      </c>
    </row>
    <row r="389" spans="1:9" x14ac:dyDescent="0.35">
      <c r="A389" s="19">
        <v>45726</v>
      </c>
      <c r="B389" s="20"/>
      <c r="C389" s="20"/>
      <c r="D389" s="20">
        <v>10000</v>
      </c>
      <c r="E389" s="99" t="s">
        <v>521</v>
      </c>
      <c r="F389" s="20">
        <f t="shared" si="5"/>
        <v>155347879</v>
      </c>
      <c r="G389" s="7" t="s">
        <v>369</v>
      </c>
      <c r="H389" s="24" t="s">
        <v>109</v>
      </c>
      <c r="I389" s="32" t="s">
        <v>152</v>
      </c>
    </row>
    <row r="390" spans="1:9" x14ac:dyDescent="0.35">
      <c r="A390" s="19">
        <v>45726</v>
      </c>
      <c r="B390" s="20"/>
      <c r="C390" s="20"/>
      <c r="D390" s="20">
        <v>10000</v>
      </c>
      <c r="E390" s="99" t="s">
        <v>521</v>
      </c>
      <c r="F390" s="20">
        <f t="shared" si="5"/>
        <v>155357879</v>
      </c>
      <c r="G390" s="7" t="s">
        <v>369</v>
      </c>
      <c r="H390" s="24" t="s">
        <v>109</v>
      </c>
      <c r="I390" s="32" t="s">
        <v>152</v>
      </c>
    </row>
    <row r="391" spans="1:9" x14ac:dyDescent="0.35">
      <c r="A391" s="19">
        <v>45726</v>
      </c>
      <c r="B391" s="20"/>
      <c r="C391" s="20"/>
      <c r="D391" s="20">
        <v>7000</v>
      </c>
      <c r="E391" s="99" t="s">
        <v>521</v>
      </c>
      <c r="F391" s="20">
        <f t="shared" si="5"/>
        <v>155364879</v>
      </c>
      <c r="G391" s="7" t="s">
        <v>369</v>
      </c>
      <c r="H391" s="24" t="s">
        <v>109</v>
      </c>
      <c r="I391" s="32" t="s">
        <v>152</v>
      </c>
    </row>
    <row r="392" spans="1:9" x14ac:dyDescent="0.35">
      <c r="A392" s="19">
        <v>45726</v>
      </c>
      <c r="B392" s="20"/>
      <c r="C392" s="20"/>
      <c r="D392" s="20">
        <v>25000</v>
      </c>
      <c r="E392" s="99" t="s">
        <v>521</v>
      </c>
      <c r="F392" s="20">
        <f>+F391+D392-B392</f>
        <v>155389879</v>
      </c>
      <c r="G392" s="7" t="s">
        <v>369</v>
      </c>
      <c r="H392" s="24" t="s">
        <v>109</v>
      </c>
      <c r="I392" s="32" t="s">
        <v>152</v>
      </c>
    </row>
    <row r="393" spans="1:9" x14ac:dyDescent="0.35">
      <c r="A393" s="19">
        <v>45726</v>
      </c>
      <c r="B393" s="20"/>
      <c r="C393" s="20"/>
      <c r="D393" s="20">
        <v>20000</v>
      </c>
      <c r="E393" s="99" t="s">
        <v>521</v>
      </c>
      <c r="F393" s="20">
        <f t="shared" si="5"/>
        <v>155409879</v>
      </c>
      <c r="G393" s="7" t="s">
        <v>369</v>
      </c>
      <c r="H393" s="24" t="s">
        <v>109</v>
      </c>
      <c r="I393" s="32" t="s">
        <v>152</v>
      </c>
    </row>
    <row r="394" spans="1:9" x14ac:dyDescent="0.35">
      <c r="A394" s="19">
        <v>45726</v>
      </c>
      <c r="B394" s="20"/>
      <c r="C394" s="20"/>
      <c r="D394" s="23">
        <v>5597000</v>
      </c>
      <c r="E394" s="99" t="s">
        <v>521</v>
      </c>
      <c r="F394" s="20">
        <f t="shared" ref="F394:F457" si="6">+F393+D394-B394</f>
        <v>161006879</v>
      </c>
      <c r="G394" s="24" t="s">
        <v>107</v>
      </c>
      <c r="H394" s="24" t="s">
        <v>107</v>
      </c>
      <c r="I394" s="32" t="s">
        <v>152</v>
      </c>
    </row>
    <row r="395" spans="1:9" x14ac:dyDescent="0.35">
      <c r="A395" s="19">
        <v>45726</v>
      </c>
      <c r="B395" s="20"/>
      <c r="C395" s="20"/>
      <c r="D395" s="23">
        <v>5680000</v>
      </c>
      <c r="E395" s="99" t="s">
        <v>521</v>
      </c>
      <c r="F395" s="20">
        <f t="shared" si="6"/>
        <v>166686879</v>
      </c>
      <c r="G395" s="24" t="s">
        <v>109</v>
      </c>
      <c r="H395" s="24" t="s">
        <v>109</v>
      </c>
      <c r="I395" s="32" t="s">
        <v>152</v>
      </c>
    </row>
    <row r="396" spans="1:9" x14ac:dyDescent="0.35">
      <c r="A396" s="19">
        <v>45726</v>
      </c>
      <c r="B396" s="20"/>
      <c r="C396" s="20"/>
      <c r="D396" s="23">
        <v>4558000</v>
      </c>
      <c r="E396" s="99" t="s">
        <v>521</v>
      </c>
      <c r="F396" s="20">
        <f t="shared" si="6"/>
        <v>171244879</v>
      </c>
      <c r="G396" s="24" t="s">
        <v>377</v>
      </c>
      <c r="H396" s="24" t="s">
        <v>109</v>
      </c>
      <c r="I396" s="32" t="s">
        <v>152</v>
      </c>
    </row>
    <row r="397" spans="1:9" x14ac:dyDescent="0.35">
      <c r="A397" s="19">
        <v>45726</v>
      </c>
      <c r="B397" s="23">
        <v>5000</v>
      </c>
      <c r="C397" s="20"/>
      <c r="D397" s="20"/>
      <c r="E397" s="99" t="s">
        <v>521</v>
      </c>
      <c r="F397" s="20">
        <f t="shared" si="6"/>
        <v>171239879</v>
      </c>
      <c r="G397" s="24" t="s">
        <v>115</v>
      </c>
      <c r="H397" s="59" t="s">
        <v>320</v>
      </c>
      <c r="I397" s="32" t="s">
        <v>152</v>
      </c>
    </row>
    <row r="398" spans="1:9" x14ac:dyDescent="0.35">
      <c r="A398" s="19"/>
      <c r="B398" s="20"/>
      <c r="C398" s="20">
        <v>15830000</v>
      </c>
      <c r="D398" s="20"/>
      <c r="E398" s="99"/>
      <c r="F398" s="20">
        <f t="shared" si="6"/>
        <v>171239879</v>
      </c>
      <c r="G398" s="7" t="s">
        <v>305</v>
      </c>
      <c r="H398" s="59"/>
      <c r="I398" s="32"/>
    </row>
    <row r="399" spans="1:9" x14ac:dyDescent="0.35">
      <c r="A399" s="19">
        <v>45727</v>
      </c>
      <c r="B399" s="20"/>
      <c r="C399" s="20"/>
      <c r="D399" s="20">
        <v>50000</v>
      </c>
      <c r="E399" s="99" t="s">
        <v>521</v>
      </c>
      <c r="F399" s="20">
        <f t="shared" si="6"/>
        <v>171289879</v>
      </c>
      <c r="G399" s="7" t="s">
        <v>369</v>
      </c>
      <c r="H399" s="24" t="s">
        <v>109</v>
      </c>
      <c r="I399" s="32" t="s">
        <v>152</v>
      </c>
    </row>
    <row r="400" spans="1:9" x14ac:dyDescent="0.35">
      <c r="A400" s="19">
        <v>45727</v>
      </c>
      <c r="B400" s="20"/>
      <c r="C400" s="20"/>
      <c r="D400" s="20">
        <v>100000</v>
      </c>
      <c r="E400" s="99" t="s">
        <v>521</v>
      </c>
      <c r="F400" s="20">
        <f t="shared" si="6"/>
        <v>171389879</v>
      </c>
      <c r="G400" s="7" t="s">
        <v>369</v>
      </c>
      <c r="H400" s="24" t="s">
        <v>109</v>
      </c>
      <c r="I400" s="32" t="s">
        <v>152</v>
      </c>
    </row>
    <row r="401" spans="1:9" x14ac:dyDescent="0.35">
      <c r="A401" s="19">
        <v>45727</v>
      </c>
      <c r="B401" s="20"/>
      <c r="C401" s="20"/>
      <c r="D401" s="20">
        <v>250000</v>
      </c>
      <c r="E401" s="99" t="s">
        <v>521</v>
      </c>
      <c r="F401" s="20">
        <f t="shared" si="6"/>
        <v>171639879</v>
      </c>
      <c r="G401" s="7" t="s">
        <v>369</v>
      </c>
      <c r="H401" s="24" t="s">
        <v>109</v>
      </c>
      <c r="I401" s="32" t="s">
        <v>152</v>
      </c>
    </row>
    <row r="402" spans="1:9" x14ac:dyDescent="0.35">
      <c r="A402" s="19">
        <v>45727</v>
      </c>
      <c r="B402" s="20"/>
      <c r="C402" s="20"/>
      <c r="D402" s="20">
        <v>50000</v>
      </c>
      <c r="E402" s="99" t="s">
        <v>521</v>
      </c>
      <c r="F402" s="20">
        <f t="shared" si="6"/>
        <v>171689879</v>
      </c>
      <c r="G402" s="7" t="s">
        <v>369</v>
      </c>
      <c r="H402" s="24" t="s">
        <v>109</v>
      </c>
      <c r="I402" s="32" t="s">
        <v>152</v>
      </c>
    </row>
    <row r="403" spans="1:9" x14ac:dyDescent="0.35">
      <c r="A403" s="19">
        <v>45727</v>
      </c>
      <c r="B403" s="20"/>
      <c r="C403" s="20"/>
      <c r="D403" s="20">
        <v>10000</v>
      </c>
      <c r="E403" s="99" t="s">
        <v>521</v>
      </c>
      <c r="F403" s="20">
        <f t="shared" si="6"/>
        <v>171699879</v>
      </c>
      <c r="G403" s="7" t="s">
        <v>369</v>
      </c>
      <c r="H403" s="24" t="s">
        <v>109</v>
      </c>
      <c r="I403" s="32" t="s">
        <v>152</v>
      </c>
    </row>
    <row r="404" spans="1:9" x14ac:dyDescent="0.35">
      <c r="A404" s="19">
        <v>45727</v>
      </c>
      <c r="B404" s="20"/>
      <c r="C404" s="20"/>
      <c r="D404" s="20">
        <v>25000</v>
      </c>
      <c r="E404" s="99" t="s">
        <v>521</v>
      </c>
      <c r="F404" s="20">
        <f t="shared" si="6"/>
        <v>171724879</v>
      </c>
      <c r="G404" s="7" t="s">
        <v>369</v>
      </c>
      <c r="H404" s="24" t="s">
        <v>109</v>
      </c>
      <c r="I404" s="32" t="s">
        <v>152</v>
      </c>
    </row>
    <row r="405" spans="1:9" x14ac:dyDescent="0.35">
      <c r="A405" s="19">
        <v>45727</v>
      </c>
      <c r="B405" s="20"/>
      <c r="C405" s="20"/>
      <c r="D405" s="20">
        <v>50000</v>
      </c>
      <c r="E405" s="99" t="s">
        <v>521</v>
      </c>
      <c r="F405" s="20">
        <f t="shared" si="6"/>
        <v>171774879</v>
      </c>
      <c r="G405" s="7" t="s">
        <v>369</v>
      </c>
      <c r="H405" s="24" t="s">
        <v>109</v>
      </c>
      <c r="I405" s="32" t="s">
        <v>152</v>
      </c>
    </row>
    <row r="406" spans="1:9" x14ac:dyDescent="0.35">
      <c r="A406" s="19">
        <v>45727</v>
      </c>
      <c r="B406" s="20"/>
      <c r="C406" s="20"/>
      <c r="D406" s="20">
        <v>20000</v>
      </c>
      <c r="E406" s="99" t="s">
        <v>521</v>
      </c>
      <c r="F406" s="20">
        <f t="shared" si="6"/>
        <v>171794879</v>
      </c>
      <c r="G406" s="7" t="s">
        <v>369</v>
      </c>
      <c r="H406" s="24" t="s">
        <v>109</v>
      </c>
      <c r="I406" s="32" t="s">
        <v>152</v>
      </c>
    </row>
    <row r="407" spans="1:9" x14ac:dyDescent="0.35">
      <c r="A407" s="19">
        <v>45727</v>
      </c>
      <c r="B407" s="20"/>
      <c r="C407" s="20"/>
      <c r="D407" s="20">
        <v>1010</v>
      </c>
      <c r="E407" s="99" t="s">
        <v>521</v>
      </c>
      <c r="F407" s="20">
        <f t="shared" si="6"/>
        <v>171795889</v>
      </c>
      <c r="G407" s="7" t="s">
        <v>369</v>
      </c>
      <c r="H407" s="24" t="s">
        <v>109</v>
      </c>
      <c r="I407" s="32" t="s">
        <v>152</v>
      </c>
    </row>
    <row r="408" spans="1:9" x14ac:dyDescent="0.35">
      <c r="A408" s="19">
        <v>45727</v>
      </c>
      <c r="B408" s="20"/>
      <c r="C408" s="20"/>
      <c r="D408" s="20">
        <v>5000</v>
      </c>
      <c r="E408" s="99" t="s">
        <v>521</v>
      </c>
      <c r="F408" s="20">
        <f t="shared" si="6"/>
        <v>171800889</v>
      </c>
      <c r="G408" s="7" t="s">
        <v>369</v>
      </c>
      <c r="H408" s="24" t="s">
        <v>109</v>
      </c>
      <c r="I408" s="32" t="s">
        <v>152</v>
      </c>
    </row>
    <row r="409" spans="1:9" x14ac:dyDescent="0.35">
      <c r="A409" s="19">
        <v>45727</v>
      </c>
      <c r="B409" s="20"/>
      <c r="C409" s="20"/>
      <c r="D409" s="20">
        <v>100000</v>
      </c>
      <c r="E409" s="99" t="s">
        <v>521</v>
      </c>
      <c r="F409" s="20">
        <f t="shared" si="6"/>
        <v>171900889</v>
      </c>
      <c r="G409" s="7" t="s">
        <v>373</v>
      </c>
      <c r="H409" s="24" t="s">
        <v>109</v>
      </c>
      <c r="I409" s="32" t="s">
        <v>152</v>
      </c>
    </row>
    <row r="410" spans="1:9" x14ac:dyDescent="0.35">
      <c r="A410" s="19">
        <v>45727</v>
      </c>
      <c r="B410" s="20"/>
      <c r="C410" s="20"/>
      <c r="D410" s="20">
        <v>250000</v>
      </c>
      <c r="E410" s="99" t="s">
        <v>521</v>
      </c>
      <c r="F410" s="20">
        <f t="shared" si="6"/>
        <v>172150889</v>
      </c>
      <c r="G410" s="7" t="s">
        <v>387</v>
      </c>
      <c r="H410" s="24" t="s">
        <v>109</v>
      </c>
      <c r="I410" s="32" t="s">
        <v>152</v>
      </c>
    </row>
    <row r="411" spans="1:9" x14ac:dyDescent="0.35">
      <c r="A411" s="19">
        <v>45728</v>
      </c>
      <c r="B411" s="20">
        <v>3500000</v>
      </c>
      <c r="C411" s="20"/>
      <c r="D411" s="20"/>
      <c r="E411" s="99" t="s">
        <v>521</v>
      </c>
      <c r="F411" s="20">
        <f t="shared" si="6"/>
        <v>168650889</v>
      </c>
      <c r="G411" s="7" t="s">
        <v>388</v>
      </c>
      <c r="H411" s="24" t="s">
        <v>320</v>
      </c>
      <c r="I411" s="32" t="s">
        <v>152</v>
      </c>
    </row>
    <row r="412" spans="1:9" x14ac:dyDescent="0.35">
      <c r="A412" s="19">
        <v>45728</v>
      </c>
      <c r="B412" s="20">
        <v>2500</v>
      </c>
      <c r="C412" s="20"/>
      <c r="D412" s="20"/>
      <c r="E412" s="99" t="s">
        <v>521</v>
      </c>
      <c r="F412" s="20">
        <f t="shared" si="6"/>
        <v>168648389</v>
      </c>
      <c r="G412" s="7" t="s">
        <v>389</v>
      </c>
      <c r="H412" s="24" t="s">
        <v>320</v>
      </c>
      <c r="I412" s="32" t="s">
        <v>152</v>
      </c>
    </row>
    <row r="413" spans="1:9" x14ac:dyDescent="0.35">
      <c r="A413" s="19">
        <v>45728</v>
      </c>
      <c r="B413" s="20"/>
      <c r="C413" s="20"/>
      <c r="D413" s="20">
        <v>50000</v>
      </c>
      <c r="E413" s="99" t="s">
        <v>521</v>
      </c>
      <c r="F413" s="20">
        <f t="shared" si="6"/>
        <v>168698389</v>
      </c>
      <c r="G413" s="7" t="s">
        <v>330</v>
      </c>
      <c r="H413" s="24" t="s">
        <v>109</v>
      </c>
      <c r="I413" s="32" t="s">
        <v>152</v>
      </c>
    </row>
    <row r="414" spans="1:9" x14ac:dyDescent="0.35">
      <c r="A414" s="19">
        <v>45728</v>
      </c>
      <c r="B414" s="20"/>
      <c r="C414" s="20"/>
      <c r="D414" s="20">
        <v>50000</v>
      </c>
      <c r="E414" s="99" t="s">
        <v>521</v>
      </c>
      <c r="F414" s="20">
        <f t="shared" si="6"/>
        <v>168748389</v>
      </c>
      <c r="G414" s="7" t="s">
        <v>330</v>
      </c>
      <c r="H414" s="24" t="s">
        <v>109</v>
      </c>
      <c r="I414" s="32" t="s">
        <v>152</v>
      </c>
    </row>
    <row r="415" spans="1:9" x14ac:dyDescent="0.35">
      <c r="A415" s="19">
        <v>45728</v>
      </c>
      <c r="B415" s="20"/>
      <c r="C415" s="20"/>
      <c r="D415" s="20">
        <v>10000</v>
      </c>
      <c r="E415" s="99" t="s">
        <v>521</v>
      </c>
      <c r="F415" s="20">
        <f t="shared" si="6"/>
        <v>168758389</v>
      </c>
      <c r="G415" s="7" t="s">
        <v>330</v>
      </c>
      <c r="H415" s="24" t="s">
        <v>109</v>
      </c>
      <c r="I415" s="32" t="s">
        <v>152</v>
      </c>
    </row>
    <row r="416" spans="1:9" x14ac:dyDescent="0.35">
      <c r="A416" s="19">
        <v>45728</v>
      </c>
      <c r="B416" s="20"/>
      <c r="C416" s="20"/>
      <c r="D416" s="20">
        <v>100000</v>
      </c>
      <c r="E416" s="99" t="s">
        <v>521</v>
      </c>
      <c r="F416" s="20">
        <f t="shared" si="6"/>
        <v>168858389</v>
      </c>
      <c r="G416" s="7" t="s">
        <v>330</v>
      </c>
      <c r="H416" s="24" t="s">
        <v>109</v>
      </c>
      <c r="I416" s="32" t="s">
        <v>152</v>
      </c>
    </row>
    <row r="417" spans="1:9" x14ac:dyDescent="0.35">
      <c r="A417" s="19">
        <v>45728</v>
      </c>
      <c r="B417" s="20"/>
      <c r="C417" s="20"/>
      <c r="D417" s="20">
        <v>5000</v>
      </c>
      <c r="E417" s="99" t="s">
        <v>521</v>
      </c>
      <c r="F417" s="20">
        <f t="shared" si="6"/>
        <v>168863389</v>
      </c>
      <c r="G417" s="7" t="s">
        <v>330</v>
      </c>
      <c r="H417" s="24" t="s">
        <v>109</v>
      </c>
      <c r="I417" s="32" t="s">
        <v>152</v>
      </c>
    </row>
    <row r="418" spans="1:9" x14ac:dyDescent="0.35">
      <c r="A418" s="19">
        <v>45728</v>
      </c>
      <c r="B418" s="20"/>
      <c r="C418" s="20"/>
      <c r="D418" s="20">
        <v>10000</v>
      </c>
      <c r="E418" s="99" t="s">
        <v>521</v>
      </c>
      <c r="F418" s="20">
        <f t="shared" si="6"/>
        <v>168873389</v>
      </c>
      <c r="G418" s="7" t="s">
        <v>330</v>
      </c>
      <c r="H418" s="24" t="s">
        <v>109</v>
      </c>
      <c r="I418" s="32" t="s">
        <v>152</v>
      </c>
    </row>
    <row r="419" spans="1:9" x14ac:dyDescent="0.35">
      <c r="A419" s="19">
        <v>45728</v>
      </c>
      <c r="B419" s="20"/>
      <c r="C419" s="20"/>
      <c r="D419" s="20">
        <v>10000</v>
      </c>
      <c r="E419" s="99" t="s">
        <v>521</v>
      </c>
      <c r="F419" s="20">
        <f t="shared" si="6"/>
        <v>168883389</v>
      </c>
      <c r="G419" s="7" t="s">
        <v>330</v>
      </c>
      <c r="H419" s="24" t="s">
        <v>109</v>
      </c>
      <c r="I419" s="32" t="s">
        <v>152</v>
      </c>
    </row>
    <row r="420" spans="1:9" x14ac:dyDescent="0.35">
      <c r="A420" s="19">
        <v>45728</v>
      </c>
      <c r="B420" s="20"/>
      <c r="C420" s="20"/>
      <c r="D420" s="20">
        <v>170000</v>
      </c>
      <c r="E420" s="99" t="s">
        <v>521</v>
      </c>
      <c r="F420" s="20">
        <f t="shared" si="6"/>
        <v>169053389</v>
      </c>
      <c r="G420" s="7" t="s">
        <v>241</v>
      </c>
      <c r="H420" s="24" t="s">
        <v>109</v>
      </c>
      <c r="I420" s="32" t="s">
        <v>152</v>
      </c>
    </row>
    <row r="421" spans="1:9" x14ac:dyDescent="0.35">
      <c r="A421" s="19">
        <v>45729</v>
      </c>
      <c r="B421" s="20"/>
      <c r="C421" s="20"/>
      <c r="D421" s="20">
        <v>100000</v>
      </c>
      <c r="E421" s="99" t="s">
        <v>521</v>
      </c>
      <c r="F421" s="20">
        <f t="shared" si="6"/>
        <v>169153389</v>
      </c>
      <c r="G421" s="7" t="s">
        <v>330</v>
      </c>
      <c r="H421" s="24" t="s">
        <v>109</v>
      </c>
      <c r="I421" s="32" t="s">
        <v>152</v>
      </c>
    </row>
    <row r="422" spans="1:9" x14ac:dyDescent="0.35">
      <c r="A422" s="19">
        <v>45729</v>
      </c>
      <c r="B422" s="20"/>
      <c r="C422" s="20"/>
      <c r="D422" s="20">
        <v>10000</v>
      </c>
      <c r="E422" s="99" t="s">
        <v>521</v>
      </c>
      <c r="F422" s="20">
        <f t="shared" si="6"/>
        <v>169163389</v>
      </c>
      <c r="G422" s="7" t="s">
        <v>330</v>
      </c>
      <c r="H422" s="24" t="s">
        <v>109</v>
      </c>
      <c r="I422" s="32" t="s">
        <v>152</v>
      </c>
    </row>
    <row r="423" spans="1:9" x14ac:dyDescent="0.35">
      <c r="A423" s="19">
        <v>45729</v>
      </c>
      <c r="B423" s="20"/>
      <c r="C423" s="20"/>
      <c r="D423" s="20">
        <v>50000</v>
      </c>
      <c r="E423" s="99" t="s">
        <v>521</v>
      </c>
      <c r="F423" s="20">
        <f t="shared" si="6"/>
        <v>169213389</v>
      </c>
      <c r="G423" s="7" t="s">
        <v>330</v>
      </c>
      <c r="H423" s="24" t="s">
        <v>109</v>
      </c>
      <c r="I423" s="32" t="s">
        <v>152</v>
      </c>
    </row>
    <row r="424" spans="1:9" x14ac:dyDescent="0.35">
      <c r="A424" s="19">
        <v>45729</v>
      </c>
      <c r="B424" s="20"/>
      <c r="C424" s="20"/>
      <c r="D424" s="20">
        <v>100000</v>
      </c>
      <c r="E424" s="99" t="s">
        <v>521</v>
      </c>
      <c r="F424" s="20">
        <f t="shared" si="6"/>
        <v>169313389</v>
      </c>
      <c r="G424" s="7" t="s">
        <v>330</v>
      </c>
      <c r="H424" s="24" t="s">
        <v>109</v>
      </c>
      <c r="I424" s="32" t="s">
        <v>152</v>
      </c>
    </row>
    <row r="425" spans="1:9" x14ac:dyDescent="0.35">
      <c r="A425" s="19">
        <v>45729</v>
      </c>
      <c r="B425" s="20">
        <v>1000000</v>
      </c>
      <c r="C425" s="20"/>
      <c r="D425" s="20"/>
      <c r="E425" s="99" t="s">
        <v>521</v>
      </c>
      <c r="F425" s="20">
        <f t="shared" si="6"/>
        <v>168313389</v>
      </c>
      <c r="G425" s="7" t="s">
        <v>390</v>
      </c>
      <c r="H425" s="24" t="s">
        <v>322</v>
      </c>
      <c r="I425" s="32" t="s">
        <v>152</v>
      </c>
    </row>
    <row r="426" spans="1:9" x14ac:dyDescent="0.35">
      <c r="A426" s="19">
        <v>45729</v>
      </c>
      <c r="B426" s="20">
        <v>2500</v>
      </c>
      <c r="C426" s="20"/>
      <c r="D426" s="20"/>
      <c r="E426" s="99" t="s">
        <v>521</v>
      </c>
      <c r="F426" s="20">
        <f t="shared" si="6"/>
        <v>168310889</v>
      </c>
      <c r="G426" s="7" t="s">
        <v>391</v>
      </c>
      <c r="H426" s="24" t="s">
        <v>322</v>
      </c>
      <c r="I426" s="32" t="s">
        <v>152</v>
      </c>
    </row>
    <row r="427" spans="1:9" x14ac:dyDescent="0.35">
      <c r="A427" s="19">
        <v>45730</v>
      </c>
      <c r="B427" s="20"/>
      <c r="C427" s="20"/>
      <c r="D427" s="20">
        <v>100000</v>
      </c>
      <c r="E427" s="99" t="s">
        <v>521</v>
      </c>
      <c r="F427" s="20">
        <f t="shared" si="6"/>
        <v>168410889</v>
      </c>
      <c r="G427" s="7" t="s">
        <v>330</v>
      </c>
      <c r="H427" s="24" t="s">
        <v>109</v>
      </c>
      <c r="I427" s="32" t="s">
        <v>152</v>
      </c>
    </row>
    <row r="428" spans="1:9" x14ac:dyDescent="0.35">
      <c r="A428" s="19">
        <v>45730</v>
      </c>
      <c r="B428" s="20"/>
      <c r="C428" s="20"/>
      <c r="D428" s="20">
        <v>200000</v>
      </c>
      <c r="E428" s="99" t="s">
        <v>521</v>
      </c>
      <c r="F428" s="20">
        <f t="shared" si="6"/>
        <v>168610889</v>
      </c>
      <c r="G428" s="7" t="s">
        <v>330</v>
      </c>
      <c r="H428" s="24" t="s">
        <v>109</v>
      </c>
      <c r="I428" s="32" t="s">
        <v>152</v>
      </c>
    </row>
    <row r="429" spans="1:9" x14ac:dyDescent="0.35">
      <c r="A429" s="19">
        <v>45730</v>
      </c>
      <c r="B429" s="20"/>
      <c r="C429" s="20"/>
      <c r="D429" s="20">
        <v>50000</v>
      </c>
      <c r="E429" s="99" t="s">
        <v>521</v>
      </c>
      <c r="F429" s="20">
        <f t="shared" si="6"/>
        <v>168660889</v>
      </c>
      <c r="G429" s="7" t="s">
        <v>330</v>
      </c>
      <c r="H429" s="24" t="s">
        <v>109</v>
      </c>
      <c r="I429" s="32" t="s">
        <v>152</v>
      </c>
    </row>
    <row r="430" spans="1:9" x14ac:dyDescent="0.35">
      <c r="A430" s="19">
        <v>45730</v>
      </c>
      <c r="B430" s="20"/>
      <c r="C430" s="20"/>
      <c r="D430" s="20">
        <v>50000</v>
      </c>
      <c r="E430" s="99" t="s">
        <v>521</v>
      </c>
      <c r="F430" s="20">
        <f t="shared" si="6"/>
        <v>168710889</v>
      </c>
      <c r="G430" s="7" t="s">
        <v>330</v>
      </c>
      <c r="H430" s="24" t="s">
        <v>109</v>
      </c>
      <c r="I430" s="32" t="s">
        <v>152</v>
      </c>
    </row>
    <row r="431" spans="1:9" x14ac:dyDescent="0.35">
      <c r="A431" s="19">
        <v>45730</v>
      </c>
      <c r="B431" s="20"/>
      <c r="C431" s="20"/>
      <c r="D431" s="20">
        <v>25000</v>
      </c>
      <c r="E431" s="99" t="s">
        <v>521</v>
      </c>
      <c r="F431" s="20">
        <f t="shared" si="6"/>
        <v>168735889</v>
      </c>
      <c r="G431" s="7" t="s">
        <v>330</v>
      </c>
      <c r="H431" s="24" t="s">
        <v>109</v>
      </c>
      <c r="I431" s="32" t="s">
        <v>152</v>
      </c>
    </row>
    <row r="432" spans="1:9" x14ac:dyDescent="0.35">
      <c r="A432" s="19">
        <v>45730</v>
      </c>
      <c r="B432" s="20"/>
      <c r="C432" s="20"/>
      <c r="D432" s="20">
        <v>50000</v>
      </c>
      <c r="E432" s="99" t="s">
        <v>521</v>
      </c>
      <c r="F432" s="20">
        <f t="shared" si="6"/>
        <v>168785889</v>
      </c>
      <c r="G432" s="7" t="s">
        <v>330</v>
      </c>
      <c r="H432" s="24" t="s">
        <v>109</v>
      </c>
      <c r="I432" s="32" t="s">
        <v>152</v>
      </c>
    </row>
    <row r="433" spans="1:9" x14ac:dyDescent="0.35">
      <c r="A433" s="19">
        <v>45730</v>
      </c>
      <c r="B433" s="20"/>
      <c r="C433" s="20"/>
      <c r="D433" s="20">
        <v>100000</v>
      </c>
      <c r="E433" s="99" t="s">
        <v>521</v>
      </c>
      <c r="F433" s="20">
        <f t="shared" si="6"/>
        <v>168885889</v>
      </c>
      <c r="G433" s="7" t="s">
        <v>330</v>
      </c>
      <c r="H433" s="24" t="s">
        <v>109</v>
      </c>
      <c r="I433" s="32" t="s">
        <v>152</v>
      </c>
    </row>
    <row r="434" spans="1:9" x14ac:dyDescent="0.35">
      <c r="A434" s="19">
        <v>45730</v>
      </c>
      <c r="B434" s="20"/>
      <c r="C434" s="20"/>
      <c r="D434" s="20">
        <v>10000</v>
      </c>
      <c r="E434" s="99" t="s">
        <v>521</v>
      </c>
      <c r="F434" s="20">
        <f t="shared" si="6"/>
        <v>168895889</v>
      </c>
      <c r="G434" s="7" t="s">
        <v>330</v>
      </c>
      <c r="H434" s="24" t="s">
        <v>109</v>
      </c>
      <c r="I434" s="32" t="s">
        <v>152</v>
      </c>
    </row>
    <row r="435" spans="1:9" x14ac:dyDescent="0.35">
      <c r="A435" s="19">
        <v>45730</v>
      </c>
      <c r="B435" s="20"/>
      <c r="C435" s="20"/>
      <c r="D435" s="20">
        <v>300000</v>
      </c>
      <c r="E435" s="99" t="s">
        <v>521</v>
      </c>
      <c r="F435" s="20">
        <f t="shared" si="6"/>
        <v>169195889</v>
      </c>
      <c r="G435" s="7" t="s">
        <v>399</v>
      </c>
      <c r="H435" s="24" t="s">
        <v>109</v>
      </c>
      <c r="I435" s="32" t="s">
        <v>152</v>
      </c>
    </row>
    <row r="436" spans="1:9" x14ac:dyDescent="0.35">
      <c r="A436" s="19">
        <v>45730</v>
      </c>
      <c r="B436" s="20">
        <v>400000</v>
      </c>
      <c r="C436" s="20"/>
      <c r="D436" s="20"/>
      <c r="E436" s="99" t="s">
        <v>521</v>
      </c>
      <c r="F436" s="20">
        <f t="shared" si="6"/>
        <v>168795889</v>
      </c>
      <c r="G436" s="7" t="s">
        <v>400</v>
      </c>
      <c r="H436" s="59" t="s">
        <v>201</v>
      </c>
      <c r="I436" s="32" t="s">
        <v>152</v>
      </c>
    </row>
    <row r="437" spans="1:9" x14ac:dyDescent="0.35">
      <c r="A437" s="19">
        <v>45733</v>
      </c>
      <c r="B437" s="20"/>
      <c r="C437" s="20"/>
      <c r="D437" s="20">
        <v>50000</v>
      </c>
      <c r="E437" s="99" t="s">
        <v>521</v>
      </c>
      <c r="F437" s="20">
        <f t="shared" si="6"/>
        <v>168845889</v>
      </c>
      <c r="G437" s="7" t="s">
        <v>330</v>
      </c>
      <c r="H437" s="24" t="s">
        <v>109</v>
      </c>
      <c r="I437" s="32" t="s">
        <v>152</v>
      </c>
    </row>
    <row r="438" spans="1:9" x14ac:dyDescent="0.35">
      <c r="A438" s="19">
        <v>45733</v>
      </c>
      <c r="B438" s="20"/>
      <c r="C438" s="20"/>
      <c r="D438" s="20">
        <v>50000</v>
      </c>
      <c r="E438" s="99" t="s">
        <v>521</v>
      </c>
      <c r="F438" s="20">
        <f t="shared" si="6"/>
        <v>168895889</v>
      </c>
      <c r="G438" s="7" t="s">
        <v>330</v>
      </c>
      <c r="H438" s="24" t="s">
        <v>109</v>
      </c>
      <c r="I438" s="32" t="s">
        <v>152</v>
      </c>
    </row>
    <row r="439" spans="1:9" x14ac:dyDescent="0.35">
      <c r="A439" s="19">
        <v>45733</v>
      </c>
      <c r="B439" s="20"/>
      <c r="C439" s="20"/>
      <c r="D439" s="20">
        <v>50000</v>
      </c>
      <c r="E439" s="99" t="s">
        <v>521</v>
      </c>
      <c r="F439" s="20">
        <f t="shared" si="6"/>
        <v>168945889</v>
      </c>
      <c r="G439" s="7" t="s">
        <v>330</v>
      </c>
      <c r="H439" s="24" t="s">
        <v>109</v>
      </c>
      <c r="I439" s="32" t="s">
        <v>152</v>
      </c>
    </row>
    <row r="440" spans="1:9" x14ac:dyDescent="0.35">
      <c r="A440" s="19">
        <v>45733</v>
      </c>
      <c r="B440" s="20"/>
      <c r="C440" s="20"/>
      <c r="D440" s="20">
        <v>25000</v>
      </c>
      <c r="E440" s="99" t="s">
        <v>521</v>
      </c>
      <c r="F440" s="20">
        <f t="shared" si="6"/>
        <v>168970889</v>
      </c>
      <c r="G440" s="7" t="s">
        <v>330</v>
      </c>
      <c r="H440" s="24" t="s">
        <v>109</v>
      </c>
      <c r="I440" s="32" t="s">
        <v>152</v>
      </c>
    </row>
    <row r="441" spans="1:9" x14ac:dyDescent="0.35">
      <c r="A441" s="19">
        <v>45733</v>
      </c>
      <c r="B441" s="20"/>
      <c r="C441" s="20"/>
      <c r="D441" s="20">
        <v>10000</v>
      </c>
      <c r="E441" s="99" t="s">
        <v>521</v>
      </c>
      <c r="F441" s="20">
        <f t="shared" si="6"/>
        <v>168980889</v>
      </c>
      <c r="G441" s="7" t="s">
        <v>330</v>
      </c>
      <c r="H441" s="24" t="s">
        <v>109</v>
      </c>
      <c r="I441" s="32" t="s">
        <v>152</v>
      </c>
    </row>
    <row r="442" spans="1:9" x14ac:dyDescent="0.35">
      <c r="A442" s="19">
        <v>45733</v>
      </c>
      <c r="B442" s="20"/>
      <c r="C442" s="20"/>
      <c r="D442" s="20">
        <v>50000</v>
      </c>
      <c r="E442" s="99" t="s">
        <v>521</v>
      </c>
      <c r="F442" s="20">
        <f t="shared" si="6"/>
        <v>169030889</v>
      </c>
      <c r="G442" s="7" t="s">
        <v>330</v>
      </c>
      <c r="H442" s="24" t="s">
        <v>109</v>
      </c>
      <c r="I442" s="32" t="s">
        <v>152</v>
      </c>
    </row>
    <row r="443" spans="1:9" x14ac:dyDescent="0.35">
      <c r="A443" s="19">
        <v>45733</v>
      </c>
      <c r="B443" s="20"/>
      <c r="C443" s="20"/>
      <c r="D443" s="20">
        <v>50000</v>
      </c>
      <c r="E443" s="99" t="s">
        <v>521</v>
      </c>
      <c r="F443" s="20">
        <f t="shared" si="6"/>
        <v>169080889</v>
      </c>
      <c r="G443" s="7" t="s">
        <v>330</v>
      </c>
      <c r="H443" s="24" t="s">
        <v>109</v>
      </c>
      <c r="I443" s="32" t="s">
        <v>152</v>
      </c>
    </row>
    <row r="444" spans="1:9" x14ac:dyDescent="0.35">
      <c r="A444" s="19">
        <v>45733</v>
      </c>
      <c r="B444" s="20"/>
      <c r="C444" s="20"/>
      <c r="D444" s="20">
        <v>100000</v>
      </c>
      <c r="E444" s="99" t="s">
        <v>521</v>
      </c>
      <c r="F444" s="20">
        <f t="shared" si="6"/>
        <v>169180889</v>
      </c>
      <c r="G444" s="7" t="s">
        <v>330</v>
      </c>
      <c r="H444" s="24" t="s">
        <v>109</v>
      </c>
      <c r="I444" s="32" t="s">
        <v>152</v>
      </c>
    </row>
    <row r="445" spans="1:9" x14ac:dyDescent="0.35">
      <c r="A445" s="19">
        <v>45733</v>
      </c>
      <c r="B445" s="20"/>
      <c r="C445" s="20"/>
      <c r="D445" s="20">
        <v>50000</v>
      </c>
      <c r="E445" s="99" t="s">
        <v>521</v>
      </c>
      <c r="F445" s="20">
        <f t="shared" si="6"/>
        <v>169230889</v>
      </c>
      <c r="G445" s="7" t="s">
        <v>330</v>
      </c>
      <c r="H445" s="24" t="s">
        <v>109</v>
      </c>
      <c r="I445" s="32" t="s">
        <v>152</v>
      </c>
    </row>
    <row r="446" spans="1:9" x14ac:dyDescent="0.35">
      <c r="A446" s="19">
        <v>45733</v>
      </c>
      <c r="B446" s="20"/>
      <c r="C446" s="20"/>
      <c r="D446" s="20">
        <v>20000</v>
      </c>
      <c r="E446" s="99" t="s">
        <v>521</v>
      </c>
      <c r="F446" s="20">
        <f t="shared" si="6"/>
        <v>169250889</v>
      </c>
      <c r="G446" s="7" t="s">
        <v>330</v>
      </c>
      <c r="H446" s="24" t="s">
        <v>109</v>
      </c>
      <c r="I446" s="32" t="s">
        <v>152</v>
      </c>
    </row>
    <row r="447" spans="1:9" x14ac:dyDescent="0.35">
      <c r="A447" s="19">
        <v>45733</v>
      </c>
      <c r="B447" s="20"/>
      <c r="C447" s="20"/>
      <c r="D447" s="20">
        <v>510</v>
      </c>
      <c r="E447" s="99" t="s">
        <v>521</v>
      </c>
      <c r="F447" s="20">
        <f t="shared" si="6"/>
        <v>169251399</v>
      </c>
      <c r="G447" s="7" t="s">
        <v>330</v>
      </c>
      <c r="H447" s="24" t="s">
        <v>109</v>
      </c>
      <c r="I447" s="32" t="s">
        <v>152</v>
      </c>
    </row>
    <row r="448" spans="1:9" x14ac:dyDescent="0.35">
      <c r="A448" s="19">
        <v>45733</v>
      </c>
      <c r="B448" s="20">
        <v>3000000</v>
      </c>
      <c r="C448" s="20"/>
      <c r="D448" s="20"/>
      <c r="E448" s="99" t="s">
        <v>521</v>
      </c>
      <c r="F448" s="20">
        <f t="shared" si="6"/>
        <v>166251399</v>
      </c>
      <c r="G448" s="7" t="s">
        <v>401</v>
      </c>
      <c r="H448" s="24" t="s">
        <v>327</v>
      </c>
      <c r="I448" s="32" t="s">
        <v>152</v>
      </c>
    </row>
    <row r="449" spans="1:9" x14ac:dyDescent="0.35">
      <c r="A449" s="19">
        <v>45733</v>
      </c>
      <c r="B449" s="20">
        <v>2500</v>
      </c>
      <c r="C449" s="20"/>
      <c r="D449" s="20"/>
      <c r="E449" s="99" t="s">
        <v>521</v>
      </c>
      <c r="F449" s="20">
        <f t="shared" si="6"/>
        <v>166248899</v>
      </c>
      <c r="G449" s="7" t="s">
        <v>402</v>
      </c>
      <c r="H449" s="24" t="s">
        <v>327</v>
      </c>
      <c r="I449" s="32" t="s">
        <v>152</v>
      </c>
    </row>
    <row r="450" spans="1:9" x14ac:dyDescent="0.35">
      <c r="A450" s="19">
        <v>45733</v>
      </c>
      <c r="B450" s="20"/>
      <c r="C450" s="20"/>
      <c r="D450" s="20">
        <v>100000</v>
      </c>
      <c r="E450" s="99" t="s">
        <v>521</v>
      </c>
      <c r="F450" s="20">
        <f t="shared" si="6"/>
        <v>166348899</v>
      </c>
      <c r="G450" s="7" t="s">
        <v>330</v>
      </c>
      <c r="H450" s="24" t="s">
        <v>109</v>
      </c>
      <c r="I450" s="32" t="s">
        <v>152</v>
      </c>
    </row>
    <row r="451" spans="1:9" x14ac:dyDescent="0.35">
      <c r="A451" s="19">
        <v>45733</v>
      </c>
      <c r="B451" s="20"/>
      <c r="C451" s="20"/>
      <c r="D451" s="20">
        <v>100000</v>
      </c>
      <c r="E451" s="99" t="s">
        <v>521</v>
      </c>
      <c r="F451" s="20">
        <f t="shared" si="6"/>
        <v>166448899</v>
      </c>
      <c r="G451" s="7" t="s">
        <v>330</v>
      </c>
      <c r="H451" s="24" t="s">
        <v>109</v>
      </c>
      <c r="I451" s="32" t="s">
        <v>152</v>
      </c>
    </row>
    <row r="452" spans="1:9" x14ac:dyDescent="0.35">
      <c r="A452" s="19">
        <v>45733</v>
      </c>
      <c r="B452" s="20"/>
      <c r="C452" s="20"/>
      <c r="D452" s="20">
        <v>25000</v>
      </c>
      <c r="E452" s="99" t="s">
        <v>521</v>
      </c>
      <c r="F452" s="20">
        <f t="shared" si="6"/>
        <v>166473899</v>
      </c>
      <c r="G452" s="7" t="s">
        <v>330</v>
      </c>
      <c r="H452" s="24" t="s">
        <v>109</v>
      </c>
      <c r="I452" s="32" t="s">
        <v>152</v>
      </c>
    </row>
    <row r="453" spans="1:9" x14ac:dyDescent="0.35">
      <c r="A453" s="19">
        <v>45733</v>
      </c>
      <c r="B453" s="20"/>
      <c r="C453" s="20"/>
      <c r="D453" s="20">
        <v>10000</v>
      </c>
      <c r="E453" s="99" t="s">
        <v>521</v>
      </c>
      <c r="F453" s="20">
        <f t="shared" si="6"/>
        <v>166483899</v>
      </c>
      <c r="G453" s="7" t="s">
        <v>330</v>
      </c>
      <c r="H453" s="24" t="s">
        <v>109</v>
      </c>
      <c r="I453" s="32" t="s">
        <v>152</v>
      </c>
    </row>
    <row r="454" spans="1:9" x14ac:dyDescent="0.35">
      <c r="A454" s="19">
        <v>45733</v>
      </c>
      <c r="B454" s="20"/>
      <c r="C454" s="20"/>
      <c r="D454" s="20">
        <v>10000</v>
      </c>
      <c r="E454" s="99" t="s">
        <v>521</v>
      </c>
      <c r="F454" s="20">
        <f t="shared" si="6"/>
        <v>166493899</v>
      </c>
      <c r="G454" s="7" t="s">
        <v>330</v>
      </c>
      <c r="H454" s="24" t="s">
        <v>109</v>
      </c>
      <c r="I454" s="32" t="s">
        <v>152</v>
      </c>
    </row>
    <row r="455" spans="1:9" x14ac:dyDescent="0.35">
      <c r="A455" s="19">
        <v>45733</v>
      </c>
      <c r="B455" s="20"/>
      <c r="C455" s="20"/>
      <c r="D455" s="20">
        <v>50000</v>
      </c>
      <c r="E455" s="99" t="s">
        <v>521</v>
      </c>
      <c r="F455" s="20">
        <f t="shared" si="6"/>
        <v>166543899</v>
      </c>
      <c r="G455" s="7" t="s">
        <v>330</v>
      </c>
      <c r="H455" s="24" t="s">
        <v>109</v>
      </c>
      <c r="I455" s="32" t="s">
        <v>152</v>
      </c>
    </row>
    <row r="456" spans="1:9" x14ac:dyDescent="0.35">
      <c r="A456" s="19">
        <v>45733</v>
      </c>
      <c r="B456" s="20"/>
      <c r="C456" s="20"/>
      <c r="D456" s="20">
        <v>10000</v>
      </c>
      <c r="E456" s="99" t="s">
        <v>521</v>
      </c>
      <c r="F456" s="20">
        <f t="shared" si="6"/>
        <v>166553899</v>
      </c>
      <c r="G456" s="7" t="s">
        <v>330</v>
      </c>
      <c r="H456" s="24" t="s">
        <v>109</v>
      </c>
      <c r="I456" s="32" t="s">
        <v>152</v>
      </c>
    </row>
    <row r="457" spans="1:9" x14ac:dyDescent="0.35">
      <c r="A457" s="19">
        <v>45733</v>
      </c>
      <c r="B457" s="20"/>
      <c r="C457" s="20"/>
      <c r="D457" s="20">
        <v>20000</v>
      </c>
      <c r="E457" s="99" t="s">
        <v>521</v>
      </c>
      <c r="F457" s="20">
        <f t="shared" si="6"/>
        <v>166573899</v>
      </c>
      <c r="G457" s="7" t="s">
        <v>330</v>
      </c>
      <c r="H457" s="24" t="s">
        <v>109</v>
      </c>
      <c r="I457" s="32" t="s">
        <v>152</v>
      </c>
    </row>
    <row r="458" spans="1:9" x14ac:dyDescent="0.35">
      <c r="A458" s="19">
        <v>45733</v>
      </c>
      <c r="B458" s="20"/>
      <c r="C458" s="20"/>
      <c r="D458" s="20">
        <v>50000</v>
      </c>
      <c r="E458" s="99" t="s">
        <v>521</v>
      </c>
      <c r="F458" s="20">
        <f t="shared" ref="F458:F521" si="7">+F457+D458-B458</f>
        <v>166623899</v>
      </c>
      <c r="G458" s="7" t="s">
        <v>330</v>
      </c>
      <c r="H458" s="24" t="s">
        <v>109</v>
      </c>
      <c r="I458" s="32" t="s">
        <v>152</v>
      </c>
    </row>
    <row r="459" spans="1:9" x14ac:dyDescent="0.35">
      <c r="A459" s="19">
        <v>45733</v>
      </c>
      <c r="B459" s="20"/>
      <c r="C459" s="20"/>
      <c r="D459" s="20">
        <v>100000</v>
      </c>
      <c r="E459" s="99" t="s">
        <v>521</v>
      </c>
      <c r="F459" s="20">
        <f t="shared" si="7"/>
        <v>166723899</v>
      </c>
      <c r="G459" s="7" t="s">
        <v>330</v>
      </c>
      <c r="H459" s="24" t="s">
        <v>109</v>
      </c>
      <c r="I459" s="32" t="s">
        <v>152</v>
      </c>
    </row>
    <row r="460" spans="1:9" x14ac:dyDescent="0.35">
      <c r="A460" s="19">
        <v>45733</v>
      </c>
      <c r="B460" s="20"/>
      <c r="C460" s="20"/>
      <c r="D460" s="20">
        <v>100000</v>
      </c>
      <c r="E460" s="99" t="s">
        <v>521</v>
      </c>
      <c r="F460" s="20">
        <f t="shared" si="7"/>
        <v>166823899</v>
      </c>
      <c r="G460" s="7" t="s">
        <v>330</v>
      </c>
      <c r="H460" s="24" t="s">
        <v>109</v>
      </c>
      <c r="I460" s="32" t="s">
        <v>152</v>
      </c>
    </row>
    <row r="461" spans="1:9" x14ac:dyDescent="0.35">
      <c r="A461" s="19">
        <v>45733</v>
      </c>
      <c r="B461" s="20"/>
      <c r="C461" s="20"/>
      <c r="D461" s="20">
        <v>30000</v>
      </c>
      <c r="E461" s="99" t="s">
        <v>521</v>
      </c>
      <c r="F461" s="20">
        <f t="shared" si="7"/>
        <v>166853899</v>
      </c>
      <c r="G461" s="7" t="s">
        <v>330</v>
      </c>
      <c r="H461" s="24" t="s">
        <v>109</v>
      </c>
      <c r="I461" s="32" t="s">
        <v>152</v>
      </c>
    </row>
    <row r="462" spans="1:9" x14ac:dyDescent="0.35">
      <c r="A462" s="19">
        <v>45733</v>
      </c>
      <c r="B462" s="20"/>
      <c r="C462" s="20"/>
      <c r="D462" s="20">
        <v>50000</v>
      </c>
      <c r="E462" s="99" t="s">
        <v>521</v>
      </c>
      <c r="F462" s="20">
        <f t="shared" si="7"/>
        <v>166903899</v>
      </c>
      <c r="G462" s="7" t="s">
        <v>330</v>
      </c>
      <c r="H462" s="24" t="s">
        <v>109</v>
      </c>
      <c r="I462" s="32" t="s">
        <v>152</v>
      </c>
    </row>
    <row r="463" spans="1:9" x14ac:dyDescent="0.35">
      <c r="A463" s="19">
        <v>45733</v>
      </c>
      <c r="B463" s="20"/>
      <c r="C463" s="20"/>
      <c r="D463" s="20">
        <v>15000</v>
      </c>
      <c r="E463" s="99" t="s">
        <v>521</v>
      </c>
      <c r="F463" s="20">
        <f t="shared" si="7"/>
        <v>166918899</v>
      </c>
      <c r="G463" s="7" t="s">
        <v>330</v>
      </c>
      <c r="H463" s="24" t="s">
        <v>109</v>
      </c>
      <c r="I463" s="32" t="s">
        <v>152</v>
      </c>
    </row>
    <row r="464" spans="1:9" x14ac:dyDescent="0.35">
      <c r="A464" s="19">
        <v>45733</v>
      </c>
      <c r="B464" s="20"/>
      <c r="C464" s="20"/>
      <c r="D464" s="20">
        <v>10000</v>
      </c>
      <c r="E464" s="99" t="s">
        <v>521</v>
      </c>
      <c r="F464" s="20">
        <f t="shared" si="7"/>
        <v>166928899</v>
      </c>
      <c r="G464" s="7" t="s">
        <v>330</v>
      </c>
      <c r="H464" s="24" t="s">
        <v>109</v>
      </c>
      <c r="I464" s="32" t="s">
        <v>152</v>
      </c>
    </row>
    <row r="465" spans="1:9" x14ac:dyDescent="0.35">
      <c r="A465" s="19">
        <v>45733</v>
      </c>
      <c r="B465" s="20"/>
      <c r="C465" s="20"/>
      <c r="D465" s="20">
        <v>50000</v>
      </c>
      <c r="E465" s="99" t="s">
        <v>521</v>
      </c>
      <c r="F465" s="20">
        <f t="shared" si="7"/>
        <v>166978899</v>
      </c>
      <c r="G465" s="7" t="s">
        <v>330</v>
      </c>
      <c r="H465" s="24" t="s">
        <v>109</v>
      </c>
      <c r="I465" s="32" t="s">
        <v>152</v>
      </c>
    </row>
    <row r="466" spans="1:9" x14ac:dyDescent="0.35">
      <c r="A466" s="19">
        <v>45733</v>
      </c>
      <c r="B466" s="20"/>
      <c r="C466" s="20"/>
      <c r="D466" s="20">
        <v>10000</v>
      </c>
      <c r="E466" s="99" t="s">
        <v>521</v>
      </c>
      <c r="F466" s="20">
        <f t="shared" si="7"/>
        <v>166988899</v>
      </c>
      <c r="G466" s="7" t="s">
        <v>330</v>
      </c>
      <c r="H466" s="24" t="s">
        <v>109</v>
      </c>
      <c r="I466" s="32" t="s">
        <v>152</v>
      </c>
    </row>
    <row r="467" spans="1:9" x14ac:dyDescent="0.35">
      <c r="A467" s="19">
        <v>45733</v>
      </c>
      <c r="B467" s="20"/>
      <c r="C467" s="20"/>
      <c r="D467" s="20">
        <v>100000</v>
      </c>
      <c r="E467" s="99" t="s">
        <v>521</v>
      </c>
      <c r="F467" s="20">
        <f t="shared" si="7"/>
        <v>167088899</v>
      </c>
      <c r="G467" s="7" t="s">
        <v>330</v>
      </c>
      <c r="H467" s="24" t="s">
        <v>109</v>
      </c>
      <c r="I467" s="32" t="s">
        <v>152</v>
      </c>
    </row>
    <row r="468" spans="1:9" x14ac:dyDescent="0.35">
      <c r="A468" s="19">
        <v>45733</v>
      </c>
      <c r="B468" s="20"/>
      <c r="C468" s="20"/>
      <c r="D468" s="20">
        <v>5000</v>
      </c>
      <c r="E468" s="99" t="s">
        <v>521</v>
      </c>
      <c r="F468" s="20">
        <f t="shared" si="7"/>
        <v>167093899</v>
      </c>
      <c r="G468" s="7" t="s">
        <v>330</v>
      </c>
      <c r="H468" s="24" t="s">
        <v>109</v>
      </c>
      <c r="I468" s="32" t="s">
        <v>152</v>
      </c>
    </row>
    <row r="469" spans="1:9" x14ac:dyDescent="0.35">
      <c r="A469" s="19">
        <v>45733</v>
      </c>
      <c r="B469" s="20"/>
      <c r="C469" s="20"/>
      <c r="D469" s="20">
        <v>150000</v>
      </c>
      <c r="E469" s="99" t="s">
        <v>521</v>
      </c>
      <c r="F469" s="20">
        <f t="shared" si="7"/>
        <v>167243899</v>
      </c>
      <c r="G469" s="7" t="s">
        <v>330</v>
      </c>
      <c r="H469" s="24" t="s">
        <v>109</v>
      </c>
      <c r="I469" s="32" t="s">
        <v>152</v>
      </c>
    </row>
    <row r="470" spans="1:9" x14ac:dyDescent="0.35">
      <c r="A470" s="19">
        <v>45733</v>
      </c>
      <c r="B470" s="20"/>
      <c r="C470" s="20"/>
      <c r="D470" s="20">
        <v>20000</v>
      </c>
      <c r="E470" s="99" t="s">
        <v>521</v>
      </c>
      <c r="F470" s="20">
        <f t="shared" si="7"/>
        <v>167263899</v>
      </c>
      <c r="G470" s="7" t="s">
        <v>330</v>
      </c>
      <c r="H470" s="24" t="s">
        <v>109</v>
      </c>
      <c r="I470" s="32" t="s">
        <v>152</v>
      </c>
    </row>
    <row r="471" spans="1:9" x14ac:dyDescent="0.35">
      <c r="A471" s="19">
        <v>45733</v>
      </c>
      <c r="B471" s="20">
        <v>58150000</v>
      </c>
      <c r="C471" s="20"/>
      <c r="D471" s="20"/>
      <c r="E471" s="99" t="s">
        <v>521</v>
      </c>
      <c r="F471" s="20">
        <f t="shared" si="7"/>
        <v>109113899</v>
      </c>
      <c r="G471" s="7" t="s">
        <v>403</v>
      </c>
      <c r="H471" s="59" t="s">
        <v>203</v>
      </c>
      <c r="I471" s="32" t="s">
        <v>152</v>
      </c>
    </row>
    <row r="472" spans="1:9" x14ac:dyDescent="0.35">
      <c r="A472" s="19">
        <v>45733</v>
      </c>
      <c r="B472" s="20">
        <v>2500</v>
      </c>
      <c r="C472" s="20"/>
      <c r="D472" s="20"/>
      <c r="E472" s="99" t="s">
        <v>521</v>
      </c>
      <c r="F472" s="20">
        <f t="shared" si="7"/>
        <v>109111399</v>
      </c>
      <c r="G472" s="7" t="s">
        <v>404</v>
      </c>
      <c r="H472" s="59" t="s">
        <v>203</v>
      </c>
      <c r="I472" s="32" t="s">
        <v>152</v>
      </c>
    </row>
    <row r="473" spans="1:9" x14ac:dyDescent="0.35">
      <c r="A473" s="19">
        <v>45733</v>
      </c>
      <c r="B473" s="20"/>
      <c r="C473" s="20"/>
      <c r="D473" s="23">
        <v>4230000</v>
      </c>
      <c r="E473" s="99" t="s">
        <v>521</v>
      </c>
      <c r="F473" s="20">
        <f t="shared" si="7"/>
        <v>113341399</v>
      </c>
      <c r="G473" s="24" t="s">
        <v>107</v>
      </c>
      <c r="H473" s="24" t="s">
        <v>107</v>
      </c>
      <c r="I473" s="32" t="s">
        <v>152</v>
      </c>
    </row>
    <row r="474" spans="1:9" x14ac:dyDescent="0.35">
      <c r="A474" s="19">
        <v>45733</v>
      </c>
      <c r="B474" s="20"/>
      <c r="C474" s="20"/>
      <c r="D474" s="23">
        <f>4756000-4230000</f>
        <v>526000</v>
      </c>
      <c r="E474" s="99" t="s">
        <v>521</v>
      </c>
      <c r="F474" s="20">
        <f t="shared" si="7"/>
        <v>113867399</v>
      </c>
      <c r="G474" s="24" t="s">
        <v>109</v>
      </c>
      <c r="H474" s="24" t="s">
        <v>109</v>
      </c>
      <c r="I474" s="32" t="s">
        <v>152</v>
      </c>
    </row>
    <row r="475" spans="1:9" x14ac:dyDescent="0.35">
      <c r="A475" s="19">
        <v>45733</v>
      </c>
      <c r="B475" s="20"/>
      <c r="C475" s="20"/>
      <c r="D475" s="23">
        <v>5578000</v>
      </c>
      <c r="E475" s="99" t="s">
        <v>521</v>
      </c>
      <c r="F475" s="20">
        <f t="shared" si="7"/>
        <v>119445399</v>
      </c>
      <c r="G475" s="24" t="s">
        <v>377</v>
      </c>
      <c r="H475" s="24" t="s">
        <v>109</v>
      </c>
      <c r="I475" s="32" t="s">
        <v>152</v>
      </c>
    </row>
    <row r="476" spans="1:9" x14ac:dyDescent="0.35">
      <c r="A476" s="19">
        <v>45733</v>
      </c>
      <c r="B476" s="20"/>
      <c r="C476" s="20"/>
      <c r="D476" s="23">
        <v>1000</v>
      </c>
      <c r="E476" s="99" t="s">
        <v>521</v>
      </c>
      <c r="F476" s="20">
        <f t="shared" si="7"/>
        <v>119446399</v>
      </c>
      <c r="G476" s="24" t="s">
        <v>115</v>
      </c>
      <c r="H476" s="24" t="s">
        <v>109</v>
      </c>
      <c r="I476" s="32" t="s">
        <v>152</v>
      </c>
    </row>
    <row r="477" spans="1:9" x14ac:dyDescent="0.35">
      <c r="A477" s="19"/>
      <c r="B477" s="20"/>
      <c r="C477" s="95">
        <v>10335000</v>
      </c>
      <c r="D477" s="95"/>
      <c r="E477" s="124"/>
      <c r="F477" s="20">
        <f t="shared" si="7"/>
        <v>119446399</v>
      </c>
      <c r="G477" s="125" t="s">
        <v>305</v>
      </c>
      <c r="H477" s="24"/>
      <c r="I477" s="32"/>
    </row>
    <row r="478" spans="1:9" x14ac:dyDescent="0.35">
      <c r="A478" s="19">
        <v>45734</v>
      </c>
      <c r="B478" s="20">
        <v>2800000</v>
      </c>
      <c r="C478" s="20"/>
      <c r="D478" s="20"/>
      <c r="E478" s="99" t="s">
        <v>521</v>
      </c>
      <c r="F478" s="20">
        <f t="shared" si="7"/>
        <v>116646399</v>
      </c>
      <c r="G478" s="7" t="s">
        <v>405</v>
      </c>
      <c r="H478" s="59" t="s">
        <v>201</v>
      </c>
      <c r="I478" s="32" t="s">
        <v>152</v>
      </c>
    </row>
    <row r="479" spans="1:9" x14ac:dyDescent="0.35">
      <c r="A479" s="19">
        <v>45734</v>
      </c>
      <c r="B479" s="20">
        <v>2500</v>
      </c>
      <c r="C479" s="20"/>
      <c r="D479" s="20"/>
      <c r="E479" s="99" t="s">
        <v>521</v>
      </c>
      <c r="F479" s="20">
        <f t="shared" si="7"/>
        <v>116643899</v>
      </c>
      <c r="G479" s="7" t="s">
        <v>406</v>
      </c>
      <c r="H479" s="59" t="s">
        <v>201</v>
      </c>
      <c r="I479" s="32" t="s">
        <v>152</v>
      </c>
    </row>
    <row r="480" spans="1:9" x14ac:dyDescent="0.35">
      <c r="A480" s="19">
        <v>45734</v>
      </c>
      <c r="B480" s="20"/>
      <c r="C480" s="20"/>
      <c r="D480" s="20">
        <v>50000</v>
      </c>
      <c r="E480" s="99" t="s">
        <v>521</v>
      </c>
      <c r="F480" s="20">
        <f t="shared" si="7"/>
        <v>116693899</v>
      </c>
      <c r="G480" s="7" t="s">
        <v>330</v>
      </c>
      <c r="H480" s="24" t="s">
        <v>109</v>
      </c>
      <c r="I480" s="32" t="s">
        <v>152</v>
      </c>
    </row>
    <row r="481" spans="1:9" x14ac:dyDescent="0.35">
      <c r="A481" s="19">
        <v>45734</v>
      </c>
      <c r="B481" s="20"/>
      <c r="C481" s="20"/>
      <c r="D481" s="20">
        <v>50000</v>
      </c>
      <c r="E481" s="99" t="s">
        <v>521</v>
      </c>
      <c r="F481" s="20">
        <f t="shared" si="7"/>
        <v>116743899</v>
      </c>
      <c r="G481" s="7" t="s">
        <v>330</v>
      </c>
      <c r="H481" s="24" t="s">
        <v>109</v>
      </c>
      <c r="I481" s="32" t="s">
        <v>152</v>
      </c>
    </row>
    <row r="482" spans="1:9" x14ac:dyDescent="0.35">
      <c r="A482" s="19">
        <v>45734</v>
      </c>
      <c r="B482" s="20"/>
      <c r="C482" s="20"/>
      <c r="D482" s="20">
        <v>100000</v>
      </c>
      <c r="E482" s="99" t="s">
        <v>521</v>
      </c>
      <c r="F482" s="20">
        <f t="shared" si="7"/>
        <v>116843899</v>
      </c>
      <c r="G482" s="7" t="s">
        <v>330</v>
      </c>
      <c r="H482" s="24" t="s">
        <v>109</v>
      </c>
      <c r="I482" s="32" t="s">
        <v>152</v>
      </c>
    </row>
    <row r="483" spans="1:9" x14ac:dyDescent="0.35">
      <c r="A483" s="19">
        <v>45734</v>
      </c>
      <c r="B483" s="20"/>
      <c r="C483" s="20"/>
      <c r="D483" s="20">
        <v>50000</v>
      </c>
      <c r="E483" s="99" t="s">
        <v>521</v>
      </c>
      <c r="F483" s="20">
        <f t="shared" si="7"/>
        <v>116893899</v>
      </c>
      <c r="G483" s="7" t="s">
        <v>330</v>
      </c>
      <c r="H483" s="24" t="s">
        <v>109</v>
      </c>
      <c r="I483" s="32" t="s">
        <v>152</v>
      </c>
    </row>
    <row r="484" spans="1:9" x14ac:dyDescent="0.35">
      <c r="A484" s="19">
        <v>45734</v>
      </c>
      <c r="B484" s="20"/>
      <c r="C484" s="20"/>
      <c r="D484" s="20">
        <v>10000</v>
      </c>
      <c r="E484" s="99" t="s">
        <v>521</v>
      </c>
      <c r="F484" s="20">
        <f t="shared" si="7"/>
        <v>116903899</v>
      </c>
      <c r="G484" s="7" t="s">
        <v>330</v>
      </c>
      <c r="H484" s="24" t="s">
        <v>109</v>
      </c>
      <c r="I484" s="32" t="s">
        <v>152</v>
      </c>
    </row>
    <row r="485" spans="1:9" x14ac:dyDescent="0.35">
      <c r="A485" s="19">
        <v>45734</v>
      </c>
      <c r="B485" s="20"/>
      <c r="C485" s="20"/>
      <c r="D485" s="20">
        <v>50000</v>
      </c>
      <c r="E485" s="99" t="s">
        <v>521</v>
      </c>
      <c r="F485" s="20">
        <f t="shared" si="7"/>
        <v>116953899</v>
      </c>
      <c r="G485" s="7" t="s">
        <v>330</v>
      </c>
      <c r="H485" s="24" t="s">
        <v>109</v>
      </c>
      <c r="I485" s="32" t="s">
        <v>152</v>
      </c>
    </row>
    <row r="486" spans="1:9" x14ac:dyDescent="0.35">
      <c r="A486" s="19">
        <v>45734</v>
      </c>
      <c r="B486" s="20"/>
      <c r="C486" s="20"/>
      <c r="D486" s="20">
        <v>10000</v>
      </c>
      <c r="E486" s="99" t="s">
        <v>521</v>
      </c>
      <c r="F486" s="20">
        <f t="shared" si="7"/>
        <v>116963899</v>
      </c>
      <c r="G486" s="7" t="s">
        <v>330</v>
      </c>
      <c r="H486" s="24" t="s">
        <v>109</v>
      </c>
      <c r="I486" s="32" t="s">
        <v>152</v>
      </c>
    </row>
    <row r="487" spans="1:9" x14ac:dyDescent="0.35">
      <c r="A487" s="19">
        <v>45734</v>
      </c>
      <c r="B487" s="20"/>
      <c r="C487" s="20"/>
      <c r="D487" s="20">
        <v>100000</v>
      </c>
      <c r="E487" s="99" t="s">
        <v>521</v>
      </c>
      <c r="F487" s="20">
        <f t="shared" si="7"/>
        <v>117063899</v>
      </c>
      <c r="G487" s="7" t="s">
        <v>330</v>
      </c>
      <c r="H487" s="24" t="s">
        <v>109</v>
      </c>
      <c r="I487" s="32" t="s">
        <v>152</v>
      </c>
    </row>
    <row r="488" spans="1:9" x14ac:dyDescent="0.35">
      <c r="A488" s="19">
        <v>45734</v>
      </c>
      <c r="B488" s="20"/>
      <c r="C488" s="20"/>
      <c r="D488" s="20">
        <v>20000</v>
      </c>
      <c r="E488" s="99" t="s">
        <v>521</v>
      </c>
      <c r="F488" s="20">
        <f t="shared" si="7"/>
        <v>117083899</v>
      </c>
      <c r="G488" s="7" t="s">
        <v>330</v>
      </c>
      <c r="H488" s="24" t="s">
        <v>109</v>
      </c>
      <c r="I488" s="32" t="s">
        <v>152</v>
      </c>
    </row>
    <row r="489" spans="1:9" x14ac:dyDescent="0.35">
      <c r="A489" s="19">
        <v>45735</v>
      </c>
      <c r="B489" s="20"/>
      <c r="C489" s="20"/>
      <c r="D489" s="20">
        <v>50000</v>
      </c>
      <c r="E489" s="99" t="s">
        <v>521</v>
      </c>
      <c r="F489" s="20">
        <f t="shared" si="7"/>
        <v>117133899</v>
      </c>
      <c r="G489" s="7" t="s">
        <v>330</v>
      </c>
      <c r="H489" s="24" t="s">
        <v>109</v>
      </c>
      <c r="I489" s="32" t="s">
        <v>152</v>
      </c>
    </row>
    <row r="490" spans="1:9" x14ac:dyDescent="0.35">
      <c r="A490" s="19">
        <v>45735</v>
      </c>
      <c r="B490" s="20"/>
      <c r="C490" s="20"/>
      <c r="D490" s="20">
        <v>25000</v>
      </c>
      <c r="E490" s="99" t="s">
        <v>521</v>
      </c>
      <c r="F490" s="20">
        <f t="shared" si="7"/>
        <v>117158899</v>
      </c>
      <c r="G490" s="7" t="s">
        <v>330</v>
      </c>
      <c r="H490" s="24" t="s">
        <v>109</v>
      </c>
      <c r="I490" s="32" t="s">
        <v>152</v>
      </c>
    </row>
    <row r="491" spans="1:9" x14ac:dyDescent="0.35">
      <c r="A491" s="19">
        <v>45735</v>
      </c>
      <c r="B491" s="20"/>
      <c r="C491" s="20"/>
      <c r="D491" s="20">
        <v>25000</v>
      </c>
      <c r="E491" s="99" t="s">
        <v>521</v>
      </c>
      <c r="F491" s="20">
        <f t="shared" si="7"/>
        <v>117183899</v>
      </c>
      <c r="G491" s="7" t="s">
        <v>330</v>
      </c>
      <c r="H491" s="24" t="s">
        <v>109</v>
      </c>
      <c r="I491" s="32" t="s">
        <v>152</v>
      </c>
    </row>
    <row r="492" spans="1:9" x14ac:dyDescent="0.35">
      <c r="A492" s="19">
        <v>45735</v>
      </c>
      <c r="B492" s="20"/>
      <c r="C492" s="20"/>
      <c r="D492" s="20">
        <v>100000</v>
      </c>
      <c r="E492" s="99" t="s">
        <v>521</v>
      </c>
      <c r="F492" s="20">
        <f t="shared" si="7"/>
        <v>117283899</v>
      </c>
      <c r="G492" s="7" t="s">
        <v>330</v>
      </c>
      <c r="H492" s="24" t="s">
        <v>109</v>
      </c>
      <c r="I492" s="32" t="s">
        <v>152</v>
      </c>
    </row>
    <row r="493" spans="1:9" x14ac:dyDescent="0.35">
      <c r="A493" s="19">
        <v>45735</v>
      </c>
      <c r="B493" s="20"/>
      <c r="C493" s="20"/>
      <c r="D493" s="20">
        <v>50000</v>
      </c>
      <c r="E493" s="99" t="s">
        <v>521</v>
      </c>
      <c r="F493" s="20">
        <f t="shared" si="7"/>
        <v>117333899</v>
      </c>
      <c r="G493" s="7" t="s">
        <v>330</v>
      </c>
      <c r="H493" s="24" t="s">
        <v>109</v>
      </c>
      <c r="I493" s="32" t="s">
        <v>152</v>
      </c>
    </row>
    <row r="494" spans="1:9" x14ac:dyDescent="0.35">
      <c r="A494" s="19">
        <v>45735</v>
      </c>
      <c r="B494" s="20"/>
      <c r="C494" s="20"/>
      <c r="D494" s="20">
        <v>25000</v>
      </c>
      <c r="E494" s="99" t="s">
        <v>521</v>
      </c>
      <c r="F494" s="20">
        <f t="shared" si="7"/>
        <v>117358899</v>
      </c>
      <c r="G494" s="7" t="s">
        <v>330</v>
      </c>
      <c r="H494" s="24" t="s">
        <v>109</v>
      </c>
      <c r="I494" s="32" t="s">
        <v>152</v>
      </c>
    </row>
    <row r="495" spans="1:9" x14ac:dyDescent="0.35">
      <c r="A495" s="19">
        <v>45735</v>
      </c>
      <c r="B495" s="20"/>
      <c r="C495" s="20"/>
      <c r="D495" s="20">
        <v>50000</v>
      </c>
      <c r="E495" s="99" t="s">
        <v>521</v>
      </c>
      <c r="F495" s="20">
        <f t="shared" si="7"/>
        <v>117408899</v>
      </c>
      <c r="G495" s="7" t="s">
        <v>330</v>
      </c>
      <c r="H495" s="24" t="s">
        <v>109</v>
      </c>
      <c r="I495" s="32" t="s">
        <v>152</v>
      </c>
    </row>
    <row r="496" spans="1:9" x14ac:dyDescent="0.35">
      <c r="A496" s="19">
        <v>45735</v>
      </c>
      <c r="B496" s="20"/>
      <c r="C496" s="20"/>
      <c r="D496" s="20">
        <v>10000</v>
      </c>
      <c r="E496" s="99" t="s">
        <v>521</v>
      </c>
      <c r="F496" s="20">
        <f t="shared" si="7"/>
        <v>117418899</v>
      </c>
      <c r="G496" s="7" t="s">
        <v>330</v>
      </c>
      <c r="H496" s="24" t="s">
        <v>109</v>
      </c>
      <c r="I496" s="32" t="s">
        <v>152</v>
      </c>
    </row>
    <row r="497" spans="1:9" x14ac:dyDescent="0.35">
      <c r="A497" s="19">
        <v>45735</v>
      </c>
      <c r="B497" s="20"/>
      <c r="C497" s="20"/>
      <c r="D497" s="20">
        <v>10000</v>
      </c>
      <c r="E497" s="99" t="s">
        <v>521</v>
      </c>
      <c r="F497" s="20">
        <f t="shared" si="7"/>
        <v>117428899</v>
      </c>
      <c r="G497" s="7" t="s">
        <v>330</v>
      </c>
      <c r="H497" s="24" t="s">
        <v>109</v>
      </c>
      <c r="I497" s="32" t="s">
        <v>152</v>
      </c>
    </row>
    <row r="498" spans="1:9" x14ac:dyDescent="0.35">
      <c r="A498" s="19">
        <v>45735</v>
      </c>
      <c r="B498" s="20"/>
      <c r="C498" s="20"/>
      <c r="D498" s="20">
        <v>100000</v>
      </c>
      <c r="E498" s="99" t="s">
        <v>521</v>
      </c>
      <c r="F498" s="20">
        <f t="shared" si="7"/>
        <v>117528899</v>
      </c>
      <c r="G498" s="7" t="s">
        <v>330</v>
      </c>
      <c r="H498" s="24" t="s">
        <v>109</v>
      </c>
      <c r="I498" s="32" t="s">
        <v>152</v>
      </c>
    </row>
    <row r="499" spans="1:9" x14ac:dyDescent="0.35">
      <c r="A499" s="19">
        <v>45735</v>
      </c>
      <c r="B499" s="20"/>
      <c r="C499" s="20"/>
      <c r="D499" s="20">
        <v>50000</v>
      </c>
      <c r="E499" s="99" t="s">
        <v>521</v>
      </c>
      <c r="F499" s="20">
        <f t="shared" si="7"/>
        <v>117578899</v>
      </c>
      <c r="G499" s="7" t="s">
        <v>330</v>
      </c>
      <c r="H499" s="24" t="s">
        <v>109</v>
      </c>
      <c r="I499" s="32" t="s">
        <v>152</v>
      </c>
    </row>
    <row r="500" spans="1:9" x14ac:dyDescent="0.35">
      <c r="A500" s="19">
        <v>45735</v>
      </c>
      <c r="B500" s="20"/>
      <c r="C500" s="20"/>
      <c r="D500" s="20">
        <v>10000</v>
      </c>
      <c r="E500" s="99" t="s">
        <v>521</v>
      </c>
      <c r="F500" s="20">
        <f t="shared" si="7"/>
        <v>117588899</v>
      </c>
      <c r="G500" s="7" t="s">
        <v>330</v>
      </c>
      <c r="H500" s="24" t="s">
        <v>109</v>
      </c>
      <c r="I500" s="32" t="s">
        <v>152</v>
      </c>
    </row>
    <row r="501" spans="1:9" x14ac:dyDescent="0.35">
      <c r="A501" s="19">
        <v>45735</v>
      </c>
      <c r="B501" s="20"/>
      <c r="C501" s="20"/>
      <c r="D501" s="20">
        <v>5000</v>
      </c>
      <c r="E501" s="99" t="s">
        <v>521</v>
      </c>
      <c r="F501" s="20">
        <f t="shared" si="7"/>
        <v>117593899</v>
      </c>
      <c r="G501" s="7" t="s">
        <v>330</v>
      </c>
      <c r="H501" s="24" t="s">
        <v>109</v>
      </c>
      <c r="I501" s="32" t="s">
        <v>152</v>
      </c>
    </row>
    <row r="502" spans="1:9" x14ac:dyDescent="0.35">
      <c r="A502" s="19">
        <v>45735</v>
      </c>
      <c r="B502" s="20"/>
      <c r="C502" s="20"/>
      <c r="D502" s="20">
        <v>50000</v>
      </c>
      <c r="E502" s="99" t="s">
        <v>521</v>
      </c>
      <c r="F502" s="20">
        <f t="shared" si="7"/>
        <v>117643899</v>
      </c>
      <c r="G502" s="7" t="s">
        <v>330</v>
      </c>
      <c r="H502" s="24" t="s">
        <v>109</v>
      </c>
      <c r="I502" s="32" t="s">
        <v>152</v>
      </c>
    </row>
    <row r="503" spans="1:9" x14ac:dyDescent="0.35">
      <c r="A503" s="19">
        <v>45735</v>
      </c>
      <c r="B503" s="20"/>
      <c r="C503" s="20"/>
      <c r="D503" s="20">
        <v>900000</v>
      </c>
      <c r="E503" s="99" t="s">
        <v>521</v>
      </c>
      <c r="F503" s="20">
        <f t="shared" si="7"/>
        <v>118543899</v>
      </c>
      <c r="G503" s="7" t="s">
        <v>407</v>
      </c>
      <c r="H503" s="24" t="s">
        <v>109</v>
      </c>
      <c r="I503" s="32" t="s">
        <v>152</v>
      </c>
    </row>
    <row r="504" spans="1:9" x14ac:dyDescent="0.35">
      <c r="A504" s="19">
        <v>45736</v>
      </c>
      <c r="B504" s="20"/>
      <c r="C504" s="20"/>
      <c r="D504" s="20">
        <v>50000</v>
      </c>
      <c r="E504" s="99" t="s">
        <v>521</v>
      </c>
      <c r="F504" s="20">
        <f t="shared" si="7"/>
        <v>118593899</v>
      </c>
      <c r="G504" s="7" t="s">
        <v>330</v>
      </c>
      <c r="H504" s="24" t="s">
        <v>109</v>
      </c>
      <c r="I504" s="32" t="s">
        <v>152</v>
      </c>
    </row>
    <row r="505" spans="1:9" x14ac:dyDescent="0.35">
      <c r="A505" s="19">
        <v>45736</v>
      </c>
      <c r="B505" s="20"/>
      <c r="C505" s="20"/>
      <c r="D505" s="20">
        <v>100000</v>
      </c>
      <c r="E505" s="99" t="s">
        <v>521</v>
      </c>
      <c r="F505" s="20">
        <f t="shared" si="7"/>
        <v>118693899</v>
      </c>
      <c r="G505" s="7" t="s">
        <v>330</v>
      </c>
      <c r="H505" s="24" t="s">
        <v>109</v>
      </c>
      <c r="I505" s="32" t="s">
        <v>152</v>
      </c>
    </row>
    <row r="506" spans="1:9" x14ac:dyDescent="0.35">
      <c r="A506" s="19">
        <v>45736</v>
      </c>
      <c r="B506" s="20"/>
      <c r="C506" s="20"/>
      <c r="D506" s="20">
        <v>25000</v>
      </c>
      <c r="E506" s="99" t="s">
        <v>521</v>
      </c>
      <c r="F506" s="20">
        <f t="shared" si="7"/>
        <v>118718899</v>
      </c>
      <c r="G506" s="7" t="s">
        <v>330</v>
      </c>
      <c r="H506" s="24" t="s">
        <v>109</v>
      </c>
      <c r="I506" s="32" t="s">
        <v>152</v>
      </c>
    </row>
    <row r="507" spans="1:9" x14ac:dyDescent="0.35">
      <c r="A507" s="19">
        <v>45736</v>
      </c>
      <c r="B507" s="20"/>
      <c r="C507" s="20"/>
      <c r="D507" s="20">
        <v>50000</v>
      </c>
      <c r="E507" s="99" t="s">
        <v>521</v>
      </c>
      <c r="F507" s="20">
        <f t="shared" si="7"/>
        <v>118768899</v>
      </c>
      <c r="G507" s="7" t="s">
        <v>330</v>
      </c>
      <c r="H507" s="24" t="s">
        <v>109</v>
      </c>
      <c r="I507" s="32" t="s">
        <v>152</v>
      </c>
    </row>
    <row r="508" spans="1:9" x14ac:dyDescent="0.35">
      <c r="A508" s="19">
        <v>45736</v>
      </c>
      <c r="B508" s="20"/>
      <c r="C508" s="20"/>
      <c r="D508" s="20">
        <v>50000</v>
      </c>
      <c r="E508" s="99" t="s">
        <v>521</v>
      </c>
      <c r="F508" s="20">
        <f t="shared" si="7"/>
        <v>118818899</v>
      </c>
      <c r="G508" s="7" t="s">
        <v>330</v>
      </c>
      <c r="H508" s="24" t="s">
        <v>109</v>
      </c>
      <c r="I508" s="32" t="s">
        <v>152</v>
      </c>
    </row>
    <row r="509" spans="1:9" x14ac:dyDescent="0.35">
      <c r="A509" s="19">
        <v>45736</v>
      </c>
      <c r="B509" s="20"/>
      <c r="C509" s="20"/>
      <c r="D509" s="20">
        <v>10000</v>
      </c>
      <c r="E509" s="99" t="s">
        <v>521</v>
      </c>
      <c r="F509" s="20">
        <f t="shared" si="7"/>
        <v>118828899</v>
      </c>
      <c r="G509" s="7" t="s">
        <v>330</v>
      </c>
      <c r="H509" s="24" t="s">
        <v>109</v>
      </c>
      <c r="I509" s="32" t="s">
        <v>152</v>
      </c>
    </row>
    <row r="510" spans="1:9" x14ac:dyDescent="0.35">
      <c r="A510" s="19">
        <v>45736</v>
      </c>
      <c r="B510" s="20"/>
      <c r="C510" s="20"/>
      <c r="D510" s="20">
        <v>50000</v>
      </c>
      <c r="E510" s="99" t="s">
        <v>521</v>
      </c>
      <c r="F510" s="20">
        <f t="shared" si="7"/>
        <v>118878899</v>
      </c>
      <c r="G510" s="7" t="s">
        <v>330</v>
      </c>
      <c r="H510" s="24" t="s">
        <v>109</v>
      </c>
      <c r="I510" s="32" t="s">
        <v>152</v>
      </c>
    </row>
    <row r="511" spans="1:9" x14ac:dyDescent="0.35">
      <c r="A511" s="19">
        <v>45736</v>
      </c>
      <c r="B511" s="20"/>
      <c r="C511" s="20"/>
      <c r="D511" s="20">
        <v>10000</v>
      </c>
      <c r="E511" s="99" t="s">
        <v>521</v>
      </c>
      <c r="F511" s="20">
        <f t="shared" si="7"/>
        <v>118888899</v>
      </c>
      <c r="G511" s="7" t="s">
        <v>330</v>
      </c>
      <c r="H511" s="24" t="s">
        <v>109</v>
      </c>
      <c r="I511" s="32" t="s">
        <v>152</v>
      </c>
    </row>
    <row r="512" spans="1:9" x14ac:dyDescent="0.35">
      <c r="A512" s="19">
        <v>45736</v>
      </c>
      <c r="B512" s="20"/>
      <c r="C512" s="20"/>
      <c r="D512" s="20">
        <v>100000</v>
      </c>
      <c r="E512" s="99" t="s">
        <v>521</v>
      </c>
      <c r="F512" s="20">
        <f t="shared" si="7"/>
        <v>118988899</v>
      </c>
      <c r="G512" s="7" t="s">
        <v>330</v>
      </c>
      <c r="H512" s="24" t="s">
        <v>109</v>
      </c>
      <c r="I512" s="32" t="s">
        <v>152</v>
      </c>
    </row>
    <row r="513" spans="1:9" x14ac:dyDescent="0.35">
      <c r="A513" s="19">
        <v>45736</v>
      </c>
      <c r="B513" s="20"/>
      <c r="C513" s="20"/>
      <c r="D513" s="20">
        <v>50000</v>
      </c>
      <c r="E513" s="99" t="s">
        <v>521</v>
      </c>
      <c r="F513" s="20">
        <f t="shared" si="7"/>
        <v>119038899</v>
      </c>
      <c r="G513" s="7" t="s">
        <v>330</v>
      </c>
      <c r="H513" s="24" t="s">
        <v>109</v>
      </c>
      <c r="I513" s="32" t="s">
        <v>152</v>
      </c>
    </row>
    <row r="514" spans="1:9" x14ac:dyDescent="0.35">
      <c r="A514" s="19">
        <v>45736</v>
      </c>
      <c r="B514" s="20"/>
      <c r="C514" s="20"/>
      <c r="D514" s="23">
        <v>4250000</v>
      </c>
      <c r="E514" s="99" t="s">
        <v>521</v>
      </c>
      <c r="F514" s="20">
        <f t="shared" si="7"/>
        <v>123288899</v>
      </c>
      <c r="G514" s="24" t="s">
        <v>409</v>
      </c>
      <c r="H514" s="24" t="s">
        <v>109</v>
      </c>
      <c r="I514" s="32" t="s">
        <v>152</v>
      </c>
    </row>
    <row r="515" spans="1:9" x14ac:dyDescent="0.35">
      <c r="A515" s="19">
        <v>45736</v>
      </c>
      <c r="B515" s="23">
        <v>425000</v>
      </c>
      <c r="C515" s="20"/>
      <c r="D515" s="23"/>
      <c r="E515" s="99" t="s">
        <v>521</v>
      </c>
      <c r="F515" s="20">
        <f t="shared" si="7"/>
        <v>122863899</v>
      </c>
      <c r="G515" s="24" t="s">
        <v>410</v>
      </c>
      <c r="H515" s="59" t="s">
        <v>144</v>
      </c>
      <c r="I515" s="32" t="s">
        <v>152</v>
      </c>
    </row>
    <row r="516" spans="1:9" x14ac:dyDescent="0.35">
      <c r="A516" s="19">
        <v>45736</v>
      </c>
      <c r="B516" s="23">
        <v>2006000</v>
      </c>
      <c r="C516" s="20"/>
      <c r="D516" s="23"/>
      <c r="E516" s="99" t="s">
        <v>521</v>
      </c>
      <c r="F516" s="20">
        <f t="shared" si="7"/>
        <v>120857899</v>
      </c>
      <c r="G516" s="24" t="s">
        <v>411</v>
      </c>
      <c r="H516" s="59" t="s">
        <v>321</v>
      </c>
      <c r="I516" s="32" t="s">
        <v>152</v>
      </c>
    </row>
    <row r="517" spans="1:9" x14ac:dyDescent="0.35">
      <c r="A517" s="19"/>
      <c r="B517" s="20"/>
      <c r="C517" s="95">
        <v>1819000</v>
      </c>
      <c r="D517" s="95"/>
      <c r="E517" s="99"/>
      <c r="F517" s="20">
        <f t="shared" si="7"/>
        <v>120857899</v>
      </c>
      <c r="G517" s="125" t="s">
        <v>98</v>
      </c>
      <c r="H517" s="24"/>
      <c r="I517" s="32"/>
    </row>
    <row r="518" spans="1:9" x14ac:dyDescent="0.35">
      <c r="A518" s="19">
        <v>45736</v>
      </c>
      <c r="B518" s="20"/>
      <c r="C518" s="20"/>
      <c r="D518" s="20">
        <v>25000</v>
      </c>
      <c r="E518" s="99" t="s">
        <v>521</v>
      </c>
      <c r="F518" s="20">
        <f t="shared" si="7"/>
        <v>120882899</v>
      </c>
      <c r="G518" s="7" t="s">
        <v>408</v>
      </c>
      <c r="H518" s="24" t="s">
        <v>109</v>
      </c>
      <c r="I518" s="32" t="s">
        <v>152</v>
      </c>
    </row>
    <row r="519" spans="1:9" x14ac:dyDescent="0.35">
      <c r="A519" s="19">
        <v>45737</v>
      </c>
      <c r="B519" s="20"/>
      <c r="C519" s="20"/>
      <c r="D519" s="20">
        <v>50000</v>
      </c>
      <c r="E519" s="99" t="s">
        <v>521</v>
      </c>
      <c r="F519" s="20">
        <f t="shared" si="7"/>
        <v>120932899</v>
      </c>
      <c r="G519" s="7" t="s">
        <v>330</v>
      </c>
      <c r="H519" s="24" t="s">
        <v>109</v>
      </c>
      <c r="I519" s="32" t="s">
        <v>152</v>
      </c>
    </row>
    <row r="520" spans="1:9" x14ac:dyDescent="0.35">
      <c r="A520" s="19">
        <v>45737</v>
      </c>
      <c r="B520" s="20"/>
      <c r="C520" s="20"/>
      <c r="D520" s="20">
        <v>200000</v>
      </c>
      <c r="E520" s="99" t="s">
        <v>521</v>
      </c>
      <c r="F520" s="20">
        <f t="shared" si="7"/>
        <v>121132899</v>
      </c>
      <c r="G520" s="7" t="s">
        <v>330</v>
      </c>
      <c r="H520" s="24" t="s">
        <v>109</v>
      </c>
      <c r="I520" s="32" t="s">
        <v>152</v>
      </c>
    </row>
    <row r="521" spans="1:9" x14ac:dyDescent="0.35">
      <c r="A521" s="19">
        <v>45737</v>
      </c>
      <c r="B521" s="20"/>
      <c r="C521" s="20"/>
      <c r="D521" s="20">
        <v>25000</v>
      </c>
      <c r="E521" s="99" t="s">
        <v>521</v>
      </c>
      <c r="F521" s="20">
        <f t="shared" si="7"/>
        <v>121157899</v>
      </c>
      <c r="G521" s="7" t="s">
        <v>330</v>
      </c>
      <c r="H521" s="24" t="s">
        <v>109</v>
      </c>
      <c r="I521" s="32" t="s">
        <v>152</v>
      </c>
    </row>
    <row r="522" spans="1:9" x14ac:dyDescent="0.35">
      <c r="A522" s="19">
        <v>45737</v>
      </c>
      <c r="B522" s="20"/>
      <c r="C522" s="20"/>
      <c r="D522" s="20">
        <v>100000</v>
      </c>
      <c r="E522" s="99" t="s">
        <v>521</v>
      </c>
      <c r="F522" s="20">
        <f t="shared" ref="F522:F585" si="8">+F521+D522-B522</f>
        <v>121257899</v>
      </c>
      <c r="G522" s="7" t="s">
        <v>330</v>
      </c>
      <c r="H522" s="24" t="s">
        <v>109</v>
      </c>
      <c r="I522" s="32" t="s">
        <v>152</v>
      </c>
    </row>
    <row r="523" spans="1:9" x14ac:dyDescent="0.35">
      <c r="A523" s="19">
        <v>45737</v>
      </c>
      <c r="B523" s="20"/>
      <c r="C523" s="20"/>
      <c r="D523" s="20">
        <v>100000</v>
      </c>
      <c r="E523" s="99" t="s">
        <v>521</v>
      </c>
      <c r="F523" s="20">
        <f t="shared" si="8"/>
        <v>121357899</v>
      </c>
      <c r="G523" s="7" t="s">
        <v>330</v>
      </c>
      <c r="H523" s="24" t="s">
        <v>109</v>
      </c>
      <c r="I523" s="32" t="s">
        <v>152</v>
      </c>
    </row>
    <row r="524" spans="1:9" x14ac:dyDescent="0.35">
      <c r="A524" s="19">
        <v>45737</v>
      </c>
      <c r="B524" s="20"/>
      <c r="C524" s="20"/>
      <c r="D524" s="20">
        <v>10000</v>
      </c>
      <c r="E524" s="99" t="s">
        <v>521</v>
      </c>
      <c r="F524" s="20">
        <f t="shared" si="8"/>
        <v>121367899</v>
      </c>
      <c r="G524" s="7" t="s">
        <v>330</v>
      </c>
      <c r="H524" s="24" t="s">
        <v>109</v>
      </c>
      <c r="I524" s="32" t="s">
        <v>152</v>
      </c>
    </row>
    <row r="525" spans="1:9" x14ac:dyDescent="0.35">
      <c r="A525" s="19">
        <v>45737</v>
      </c>
      <c r="B525" s="20"/>
      <c r="C525" s="20"/>
      <c r="D525" s="20">
        <v>25000</v>
      </c>
      <c r="E525" s="99" t="s">
        <v>521</v>
      </c>
      <c r="F525" s="20">
        <f t="shared" si="8"/>
        <v>121392899</v>
      </c>
      <c r="G525" s="7" t="s">
        <v>330</v>
      </c>
      <c r="H525" s="24" t="s">
        <v>109</v>
      </c>
      <c r="I525" s="32" t="s">
        <v>152</v>
      </c>
    </row>
    <row r="526" spans="1:9" x14ac:dyDescent="0.35">
      <c r="A526" s="19">
        <v>45737</v>
      </c>
      <c r="B526" s="20"/>
      <c r="C526" s="20"/>
      <c r="D526" s="20">
        <v>50000</v>
      </c>
      <c r="E526" s="99" t="s">
        <v>521</v>
      </c>
      <c r="F526" s="20">
        <f t="shared" si="8"/>
        <v>121442899</v>
      </c>
      <c r="G526" s="7" t="s">
        <v>330</v>
      </c>
      <c r="H526" s="24" t="s">
        <v>109</v>
      </c>
      <c r="I526" s="32" t="s">
        <v>152</v>
      </c>
    </row>
    <row r="527" spans="1:9" x14ac:dyDescent="0.35">
      <c r="A527" s="19">
        <v>45737</v>
      </c>
      <c r="B527" s="20"/>
      <c r="C527" s="20"/>
      <c r="D527" s="20">
        <v>10000</v>
      </c>
      <c r="E527" s="99" t="s">
        <v>521</v>
      </c>
      <c r="F527" s="20">
        <f t="shared" si="8"/>
        <v>121452899</v>
      </c>
      <c r="G527" s="7" t="s">
        <v>330</v>
      </c>
      <c r="H527" s="24" t="s">
        <v>109</v>
      </c>
      <c r="I527" s="32" t="s">
        <v>152</v>
      </c>
    </row>
    <row r="528" spans="1:9" x14ac:dyDescent="0.35">
      <c r="A528" s="19">
        <v>45737</v>
      </c>
      <c r="B528" s="20"/>
      <c r="C528" s="20"/>
      <c r="D528" s="20">
        <v>100000</v>
      </c>
      <c r="E528" s="99" t="s">
        <v>521</v>
      </c>
      <c r="F528" s="20">
        <f t="shared" si="8"/>
        <v>121552899</v>
      </c>
      <c r="G528" s="7" t="s">
        <v>330</v>
      </c>
      <c r="H528" s="24" t="s">
        <v>109</v>
      </c>
      <c r="I528" s="32" t="s">
        <v>152</v>
      </c>
    </row>
    <row r="529" spans="1:9" x14ac:dyDescent="0.35">
      <c r="A529" s="19">
        <v>45737</v>
      </c>
      <c r="B529" s="20"/>
      <c r="C529" s="20"/>
      <c r="D529" s="20">
        <v>10000</v>
      </c>
      <c r="E529" s="99" t="s">
        <v>521</v>
      </c>
      <c r="F529" s="20">
        <f t="shared" si="8"/>
        <v>121562899</v>
      </c>
      <c r="G529" s="7" t="s">
        <v>330</v>
      </c>
      <c r="H529" s="24" t="s">
        <v>109</v>
      </c>
      <c r="I529" s="32" t="s">
        <v>152</v>
      </c>
    </row>
    <row r="530" spans="1:9" x14ac:dyDescent="0.35">
      <c r="A530" s="19">
        <v>45737</v>
      </c>
      <c r="B530" s="20"/>
      <c r="C530" s="20"/>
      <c r="D530" s="20">
        <v>1000000</v>
      </c>
      <c r="E530" s="99" t="s">
        <v>521</v>
      </c>
      <c r="F530" s="20">
        <f t="shared" si="8"/>
        <v>122562899</v>
      </c>
      <c r="G530" s="7" t="s">
        <v>314</v>
      </c>
      <c r="H530" s="24" t="s">
        <v>109</v>
      </c>
      <c r="I530" s="32" t="s">
        <v>152</v>
      </c>
    </row>
    <row r="531" spans="1:9" x14ac:dyDescent="0.35">
      <c r="A531" s="19">
        <v>45737</v>
      </c>
      <c r="B531" s="20">
        <v>7000</v>
      </c>
      <c r="C531" s="20"/>
      <c r="D531" s="20"/>
      <c r="E531" s="99" t="s">
        <v>521</v>
      </c>
      <c r="F531" s="20">
        <f t="shared" si="8"/>
        <v>122555899</v>
      </c>
      <c r="G531" s="7" t="s">
        <v>423</v>
      </c>
      <c r="H531" s="24" t="s">
        <v>320</v>
      </c>
      <c r="I531" s="32" t="s">
        <v>152</v>
      </c>
    </row>
    <row r="532" spans="1:9" x14ac:dyDescent="0.35">
      <c r="A532" s="19">
        <v>45737</v>
      </c>
      <c r="B532" s="20"/>
      <c r="C532" s="20"/>
      <c r="D532" s="20">
        <v>100000</v>
      </c>
      <c r="E532" s="99" t="s">
        <v>521</v>
      </c>
      <c r="F532" s="20">
        <f t="shared" si="8"/>
        <v>122655899</v>
      </c>
      <c r="G532" s="7" t="s">
        <v>424</v>
      </c>
      <c r="H532" s="24" t="s">
        <v>109</v>
      </c>
      <c r="I532" s="32" t="s">
        <v>152</v>
      </c>
    </row>
    <row r="533" spans="1:9" x14ac:dyDescent="0.35">
      <c r="A533" s="19">
        <v>45740</v>
      </c>
      <c r="B533" s="20"/>
      <c r="C533" s="20"/>
      <c r="D533" s="20">
        <v>50000</v>
      </c>
      <c r="E533" s="99" t="s">
        <v>521</v>
      </c>
      <c r="F533" s="20">
        <f t="shared" si="8"/>
        <v>122705899</v>
      </c>
      <c r="G533" s="7" t="s">
        <v>330</v>
      </c>
      <c r="H533" s="24" t="s">
        <v>109</v>
      </c>
      <c r="I533" s="32" t="s">
        <v>152</v>
      </c>
    </row>
    <row r="534" spans="1:9" x14ac:dyDescent="0.35">
      <c r="A534" s="19">
        <v>45740</v>
      </c>
      <c r="B534" s="20"/>
      <c r="C534" s="20"/>
      <c r="D534" s="20">
        <v>100000</v>
      </c>
      <c r="E534" s="99" t="s">
        <v>521</v>
      </c>
      <c r="F534" s="20">
        <f t="shared" si="8"/>
        <v>122805899</v>
      </c>
      <c r="G534" s="7" t="s">
        <v>330</v>
      </c>
      <c r="H534" s="24" t="s">
        <v>109</v>
      </c>
      <c r="I534" s="32" t="s">
        <v>152</v>
      </c>
    </row>
    <row r="535" spans="1:9" x14ac:dyDescent="0.35">
      <c r="A535" s="19">
        <v>45740</v>
      </c>
      <c r="B535" s="20"/>
      <c r="C535" s="20"/>
      <c r="D535" s="20">
        <v>25000</v>
      </c>
      <c r="E535" s="99" t="s">
        <v>521</v>
      </c>
      <c r="F535" s="20">
        <f t="shared" si="8"/>
        <v>122830899</v>
      </c>
      <c r="G535" s="7" t="s">
        <v>330</v>
      </c>
      <c r="H535" s="24" t="s">
        <v>109</v>
      </c>
      <c r="I535" s="32" t="s">
        <v>152</v>
      </c>
    </row>
    <row r="536" spans="1:9" x14ac:dyDescent="0.35">
      <c r="A536" s="19">
        <v>45740</v>
      </c>
      <c r="B536" s="20"/>
      <c r="C536" s="20"/>
      <c r="D536" s="20">
        <v>100000</v>
      </c>
      <c r="E536" s="99" t="s">
        <v>521</v>
      </c>
      <c r="F536" s="20">
        <f t="shared" si="8"/>
        <v>122930899</v>
      </c>
      <c r="G536" s="7" t="s">
        <v>330</v>
      </c>
      <c r="H536" s="24" t="s">
        <v>109</v>
      </c>
      <c r="I536" s="32" t="s">
        <v>152</v>
      </c>
    </row>
    <row r="537" spans="1:9" x14ac:dyDescent="0.35">
      <c r="A537" s="19">
        <v>45740</v>
      </c>
      <c r="B537" s="20"/>
      <c r="C537" s="20"/>
      <c r="D537" s="20">
        <v>1000010</v>
      </c>
      <c r="E537" s="99" t="s">
        <v>521</v>
      </c>
      <c r="F537" s="20">
        <f t="shared" si="8"/>
        <v>123930909</v>
      </c>
      <c r="G537" s="7" t="s">
        <v>441</v>
      </c>
      <c r="H537" s="59" t="s">
        <v>105</v>
      </c>
      <c r="I537" s="32" t="s">
        <v>152</v>
      </c>
    </row>
    <row r="538" spans="1:9" x14ac:dyDescent="0.35">
      <c r="A538" s="19">
        <v>45740</v>
      </c>
      <c r="B538" s="20"/>
      <c r="C538" s="20"/>
      <c r="D538" s="20">
        <v>25000</v>
      </c>
      <c r="E538" s="99" t="s">
        <v>521</v>
      </c>
      <c r="F538" s="20">
        <f t="shared" si="8"/>
        <v>123955909</v>
      </c>
      <c r="G538" s="7" t="s">
        <v>330</v>
      </c>
      <c r="H538" s="24" t="s">
        <v>109</v>
      </c>
      <c r="I538" s="32" t="s">
        <v>152</v>
      </c>
    </row>
    <row r="539" spans="1:9" x14ac:dyDescent="0.35">
      <c r="A539" s="19">
        <v>45740</v>
      </c>
      <c r="B539" s="20"/>
      <c r="C539" s="20"/>
      <c r="D539" s="20">
        <v>10000</v>
      </c>
      <c r="E539" s="99" t="s">
        <v>521</v>
      </c>
      <c r="F539" s="20">
        <f t="shared" si="8"/>
        <v>123965909</v>
      </c>
      <c r="G539" s="7" t="s">
        <v>330</v>
      </c>
      <c r="H539" s="24" t="s">
        <v>109</v>
      </c>
      <c r="I539" s="32" t="s">
        <v>152</v>
      </c>
    </row>
    <row r="540" spans="1:9" x14ac:dyDescent="0.35">
      <c r="A540" s="19">
        <v>45740</v>
      </c>
      <c r="B540" s="20"/>
      <c r="C540" s="20"/>
      <c r="D540" s="20">
        <v>50000</v>
      </c>
      <c r="E540" s="99" t="s">
        <v>521</v>
      </c>
      <c r="F540" s="20">
        <f t="shared" si="8"/>
        <v>124015909</v>
      </c>
      <c r="G540" s="7" t="s">
        <v>330</v>
      </c>
      <c r="H540" s="24" t="s">
        <v>109</v>
      </c>
      <c r="I540" s="32" t="s">
        <v>152</v>
      </c>
    </row>
    <row r="541" spans="1:9" x14ac:dyDescent="0.35">
      <c r="A541" s="19">
        <v>45740</v>
      </c>
      <c r="B541" s="20"/>
      <c r="C541" s="20"/>
      <c r="D541" s="20">
        <v>10000</v>
      </c>
      <c r="E541" s="99" t="s">
        <v>521</v>
      </c>
      <c r="F541" s="20">
        <f t="shared" si="8"/>
        <v>124025909</v>
      </c>
      <c r="G541" s="7" t="s">
        <v>330</v>
      </c>
      <c r="H541" s="24" t="s">
        <v>109</v>
      </c>
      <c r="I541" s="32" t="s">
        <v>152</v>
      </c>
    </row>
    <row r="542" spans="1:9" x14ac:dyDescent="0.35">
      <c r="A542" s="19">
        <v>45740</v>
      </c>
      <c r="B542" s="20"/>
      <c r="C542" s="20"/>
      <c r="D542" s="20">
        <v>100000</v>
      </c>
      <c r="E542" s="99" t="s">
        <v>521</v>
      </c>
      <c r="F542" s="20">
        <f t="shared" si="8"/>
        <v>124125909</v>
      </c>
      <c r="G542" s="7" t="s">
        <v>330</v>
      </c>
      <c r="H542" s="24" t="s">
        <v>109</v>
      </c>
      <c r="I542" s="32" t="s">
        <v>152</v>
      </c>
    </row>
    <row r="543" spans="1:9" x14ac:dyDescent="0.35">
      <c r="A543" s="19">
        <v>45740</v>
      </c>
      <c r="B543" s="20"/>
      <c r="C543" s="20"/>
      <c r="D543" s="20">
        <v>20000</v>
      </c>
      <c r="E543" s="99" t="s">
        <v>521</v>
      </c>
      <c r="F543" s="20">
        <f t="shared" si="8"/>
        <v>124145909</v>
      </c>
      <c r="G543" s="7" t="s">
        <v>330</v>
      </c>
      <c r="H543" s="24" t="s">
        <v>109</v>
      </c>
      <c r="I543" s="32" t="s">
        <v>152</v>
      </c>
    </row>
    <row r="544" spans="1:9" x14ac:dyDescent="0.35">
      <c r="A544" s="19">
        <v>45740</v>
      </c>
      <c r="B544" s="20"/>
      <c r="C544" s="20"/>
      <c r="D544" s="20">
        <v>48000</v>
      </c>
      <c r="E544" s="99" t="s">
        <v>521</v>
      </c>
      <c r="F544" s="20">
        <f t="shared" si="8"/>
        <v>124193909</v>
      </c>
      <c r="G544" s="7" t="s">
        <v>330</v>
      </c>
      <c r="H544" s="24" t="s">
        <v>109</v>
      </c>
      <c r="I544" s="32" t="s">
        <v>152</v>
      </c>
    </row>
    <row r="545" spans="1:9" x14ac:dyDescent="0.35">
      <c r="A545" s="19">
        <v>45740</v>
      </c>
      <c r="B545" s="20"/>
      <c r="C545" s="20"/>
      <c r="D545" s="20">
        <v>100000</v>
      </c>
      <c r="E545" s="99" t="s">
        <v>521</v>
      </c>
      <c r="F545" s="20">
        <f t="shared" si="8"/>
        <v>124293909</v>
      </c>
      <c r="G545" s="7" t="s">
        <v>330</v>
      </c>
      <c r="H545" s="24" t="s">
        <v>109</v>
      </c>
      <c r="I545" s="32" t="s">
        <v>152</v>
      </c>
    </row>
    <row r="546" spans="1:9" x14ac:dyDescent="0.35">
      <c r="A546" s="19">
        <v>45740</v>
      </c>
      <c r="B546" s="20"/>
      <c r="C546" s="20"/>
      <c r="D546" s="20">
        <v>300000</v>
      </c>
      <c r="E546" s="99" t="s">
        <v>521</v>
      </c>
      <c r="F546" s="20">
        <f t="shared" si="8"/>
        <v>124593909</v>
      </c>
      <c r="G546" s="7" t="s">
        <v>330</v>
      </c>
      <c r="H546" s="24" t="s">
        <v>109</v>
      </c>
      <c r="I546" s="32" t="s">
        <v>152</v>
      </c>
    </row>
    <row r="547" spans="1:9" x14ac:dyDescent="0.35">
      <c r="A547" s="19">
        <v>45740</v>
      </c>
      <c r="B547" s="20"/>
      <c r="C547" s="20"/>
      <c r="D547" s="20">
        <v>20000</v>
      </c>
      <c r="E547" s="99" t="s">
        <v>521</v>
      </c>
      <c r="F547" s="20">
        <f t="shared" si="8"/>
        <v>124613909</v>
      </c>
      <c r="G547" s="7" t="s">
        <v>330</v>
      </c>
      <c r="H547" s="24" t="s">
        <v>109</v>
      </c>
      <c r="I547" s="32" t="s">
        <v>152</v>
      </c>
    </row>
    <row r="548" spans="1:9" x14ac:dyDescent="0.35">
      <c r="A548" s="19">
        <v>45740</v>
      </c>
      <c r="B548" s="20"/>
      <c r="C548" s="20"/>
      <c r="D548" s="20">
        <v>1474</v>
      </c>
      <c r="E548" s="99" t="s">
        <v>521</v>
      </c>
      <c r="F548" s="20">
        <f t="shared" si="8"/>
        <v>124615383</v>
      </c>
      <c r="G548" s="7" t="s">
        <v>330</v>
      </c>
      <c r="H548" s="24" t="s">
        <v>109</v>
      </c>
      <c r="I548" s="32" t="s">
        <v>152</v>
      </c>
    </row>
    <row r="549" spans="1:9" x14ac:dyDescent="0.35">
      <c r="A549" s="19">
        <v>45740</v>
      </c>
      <c r="B549" s="20"/>
      <c r="C549" s="20"/>
      <c r="D549" s="20">
        <v>5000</v>
      </c>
      <c r="E549" s="99" t="s">
        <v>521</v>
      </c>
      <c r="F549" s="20">
        <f t="shared" si="8"/>
        <v>124620383</v>
      </c>
      <c r="G549" s="7" t="s">
        <v>330</v>
      </c>
      <c r="H549" s="24" t="s">
        <v>109</v>
      </c>
      <c r="I549" s="32" t="s">
        <v>152</v>
      </c>
    </row>
    <row r="550" spans="1:9" x14ac:dyDescent="0.35">
      <c r="A550" s="19">
        <v>45740</v>
      </c>
      <c r="B550" s="20"/>
      <c r="C550" s="20"/>
      <c r="D550" s="20">
        <v>20000</v>
      </c>
      <c r="E550" s="99" t="s">
        <v>521</v>
      </c>
      <c r="F550" s="20">
        <f t="shared" si="8"/>
        <v>124640383</v>
      </c>
      <c r="G550" s="7" t="s">
        <v>330</v>
      </c>
      <c r="H550" s="24" t="s">
        <v>109</v>
      </c>
      <c r="I550" s="32" t="s">
        <v>152</v>
      </c>
    </row>
    <row r="551" spans="1:9" x14ac:dyDescent="0.35">
      <c r="A551" s="19">
        <v>45740</v>
      </c>
      <c r="B551" s="20"/>
      <c r="C551" s="20"/>
      <c r="D551" s="20">
        <v>2000000</v>
      </c>
      <c r="E551" s="99" t="s">
        <v>521</v>
      </c>
      <c r="F551" s="20">
        <f t="shared" si="8"/>
        <v>126640383</v>
      </c>
      <c r="G551" s="7" t="s">
        <v>425</v>
      </c>
      <c r="H551" s="24" t="s">
        <v>109</v>
      </c>
      <c r="I551" s="32" t="s">
        <v>152</v>
      </c>
    </row>
    <row r="552" spans="1:9" x14ac:dyDescent="0.35">
      <c r="A552" s="19">
        <v>45740</v>
      </c>
      <c r="B552" s="20"/>
      <c r="C552" s="20"/>
      <c r="D552" s="20">
        <v>1500000</v>
      </c>
      <c r="E552" s="99" t="s">
        <v>521</v>
      </c>
      <c r="F552" s="20">
        <f t="shared" si="8"/>
        <v>128140383</v>
      </c>
      <c r="G552" s="7" t="s">
        <v>440</v>
      </c>
      <c r="H552" s="59" t="s">
        <v>105</v>
      </c>
      <c r="I552" s="32" t="s">
        <v>152</v>
      </c>
    </row>
    <row r="553" spans="1:9" x14ac:dyDescent="0.35">
      <c r="A553" s="19">
        <v>45740</v>
      </c>
      <c r="B553" s="20"/>
      <c r="C553" s="20"/>
      <c r="D553" s="20">
        <v>25000</v>
      </c>
      <c r="E553" s="99" t="s">
        <v>521</v>
      </c>
      <c r="F553" s="20">
        <f t="shared" si="8"/>
        <v>128165383</v>
      </c>
      <c r="G553" s="7" t="s">
        <v>408</v>
      </c>
      <c r="H553" s="24" t="s">
        <v>109</v>
      </c>
      <c r="I553" s="32" t="s">
        <v>152</v>
      </c>
    </row>
    <row r="554" spans="1:9" x14ac:dyDescent="0.35">
      <c r="A554" s="19">
        <v>45740</v>
      </c>
      <c r="B554" s="20"/>
      <c r="C554" s="20"/>
      <c r="D554" s="20">
        <v>50000</v>
      </c>
      <c r="E554" s="99" t="s">
        <v>521</v>
      </c>
      <c r="F554" s="20">
        <f t="shared" si="8"/>
        <v>128215383</v>
      </c>
      <c r="G554" s="7" t="s">
        <v>330</v>
      </c>
      <c r="H554" s="24" t="s">
        <v>109</v>
      </c>
      <c r="I554" s="32" t="s">
        <v>152</v>
      </c>
    </row>
    <row r="555" spans="1:9" x14ac:dyDescent="0.35">
      <c r="A555" s="19">
        <v>45740</v>
      </c>
      <c r="B555" s="20"/>
      <c r="C555" s="20"/>
      <c r="D555" s="20">
        <v>100000</v>
      </c>
      <c r="E555" s="99" t="s">
        <v>521</v>
      </c>
      <c r="F555" s="20">
        <f t="shared" si="8"/>
        <v>128315383</v>
      </c>
      <c r="G555" s="7" t="s">
        <v>330</v>
      </c>
      <c r="H555" s="24" t="s">
        <v>109</v>
      </c>
      <c r="I555" s="32" t="s">
        <v>152</v>
      </c>
    </row>
    <row r="556" spans="1:9" x14ac:dyDescent="0.35">
      <c r="A556" s="19">
        <v>45740</v>
      </c>
      <c r="B556" s="20"/>
      <c r="C556" s="20"/>
      <c r="D556" s="20">
        <v>100000</v>
      </c>
      <c r="E556" s="99" t="s">
        <v>521</v>
      </c>
      <c r="F556" s="20">
        <f t="shared" si="8"/>
        <v>128415383</v>
      </c>
      <c r="G556" s="7" t="s">
        <v>330</v>
      </c>
      <c r="H556" s="24" t="s">
        <v>109</v>
      </c>
      <c r="I556" s="32" t="s">
        <v>152</v>
      </c>
    </row>
    <row r="557" spans="1:9" x14ac:dyDescent="0.35">
      <c r="A557" s="19">
        <v>45740</v>
      </c>
      <c r="B557" s="20"/>
      <c r="C557" s="20"/>
      <c r="D557" s="20">
        <v>100000</v>
      </c>
      <c r="E557" s="99" t="s">
        <v>521</v>
      </c>
      <c r="F557" s="20">
        <f t="shared" si="8"/>
        <v>128515383</v>
      </c>
      <c r="G557" s="7" t="s">
        <v>330</v>
      </c>
      <c r="H557" s="24" t="s">
        <v>109</v>
      </c>
      <c r="I557" s="32" t="s">
        <v>152</v>
      </c>
    </row>
    <row r="558" spans="1:9" x14ac:dyDescent="0.35">
      <c r="A558" s="19">
        <v>45740</v>
      </c>
      <c r="B558" s="20"/>
      <c r="C558" s="20"/>
      <c r="D558" s="20">
        <v>10000</v>
      </c>
      <c r="E558" s="99" t="s">
        <v>521</v>
      </c>
      <c r="F558" s="20">
        <f t="shared" si="8"/>
        <v>128525383</v>
      </c>
      <c r="G558" s="7" t="s">
        <v>330</v>
      </c>
      <c r="H558" s="24" t="s">
        <v>109</v>
      </c>
      <c r="I558" s="32" t="s">
        <v>152</v>
      </c>
    </row>
    <row r="559" spans="1:9" x14ac:dyDescent="0.35">
      <c r="A559" s="19">
        <v>45740</v>
      </c>
      <c r="B559" s="20"/>
      <c r="C559" s="20"/>
      <c r="D559" s="20">
        <v>10000</v>
      </c>
      <c r="E559" s="99" t="s">
        <v>521</v>
      </c>
      <c r="F559" s="20">
        <f t="shared" si="8"/>
        <v>128535383</v>
      </c>
      <c r="G559" s="7" t="s">
        <v>330</v>
      </c>
      <c r="H559" s="24" t="s">
        <v>109</v>
      </c>
      <c r="I559" s="32" t="s">
        <v>152</v>
      </c>
    </row>
    <row r="560" spans="1:9" x14ac:dyDescent="0.35">
      <c r="A560" s="19">
        <v>45740</v>
      </c>
      <c r="B560" s="20"/>
      <c r="C560" s="20"/>
      <c r="D560" s="20">
        <v>10000</v>
      </c>
      <c r="E560" s="99" t="s">
        <v>521</v>
      </c>
      <c r="F560" s="20">
        <f t="shared" si="8"/>
        <v>128545383</v>
      </c>
      <c r="G560" s="7" t="s">
        <v>330</v>
      </c>
      <c r="H560" s="24" t="s">
        <v>109</v>
      </c>
      <c r="I560" s="32" t="s">
        <v>152</v>
      </c>
    </row>
    <row r="561" spans="1:9" x14ac:dyDescent="0.35">
      <c r="A561" s="19">
        <v>45740</v>
      </c>
      <c r="B561" s="20"/>
      <c r="C561" s="20"/>
      <c r="D561" s="20">
        <v>25000</v>
      </c>
      <c r="E561" s="99" t="s">
        <v>521</v>
      </c>
      <c r="F561" s="20">
        <f t="shared" si="8"/>
        <v>128570383</v>
      </c>
      <c r="G561" s="7" t="s">
        <v>330</v>
      </c>
      <c r="H561" s="24" t="s">
        <v>109</v>
      </c>
      <c r="I561" s="32" t="s">
        <v>152</v>
      </c>
    </row>
    <row r="562" spans="1:9" x14ac:dyDescent="0.35">
      <c r="A562" s="19">
        <v>45740</v>
      </c>
      <c r="B562" s="20"/>
      <c r="C562" s="20"/>
      <c r="D562" s="20">
        <v>100000</v>
      </c>
      <c r="E562" s="99" t="s">
        <v>521</v>
      </c>
      <c r="F562" s="20">
        <f t="shared" si="8"/>
        <v>128670383</v>
      </c>
      <c r="G562" s="7" t="s">
        <v>330</v>
      </c>
      <c r="H562" s="24" t="s">
        <v>109</v>
      </c>
      <c r="I562" s="32" t="s">
        <v>152</v>
      </c>
    </row>
    <row r="563" spans="1:9" x14ac:dyDescent="0.35">
      <c r="A563" s="19">
        <v>45740</v>
      </c>
      <c r="B563" s="20"/>
      <c r="C563" s="20"/>
      <c r="D563" s="20">
        <v>25000</v>
      </c>
      <c r="E563" s="99" t="s">
        <v>521</v>
      </c>
      <c r="F563" s="20">
        <f t="shared" si="8"/>
        <v>128695383</v>
      </c>
      <c r="G563" s="7" t="s">
        <v>330</v>
      </c>
      <c r="H563" s="24" t="s">
        <v>109</v>
      </c>
      <c r="I563" s="32" t="s">
        <v>152</v>
      </c>
    </row>
    <row r="564" spans="1:9" x14ac:dyDescent="0.35">
      <c r="A564" s="19">
        <v>45740</v>
      </c>
      <c r="B564" s="20"/>
      <c r="C564" s="20"/>
      <c r="D564" s="20">
        <v>50000</v>
      </c>
      <c r="E564" s="99" t="s">
        <v>521</v>
      </c>
      <c r="F564" s="20">
        <f t="shared" si="8"/>
        <v>128745383</v>
      </c>
      <c r="G564" s="7" t="s">
        <v>330</v>
      </c>
      <c r="H564" s="24" t="s">
        <v>109</v>
      </c>
      <c r="I564" s="32" t="s">
        <v>152</v>
      </c>
    </row>
    <row r="565" spans="1:9" x14ac:dyDescent="0.35">
      <c r="A565" s="19">
        <v>45740</v>
      </c>
      <c r="B565" s="20"/>
      <c r="C565" s="20"/>
      <c r="D565" s="20">
        <v>20000</v>
      </c>
      <c r="E565" s="99" t="s">
        <v>521</v>
      </c>
      <c r="F565" s="20">
        <f t="shared" si="8"/>
        <v>128765383</v>
      </c>
      <c r="G565" s="7" t="s">
        <v>330</v>
      </c>
      <c r="H565" s="24" t="s">
        <v>109</v>
      </c>
      <c r="I565" s="32" t="s">
        <v>152</v>
      </c>
    </row>
    <row r="566" spans="1:9" x14ac:dyDescent="0.35">
      <c r="A566" s="19">
        <v>45740</v>
      </c>
      <c r="B566" s="20"/>
      <c r="C566" s="20"/>
      <c r="D566" s="20">
        <v>1000000</v>
      </c>
      <c r="E566" s="99" t="s">
        <v>521</v>
      </c>
      <c r="F566" s="20">
        <f t="shared" si="8"/>
        <v>129765383</v>
      </c>
      <c r="G566" s="7" t="s">
        <v>426</v>
      </c>
      <c r="H566" s="24" t="s">
        <v>109</v>
      </c>
      <c r="I566" s="32" t="s">
        <v>152</v>
      </c>
    </row>
    <row r="567" spans="1:9" x14ac:dyDescent="0.35">
      <c r="A567" s="19">
        <v>45740</v>
      </c>
      <c r="B567" s="20"/>
      <c r="C567" s="20"/>
      <c r="D567" s="20">
        <v>4000000</v>
      </c>
      <c r="E567" s="99" t="s">
        <v>521</v>
      </c>
      <c r="F567" s="20">
        <f t="shared" si="8"/>
        <v>133765383</v>
      </c>
      <c r="G567" s="7" t="s">
        <v>427</v>
      </c>
      <c r="H567" s="59" t="s">
        <v>105</v>
      </c>
      <c r="I567" s="32" t="s">
        <v>152</v>
      </c>
    </row>
    <row r="568" spans="1:9" x14ac:dyDescent="0.35">
      <c r="A568" s="19">
        <v>45740</v>
      </c>
      <c r="B568" s="20"/>
      <c r="C568" s="20"/>
      <c r="D568" s="20">
        <v>300000</v>
      </c>
      <c r="E568" s="99" t="s">
        <v>521</v>
      </c>
      <c r="F568" s="20">
        <f t="shared" si="8"/>
        <v>134065383</v>
      </c>
      <c r="G568" s="7" t="s">
        <v>428</v>
      </c>
      <c r="H568" s="24" t="s">
        <v>109</v>
      </c>
      <c r="I568" s="32" t="s">
        <v>152</v>
      </c>
    </row>
    <row r="569" spans="1:9" x14ac:dyDescent="0.35">
      <c r="A569" s="19">
        <v>45740</v>
      </c>
      <c r="B569" s="20"/>
      <c r="C569" s="20"/>
      <c r="D569" s="20">
        <v>5000000</v>
      </c>
      <c r="E569" s="99" t="s">
        <v>521</v>
      </c>
      <c r="F569" s="20">
        <f t="shared" si="8"/>
        <v>139065383</v>
      </c>
      <c r="G569" s="7" t="s">
        <v>429</v>
      </c>
      <c r="H569" s="59" t="s">
        <v>105</v>
      </c>
      <c r="I569" s="32" t="s">
        <v>152</v>
      </c>
    </row>
    <row r="570" spans="1:9" x14ac:dyDescent="0.35">
      <c r="A570" s="19">
        <v>45740</v>
      </c>
      <c r="B570" s="20"/>
      <c r="C570" s="20"/>
      <c r="D570" s="20">
        <v>20000</v>
      </c>
      <c r="E570" s="99" t="s">
        <v>521</v>
      </c>
      <c r="F570" s="20">
        <f t="shared" si="8"/>
        <v>139085383</v>
      </c>
      <c r="G570" s="7" t="s">
        <v>330</v>
      </c>
      <c r="H570" s="24" t="s">
        <v>109</v>
      </c>
      <c r="I570" s="32" t="s">
        <v>152</v>
      </c>
    </row>
    <row r="571" spans="1:9" x14ac:dyDescent="0.35">
      <c r="A571" s="19">
        <v>45740</v>
      </c>
      <c r="B571" s="20"/>
      <c r="C571" s="20"/>
      <c r="D571" s="20">
        <v>50000</v>
      </c>
      <c r="E571" s="99" t="s">
        <v>521</v>
      </c>
      <c r="F571" s="20">
        <f t="shared" si="8"/>
        <v>139135383</v>
      </c>
      <c r="G571" s="7" t="s">
        <v>330</v>
      </c>
      <c r="H571" s="24" t="s">
        <v>109</v>
      </c>
      <c r="I571" s="32" t="s">
        <v>152</v>
      </c>
    </row>
    <row r="572" spans="1:9" x14ac:dyDescent="0.35">
      <c r="A572" s="19">
        <v>45740</v>
      </c>
      <c r="B572" s="20"/>
      <c r="C572" s="20"/>
      <c r="D572" s="20">
        <v>25000</v>
      </c>
      <c r="E572" s="99" t="s">
        <v>521</v>
      </c>
      <c r="F572" s="20">
        <f t="shared" si="8"/>
        <v>139160383</v>
      </c>
      <c r="G572" s="7" t="s">
        <v>330</v>
      </c>
      <c r="H572" s="24" t="s">
        <v>109</v>
      </c>
      <c r="I572" s="32" t="s">
        <v>152</v>
      </c>
    </row>
    <row r="573" spans="1:9" x14ac:dyDescent="0.35">
      <c r="A573" s="19">
        <v>45740</v>
      </c>
      <c r="B573" s="20"/>
      <c r="C573" s="20"/>
      <c r="D573" s="20">
        <v>100000</v>
      </c>
      <c r="E573" s="99" t="s">
        <v>521</v>
      </c>
      <c r="F573" s="20">
        <f t="shared" si="8"/>
        <v>139260383</v>
      </c>
      <c r="G573" s="7" t="s">
        <v>330</v>
      </c>
      <c r="H573" s="24" t="s">
        <v>109</v>
      </c>
      <c r="I573" s="32" t="s">
        <v>152</v>
      </c>
    </row>
    <row r="574" spans="1:9" x14ac:dyDescent="0.35">
      <c r="A574" s="19">
        <v>45740</v>
      </c>
      <c r="B574" s="20"/>
      <c r="C574" s="20"/>
      <c r="D574" s="20">
        <v>5000</v>
      </c>
      <c r="E574" s="99" t="s">
        <v>521</v>
      </c>
      <c r="F574" s="20">
        <f t="shared" si="8"/>
        <v>139265383</v>
      </c>
      <c r="G574" s="7" t="s">
        <v>330</v>
      </c>
      <c r="H574" s="24" t="s">
        <v>109</v>
      </c>
      <c r="I574" s="32" t="s">
        <v>152</v>
      </c>
    </row>
    <row r="575" spans="1:9" x14ac:dyDescent="0.35">
      <c r="A575" s="19">
        <v>45740</v>
      </c>
      <c r="B575" s="20"/>
      <c r="C575" s="20"/>
      <c r="D575" s="20">
        <v>1000000</v>
      </c>
      <c r="E575" s="99" t="s">
        <v>521</v>
      </c>
      <c r="F575" s="20">
        <f t="shared" si="8"/>
        <v>140265383</v>
      </c>
      <c r="G575" s="7" t="s">
        <v>430</v>
      </c>
      <c r="H575" s="24" t="s">
        <v>109</v>
      </c>
      <c r="I575" s="32" t="s">
        <v>152</v>
      </c>
    </row>
    <row r="576" spans="1:9" x14ac:dyDescent="0.35">
      <c r="A576" s="19">
        <v>45740</v>
      </c>
      <c r="B576" s="20"/>
      <c r="C576" s="20"/>
      <c r="D576" s="20">
        <v>100000</v>
      </c>
      <c r="E576" s="99" t="s">
        <v>521</v>
      </c>
      <c r="F576" s="20">
        <f t="shared" si="8"/>
        <v>140365383</v>
      </c>
      <c r="G576" s="7" t="s">
        <v>330</v>
      </c>
      <c r="H576" s="24" t="s">
        <v>109</v>
      </c>
      <c r="I576" s="32" t="s">
        <v>152</v>
      </c>
    </row>
    <row r="577" spans="1:9" x14ac:dyDescent="0.35">
      <c r="A577" s="19">
        <v>45740</v>
      </c>
      <c r="B577" s="20"/>
      <c r="C577" s="20"/>
      <c r="D577" s="20">
        <v>9000</v>
      </c>
      <c r="E577" s="99" t="s">
        <v>521</v>
      </c>
      <c r="F577" s="20">
        <f t="shared" si="8"/>
        <v>140374383</v>
      </c>
      <c r="G577" s="7" t="s">
        <v>330</v>
      </c>
      <c r="H577" s="24" t="s">
        <v>109</v>
      </c>
      <c r="I577" s="32" t="s">
        <v>152</v>
      </c>
    </row>
    <row r="578" spans="1:9" x14ac:dyDescent="0.35">
      <c r="A578" s="19">
        <v>45740</v>
      </c>
      <c r="B578" s="20"/>
      <c r="C578" s="20"/>
      <c r="D578" s="20">
        <v>10000</v>
      </c>
      <c r="E578" s="99" t="s">
        <v>521</v>
      </c>
      <c r="F578" s="20">
        <f t="shared" si="8"/>
        <v>140384383</v>
      </c>
      <c r="G578" s="7" t="s">
        <v>330</v>
      </c>
      <c r="H578" s="24" t="s">
        <v>109</v>
      </c>
      <c r="I578" s="32" t="s">
        <v>152</v>
      </c>
    </row>
    <row r="579" spans="1:9" x14ac:dyDescent="0.35">
      <c r="A579" s="19">
        <v>45740</v>
      </c>
      <c r="B579" s="20"/>
      <c r="C579" s="20"/>
      <c r="D579" s="20">
        <v>50000</v>
      </c>
      <c r="E579" s="99" t="s">
        <v>521</v>
      </c>
      <c r="F579" s="20">
        <f t="shared" si="8"/>
        <v>140434383</v>
      </c>
      <c r="G579" s="7" t="s">
        <v>330</v>
      </c>
      <c r="H579" s="24" t="s">
        <v>109</v>
      </c>
      <c r="I579" s="32" t="s">
        <v>152</v>
      </c>
    </row>
    <row r="580" spans="1:9" x14ac:dyDescent="0.35">
      <c r="A580" s="19">
        <v>45740</v>
      </c>
      <c r="B580" s="20"/>
      <c r="C580" s="20"/>
      <c r="D580" s="20">
        <v>10000</v>
      </c>
      <c r="E580" s="99" t="s">
        <v>521</v>
      </c>
      <c r="F580" s="20">
        <f t="shared" si="8"/>
        <v>140444383</v>
      </c>
      <c r="G580" s="7" t="s">
        <v>330</v>
      </c>
      <c r="H580" s="24" t="s">
        <v>109</v>
      </c>
      <c r="I580" s="32" t="s">
        <v>152</v>
      </c>
    </row>
    <row r="581" spans="1:9" x14ac:dyDescent="0.35">
      <c r="A581" s="19">
        <v>45740</v>
      </c>
      <c r="B581" s="20"/>
      <c r="C581" s="20"/>
      <c r="D581" s="20">
        <v>25000</v>
      </c>
      <c r="E581" s="99" t="s">
        <v>521</v>
      </c>
      <c r="F581" s="20">
        <f t="shared" si="8"/>
        <v>140469383</v>
      </c>
      <c r="G581" s="7" t="s">
        <v>330</v>
      </c>
      <c r="H581" s="24" t="s">
        <v>109</v>
      </c>
      <c r="I581" s="32" t="s">
        <v>152</v>
      </c>
    </row>
    <row r="582" spans="1:9" x14ac:dyDescent="0.35">
      <c r="A582" s="19">
        <v>45740</v>
      </c>
      <c r="B582" s="20"/>
      <c r="C582" s="20"/>
      <c r="D582" s="20">
        <v>25000</v>
      </c>
      <c r="E582" s="99" t="s">
        <v>521</v>
      </c>
      <c r="F582" s="20">
        <f t="shared" si="8"/>
        <v>140494383</v>
      </c>
      <c r="G582" s="7" t="s">
        <v>330</v>
      </c>
      <c r="H582" s="24" t="s">
        <v>109</v>
      </c>
      <c r="I582" s="32" t="s">
        <v>152</v>
      </c>
    </row>
    <row r="583" spans="1:9" x14ac:dyDescent="0.35">
      <c r="A583" s="19">
        <v>45740</v>
      </c>
      <c r="B583" s="20"/>
      <c r="C583" s="20"/>
      <c r="D583" s="20">
        <v>5000</v>
      </c>
      <c r="E583" s="99" t="s">
        <v>521</v>
      </c>
      <c r="F583" s="20">
        <f t="shared" si="8"/>
        <v>140499383</v>
      </c>
      <c r="G583" s="7" t="s">
        <v>330</v>
      </c>
      <c r="H583" s="24" t="s">
        <v>109</v>
      </c>
      <c r="I583" s="32" t="s">
        <v>152</v>
      </c>
    </row>
    <row r="584" spans="1:9" x14ac:dyDescent="0.35">
      <c r="A584" s="19">
        <v>45740</v>
      </c>
      <c r="B584" s="20"/>
      <c r="C584" s="20"/>
      <c r="D584" s="20">
        <v>20000</v>
      </c>
      <c r="E584" s="99" t="s">
        <v>521</v>
      </c>
      <c r="F584" s="20">
        <f t="shared" si="8"/>
        <v>140519383</v>
      </c>
      <c r="G584" s="7" t="s">
        <v>330</v>
      </c>
      <c r="H584" s="24" t="s">
        <v>109</v>
      </c>
      <c r="I584" s="32" t="s">
        <v>152</v>
      </c>
    </row>
    <row r="585" spans="1:9" x14ac:dyDescent="0.35">
      <c r="A585" s="19">
        <v>45740</v>
      </c>
      <c r="B585" s="20"/>
      <c r="C585" s="20"/>
      <c r="D585" s="20">
        <v>10000</v>
      </c>
      <c r="E585" s="99" t="s">
        <v>521</v>
      </c>
      <c r="F585" s="20">
        <f t="shared" si="8"/>
        <v>140529383</v>
      </c>
      <c r="G585" s="7" t="s">
        <v>330</v>
      </c>
      <c r="H585" s="24" t="s">
        <v>109</v>
      </c>
      <c r="I585" s="32" t="s">
        <v>152</v>
      </c>
    </row>
    <row r="586" spans="1:9" x14ac:dyDescent="0.35">
      <c r="A586" s="19">
        <v>45740</v>
      </c>
      <c r="B586" s="20"/>
      <c r="C586" s="20"/>
      <c r="D586" s="20">
        <v>5252</v>
      </c>
      <c r="E586" s="99" t="s">
        <v>521</v>
      </c>
      <c r="F586" s="20">
        <f t="shared" ref="F586:F649" si="9">+F585+D586-B586</f>
        <v>140534635</v>
      </c>
      <c r="G586" s="7" t="s">
        <v>330</v>
      </c>
      <c r="H586" s="24" t="s">
        <v>109</v>
      </c>
      <c r="I586" s="32" t="s">
        <v>152</v>
      </c>
    </row>
    <row r="587" spans="1:9" x14ac:dyDescent="0.35">
      <c r="A587" s="19">
        <v>45740</v>
      </c>
      <c r="B587" s="20"/>
      <c r="C587" s="20"/>
      <c r="D587" s="20">
        <v>401</v>
      </c>
      <c r="E587" s="99" t="s">
        <v>521</v>
      </c>
      <c r="F587" s="20">
        <f t="shared" si="9"/>
        <v>140535036</v>
      </c>
      <c r="G587" s="7" t="s">
        <v>330</v>
      </c>
      <c r="H587" s="24" t="s">
        <v>109</v>
      </c>
      <c r="I587" s="32" t="s">
        <v>152</v>
      </c>
    </row>
    <row r="588" spans="1:9" x14ac:dyDescent="0.35">
      <c r="A588" s="19">
        <v>45740</v>
      </c>
      <c r="B588" s="20"/>
      <c r="C588" s="20"/>
      <c r="D588" s="20">
        <v>50000</v>
      </c>
      <c r="E588" s="99" t="s">
        <v>521</v>
      </c>
      <c r="F588" s="20">
        <f t="shared" si="9"/>
        <v>140585036</v>
      </c>
      <c r="G588" s="7" t="s">
        <v>330</v>
      </c>
      <c r="H588" s="24" t="s">
        <v>109</v>
      </c>
      <c r="I588" s="32" t="s">
        <v>152</v>
      </c>
    </row>
    <row r="589" spans="1:9" x14ac:dyDescent="0.35">
      <c r="A589" s="19">
        <v>45740</v>
      </c>
      <c r="B589" s="20"/>
      <c r="C589" s="20"/>
      <c r="D589" s="20">
        <v>1000000</v>
      </c>
      <c r="E589" s="99" t="s">
        <v>521</v>
      </c>
      <c r="F589" s="20">
        <f t="shared" si="9"/>
        <v>141585036</v>
      </c>
      <c r="G589" s="7" t="s">
        <v>449</v>
      </c>
      <c r="H589" s="59" t="s">
        <v>105</v>
      </c>
      <c r="I589" s="32" t="s">
        <v>152</v>
      </c>
    </row>
    <row r="590" spans="1:9" x14ac:dyDescent="0.35">
      <c r="A590" s="19">
        <v>45741</v>
      </c>
      <c r="B590" s="20"/>
      <c r="C590" s="20"/>
      <c r="D590" s="20">
        <v>50000</v>
      </c>
      <c r="E590" s="99" t="s">
        <v>521</v>
      </c>
      <c r="F590" s="20">
        <f t="shared" si="9"/>
        <v>141635036</v>
      </c>
      <c r="G590" s="7" t="s">
        <v>330</v>
      </c>
      <c r="H590" s="24" t="s">
        <v>109</v>
      </c>
      <c r="I590" s="32" t="s">
        <v>152</v>
      </c>
    </row>
    <row r="591" spans="1:9" x14ac:dyDescent="0.35">
      <c r="A591" s="19">
        <v>45741</v>
      </c>
      <c r="B591" s="20"/>
      <c r="C591" s="20"/>
      <c r="D591" s="20">
        <v>100000</v>
      </c>
      <c r="E591" s="99" t="s">
        <v>521</v>
      </c>
      <c r="F591" s="20">
        <f t="shared" si="9"/>
        <v>141735036</v>
      </c>
      <c r="G591" s="7" t="s">
        <v>330</v>
      </c>
      <c r="H591" s="24" t="s">
        <v>109</v>
      </c>
      <c r="I591" s="32" t="s">
        <v>152</v>
      </c>
    </row>
    <row r="592" spans="1:9" x14ac:dyDescent="0.35">
      <c r="A592" s="19">
        <v>45741</v>
      </c>
      <c r="B592" s="20"/>
      <c r="C592" s="20"/>
      <c r="D592" s="20">
        <v>100000</v>
      </c>
      <c r="E592" s="99" t="s">
        <v>521</v>
      </c>
      <c r="F592" s="20">
        <f t="shared" si="9"/>
        <v>141835036</v>
      </c>
      <c r="G592" s="7" t="s">
        <v>330</v>
      </c>
      <c r="H592" s="24" t="s">
        <v>109</v>
      </c>
      <c r="I592" s="32" t="s">
        <v>152</v>
      </c>
    </row>
    <row r="593" spans="1:9" x14ac:dyDescent="0.35">
      <c r="A593" s="19">
        <v>45741</v>
      </c>
      <c r="B593" s="20"/>
      <c r="C593" s="20"/>
      <c r="D593" s="20">
        <v>25000</v>
      </c>
      <c r="E593" s="99" t="s">
        <v>521</v>
      </c>
      <c r="F593" s="20">
        <f t="shared" si="9"/>
        <v>141860036</v>
      </c>
      <c r="G593" s="7" t="s">
        <v>330</v>
      </c>
      <c r="H593" s="24" t="s">
        <v>109</v>
      </c>
      <c r="I593" s="32" t="s">
        <v>152</v>
      </c>
    </row>
    <row r="594" spans="1:9" x14ac:dyDescent="0.35">
      <c r="A594" s="19">
        <v>45741</v>
      </c>
      <c r="B594" s="20"/>
      <c r="C594" s="20"/>
      <c r="D594" s="20">
        <v>10000</v>
      </c>
      <c r="E594" s="99" t="s">
        <v>521</v>
      </c>
      <c r="F594" s="20">
        <f t="shared" si="9"/>
        <v>141870036</v>
      </c>
      <c r="G594" s="7" t="s">
        <v>330</v>
      </c>
      <c r="H594" s="24" t="s">
        <v>109</v>
      </c>
      <c r="I594" s="32" t="s">
        <v>152</v>
      </c>
    </row>
    <row r="595" spans="1:9" x14ac:dyDescent="0.35">
      <c r="A595" s="19">
        <v>45741</v>
      </c>
      <c r="B595" s="20"/>
      <c r="C595" s="20"/>
      <c r="D595" s="20">
        <v>10000</v>
      </c>
      <c r="E595" s="99" t="s">
        <v>521</v>
      </c>
      <c r="F595" s="20">
        <f t="shared" si="9"/>
        <v>141880036</v>
      </c>
      <c r="G595" s="7" t="s">
        <v>330</v>
      </c>
      <c r="H595" s="24" t="s">
        <v>109</v>
      </c>
      <c r="I595" s="32" t="s">
        <v>152</v>
      </c>
    </row>
    <row r="596" spans="1:9" x14ac:dyDescent="0.35">
      <c r="A596" s="19">
        <v>45741</v>
      </c>
      <c r="B596" s="20"/>
      <c r="C596" s="20"/>
      <c r="D596" s="20">
        <v>100000</v>
      </c>
      <c r="E596" s="99" t="s">
        <v>521</v>
      </c>
      <c r="F596" s="20">
        <f t="shared" si="9"/>
        <v>141980036</v>
      </c>
      <c r="G596" s="7" t="s">
        <v>330</v>
      </c>
      <c r="H596" s="24" t="s">
        <v>109</v>
      </c>
      <c r="I596" s="32" t="s">
        <v>152</v>
      </c>
    </row>
    <row r="597" spans="1:9" x14ac:dyDescent="0.35">
      <c r="A597" s="19">
        <v>45741</v>
      </c>
      <c r="B597" s="20"/>
      <c r="C597" s="20"/>
      <c r="D597" s="20">
        <v>10000</v>
      </c>
      <c r="E597" s="99" t="s">
        <v>521</v>
      </c>
      <c r="F597" s="20">
        <f t="shared" si="9"/>
        <v>141990036</v>
      </c>
      <c r="G597" s="7" t="s">
        <v>330</v>
      </c>
      <c r="H597" s="24" t="s">
        <v>109</v>
      </c>
      <c r="I597" s="32" t="s">
        <v>152</v>
      </c>
    </row>
    <row r="598" spans="1:9" x14ac:dyDescent="0.35">
      <c r="A598" s="19">
        <v>45741</v>
      </c>
      <c r="B598" s="20"/>
      <c r="C598" s="20"/>
      <c r="D598" s="20">
        <v>20000</v>
      </c>
      <c r="E598" s="99" t="s">
        <v>521</v>
      </c>
      <c r="F598" s="20">
        <f t="shared" si="9"/>
        <v>142010036</v>
      </c>
      <c r="G598" s="7" t="s">
        <v>330</v>
      </c>
      <c r="H598" s="24" t="s">
        <v>109</v>
      </c>
      <c r="I598" s="32" t="s">
        <v>152</v>
      </c>
    </row>
    <row r="599" spans="1:9" x14ac:dyDescent="0.35">
      <c r="A599" s="19">
        <v>45741</v>
      </c>
      <c r="B599" s="20"/>
      <c r="C599" s="20"/>
      <c r="D599" s="20">
        <v>25000</v>
      </c>
      <c r="E599" s="99" t="s">
        <v>521</v>
      </c>
      <c r="F599" s="20">
        <f t="shared" si="9"/>
        <v>142035036</v>
      </c>
      <c r="G599" s="7" t="s">
        <v>330</v>
      </c>
      <c r="H599" s="24" t="s">
        <v>109</v>
      </c>
      <c r="I599" s="32" t="s">
        <v>152</v>
      </c>
    </row>
    <row r="600" spans="1:9" x14ac:dyDescent="0.35">
      <c r="A600" s="19">
        <v>45741</v>
      </c>
      <c r="B600" s="20"/>
      <c r="C600" s="20"/>
      <c r="D600" s="23">
        <v>4415000</v>
      </c>
      <c r="E600" s="99" t="s">
        <v>521</v>
      </c>
      <c r="F600" s="20">
        <f t="shared" si="9"/>
        <v>146450036</v>
      </c>
      <c r="G600" s="24" t="s">
        <v>107</v>
      </c>
      <c r="H600" s="24" t="s">
        <v>107</v>
      </c>
      <c r="I600" s="32" t="s">
        <v>152</v>
      </c>
    </row>
    <row r="601" spans="1:9" x14ac:dyDescent="0.35">
      <c r="A601" s="19">
        <v>45741</v>
      </c>
      <c r="B601" s="20"/>
      <c r="C601" s="20"/>
      <c r="D601" s="23">
        <f>4046000-2000000</f>
        <v>2046000</v>
      </c>
      <c r="E601" s="99" t="s">
        <v>521</v>
      </c>
      <c r="F601" s="20">
        <f t="shared" si="9"/>
        <v>148496036</v>
      </c>
      <c r="G601" s="24" t="s">
        <v>109</v>
      </c>
      <c r="H601" s="24" t="s">
        <v>109</v>
      </c>
      <c r="I601" s="32" t="s">
        <v>152</v>
      </c>
    </row>
    <row r="602" spans="1:9" x14ac:dyDescent="0.35">
      <c r="A602" s="19">
        <v>45741</v>
      </c>
      <c r="B602" s="20"/>
      <c r="C602" s="20"/>
      <c r="D602" s="23">
        <v>5026000</v>
      </c>
      <c r="E602" s="99" t="s">
        <v>521</v>
      </c>
      <c r="F602" s="20">
        <f t="shared" si="9"/>
        <v>153522036</v>
      </c>
      <c r="G602" s="24" t="s">
        <v>377</v>
      </c>
      <c r="H602" s="24" t="s">
        <v>109</v>
      </c>
      <c r="I602" s="32" t="s">
        <v>152</v>
      </c>
    </row>
    <row r="603" spans="1:9" x14ac:dyDescent="0.35">
      <c r="A603" s="19"/>
      <c r="B603" s="20"/>
      <c r="C603" s="20">
        <v>11487000</v>
      </c>
      <c r="D603" s="20"/>
      <c r="E603" s="99"/>
      <c r="F603" s="20">
        <f t="shared" si="9"/>
        <v>153522036</v>
      </c>
      <c r="G603" s="7" t="s">
        <v>305</v>
      </c>
      <c r="H603" s="24"/>
      <c r="I603" s="32"/>
    </row>
    <row r="604" spans="1:9" x14ac:dyDescent="0.35">
      <c r="A604" s="19">
        <v>45741</v>
      </c>
      <c r="B604" s="20"/>
      <c r="C604" s="20"/>
      <c r="D604" s="20">
        <v>20000</v>
      </c>
      <c r="E604" s="99" t="s">
        <v>521</v>
      </c>
      <c r="F604" s="20">
        <f t="shared" si="9"/>
        <v>153542036</v>
      </c>
      <c r="G604" s="7" t="s">
        <v>453</v>
      </c>
      <c r="H604" s="24" t="s">
        <v>109</v>
      </c>
      <c r="I604" s="32" t="s">
        <v>152</v>
      </c>
    </row>
    <row r="605" spans="1:9" x14ac:dyDescent="0.35">
      <c r="A605" s="19">
        <v>45742</v>
      </c>
      <c r="B605" s="20"/>
      <c r="C605" s="20"/>
      <c r="D605" s="20">
        <v>50000</v>
      </c>
      <c r="E605" s="99" t="s">
        <v>521</v>
      </c>
      <c r="F605" s="20">
        <f t="shared" si="9"/>
        <v>153592036</v>
      </c>
      <c r="G605" s="7" t="s">
        <v>330</v>
      </c>
      <c r="H605" s="24" t="s">
        <v>109</v>
      </c>
      <c r="I605" s="32" t="s">
        <v>152</v>
      </c>
    </row>
    <row r="606" spans="1:9" x14ac:dyDescent="0.35">
      <c r="A606" s="19">
        <v>45742</v>
      </c>
      <c r="B606" s="20"/>
      <c r="C606" s="20"/>
      <c r="D606" s="20">
        <v>50000</v>
      </c>
      <c r="E606" s="99" t="s">
        <v>521</v>
      </c>
      <c r="F606" s="20">
        <f t="shared" si="9"/>
        <v>153642036</v>
      </c>
      <c r="G606" s="7" t="s">
        <v>330</v>
      </c>
      <c r="H606" s="24" t="s">
        <v>109</v>
      </c>
      <c r="I606" s="32" t="s">
        <v>152</v>
      </c>
    </row>
    <row r="607" spans="1:9" x14ac:dyDescent="0.35">
      <c r="A607" s="19">
        <v>45742</v>
      </c>
      <c r="B607" s="20"/>
      <c r="C607" s="20"/>
      <c r="D607" s="20">
        <v>50000</v>
      </c>
      <c r="E607" s="99" t="s">
        <v>521</v>
      </c>
      <c r="F607" s="20">
        <f t="shared" si="9"/>
        <v>153692036</v>
      </c>
      <c r="G607" s="7" t="s">
        <v>330</v>
      </c>
      <c r="H607" s="24" t="s">
        <v>109</v>
      </c>
      <c r="I607" s="32" t="s">
        <v>152</v>
      </c>
    </row>
    <row r="608" spans="1:9" x14ac:dyDescent="0.35">
      <c r="A608" s="19">
        <v>45742</v>
      </c>
      <c r="B608" s="20"/>
      <c r="C608" s="20"/>
      <c r="D608" s="20">
        <v>100000</v>
      </c>
      <c r="E608" s="99" t="s">
        <v>521</v>
      </c>
      <c r="F608" s="20">
        <f t="shared" si="9"/>
        <v>153792036</v>
      </c>
      <c r="G608" s="7" t="s">
        <v>330</v>
      </c>
      <c r="H608" s="24" t="s">
        <v>109</v>
      </c>
      <c r="I608" s="32" t="s">
        <v>152</v>
      </c>
    </row>
    <row r="609" spans="1:9" x14ac:dyDescent="0.35">
      <c r="A609" s="19">
        <v>45742</v>
      </c>
      <c r="B609" s="20"/>
      <c r="C609" s="20"/>
      <c r="D609" s="20">
        <v>25000</v>
      </c>
      <c r="E609" s="99" t="s">
        <v>521</v>
      </c>
      <c r="F609" s="20">
        <f t="shared" si="9"/>
        <v>153817036</v>
      </c>
      <c r="G609" s="7" t="s">
        <v>330</v>
      </c>
      <c r="H609" s="24" t="s">
        <v>109</v>
      </c>
      <c r="I609" s="32" t="s">
        <v>152</v>
      </c>
    </row>
    <row r="610" spans="1:9" x14ac:dyDescent="0.35">
      <c r="A610" s="19">
        <v>45742</v>
      </c>
      <c r="B610" s="20"/>
      <c r="C610" s="20"/>
      <c r="D610" s="20">
        <v>10000</v>
      </c>
      <c r="E610" s="99" t="s">
        <v>521</v>
      </c>
      <c r="F610" s="20">
        <f t="shared" si="9"/>
        <v>153827036</v>
      </c>
      <c r="G610" s="7" t="s">
        <v>330</v>
      </c>
      <c r="H610" s="24" t="s">
        <v>109</v>
      </c>
      <c r="I610" s="32" t="s">
        <v>152</v>
      </c>
    </row>
    <row r="611" spans="1:9" x14ac:dyDescent="0.35">
      <c r="A611" s="19">
        <v>45742</v>
      </c>
      <c r="B611" s="20"/>
      <c r="C611" s="20"/>
      <c r="D611" s="20">
        <v>10000</v>
      </c>
      <c r="E611" s="99" t="s">
        <v>521</v>
      </c>
      <c r="F611" s="20">
        <f t="shared" si="9"/>
        <v>153837036</v>
      </c>
      <c r="G611" s="7" t="s">
        <v>330</v>
      </c>
      <c r="H611" s="24" t="s">
        <v>109</v>
      </c>
      <c r="I611" s="32" t="s">
        <v>152</v>
      </c>
    </row>
    <row r="612" spans="1:9" x14ac:dyDescent="0.35">
      <c r="A612" s="19">
        <v>45742</v>
      </c>
      <c r="B612" s="20"/>
      <c r="C612" s="20"/>
      <c r="D612" s="20">
        <v>100000</v>
      </c>
      <c r="E612" s="99" t="s">
        <v>521</v>
      </c>
      <c r="F612" s="20">
        <f t="shared" si="9"/>
        <v>153937036</v>
      </c>
      <c r="G612" s="7" t="s">
        <v>330</v>
      </c>
      <c r="H612" s="24" t="s">
        <v>109</v>
      </c>
      <c r="I612" s="32" t="s">
        <v>152</v>
      </c>
    </row>
    <row r="613" spans="1:9" x14ac:dyDescent="0.35">
      <c r="A613" s="19">
        <v>45742</v>
      </c>
      <c r="B613" s="20"/>
      <c r="C613" s="20"/>
      <c r="D613" s="20">
        <v>50000</v>
      </c>
      <c r="E613" s="99" t="s">
        <v>521</v>
      </c>
      <c r="F613" s="20">
        <f t="shared" si="9"/>
        <v>153987036</v>
      </c>
      <c r="G613" s="7" t="s">
        <v>330</v>
      </c>
      <c r="H613" s="24" t="s">
        <v>109</v>
      </c>
      <c r="I613" s="32" t="s">
        <v>152</v>
      </c>
    </row>
    <row r="614" spans="1:9" x14ac:dyDescent="0.35">
      <c r="A614" s="19">
        <v>45742</v>
      </c>
      <c r="B614" s="20"/>
      <c r="C614" s="20"/>
      <c r="D614" s="20">
        <v>25000</v>
      </c>
      <c r="E614" s="99" t="s">
        <v>521</v>
      </c>
      <c r="F614" s="20">
        <f t="shared" si="9"/>
        <v>154012036</v>
      </c>
      <c r="G614" s="7" t="s">
        <v>330</v>
      </c>
      <c r="H614" s="24" t="s">
        <v>109</v>
      </c>
      <c r="I614" s="32" t="s">
        <v>152</v>
      </c>
    </row>
    <row r="615" spans="1:9" x14ac:dyDescent="0.35">
      <c r="A615" s="19">
        <v>45742</v>
      </c>
      <c r="B615" s="20"/>
      <c r="C615" s="20"/>
      <c r="D615" s="20">
        <v>5000</v>
      </c>
      <c r="E615" s="99" t="s">
        <v>521</v>
      </c>
      <c r="F615" s="20">
        <f t="shared" si="9"/>
        <v>154017036</v>
      </c>
      <c r="G615" s="7" t="s">
        <v>330</v>
      </c>
      <c r="H615" s="24" t="s">
        <v>109</v>
      </c>
      <c r="I615" s="32" t="s">
        <v>152</v>
      </c>
    </row>
    <row r="616" spans="1:9" x14ac:dyDescent="0.35">
      <c r="A616" s="19">
        <v>45742</v>
      </c>
      <c r="B616" s="20"/>
      <c r="C616" s="20"/>
      <c r="D616" s="20">
        <v>100000</v>
      </c>
      <c r="E616" s="99" t="s">
        <v>521</v>
      </c>
      <c r="F616" s="20">
        <f t="shared" si="9"/>
        <v>154117036</v>
      </c>
      <c r="G616" s="7" t="s">
        <v>330</v>
      </c>
      <c r="H616" s="24" t="s">
        <v>109</v>
      </c>
      <c r="I616" s="32" t="s">
        <v>152</v>
      </c>
    </row>
    <row r="617" spans="1:9" x14ac:dyDescent="0.35">
      <c r="A617" s="19">
        <v>45743</v>
      </c>
      <c r="B617" s="20"/>
      <c r="C617" s="20"/>
      <c r="D617" s="20">
        <v>50000</v>
      </c>
      <c r="E617" s="99" t="s">
        <v>521</v>
      </c>
      <c r="F617" s="20">
        <f t="shared" si="9"/>
        <v>154167036</v>
      </c>
      <c r="G617" s="7" t="s">
        <v>453</v>
      </c>
      <c r="H617" s="24" t="s">
        <v>109</v>
      </c>
      <c r="I617" s="32" t="s">
        <v>152</v>
      </c>
    </row>
    <row r="618" spans="1:9" x14ac:dyDescent="0.35">
      <c r="A618" s="19">
        <v>45743</v>
      </c>
      <c r="B618" s="20"/>
      <c r="C618" s="20"/>
      <c r="D618" s="20">
        <v>40000</v>
      </c>
      <c r="E618" s="99" t="s">
        <v>521</v>
      </c>
      <c r="F618" s="20">
        <f t="shared" si="9"/>
        <v>154207036</v>
      </c>
      <c r="G618" s="7" t="s">
        <v>330</v>
      </c>
      <c r="H618" s="24" t="s">
        <v>109</v>
      </c>
      <c r="I618" s="32" t="s">
        <v>152</v>
      </c>
    </row>
    <row r="619" spans="1:9" x14ac:dyDescent="0.35">
      <c r="A619" s="19">
        <v>45743</v>
      </c>
      <c r="B619" s="20"/>
      <c r="C619" s="20"/>
      <c r="D619" s="20">
        <v>50000</v>
      </c>
      <c r="E619" s="99" t="s">
        <v>521</v>
      </c>
      <c r="F619" s="20">
        <f t="shared" si="9"/>
        <v>154257036</v>
      </c>
      <c r="G619" s="7" t="s">
        <v>330</v>
      </c>
      <c r="H619" s="24" t="s">
        <v>109</v>
      </c>
      <c r="I619" s="32" t="s">
        <v>152</v>
      </c>
    </row>
    <row r="620" spans="1:9" x14ac:dyDescent="0.35">
      <c r="A620" s="19">
        <v>45743</v>
      </c>
      <c r="B620" s="20"/>
      <c r="C620" s="20"/>
      <c r="D620" s="20">
        <v>4000000</v>
      </c>
      <c r="E620" s="99" t="s">
        <v>521</v>
      </c>
      <c r="F620" s="20">
        <f t="shared" si="9"/>
        <v>158257036</v>
      </c>
      <c r="G620" s="7" t="s">
        <v>461</v>
      </c>
      <c r="H620" s="59" t="s">
        <v>105</v>
      </c>
      <c r="I620" s="32" t="s">
        <v>152</v>
      </c>
    </row>
    <row r="621" spans="1:9" x14ac:dyDescent="0.35">
      <c r="A621" s="19">
        <v>45743</v>
      </c>
      <c r="B621" s="20"/>
      <c r="C621" s="20"/>
      <c r="D621" s="20">
        <v>50000</v>
      </c>
      <c r="E621" s="99" t="s">
        <v>521</v>
      </c>
      <c r="F621" s="20">
        <f t="shared" si="9"/>
        <v>158307036</v>
      </c>
      <c r="G621" s="7" t="s">
        <v>330</v>
      </c>
      <c r="H621" s="24" t="s">
        <v>109</v>
      </c>
      <c r="I621" s="32" t="s">
        <v>152</v>
      </c>
    </row>
    <row r="622" spans="1:9" x14ac:dyDescent="0.35">
      <c r="A622" s="19">
        <v>45743</v>
      </c>
      <c r="B622" s="20"/>
      <c r="C622" s="20"/>
      <c r="D622" s="20">
        <v>10000</v>
      </c>
      <c r="E622" s="99" t="s">
        <v>521</v>
      </c>
      <c r="F622" s="20">
        <f t="shared" si="9"/>
        <v>158317036</v>
      </c>
      <c r="G622" s="7" t="s">
        <v>330</v>
      </c>
      <c r="H622" s="24" t="s">
        <v>109</v>
      </c>
      <c r="I622" s="32" t="s">
        <v>152</v>
      </c>
    </row>
    <row r="623" spans="1:9" x14ac:dyDescent="0.35">
      <c r="A623" s="19">
        <v>45743</v>
      </c>
      <c r="B623" s="20"/>
      <c r="C623" s="20"/>
      <c r="D623" s="20">
        <v>10000</v>
      </c>
      <c r="E623" s="99" t="s">
        <v>521</v>
      </c>
      <c r="F623" s="20">
        <f t="shared" si="9"/>
        <v>158327036</v>
      </c>
      <c r="G623" s="7" t="s">
        <v>330</v>
      </c>
      <c r="H623" s="24" t="s">
        <v>109</v>
      </c>
      <c r="I623" s="32" t="s">
        <v>152</v>
      </c>
    </row>
    <row r="624" spans="1:9" x14ac:dyDescent="0.35">
      <c r="A624" s="19">
        <v>45743</v>
      </c>
      <c r="B624" s="20"/>
      <c r="C624" s="20"/>
      <c r="D624" s="20">
        <v>50000</v>
      </c>
      <c r="E624" s="99" t="s">
        <v>521</v>
      </c>
      <c r="F624" s="20">
        <f t="shared" si="9"/>
        <v>158377036</v>
      </c>
      <c r="G624" s="7" t="s">
        <v>330</v>
      </c>
      <c r="H624" s="24" t="s">
        <v>109</v>
      </c>
      <c r="I624" s="32" t="s">
        <v>152</v>
      </c>
    </row>
    <row r="625" spans="1:9" x14ac:dyDescent="0.35">
      <c r="A625" s="19">
        <v>45743</v>
      </c>
      <c r="B625" s="20"/>
      <c r="C625" s="20"/>
      <c r="D625" s="20">
        <v>100000</v>
      </c>
      <c r="E625" s="99" t="s">
        <v>521</v>
      </c>
      <c r="F625" s="20">
        <f t="shared" si="9"/>
        <v>158477036</v>
      </c>
      <c r="G625" s="7" t="s">
        <v>330</v>
      </c>
      <c r="H625" s="24" t="s">
        <v>109</v>
      </c>
      <c r="I625" s="32" t="s">
        <v>152</v>
      </c>
    </row>
    <row r="626" spans="1:9" x14ac:dyDescent="0.35">
      <c r="A626" s="19">
        <v>45743</v>
      </c>
      <c r="B626" s="20">
        <v>4000000</v>
      </c>
      <c r="C626" s="20"/>
      <c r="D626" s="20"/>
      <c r="E626" s="99" t="s">
        <v>521</v>
      </c>
      <c r="F626" s="20">
        <f t="shared" si="9"/>
        <v>154477036</v>
      </c>
      <c r="G626" s="7" t="s">
        <v>454</v>
      </c>
      <c r="H626" s="59" t="s">
        <v>201</v>
      </c>
      <c r="I626" s="32" t="s">
        <v>152</v>
      </c>
    </row>
    <row r="627" spans="1:9" x14ac:dyDescent="0.35">
      <c r="A627" s="19">
        <v>45743</v>
      </c>
      <c r="B627" s="20">
        <v>2500</v>
      </c>
      <c r="C627" s="20"/>
      <c r="D627" s="20"/>
      <c r="E627" s="99" t="s">
        <v>521</v>
      </c>
      <c r="F627" s="20">
        <f t="shared" si="9"/>
        <v>154474536</v>
      </c>
      <c r="G627" s="7" t="s">
        <v>454</v>
      </c>
      <c r="H627" s="59" t="s">
        <v>201</v>
      </c>
      <c r="I627" s="32" t="s">
        <v>152</v>
      </c>
    </row>
    <row r="628" spans="1:9" x14ac:dyDescent="0.35">
      <c r="A628" s="19">
        <v>45743</v>
      </c>
      <c r="B628" s="20">
        <v>5400000</v>
      </c>
      <c r="C628" s="20"/>
      <c r="D628" s="20"/>
      <c r="E628" s="99" t="s">
        <v>521</v>
      </c>
      <c r="F628" s="20">
        <f t="shared" si="9"/>
        <v>149074536</v>
      </c>
      <c r="G628" s="7" t="s">
        <v>455</v>
      </c>
      <c r="H628" s="59" t="s">
        <v>201</v>
      </c>
      <c r="I628" s="32" t="s">
        <v>152</v>
      </c>
    </row>
    <row r="629" spans="1:9" x14ac:dyDescent="0.35">
      <c r="A629" s="19">
        <v>45743</v>
      </c>
      <c r="B629" s="20">
        <v>6500</v>
      </c>
      <c r="C629" s="20"/>
      <c r="D629" s="20"/>
      <c r="E629" s="99" t="s">
        <v>521</v>
      </c>
      <c r="F629" s="20">
        <f t="shared" si="9"/>
        <v>149068036</v>
      </c>
      <c r="G629" s="7" t="s">
        <v>455</v>
      </c>
      <c r="H629" s="59" t="s">
        <v>201</v>
      </c>
      <c r="I629" s="32" t="s">
        <v>152</v>
      </c>
    </row>
    <row r="630" spans="1:9" x14ac:dyDescent="0.35">
      <c r="A630" s="19">
        <v>45743</v>
      </c>
      <c r="B630" s="20">
        <v>6500000</v>
      </c>
      <c r="C630" s="20"/>
      <c r="D630" s="20"/>
      <c r="E630" s="99" t="s">
        <v>521</v>
      </c>
      <c r="F630" s="20">
        <f t="shared" si="9"/>
        <v>142568036</v>
      </c>
      <c r="G630" s="7" t="s">
        <v>456</v>
      </c>
      <c r="H630" s="59" t="s">
        <v>325</v>
      </c>
      <c r="I630" s="32" t="s">
        <v>152</v>
      </c>
    </row>
    <row r="631" spans="1:9" x14ac:dyDescent="0.35">
      <c r="A631" s="19">
        <v>45743</v>
      </c>
      <c r="B631" s="20">
        <v>6500</v>
      </c>
      <c r="C631" s="20"/>
      <c r="D631" s="20"/>
      <c r="E631" s="99" t="s">
        <v>521</v>
      </c>
      <c r="F631" s="20">
        <f t="shared" si="9"/>
        <v>142561536</v>
      </c>
      <c r="G631" s="7" t="s">
        <v>456</v>
      </c>
      <c r="H631" s="59" t="s">
        <v>325</v>
      </c>
      <c r="I631" s="32" t="s">
        <v>152</v>
      </c>
    </row>
    <row r="632" spans="1:9" x14ac:dyDescent="0.35">
      <c r="A632" s="19">
        <v>45743</v>
      </c>
      <c r="B632" s="20">
        <v>5000000</v>
      </c>
      <c r="C632" s="20"/>
      <c r="D632" s="20"/>
      <c r="E632" s="99" t="s">
        <v>521</v>
      </c>
      <c r="F632" s="20">
        <f t="shared" si="9"/>
        <v>137561536</v>
      </c>
      <c r="G632" s="7" t="s">
        <v>457</v>
      </c>
      <c r="H632" s="59" t="s">
        <v>325</v>
      </c>
      <c r="I632" s="32" t="s">
        <v>152</v>
      </c>
    </row>
    <row r="633" spans="1:9" x14ac:dyDescent="0.35">
      <c r="A633" s="19">
        <v>45743</v>
      </c>
      <c r="B633" s="20">
        <v>6500</v>
      </c>
      <c r="C633" s="20"/>
      <c r="D633" s="20"/>
      <c r="E633" s="99" t="s">
        <v>521</v>
      </c>
      <c r="F633" s="20">
        <f t="shared" si="9"/>
        <v>137555036</v>
      </c>
      <c r="G633" s="7" t="s">
        <v>457</v>
      </c>
      <c r="H633" s="59" t="s">
        <v>325</v>
      </c>
      <c r="I633" s="32" t="s">
        <v>152</v>
      </c>
    </row>
    <row r="634" spans="1:9" x14ac:dyDescent="0.35">
      <c r="A634" s="19">
        <v>45743</v>
      </c>
      <c r="B634" s="20">
        <v>3000000</v>
      </c>
      <c r="C634" s="20"/>
      <c r="D634" s="20"/>
      <c r="E634" s="99" t="s">
        <v>521</v>
      </c>
      <c r="F634" s="20">
        <f t="shared" si="9"/>
        <v>134555036</v>
      </c>
      <c r="G634" s="7" t="s">
        <v>458</v>
      </c>
      <c r="H634" s="59" t="s">
        <v>325</v>
      </c>
      <c r="I634" s="32" t="s">
        <v>152</v>
      </c>
    </row>
    <row r="635" spans="1:9" x14ac:dyDescent="0.35">
      <c r="A635" s="19">
        <v>45743</v>
      </c>
      <c r="B635" s="20">
        <v>6500</v>
      </c>
      <c r="C635" s="20"/>
      <c r="D635" s="20"/>
      <c r="E635" s="99" t="s">
        <v>521</v>
      </c>
      <c r="F635" s="20">
        <f t="shared" si="9"/>
        <v>134548536</v>
      </c>
      <c r="G635" s="7" t="s">
        <v>458</v>
      </c>
      <c r="H635" s="59" t="s">
        <v>325</v>
      </c>
      <c r="I635" s="32" t="s">
        <v>152</v>
      </c>
    </row>
    <row r="636" spans="1:9" x14ac:dyDescent="0.35">
      <c r="A636" s="19">
        <v>45743</v>
      </c>
      <c r="B636" s="20">
        <v>4000000</v>
      </c>
      <c r="C636" s="20"/>
      <c r="D636" s="20"/>
      <c r="E636" s="99" t="s">
        <v>521</v>
      </c>
      <c r="F636" s="20">
        <f t="shared" si="9"/>
        <v>130548536</v>
      </c>
      <c r="G636" s="7" t="s">
        <v>459</v>
      </c>
      <c r="H636" s="59" t="s">
        <v>325</v>
      </c>
      <c r="I636" s="32" t="s">
        <v>152</v>
      </c>
    </row>
    <row r="637" spans="1:9" x14ac:dyDescent="0.35">
      <c r="A637" s="19">
        <v>45743</v>
      </c>
      <c r="B637" s="20">
        <v>6500</v>
      </c>
      <c r="C637" s="20"/>
      <c r="D637" s="20"/>
      <c r="E637" s="99" t="s">
        <v>521</v>
      </c>
      <c r="F637" s="20">
        <f t="shared" si="9"/>
        <v>130542036</v>
      </c>
      <c r="G637" s="7" t="s">
        <v>459</v>
      </c>
      <c r="H637" s="59" t="s">
        <v>325</v>
      </c>
      <c r="I637" s="32" t="s">
        <v>152</v>
      </c>
    </row>
    <row r="638" spans="1:9" x14ac:dyDescent="0.35">
      <c r="A638" s="19">
        <v>45743</v>
      </c>
      <c r="B638" s="20">
        <v>4000000</v>
      </c>
      <c r="C638" s="20"/>
      <c r="D638" s="20"/>
      <c r="E638" s="99" t="s">
        <v>521</v>
      </c>
      <c r="F638" s="20">
        <f t="shared" si="9"/>
        <v>126542036</v>
      </c>
      <c r="G638" s="7" t="s">
        <v>460</v>
      </c>
      <c r="H638" s="59" t="s">
        <v>325</v>
      </c>
      <c r="I638" s="32" t="s">
        <v>152</v>
      </c>
    </row>
    <row r="639" spans="1:9" x14ac:dyDescent="0.35">
      <c r="A639" s="19">
        <v>45743</v>
      </c>
      <c r="B639" s="20">
        <v>6500</v>
      </c>
      <c r="C639" s="20"/>
      <c r="D639" s="20"/>
      <c r="E639" s="99" t="s">
        <v>521</v>
      </c>
      <c r="F639" s="20">
        <f t="shared" si="9"/>
        <v>126535536</v>
      </c>
      <c r="G639" s="7" t="s">
        <v>460</v>
      </c>
      <c r="H639" s="59" t="s">
        <v>325</v>
      </c>
      <c r="I639" s="32" t="s">
        <v>152</v>
      </c>
    </row>
    <row r="640" spans="1:9" x14ac:dyDescent="0.35">
      <c r="A640" s="19">
        <v>45743</v>
      </c>
      <c r="B640" s="20">
        <v>5000000</v>
      </c>
      <c r="C640" s="20"/>
      <c r="D640" s="20"/>
      <c r="E640" s="99" t="s">
        <v>521</v>
      </c>
      <c r="F640" s="20">
        <f t="shared" si="9"/>
        <v>121535536</v>
      </c>
      <c r="G640" s="7" t="s">
        <v>181</v>
      </c>
      <c r="H640" s="59" t="s">
        <v>325</v>
      </c>
      <c r="I640" s="32" t="s">
        <v>152</v>
      </c>
    </row>
    <row r="641" spans="1:9" x14ac:dyDescent="0.35">
      <c r="A641" s="19">
        <v>45743</v>
      </c>
      <c r="B641" s="20"/>
      <c r="C641" s="20"/>
      <c r="D641" s="20">
        <v>100000</v>
      </c>
      <c r="E641" s="99" t="s">
        <v>521</v>
      </c>
      <c r="F641" s="20">
        <f t="shared" si="9"/>
        <v>121635536</v>
      </c>
      <c r="G641" s="7" t="s">
        <v>330</v>
      </c>
      <c r="H641" s="24" t="s">
        <v>109</v>
      </c>
      <c r="I641" s="32" t="s">
        <v>152</v>
      </c>
    </row>
    <row r="642" spans="1:9" x14ac:dyDescent="0.35">
      <c r="A642" s="19">
        <v>45743</v>
      </c>
      <c r="B642" s="20"/>
      <c r="C642" s="20"/>
      <c r="D642" s="20">
        <v>50000</v>
      </c>
      <c r="E642" s="99" t="s">
        <v>521</v>
      </c>
      <c r="F642" s="20">
        <f t="shared" si="9"/>
        <v>121685536</v>
      </c>
      <c r="G642" s="7" t="s">
        <v>330</v>
      </c>
      <c r="H642" s="24" t="s">
        <v>109</v>
      </c>
      <c r="I642" s="32" t="s">
        <v>152</v>
      </c>
    </row>
    <row r="643" spans="1:9" x14ac:dyDescent="0.35">
      <c r="A643" s="19">
        <v>45744</v>
      </c>
      <c r="B643" s="20"/>
      <c r="C643" s="20"/>
      <c r="D643" s="20">
        <v>50000</v>
      </c>
      <c r="E643" s="99" t="s">
        <v>521</v>
      </c>
      <c r="F643" s="20">
        <f t="shared" si="9"/>
        <v>121735536</v>
      </c>
      <c r="G643" s="7" t="s">
        <v>330</v>
      </c>
      <c r="H643" s="24" t="s">
        <v>109</v>
      </c>
      <c r="I643" s="32" t="s">
        <v>152</v>
      </c>
    </row>
    <row r="644" spans="1:9" x14ac:dyDescent="0.35">
      <c r="A644" s="19">
        <v>45744</v>
      </c>
      <c r="B644" s="20"/>
      <c r="C644" s="20"/>
      <c r="D644" s="20">
        <v>100000</v>
      </c>
      <c r="E644" s="99" t="s">
        <v>521</v>
      </c>
      <c r="F644" s="20">
        <f t="shared" si="9"/>
        <v>121835536</v>
      </c>
      <c r="G644" s="7" t="s">
        <v>330</v>
      </c>
      <c r="H644" s="24" t="s">
        <v>109</v>
      </c>
      <c r="I644" s="32" t="s">
        <v>152</v>
      </c>
    </row>
    <row r="645" spans="1:9" x14ac:dyDescent="0.35">
      <c r="A645" s="19">
        <v>45744</v>
      </c>
      <c r="B645" s="20"/>
      <c r="C645" s="20"/>
      <c r="D645" s="20">
        <v>24000</v>
      </c>
      <c r="E645" s="99" t="s">
        <v>521</v>
      </c>
      <c r="F645" s="20">
        <f t="shared" si="9"/>
        <v>121859536</v>
      </c>
      <c r="G645" s="7" t="s">
        <v>330</v>
      </c>
      <c r="H645" s="24" t="s">
        <v>109</v>
      </c>
      <c r="I645" s="32" t="s">
        <v>152</v>
      </c>
    </row>
    <row r="646" spans="1:9" x14ac:dyDescent="0.35">
      <c r="A646" s="19">
        <v>45744</v>
      </c>
      <c r="B646" s="20"/>
      <c r="C646" s="20"/>
      <c r="D646" s="20">
        <v>100000</v>
      </c>
      <c r="E646" s="99" t="s">
        <v>521</v>
      </c>
      <c r="F646" s="20">
        <f t="shared" si="9"/>
        <v>121959536</v>
      </c>
      <c r="G646" s="7" t="s">
        <v>330</v>
      </c>
      <c r="H646" s="24" t="s">
        <v>109</v>
      </c>
      <c r="I646" s="32" t="s">
        <v>152</v>
      </c>
    </row>
    <row r="647" spans="1:9" x14ac:dyDescent="0.35">
      <c r="A647" s="19">
        <v>45744</v>
      </c>
      <c r="B647" s="20"/>
      <c r="C647" s="20"/>
      <c r="D647" s="20">
        <v>25000</v>
      </c>
      <c r="E647" s="99" t="s">
        <v>521</v>
      </c>
      <c r="F647" s="20">
        <f t="shared" si="9"/>
        <v>121984536</v>
      </c>
      <c r="G647" s="7" t="s">
        <v>330</v>
      </c>
      <c r="H647" s="24" t="s">
        <v>109</v>
      </c>
      <c r="I647" s="32" t="s">
        <v>152</v>
      </c>
    </row>
    <row r="648" spans="1:9" x14ac:dyDescent="0.35">
      <c r="A648" s="19">
        <v>45744</v>
      </c>
      <c r="B648" s="20"/>
      <c r="C648" s="20"/>
      <c r="D648" s="20">
        <v>50000</v>
      </c>
      <c r="E648" s="99" t="s">
        <v>521</v>
      </c>
      <c r="F648" s="20">
        <f t="shared" si="9"/>
        <v>122034536</v>
      </c>
      <c r="G648" s="7" t="s">
        <v>330</v>
      </c>
      <c r="H648" s="24" t="s">
        <v>109</v>
      </c>
      <c r="I648" s="32" t="s">
        <v>152</v>
      </c>
    </row>
    <row r="649" spans="1:9" x14ac:dyDescent="0.35">
      <c r="A649" s="19">
        <v>45744</v>
      </c>
      <c r="B649" s="20"/>
      <c r="C649" s="20"/>
      <c r="D649" s="20">
        <v>15000</v>
      </c>
      <c r="E649" s="99" t="s">
        <v>521</v>
      </c>
      <c r="F649" s="20">
        <f t="shared" si="9"/>
        <v>122049536</v>
      </c>
      <c r="G649" s="7" t="s">
        <v>330</v>
      </c>
      <c r="H649" s="24" t="s">
        <v>109</v>
      </c>
      <c r="I649" s="32" t="s">
        <v>152</v>
      </c>
    </row>
    <row r="650" spans="1:9" x14ac:dyDescent="0.35">
      <c r="A650" s="19">
        <v>45744</v>
      </c>
      <c r="B650" s="20"/>
      <c r="C650" s="20"/>
      <c r="D650" s="20">
        <v>1000000</v>
      </c>
      <c r="E650" s="99" t="s">
        <v>521</v>
      </c>
      <c r="F650" s="20">
        <f t="shared" ref="F650:F713" si="10">+F649+D650-B650</f>
        <v>123049536</v>
      </c>
      <c r="G650" s="7" t="s">
        <v>486</v>
      </c>
      <c r="H650" s="59" t="s">
        <v>105</v>
      </c>
      <c r="I650" s="32" t="s">
        <v>152</v>
      </c>
    </row>
    <row r="651" spans="1:9" x14ac:dyDescent="0.35">
      <c r="A651" s="19">
        <v>45744</v>
      </c>
      <c r="B651" s="20"/>
      <c r="C651" s="20"/>
      <c r="D651" s="20">
        <v>10000</v>
      </c>
      <c r="E651" s="99" t="s">
        <v>521</v>
      </c>
      <c r="F651" s="20">
        <f t="shared" si="10"/>
        <v>123059536</v>
      </c>
      <c r="G651" s="7" t="s">
        <v>330</v>
      </c>
      <c r="H651" s="24" t="s">
        <v>109</v>
      </c>
      <c r="I651" s="32" t="s">
        <v>152</v>
      </c>
    </row>
    <row r="652" spans="1:9" x14ac:dyDescent="0.35">
      <c r="A652" s="19">
        <v>45744</v>
      </c>
      <c r="B652" s="20"/>
      <c r="C652" s="20"/>
      <c r="D652" s="20">
        <v>100000</v>
      </c>
      <c r="E652" s="99" t="s">
        <v>521</v>
      </c>
      <c r="F652" s="20">
        <f t="shared" si="10"/>
        <v>123159536</v>
      </c>
      <c r="G652" s="7" t="s">
        <v>330</v>
      </c>
      <c r="H652" s="24" t="s">
        <v>109</v>
      </c>
      <c r="I652" s="32" t="s">
        <v>152</v>
      </c>
    </row>
    <row r="653" spans="1:9" x14ac:dyDescent="0.35">
      <c r="A653" s="19">
        <v>45744</v>
      </c>
      <c r="B653" s="20"/>
      <c r="C653" s="20"/>
      <c r="D653" s="20">
        <v>100000</v>
      </c>
      <c r="E653" s="99" t="s">
        <v>521</v>
      </c>
      <c r="F653" s="20">
        <f t="shared" si="10"/>
        <v>123259536</v>
      </c>
      <c r="G653" s="7" t="s">
        <v>330</v>
      </c>
      <c r="H653" s="24" t="s">
        <v>109</v>
      </c>
      <c r="I653" s="32" t="s">
        <v>152</v>
      </c>
    </row>
    <row r="654" spans="1:9" x14ac:dyDescent="0.35">
      <c r="A654" s="19">
        <v>45744</v>
      </c>
      <c r="B654" s="20"/>
      <c r="C654" s="20"/>
      <c r="D654" s="20">
        <v>50000</v>
      </c>
      <c r="E654" s="99" t="s">
        <v>521</v>
      </c>
      <c r="F654" s="20">
        <f t="shared" si="10"/>
        <v>123309536</v>
      </c>
      <c r="G654" s="7" t="s">
        <v>330</v>
      </c>
      <c r="H654" s="24" t="s">
        <v>109</v>
      </c>
      <c r="I654" s="32" t="s">
        <v>152</v>
      </c>
    </row>
    <row r="655" spans="1:9" x14ac:dyDescent="0.35">
      <c r="A655" s="19">
        <v>45744</v>
      </c>
      <c r="B655" s="20"/>
      <c r="C655" s="20"/>
      <c r="D655" s="20">
        <v>100000</v>
      </c>
      <c r="E655" s="99" t="s">
        <v>521</v>
      </c>
      <c r="F655" s="20">
        <f t="shared" si="10"/>
        <v>123409536</v>
      </c>
      <c r="G655" s="7" t="s">
        <v>330</v>
      </c>
      <c r="H655" s="24" t="s">
        <v>109</v>
      </c>
      <c r="I655" s="32" t="s">
        <v>152</v>
      </c>
    </row>
    <row r="656" spans="1:9" x14ac:dyDescent="0.35">
      <c r="A656" s="19">
        <v>45744</v>
      </c>
      <c r="B656" s="20"/>
      <c r="C656" s="20"/>
      <c r="D656" s="20">
        <v>25000</v>
      </c>
      <c r="E656" s="99" t="s">
        <v>521</v>
      </c>
      <c r="F656" s="20">
        <f t="shared" si="10"/>
        <v>123434536</v>
      </c>
      <c r="G656" s="7" t="s">
        <v>330</v>
      </c>
      <c r="H656" s="24" t="s">
        <v>109</v>
      </c>
      <c r="I656" s="32" t="s">
        <v>152</v>
      </c>
    </row>
    <row r="657" spans="1:9" x14ac:dyDescent="0.35">
      <c r="A657" s="19">
        <v>45744</v>
      </c>
      <c r="B657" s="20"/>
      <c r="C657" s="20"/>
      <c r="D657" s="20">
        <v>200000</v>
      </c>
      <c r="E657" s="99" t="s">
        <v>521</v>
      </c>
      <c r="F657" s="20">
        <f t="shared" si="10"/>
        <v>123634536</v>
      </c>
      <c r="G657" s="7" t="s">
        <v>330</v>
      </c>
      <c r="H657" s="24" t="s">
        <v>109</v>
      </c>
      <c r="I657" s="32" t="s">
        <v>152</v>
      </c>
    </row>
    <row r="658" spans="1:9" x14ac:dyDescent="0.35">
      <c r="A658" s="19">
        <v>45744</v>
      </c>
      <c r="B658" s="20"/>
      <c r="C658" s="20"/>
      <c r="D658" s="20">
        <v>20000</v>
      </c>
      <c r="E658" s="99" t="s">
        <v>521</v>
      </c>
      <c r="F658" s="20">
        <f t="shared" si="10"/>
        <v>123654536</v>
      </c>
      <c r="G658" s="7" t="s">
        <v>330</v>
      </c>
      <c r="H658" s="24" t="s">
        <v>109</v>
      </c>
      <c r="I658" s="32" t="s">
        <v>152</v>
      </c>
    </row>
    <row r="659" spans="1:9" x14ac:dyDescent="0.35">
      <c r="A659" s="19">
        <v>45744</v>
      </c>
      <c r="B659" s="20"/>
      <c r="C659" s="20"/>
      <c r="D659" s="20">
        <v>30000</v>
      </c>
      <c r="E659" s="99" t="s">
        <v>521</v>
      </c>
      <c r="F659" s="20">
        <f t="shared" si="10"/>
        <v>123684536</v>
      </c>
      <c r="G659" s="7" t="s">
        <v>330</v>
      </c>
      <c r="H659" s="24" t="s">
        <v>109</v>
      </c>
      <c r="I659" s="32" t="s">
        <v>152</v>
      </c>
    </row>
    <row r="660" spans="1:9" x14ac:dyDescent="0.35">
      <c r="A660" s="19">
        <v>45744</v>
      </c>
      <c r="B660" s="20"/>
      <c r="C660" s="20"/>
      <c r="D660" s="20">
        <v>10000</v>
      </c>
      <c r="E660" s="99" t="s">
        <v>521</v>
      </c>
      <c r="F660" s="20">
        <f t="shared" si="10"/>
        <v>123694536</v>
      </c>
      <c r="G660" s="7" t="s">
        <v>330</v>
      </c>
      <c r="H660" s="24" t="s">
        <v>109</v>
      </c>
      <c r="I660" s="32" t="s">
        <v>152</v>
      </c>
    </row>
    <row r="661" spans="1:9" x14ac:dyDescent="0.35">
      <c r="A661" s="19">
        <v>45744</v>
      </c>
      <c r="B661" s="20"/>
      <c r="C661" s="20"/>
      <c r="D661" s="20">
        <v>20000</v>
      </c>
      <c r="E661" s="99" t="s">
        <v>521</v>
      </c>
      <c r="F661" s="20">
        <f t="shared" si="10"/>
        <v>123714536</v>
      </c>
      <c r="G661" s="7" t="s">
        <v>330</v>
      </c>
      <c r="H661" s="24" t="s">
        <v>109</v>
      </c>
      <c r="I661" s="32" t="s">
        <v>152</v>
      </c>
    </row>
    <row r="662" spans="1:9" x14ac:dyDescent="0.35">
      <c r="A662" s="19">
        <v>45744</v>
      </c>
      <c r="B662" s="20"/>
      <c r="C662" s="20"/>
      <c r="D662" s="20">
        <v>20000</v>
      </c>
      <c r="E662" s="99" t="s">
        <v>521</v>
      </c>
      <c r="F662" s="20">
        <f t="shared" si="10"/>
        <v>123734536</v>
      </c>
      <c r="G662" s="7" t="s">
        <v>330</v>
      </c>
      <c r="H662" s="24" t="s">
        <v>109</v>
      </c>
      <c r="I662" s="32" t="s">
        <v>152</v>
      </c>
    </row>
    <row r="663" spans="1:9" x14ac:dyDescent="0.35">
      <c r="A663" s="19">
        <v>45744</v>
      </c>
      <c r="B663" s="20"/>
      <c r="C663" s="20"/>
      <c r="D663" s="20">
        <v>10000</v>
      </c>
      <c r="E663" s="99" t="s">
        <v>521</v>
      </c>
      <c r="F663" s="20">
        <f t="shared" si="10"/>
        <v>123744536</v>
      </c>
      <c r="G663" s="7" t="s">
        <v>330</v>
      </c>
      <c r="H663" s="24" t="s">
        <v>109</v>
      </c>
      <c r="I663" s="32" t="s">
        <v>152</v>
      </c>
    </row>
    <row r="664" spans="1:9" x14ac:dyDescent="0.35">
      <c r="A664" s="19">
        <v>45744</v>
      </c>
      <c r="B664" s="20"/>
      <c r="C664" s="20"/>
      <c r="D664" s="20">
        <v>20000</v>
      </c>
      <c r="E664" s="99" t="s">
        <v>521</v>
      </c>
      <c r="F664" s="20">
        <f t="shared" si="10"/>
        <v>123764536</v>
      </c>
      <c r="G664" s="7" t="s">
        <v>330</v>
      </c>
      <c r="H664" s="24" t="s">
        <v>109</v>
      </c>
      <c r="I664" s="32" t="s">
        <v>152</v>
      </c>
    </row>
    <row r="665" spans="1:9" x14ac:dyDescent="0.35">
      <c r="A665" s="19">
        <v>45744</v>
      </c>
      <c r="B665" s="20"/>
      <c r="C665" s="20"/>
      <c r="D665" s="20">
        <v>1000000</v>
      </c>
      <c r="E665" s="99" t="s">
        <v>521</v>
      </c>
      <c r="F665" s="20">
        <f t="shared" si="10"/>
        <v>124764536</v>
      </c>
      <c r="G665" s="7" t="s">
        <v>487</v>
      </c>
      <c r="H665" s="59" t="s">
        <v>105</v>
      </c>
      <c r="I665" s="32" t="s">
        <v>152</v>
      </c>
    </row>
    <row r="666" spans="1:9" x14ac:dyDescent="0.35">
      <c r="A666" s="19">
        <v>45744</v>
      </c>
      <c r="B666" s="20">
        <v>53150000</v>
      </c>
      <c r="C666" s="20"/>
      <c r="D666" s="20"/>
      <c r="E666" s="99" t="s">
        <v>521</v>
      </c>
      <c r="F666" s="20">
        <f t="shared" si="10"/>
        <v>71614536</v>
      </c>
      <c r="G666" s="7" t="s">
        <v>488</v>
      </c>
      <c r="H666" s="59" t="s">
        <v>201</v>
      </c>
      <c r="I666" s="32" t="s">
        <v>152</v>
      </c>
    </row>
    <row r="667" spans="1:9" x14ac:dyDescent="0.35">
      <c r="A667" s="19">
        <v>45744</v>
      </c>
      <c r="B667" s="20">
        <v>2500</v>
      </c>
      <c r="C667" s="20"/>
      <c r="D667" s="20"/>
      <c r="E667" s="99" t="s">
        <v>521</v>
      </c>
      <c r="F667" s="20">
        <f t="shared" si="10"/>
        <v>71612036</v>
      </c>
      <c r="G667" s="7" t="s">
        <v>488</v>
      </c>
      <c r="H667" s="59" t="s">
        <v>201</v>
      </c>
      <c r="I667" s="32" t="s">
        <v>152</v>
      </c>
    </row>
    <row r="668" spans="1:9" x14ac:dyDescent="0.35">
      <c r="A668" s="19">
        <v>45744</v>
      </c>
      <c r="B668" s="20"/>
      <c r="C668" s="20"/>
      <c r="D668" s="20">
        <v>1000000</v>
      </c>
      <c r="E668" s="99" t="s">
        <v>521</v>
      </c>
      <c r="F668" s="20">
        <f t="shared" si="10"/>
        <v>72612036</v>
      </c>
      <c r="G668" s="7" t="s">
        <v>489</v>
      </c>
      <c r="H668" s="24" t="s">
        <v>109</v>
      </c>
      <c r="I668" s="32" t="s">
        <v>152</v>
      </c>
    </row>
    <row r="669" spans="1:9" x14ac:dyDescent="0.35">
      <c r="A669" s="19">
        <v>45744</v>
      </c>
      <c r="B669" s="20"/>
      <c r="C669" s="20"/>
      <c r="D669" s="20">
        <v>50000</v>
      </c>
      <c r="E669" s="99" t="s">
        <v>521</v>
      </c>
      <c r="F669" s="20">
        <f t="shared" si="10"/>
        <v>72662036</v>
      </c>
      <c r="G669" s="7" t="s">
        <v>330</v>
      </c>
      <c r="H669" s="24" t="s">
        <v>109</v>
      </c>
      <c r="I669" s="32" t="s">
        <v>152</v>
      </c>
    </row>
    <row r="670" spans="1:9" x14ac:dyDescent="0.35">
      <c r="A670" s="19">
        <v>45744</v>
      </c>
      <c r="B670" s="20"/>
      <c r="C670" s="20"/>
      <c r="D670" s="20">
        <v>20000</v>
      </c>
      <c r="E670" s="99" t="s">
        <v>521</v>
      </c>
      <c r="F670" s="20">
        <f t="shared" si="10"/>
        <v>72682036</v>
      </c>
      <c r="G670" s="7" t="s">
        <v>330</v>
      </c>
      <c r="H670" s="24" t="s">
        <v>109</v>
      </c>
      <c r="I670" s="32" t="s">
        <v>152</v>
      </c>
    </row>
    <row r="671" spans="1:9" x14ac:dyDescent="0.35">
      <c r="A671" s="19">
        <v>45744</v>
      </c>
      <c r="B671" s="20"/>
      <c r="C671" s="20"/>
      <c r="D671" s="20">
        <v>200000</v>
      </c>
      <c r="E671" s="99" t="s">
        <v>521</v>
      </c>
      <c r="F671" s="20">
        <f t="shared" si="10"/>
        <v>72882036</v>
      </c>
      <c r="G671" s="7" t="s">
        <v>330</v>
      </c>
      <c r="H671" s="24" t="s">
        <v>109</v>
      </c>
      <c r="I671" s="32" t="s">
        <v>152</v>
      </c>
    </row>
    <row r="672" spans="1:9" x14ac:dyDescent="0.35">
      <c r="A672" s="19">
        <v>45744</v>
      </c>
      <c r="B672" s="20"/>
      <c r="C672" s="20"/>
      <c r="D672" s="20">
        <v>50000</v>
      </c>
      <c r="E672" s="99" t="s">
        <v>521</v>
      </c>
      <c r="F672" s="20">
        <f t="shared" si="10"/>
        <v>72932036</v>
      </c>
      <c r="G672" s="7" t="s">
        <v>330</v>
      </c>
      <c r="H672" s="24" t="s">
        <v>109</v>
      </c>
      <c r="I672" s="32" t="s">
        <v>152</v>
      </c>
    </row>
    <row r="673" spans="1:9" x14ac:dyDescent="0.35">
      <c r="A673" s="19">
        <v>45744</v>
      </c>
      <c r="B673" s="20"/>
      <c r="C673" s="20"/>
      <c r="D673" s="20">
        <v>100000</v>
      </c>
      <c r="E673" s="99" t="s">
        <v>521</v>
      </c>
      <c r="F673" s="20">
        <f t="shared" si="10"/>
        <v>73032036</v>
      </c>
      <c r="G673" s="7" t="s">
        <v>330</v>
      </c>
      <c r="H673" s="24" t="s">
        <v>109</v>
      </c>
      <c r="I673" s="32" t="s">
        <v>152</v>
      </c>
    </row>
    <row r="674" spans="1:9" x14ac:dyDescent="0.35">
      <c r="A674" s="19">
        <v>45744</v>
      </c>
      <c r="B674" s="20"/>
      <c r="C674" s="20"/>
      <c r="D674" s="20">
        <v>2000000</v>
      </c>
      <c r="E674" s="99" t="s">
        <v>521</v>
      </c>
      <c r="F674" s="20">
        <f t="shared" si="10"/>
        <v>75032036</v>
      </c>
      <c r="G674" s="7" t="s">
        <v>490</v>
      </c>
      <c r="H674" s="24" t="s">
        <v>109</v>
      </c>
      <c r="I674" s="32" t="s">
        <v>152</v>
      </c>
    </row>
    <row r="675" spans="1:9" x14ac:dyDescent="0.35">
      <c r="A675" s="19">
        <v>45744</v>
      </c>
      <c r="B675" s="20"/>
      <c r="C675" s="20"/>
      <c r="D675" s="20">
        <v>100000</v>
      </c>
      <c r="E675" s="99" t="s">
        <v>521</v>
      </c>
      <c r="F675" s="20">
        <f t="shared" si="10"/>
        <v>75132036</v>
      </c>
      <c r="G675" s="7" t="s">
        <v>330</v>
      </c>
      <c r="H675" s="24" t="s">
        <v>109</v>
      </c>
      <c r="I675" s="32" t="s">
        <v>152</v>
      </c>
    </row>
    <row r="676" spans="1:9" x14ac:dyDescent="0.35">
      <c r="A676" s="19">
        <v>45744</v>
      </c>
      <c r="B676" s="20"/>
      <c r="C676" s="20"/>
      <c r="D676" s="20">
        <v>50000</v>
      </c>
      <c r="E676" s="99" t="s">
        <v>521</v>
      </c>
      <c r="F676" s="20">
        <f t="shared" si="10"/>
        <v>75182036</v>
      </c>
      <c r="G676" s="7" t="s">
        <v>330</v>
      </c>
      <c r="H676" s="24" t="s">
        <v>109</v>
      </c>
      <c r="I676" s="32" t="s">
        <v>152</v>
      </c>
    </row>
    <row r="677" spans="1:9" x14ac:dyDescent="0.35">
      <c r="A677" s="19">
        <v>45744</v>
      </c>
      <c r="B677" s="20"/>
      <c r="C677" s="20"/>
      <c r="D677" s="20">
        <v>10000</v>
      </c>
      <c r="E677" s="99" t="s">
        <v>521</v>
      </c>
      <c r="F677" s="20">
        <f t="shared" si="10"/>
        <v>75192036</v>
      </c>
      <c r="G677" s="7" t="s">
        <v>330</v>
      </c>
      <c r="H677" s="24" t="s">
        <v>109</v>
      </c>
      <c r="I677" s="32" t="s">
        <v>152</v>
      </c>
    </row>
    <row r="678" spans="1:9" x14ac:dyDescent="0.35">
      <c r="A678" s="19">
        <v>45744</v>
      </c>
      <c r="B678" s="20"/>
      <c r="C678" s="20"/>
      <c r="D678" s="20">
        <v>30000</v>
      </c>
      <c r="E678" s="99" t="s">
        <v>521</v>
      </c>
      <c r="F678" s="20">
        <f t="shared" si="10"/>
        <v>75222036</v>
      </c>
      <c r="G678" s="7" t="s">
        <v>330</v>
      </c>
      <c r="H678" s="24" t="s">
        <v>109</v>
      </c>
      <c r="I678" s="32" t="s">
        <v>152</v>
      </c>
    </row>
    <row r="679" spans="1:9" x14ac:dyDescent="0.35">
      <c r="A679" s="19">
        <v>45744</v>
      </c>
      <c r="B679" s="20"/>
      <c r="C679" s="20"/>
      <c r="D679" s="20">
        <v>3475000</v>
      </c>
      <c r="E679" s="99" t="s">
        <v>521</v>
      </c>
      <c r="F679" s="20">
        <f t="shared" si="10"/>
        <v>78697036</v>
      </c>
      <c r="G679" s="7" t="s">
        <v>491</v>
      </c>
      <c r="H679" s="59" t="s">
        <v>105</v>
      </c>
      <c r="I679" s="32" t="s">
        <v>152</v>
      </c>
    </row>
    <row r="680" spans="1:9" x14ac:dyDescent="0.35">
      <c r="A680" s="19">
        <v>45744</v>
      </c>
      <c r="B680" s="20"/>
      <c r="C680" s="20"/>
      <c r="D680" s="20">
        <v>50000</v>
      </c>
      <c r="E680" s="99" t="s">
        <v>521</v>
      </c>
      <c r="F680" s="20">
        <f t="shared" si="10"/>
        <v>78747036</v>
      </c>
      <c r="G680" s="7" t="s">
        <v>330</v>
      </c>
      <c r="H680" s="24" t="s">
        <v>109</v>
      </c>
      <c r="I680" s="32" t="s">
        <v>152</v>
      </c>
    </row>
    <row r="681" spans="1:9" x14ac:dyDescent="0.35">
      <c r="A681" s="19">
        <v>45744</v>
      </c>
      <c r="B681" s="20"/>
      <c r="C681" s="20"/>
      <c r="D681" s="20">
        <v>3000000</v>
      </c>
      <c r="E681" s="99" t="s">
        <v>521</v>
      </c>
      <c r="F681" s="20">
        <f t="shared" si="10"/>
        <v>81747036</v>
      </c>
      <c r="G681" s="7" t="s">
        <v>491</v>
      </c>
      <c r="H681" s="59" t="s">
        <v>105</v>
      </c>
      <c r="I681" s="32" t="s">
        <v>152</v>
      </c>
    </row>
    <row r="682" spans="1:9" x14ac:dyDescent="0.35">
      <c r="A682" s="19">
        <v>45744</v>
      </c>
      <c r="B682" s="20"/>
      <c r="C682" s="20"/>
      <c r="D682" s="20">
        <v>100000</v>
      </c>
      <c r="E682" s="99" t="s">
        <v>521</v>
      </c>
      <c r="F682" s="20">
        <f t="shared" si="10"/>
        <v>81847036</v>
      </c>
      <c r="G682" s="7" t="s">
        <v>330</v>
      </c>
      <c r="H682" s="24" t="s">
        <v>109</v>
      </c>
      <c r="I682" s="32" t="s">
        <v>152</v>
      </c>
    </row>
    <row r="683" spans="1:9" x14ac:dyDescent="0.35">
      <c r="A683" s="19">
        <v>45744</v>
      </c>
      <c r="B683" s="20"/>
      <c r="C683" s="20"/>
      <c r="D683" s="20">
        <v>25000</v>
      </c>
      <c r="E683" s="99" t="s">
        <v>521</v>
      </c>
      <c r="F683" s="20">
        <f t="shared" si="10"/>
        <v>81872036</v>
      </c>
      <c r="G683" s="7" t="s">
        <v>330</v>
      </c>
      <c r="H683" s="24" t="s">
        <v>109</v>
      </c>
      <c r="I683" s="32" t="s">
        <v>152</v>
      </c>
    </row>
    <row r="684" spans="1:9" x14ac:dyDescent="0.35">
      <c r="A684" s="19">
        <v>45744</v>
      </c>
      <c r="B684" s="20"/>
      <c r="C684" s="20"/>
      <c r="D684" s="20">
        <v>50000</v>
      </c>
      <c r="E684" s="99" t="s">
        <v>521</v>
      </c>
      <c r="F684" s="20">
        <f t="shared" si="10"/>
        <v>81922036</v>
      </c>
      <c r="G684" s="7" t="s">
        <v>330</v>
      </c>
      <c r="H684" s="24" t="s">
        <v>109</v>
      </c>
      <c r="I684" s="32" t="s">
        <v>152</v>
      </c>
    </row>
    <row r="685" spans="1:9" x14ac:dyDescent="0.35">
      <c r="A685" s="19">
        <v>45744</v>
      </c>
      <c r="B685" s="20"/>
      <c r="C685" s="20"/>
      <c r="D685" s="20">
        <v>200000</v>
      </c>
      <c r="E685" s="99" t="s">
        <v>521</v>
      </c>
      <c r="F685" s="20">
        <f t="shared" si="10"/>
        <v>82122036</v>
      </c>
      <c r="G685" s="7" t="s">
        <v>330</v>
      </c>
      <c r="H685" s="24" t="s">
        <v>109</v>
      </c>
      <c r="I685" s="32" t="s">
        <v>152</v>
      </c>
    </row>
    <row r="686" spans="1:9" x14ac:dyDescent="0.35">
      <c r="A686" s="19">
        <v>45744</v>
      </c>
      <c r="B686" s="20"/>
      <c r="C686" s="20"/>
      <c r="D686" s="20">
        <v>30000</v>
      </c>
      <c r="E686" s="99" t="s">
        <v>521</v>
      </c>
      <c r="F686" s="20">
        <f t="shared" si="10"/>
        <v>82152036</v>
      </c>
      <c r="G686" s="7" t="s">
        <v>330</v>
      </c>
      <c r="H686" s="24" t="s">
        <v>109</v>
      </c>
      <c r="I686" s="32" t="s">
        <v>152</v>
      </c>
    </row>
    <row r="687" spans="1:9" x14ac:dyDescent="0.35">
      <c r="A687" s="19">
        <v>45744</v>
      </c>
      <c r="B687" s="20"/>
      <c r="C687" s="20"/>
      <c r="D687" s="20">
        <v>20000</v>
      </c>
      <c r="E687" s="99" t="s">
        <v>521</v>
      </c>
      <c r="F687" s="20">
        <f t="shared" si="10"/>
        <v>82172036</v>
      </c>
      <c r="G687" s="7" t="s">
        <v>330</v>
      </c>
      <c r="H687" s="24" t="s">
        <v>109</v>
      </c>
      <c r="I687" s="32" t="s">
        <v>152</v>
      </c>
    </row>
    <row r="688" spans="1:9" x14ac:dyDescent="0.35">
      <c r="A688" s="19">
        <v>45744</v>
      </c>
      <c r="B688" s="20"/>
      <c r="C688" s="20"/>
      <c r="D688" s="20">
        <v>150000</v>
      </c>
      <c r="E688" s="99" t="s">
        <v>521</v>
      </c>
      <c r="F688" s="20">
        <f t="shared" si="10"/>
        <v>82322036</v>
      </c>
      <c r="G688" s="7" t="s">
        <v>330</v>
      </c>
      <c r="H688" s="24" t="s">
        <v>109</v>
      </c>
      <c r="I688" s="32" t="s">
        <v>152</v>
      </c>
    </row>
    <row r="689" spans="1:9" x14ac:dyDescent="0.35">
      <c r="A689" s="19">
        <v>45744</v>
      </c>
      <c r="B689" s="20"/>
      <c r="C689" s="20"/>
      <c r="D689" s="20">
        <v>10000</v>
      </c>
      <c r="E689" s="99" t="s">
        <v>521</v>
      </c>
      <c r="F689" s="20">
        <f t="shared" si="10"/>
        <v>82332036</v>
      </c>
      <c r="G689" s="7" t="s">
        <v>330</v>
      </c>
      <c r="H689" s="24" t="s">
        <v>109</v>
      </c>
      <c r="I689" s="32" t="s">
        <v>152</v>
      </c>
    </row>
    <row r="690" spans="1:9" x14ac:dyDescent="0.35">
      <c r="A690" s="19">
        <v>45744</v>
      </c>
      <c r="B690" s="20"/>
      <c r="C690" s="20"/>
      <c r="D690" s="20">
        <v>1000000</v>
      </c>
      <c r="E690" s="99" t="s">
        <v>521</v>
      </c>
      <c r="F690" s="20">
        <f t="shared" si="10"/>
        <v>83332036</v>
      </c>
      <c r="G690" s="7" t="s">
        <v>330</v>
      </c>
      <c r="H690" s="24" t="s">
        <v>109</v>
      </c>
      <c r="I690" s="32" t="s">
        <v>152</v>
      </c>
    </row>
    <row r="691" spans="1:9" x14ac:dyDescent="0.35">
      <c r="A691" s="19">
        <v>45744</v>
      </c>
      <c r="B691" s="20"/>
      <c r="C691" s="20"/>
      <c r="D691" s="20">
        <v>50000</v>
      </c>
      <c r="E691" s="99" t="s">
        <v>521</v>
      </c>
      <c r="F691" s="20">
        <f t="shared" si="10"/>
        <v>83382036</v>
      </c>
      <c r="G691" s="7" t="s">
        <v>330</v>
      </c>
      <c r="H691" s="24" t="s">
        <v>109</v>
      </c>
      <c r="I691" s="32" t="s">
        <v>152</v>
      </c>
    </row>
    <row r="692" spans="1:9" x14ac:dyDescent="0.35">
      <c r="A692" s="19">
        <v>45744</v>
      </c>
      <c r="B692" s="20"/>
      <c r="C692" s="20"/>
      <c r="D692" s="20">
        <v>6000</v>
      </c>
      <c r="E692" s="99" t="s">
        <v>521</v>
      </c>
      <c r="F692" s="20">
        <f t="shared" si="10"/>
        <v>83388036</v>
      </c>
      <c r="G692" s="7" t="s">
        <v>330</v>
      </c>
      <c r="H692" s="24" t="s">
        <v>109</v>
      </c>
      <c r="I692" s="32" t="s">
        <v>152</v>
      </c>
    </row>
    <row r="693" spans="1:9" x14ac:dyDescent="0.35">
      <c r="A693" s="19">
        <v>45744</v>
      </c>
      <c r="B693" s="20"/>
      <c r="C693" s="20"/>
      <c r="D693" s="20">
        <v>20000</v>
      </c>
      <c r="E693" s="99" t="s">
        <v>521</v>
      </c>
      <c r="F693" s="20">
        <f t="shared" si="10"/>
        <v>83408036</v>
      </c>
      <c r="G693" s="7" t="s">
        <v>330</v>
      </c>
      <c r="H693" s="24" t="s">
        <v>109</v>
      </c>
      <c r="I693" s="32" t="s">
        <v>152</v>
      </c>
    </row>
    <row r="694" spans="1:9" x14ac:dyDescent="0.35">
      <c r="A694" s="19">
        <v>45744</v>
      </c>
      <c r="B694" s="20"/>
      <c r="C694" s="20"/>
      <c r="D694" s="20">
        <v>150000</v>
      </c>
      <c r="E694" s="99" t="s">
        <v>521</v>
      </c>
      <c r="F694" s="20">
        <f t="shared" si="10"/>
        <v>83558036</v>
      </c>
      <c r="G694" s="7" t="s">
        <v>330</v>
      </c>
      <c r="H694" s="24" t="s">
        <v>109</v>
      </c>
      <c r="I694" s="32" t="s">
        <v>152</v>
      </c>
    </row>
    <row r="695" spans="1:9" x14ac:dyDescent="0.35">
      <c r="A695" s="19">
        <v>45744</v>
      </c>
      <c r="B695" s="20"/>
      <c r="C695" s="20"/>
      <c r="D695" s="20">
        <v>6570000</v>
      </c>
      <c r="E695" s="99" t="s">
        <v>521</v>
      </c>
      <c r="F695" s="20">
        <f t="shared" si="10"/>
        <v>90128036</v>
      </c>
      <c r="G695" s="7" t="s">
        <v>491</v>
      </c>
      <c r="H695" s="59" t="s">
        <v>105</v>
      </c>
      <c r="I695" s="32" t="s">
        <v>152</v>
      </c>
    </row>
    <row r="696" spans="1:9" x14ac:dyDescent="0.35">
      <c r="A696" s="19">
        <v>45744</v>
      </c>
      <c r="B696" s="20"/>
      <c r="C696" s="20"/>
      <c r="D696" s="20">
        <v>50000</v>
      </c>
      <c r="E696" s="99" t="s">
        <v>521</v>
      </c>
      <c r="F696" s="20">
        <f t="shared" si="10"/>
        <v>90178036</v>
      </c>
      <c r="G696" s="7" t="s">
        <v>330</v>
      </c>
      <c r="H696" s="24" t="s">
        <v>109</v>
      </c>
      <c r="I696" s="32" t="s">
        <v>152</v>
      </c>
    </row>
    <row r="697" spans="1:9" x14ac:dyDescent="0.35">
      <c r="A697" s="19">
        <v>45744</v>
      </c>
      <c r="B697" s="20"/>
      <c r="C697" s="20"/>
      <c r="D697" s="20">
        <v>5000</v>
      </c>
      <c r="E697" s="99" t="s">
        <v>521</v>
      </c>
      <c r="F697" s="20">
        <f t="shared" si="10"/>
        <v>90183036</v>
      </c>
      <c r="G697" s="7" t="s">
        <v>330</v>
      </c>
      <c r="H697" s="24" t="s">
        <v>109</v>
      </c>
      <c r="I697" s="32" t="s">
        <v>152</v>
      </c>
    </row>
    <row r="698" spans="1:9" x14ac:dyDescent="0.35">
      <c r="A698" s="19">
        <v>45744</v>
      </c>
      <c r="B698" s="20"/>
      <c r="C698" s="20"/>
      <c r="D698" s="20">
        <v>5000</v>
      </c>
      <c r="E698" s="99" t="s">
        <v>521</v>
      </c>
      <c r="F698" s="20">
        <f t="shared" si="10"/>
        <v>90188036</v>
      </c>
      <c r="G698" s="7" t="s">
        <v>330</v>
      </c>
      <c r="H698" s="24" t="s">
        <v>109</v>
      </c>
      <c r="I698" s="32" t="s">
        <v>152</v>
      </c>
    </row>
    <row r="699" spans="1:9" x14ac:dyDescent="0.35">
      <c r="A699" s="19">
        <v>45755</v>
      </c>
      <c r="B699" s="20"/>
      <c r="C699" s="20"/>
      <c r="D699" s="20">
        <v>50000</v>
      </c>
      <c r="E699" s="99" t="s">
        <v>559</v>
      </c>
      <c r="F699" s="20">
        <f t="shared" si="10"/>
        <v>90238036</v>
      </c>
      <c r="G699" s="7" t="s">
        <v>330</v>
      </c>
      <c r="H699" s="24" t="s">
        <v>109</v>
      </c>
      <c r="I699" s="32" t="s">
        <v>152</v>
      </c>
    </row>
    <row r="700" spans="1:9" x14ac:dyDescent="0.35">
      <c r="A700" s="19">
        <v>45755</v>
      </c>
      <c r="B700" s="20"/>
      <c r="C700" s="20"/>
      <c r="D700" s="20">
        <v>50000</v>
      </c>
      <c r="E700" s="99" t="s">
        <v>559</v>
      </c>
      <c r="F700" s="20">
        <f t="shared" si="10"/>
        <v>90288036</v>
      </c>
      <c r="G700" s="7" t="s">
        <v>330</v>
      </c>
      <c r="H700" s="24" t="s">
        <v>109</v>
      </c>
      <c r="I700" s="32" t="s">
        <v>152</v>
      </c>
    </row>
    <row r="701" spans="1:9" x14ac:dyDescent="0.35">
      <c r="A701" s="19">
        <v>45755</v>
      </c>
      <c r="B701" s="20"/>
      <c r="C701" s="20"/>
      <c r="D701" s="20">
        <v>100000</v>
      </c>
      <c r="E701" s="99" t="s">
        <v>559</v>
      </c>
      <c r="F701" s="20">
        <f t="shared" si="10"/>
        <v>90388036</v>
      </c>
      <c r="G701" s="7" t="s">
        <v>330</v>
      </c>
      <c r="H701" s="24" t="s">
        <v>109</v>
      </c>
      <c r="I701" s="32" t="s">
        <v>152</v>
      </c>
    </row>
    <row r="702" spans="1:9" x14ac:dyDescent="0.35">
      <c r="A702" s="19">
        <v>45755</v>
      </c>
      <c r="B702" s="20"/>
      <c r="C702" s="20"/>
      <c r="D702" s="20">
        <v>10000</v>
      </c>
      <c r="E702" s="99" t="s">
        <v>559</v>
      </c>
      <c r="F702" s="20">
        <f t="shared" si="10"/>
        <v>90398036</v>
      </c>
      <c r="G702" s="7" t="s">
        <v>330</v>
      </c>
      <c r="H702" s="24" t="s">
        <v>109</v>
      </c>
      <c r="I702" s="32" t="s">
        <v>152</v>
      </c>
    </row>
    <row r="703" spans="1:9" x14ac:dyDescent="0.35">
      <c r="A703" s="19">
        <v>45755</v>
      </c>
      <c r="B703" s="20"/>
      <c r="C703" s="20"/>
      <c r="D703" s="20">
        <v>100000</v>
      </c>
      <c r="E703" s="99" t="s">
        <v>559</v>
      </c>
      <c r="F703" s="20">
        <f t="shared" si="10"/>
        <v>90498036</v>
      </c>
      <c r="G703" s="7" t="s">
        <v>330</v>
      </c>
      <c r="H703" s="24" t="s">
        <v>109</v>
      </c>
      <c r="I703" s="32" t="s">
        <v>152</v>
      </c>
    </row>
    <row r="704" spans="1:9" x14ac:dyDescent="0.35">
      <c r="A704" s="19">
        <v>45755</v>
      </c>
      <c r="B704" s="20"/>
      <c r="C704" s="20"/>
      <c r="D704" s="20">
        <v>300000</v>
      </c>
      <c r="E704" s="99" t="s">
        <v>559</v>
      </c>
      <c r="F704" s="20">
        <f t="shared" si="10"/>
        <v>90798036</v>
      </c>
      <c r="G704" s="7" t="s">
        <v>330</v>
      </c>
      <c r="H704" s="24" t="s">
        <v>109</v>
      </c>
      <c r="I704" s="32" t="s">
        <v>152</v>
      </c>
    </row>
    <row r="705" spans="1:9" x14ac:dyDescent="0.35">
      <c r="A705" s="19">
        <v>45755</v>
      </c>
      <c r="B705" s="20"/>
      <c r="C705" s="20"/>
      <c r="D705" s="20">
        <v>5000000</v>
      </c>
      <c r="E705" s="99" t="s">
        <v>559</v>
      </c>
      <c r="F705" s="20">
        <f t="shared" si="10"/>
        <v>95798036</v>
      </c>
      <c r="G705" s="7" t="s">
        <v>506</v>
      </c>
      <c r="H705" s="24" t="s">
        <v>105</v>
      </c>
      <c r="I705" s="32" t="s">
        <v>152</v>
      </c>
    </row>
    <row r="706" spans="1:9" x14ac:dyDescent="0.35">
      <c r="A706" s="19">
        <v>45755</v>
      </c>
      <c r="B706" s="20"/>
      <c r="C706" s="20"/>
      <c r="D706" s="20">
        <v>50000</v>
      </c>
      <c r="E706" s="99" t="s">
        <v>559</v>
      </c>
      <c r="F706" s="20">
        <f t="shared" si="10"/>
        <v>95848036</v>
      </c>
      <c r="G706" s="7" t="s">
        <v>330</v>
      </c>
      <c r="H706" s="24" t="s">
        <v>109</v>
      </c>
      <c r="I706" s="32" t="s">
        <v>152</v>
      </c>
    </row>
    <row r="707" spans="1:9" x14ac:dyDescent="0.35">
      <c r="A707" s="19">
        <v>45755</v>
      </c>
      <c r="B707" s="20"/>
      <c r="C707" s="20"/>
      <c r="D707" s="20">
        <v>50000</v>
      </c>
      <c r="E707" s="99" t="s">
        <v>559</v>
      </c>
      <c r="F707" s="20">
        <f t="shared" si="10"/>
        <v>95898036</v>
      </c>
      <c r="G707" s="7" t="s">
        <v>330</v>
      </c>
      <c r="H707" s="24" t="s">
        <v>109</v>
      </c>
      <c r="I707" s="32" t="s">
        <v>152</v>
      </c>
    </row>
    <row r="708" spans="1:9" x14ac:dyDescent="0.35">
      <c r="A708" s="19">
        <v>45755</v>
      </c>
      <c r="B708" s="20"/>
      <c r="C708" s="20"/>
      <c r="D708" s="20">
        <v>100000</v>
      </c>
      <c r="E708" s="99" t="s">
        <v>559</v>
      </c>
      <c r="F708" s="20">
        <f t="shared" si="10"/>
        <v>95998036</v>
      </c>
      <c r="G708" s="7" t="s">
        <v>330</v>
      </c>
      <c r="H708" s="24" t="s">
        <v>109</v>
      </c>
      <c r="I708" s="32" t="s">
        <v>152</v>
      </c>
    </row>
    <row r="709" spans="1:9" x14ac:dyDescent="0.35">
      <c r="A709" s="19">
        <v>45755</v>
      </c>
      <c r="B709" s="20"/>
      <c r="C709" s="20"/>
      <c r="D709" s="20">
        <v>25000</v>
      </c>
      <c r="E709" s="99" t="s">
        <v>559</v>
      </c>
      <c r="F709" s="20">
        <f t="shared" si="10"/>
        <v>96023036</v>
      </c>
      <c r="G709" s="7" t="s">
        <v>330</v>
      </c>
      <c r="H709" s="24" t="s">
        <v>109</v>
      </c>
      <c r="I709" s="32" t="s">
        <v>152</v>
      </c>
    </row>
    <row r="710" spans="1:9" x14ac:dyDescent="0.35">
      <c r="A710" s="19">
        <v>45755</v>
      </c>
      <c r="B710" s="20"/>
      <c r="C710" s="20"/>
      <c r="D710" s="20">
        <v>18000</v>
      </c>
      <c r="E710" s="99" t="s">
        <v>559</v>
      </c>
      <c r="F710" s="20">
        <f t="shared" si="10"/>
        <v>96041036</v>
      </c>
      <c r="G710" s="7" t="s">
        <v>330</v>
      </c>
      <c r="H710" s="24" t="s">
        <v>109</v>
      </c>
      <c r="I710" s="32" t="s">
        <v>152</v>
      </c>
    </row>
    <row r="711" spans="1:9" x14ac:dyDescent="0.35">
      <c r="A711" s="19">
        <v>45755</v>
      </c>
      <c r="B711" s="20"/>
      <c r="C711" s="20"/>
      <c r="D711" s="20">
        <v>30000</v>
      </c>
      <c r="E711" s="99" t="s">
        <v>559</v>
      </c>
      <c r="F711" s="20">
        <f t="shared" si="10"/>
        <v>96071036</v>
      </c>
      <c r="G711" s="7" t="s">
        <v>330</v>
      </c>
      <c r="H711" s="24" t="s">
        <v>109</v>
      </c>
      <c r="I711" s="32" t="s">
        <v>152</v>
      </c>
    </row>
    <row r="712" spans="1:9" x14ac:dyDescent="0.35">
      <c r="A712" s="19">
        <v>45755</v>
      </c>
      <c r="B712" s="20"/>
      <c r="C712" s="20"/>
      <c r="D712" s="20">
        <v>20000</v>
      </c>
      <c r="E712" s="99" t="s">
        <v>559</v>
      </c>
      <c r="F712" s="20">
        <f t="shared" si="10"/>
        <v>96091036</v>
      </c>
      <c r="G712" s="7" t="s">
        <v>330</v>
      </c>
      <c r="H712" s="24" t="s">
        <v>109</v>
      </c>
      <c r="I712" s="32" t="s">
        <v>152</v>
      </c>
    </row>
    <row r="713" spans="1:9" x14ac:dyDescent="0.35">
      <c r="A713" s="19">
        <v>45755</v>
      </c>
      <c r="B713" s="20"/>
      <c r="C713" s="20"/>
      <c r="D713" s="20">
        <v>1000000</v>
      </c>
      <c r="E713" s="99" t="s">
        <v>559</v>
      </c>
      <c r="F713" s="20">
        <f t="shared" si="10"/>
        <v>97091036</v>
      </c>
      <c r="G713" s="7" t="s">
        <v>330</v>
      </c>
      <c r="H713" s="24" t="s">
        <v>109</v>
      </c>
      <c r="I713" s="32" t="s">
        <v>152</v>
      </c>
    </row>
    <row r="714" spans="1:9" x14ac:dyDescent="0.35">
      <c r="A714" s="19">
        <v>45755</v>
      </c>
      <c r="B714" s="20"/>
      <c r="C714" s="20"/>
      <c r="D714" s="20">
        <v>10000</v>
      </c>
      <c r="E714" s="99" t="s">
        <v>559</v>
      </c>
      <c r="F714" s="20">
        <f t="shared" ref="F714:F777" si="11">+F713+D714-B714</f>
        <v>97101036</v>
      </c>
      <c r="G714" s="7" t="s">
        <v>330</v>
      </c>
      <c r="H714" s="24" t="s">
        <v>109</v>
      </c>
      <c r="I714" s="32" t="s">
        <v>152</v>
      </c>
    </row>
    <row r="715" spans="1:9" x14ac:dyDescent="0.35">
      <c r="A715" s="19">
        <v>45755</v>
      </c>
      <c r="B715" s="20"/>
      <c r="C715" s="20"/>
      <c r="D715" s="20">
        <v>620000</v>
      </c>
      <c r="E715" s="99" t="s">
        <v>559</v>
      </c>
      <c r="F715" s="20">
        <f t="shared" si="11"/>
        <v>97721036</v>
      </c>
      <c r="G715" s="7" t="s">
        <v>503</v>
      </c>
      <c r="H715" s="24" t="s">
        <v>105</v>
      </c>
      <c r="I715" s="32" t="s">
        <v>152</v>
      </c>
    </row>
    <row r="716" spans="1:9" x14ac:dyDescent="0.35">
      <c r="A716" s="19">
        <v>45755</v>
      </c>
      <c r="B716" s="20"/>
      <c r="C716" s="20"/>
      <c r="D716" s="20">
        <v>50000</v>
      </c>
      <c r="E716" s="99" t="s">
        <v>559</v>
      </c>
      <c r="F716" s="20">
        <f t="shared" si="11"/>
        <v>97771036</v>
      </c>
      <c r="G716" s="7" t="s">
        <v>330</v>
      </c>
      <c r="H716" s="24" t="s">
        <v>109</v>
      </c>
      <c r="I716" s="32" t="s">
        <v>152</v>
      </c>
    </row>
    <row r="717" spans="1:9" x14ac:dyDescent="0.35">
      <c r="A717" s="19">
        <v>45755</v>
      </c>
      <c r="B717" s="20"/>
      <c r="C717" s="20"/>
      <c r="D717" s="20">
        <v>25000</v>
      </c>
      <c r="E717" s="99" t="s">
        <v>559</v>
      </c>
      <c r="F717" s="20">
        <f t="shared" si="11"/>
        <v>97796036</v>
      </c>
      <c r="G717" s="7" t="s">
        <v>330</v>
      </c>
      <c r="H717" s="24" t="s">
        <v>109</v>
      </c>
      <c r="I717" s="32" t="s">
        <v>152</v>
      </c>
    </row>
    <row r="718" spans="1:9" x14ac:dyDescent="0.35">
      <c r="A718" s="19">
        <v>45755</v>
      </c>
      <c r="B718" s="20"/>
      <c r="C718" s="20"/>
      <c r="D718" s="20">
        <v>150000</v>
      </c>
      <c r="E718" s="99" t="s">
        <v>559</v>
      </c>
      <c r="F718" s="20">
        <f t="shared" si="11"/>
        <v>97946036</v>
      </c>
      <c r="G718" s="7" t="s">
        <v>330</v>
      </c>
      <c r="H718" s="24" t="s">
        <v>109</v>
      </c>
      <c r="I718" s="32" t="s">
        <v>152</v>
      </c>
    </row>
    <row r="719" spans="1:9" x14ac:dyDescent="0.35">
      <c r="A719" s="19">
        <v>45755</v>
      </c>
      <c r="B719" s="20"/>
      <c r="C719" s="20"/>
      <c r="D719" s="20">
        <v>30000</v>
      </c>
      <c r="E719" s="99" t="s">
        <v>559</v>
      </c>
      <c r="F719" s="20">
        <f t="shared" si="11"/>
        <v>97976036</v>
      </c>
      <c r="G719" s="7" t="s">
        <v>330</v>
      </c>
      <c r="H719" s="24" t="s">
        <v>109</v>
      </c>
      <c r="I719" s="32" t="s">
        <v>152</v>
      </c>
    </row>
    <row r="720" spans="1:9" x14ac:dyDescent="0.35">
      <c r="A720" s="19">
        <v>45755</v>
      </c>
      <c r="B720" s="20"/>
      <c r="C720" s="20"/>
      <c r="D720" s="20">
        <v>10000</v>
      </c>
      <c r="E720" s="99" t="s">
        <v>559</v>
      </c>
      <c r="F720" s="20">
        <f t="shared" si="11"/>
        <v>97986036</v>
      </c>
      <c r="G720" s="7" t="s">
        <v>330</v>
      </c>
      <c r="H720" s="24" t="s">
        <v>109</v>
      </c>
      <c r="I720" s="32" t="s">
        <v>152</v>
      </c>
    </row>
    <row r="721" spans="1:9" x14ac:dyDescent="0.35">
      <c r="A721" s="19">
        <v>45755</v>
      </c>
      <c r="B721" s="20"/>
      <c r="C721" s="20"/>
      <c r="D721" s="20">
        <v>6000</v>
      </c>
      <c r="E721" s="99" t="s">
        <v>559</v>
      </c>
      <c r="F721" s="20">
        <f t="shared" si="11"/>
        <v>97992036</v>
      </c>
      <c r="G721" s="7" t="s">
        <v>330</v>
      </c>
      <c r="H721" s="24" t="s">
        <v>109</v>
      </c>
      <c r="I721" s="32" t="s">
        <v>152</v>
      </c>
    </row>
    <row r="722" spans="1:9" x14ac:dyDescent="0.35">
      <c r="A722" s="19">
        <v>45755</v>
      </c>
      <c r="B722" s="20"/>
      <c r="C722" s="20"/>
      <c r="D722" s="20">
        <v>50000</v>
      </c>
      <c r="E722" s="99" t="s">
        <v>559</v>
      </c>
      <c r="F722" s="20">
        <f t="shared" si="11"/>
        <v>98042036</v>
      </c>
      <c r="G722" s="7" t="s">
        <v>330</v>
      </c>
      <c r="H722" s="24" t="s">
        <v>109</v>
      </c>
      <c r="I722" s="32" t="s">
        <v>152</v>
      </c>
    </row>
    <row r="723" spans="1:9" x14ac:dyDescent="0.35">
      <c r="A723" s="19">
        <v>45755</v>
      </c>
      <c r="B723" s="20"/>
      <c r="C723" s="23"/>
      <c r="D723" s="23">
        <v>24000000</v>
      </c>
      <c r="E723" s="99" t="s">
        <v>559</v>
      </c>
      <c r="F723" s="20">
        <f t="shared" si="11"/>
        <v>122042036</v>
      </c>
      <c r="G723" s="7"/>
      <c r="H723" s="24" t="s">
        <v>105</v>
      </c>
      <c r="I723" s="32" t="s">
        <v>152</v>
      </c>
    </row>
    <row r="724" spans="1:9" x14ac:dyDescent="0.35">
      <c r="A724" s="19">
        <v>45755</v>
      </c>
      <c r="B724" s="20"/>
      <c r="C724" s="23"/>
      <c r="D724" s="23">
        <v>2040000</v>
      </c>
      <c r="E724" s="99" t="s">
        <v>559</v>
      </c>
      <c r="F724" s="20">
        <f t="shared" si="11"/>
        <v>124082036</v>
      </c>
      <c r="G724" s="7"/>
      <c r="H724" s="24" t="s">
        <v>109</v>
      </c>
      <c r="I724" s="32" t="s">
        <v>152</v>
      </c>
    </row>
    <row r="725" spans="1:9" x14ac:dyDescent="0.35">
      <c r="A725" s="19"/>
      <c r="B725" s="20"/>
      <c r="C725" s="23">
        <v>26040000</v>
      </c>
      <c r="D725" s="23"/>
      <c r="E725" s="99"/>
      <c r="F725" s="20">
        <f t="shared" si="11"/>
        <v>124082036</v>
      </c>
      <c r="G725" s="7" t="s">
        <v>507</v>
      </c>
      <c r="H725" s="24"/>
      <c r="I725" s="32"/>
    </row>
    <row r="726" spans="1:9" x14ac:dyDescent="0.35">
      <c r="A726" s="19">
        <v>45755</v>
      </c>
      <c r="B726" s="20"/>
      <c r="C726" s="20"/>
      <c r="D726" s="20">
        <v>20000000</v>
      </c>
      <c r="E726" s="99" t="s">
        <v>559</v>
      </c>
      <c r="F726" s="20">
        <f t="shared" si="11"/>
        <v>144082036</v>
      </c>
      <c r="G726" s="7" t="s">
        <v>504</v>
      </c>
      <c r="H726" s="24" t="s">
        <v>105</v>
      </c>
      <c r="I726" s="32" t="s">
        <v>152</v>
      </c>
    </row>
    <row r="727" spans="1:9" x14ac:dyDescent="0.35">
      <c r="A727" s="19">
        <v>45755</v>
      </c>
      <c r="B727" s="20"/>
      <c r="C727" s="20"/>
      <c r="D727" s="20">
        <v>500000</v>
      </c>
      <c r="E727" s="99" t="s">
        <v>559</v>
      </c>
      <c r="F727" s="20">
        <f t="shared" si="11"/>
        <v>144582036</v>
      </c>
      <c r="G727" s="7" t="s">
        <v>330</v>
      </c>
      <c r="H727" s="24" t="s">
        <v>109</v>
      </c>
      <c r="I727" s="32" t="s">
        <v>152</v>
      </c>
    </row>
    <row r="728" spans="1:9" x14ac:dyDescent="0.35">
      <c r="A728" s="19">
        <v>45755</v>
      </c>
      <c r="B728" s="20"/>
      <c r="C728" s="20"/>
      <c r="D728" s="20">
        <v>10000</v>
      </c>
      <c r="E728" s="99" t="s">
        <v>559</v>
      </c>
      <c r="F728" s="20">
        <f t="shared" si="11"/>
        <v>144592036</v>
      </c>
      <c r="G728" s="7" t="s">
        <v>330</v>
      </c>
      <c r="H728" s="24" t="s">
        <v>109</v>
      </c>
      <c r="I728" s="32" t="s">
        <v>152</v>
      </c>
    </row>
    <row r="729" spans="1:9" x14ac:dyDescent="0.35">
      <c r="A729" s="19">
        <v>45755</v>
      </c>
      <c r="B729" s="20"/>
      <c r="C729" s="20"/>
      <c r="D729" s="20">
        <v>10000</v>
      </c>
      <c r="E729" s="99" t="s">
        <v>559</v>
      </c>
      <c r="F729" s="20">
        <f t="shared" si="11"/>
        <v>144602036</v>
      </c>
      <c r="G729" s="7" t="s">
        <v>330</v>
      </c>
      <c r="H729" s="24" t="s">
        <v>109</v>
      </c>
      <c r="I729" s="32" t="s">
        <v>152</v>
      </c>
    </row>
    <row r="730" spans="1:9" x14ac:dyDescent="0.35">
      <c r="A730" s="19">
        <v>45755</v>
      </c>
      <c r="B730" s="20"/>
      <c r="C730" s="20"/>
      <c r="D730" s="20">
        <v>50000</v>
      </c>
      <c r="E730" s="99" t="s">
        <v>559</v>
      </c>
      <c r="F730" s="20">
        <f t="shared" si="11"/>
        <v>144652036</v>
      </c>
      <c r="G730" s="7" t="s">
        <v>330</v>
      </c>
      <c r="H730" s="24" t="s">
        <v>109</v>
      </c>
      <c r="I730" s="32" t="s">
        <v>152</v>
      </c>
    </row>
    <row r="731" spans="1:9" x14ac:dyDescent="0.35">
      <c r="A731" s="19">
        <v>45755</v>
      </c>
      <c r="B731" s="20"/>
      <c r="C731" s="20"/>
      <c r="D731" s="20">
        <v>50000</v>
      </c>
      <c r="E731" s="99" t="s">
        <v>559</v>
      </c>
      <c r="F731" s="20">
        <f t="shared" si="11"/>
        <v>144702036</v>
      </c>
      <c r="G731" s="7" t="s">
        <v>330</v>
      </c>
      <c r="H731" s="24" t="s">
        <v>109</v>
      </c>
      <c r="I731" s="32" t="s">
        <v>152</v>
      </c>
    </row>
    <row r="732" spans="1:9" x14ac:dyDescent="0.35">
      <c r="A732" s="19">
        <v>45755</v>
      </c>
      <c r="B732" s="20"/>
      <c r="C732" s="20"/>
      <c r="D732" s="20">
        <v>100000</v>
      </c>
      <c r="E732" s="99" t="s">
        <v>559</v>
      </c>
      <c r="F732" s="20">
        <f t="shared" si="11"/>
        <v>144802036</v>
      </c>
      <c r="G732" s="7" t="s">
        <v>330</v>
      </c>
      <c r="H732" s="24" t="s">
        <v>109</v>
      </c>
      <c r="I732" s="32" t="s">
        <v>152</v>
      </c>
    </row>
    <row r="733" spans="1:9" x14ac:dyDescent="0.35">
      <c r="A733" s="19">
        <v>45755</v>
      </c>
      <c r="B733" s="20"/>
      <c r="C733" s="20"/>
      <c r="D733" s="20">
        <v>20000</v>
      </c>
      <c r="E733" s="99" t="s">
        <v>559</v>
      </c>
      <c r="F733" s="20">
        <f t="shared" si="11"/>
        <v>144822036</v>
      </c>
      <c r="G733" s="7" t="s">
        <v>330</v>
      </c>
      <c r="H733" s="24" t="s">
        <v>109</v>
      </c>
      <c r="I733" s="32" t="s">
        <v>152</v>
      </c>
    </row>
    <row r="734" spans="1:9" x14ac:dyDescent="0.35">
      <c r="A734" s="19">
        <v>45755</v>
      </c>
      <c r="B734" s="20"/>
      <c r="C734" s="20"/>
      <c r="D734" s="20">
        <v>20000</v>
      </c>
      <c r="E734" s="99" t="s">
        <v>559</v>
      </c>
      <c r="F734" s="20">
        <f t="shared" si="11"/>
        <v>144842036</v>
      </c>
      <c r="G734" s="7" t="s">
        <v>330</v>
      </c>
      <c r="H734" s="24" t="s">
        <v>109</v>
      </c>
      <c r="I734" s="32" t="s">
        <v>152</v>
      </c>
    </row>
    <row r="735" spans="1:9" x14ac:dyDescent="0.35">
      <c r="A735" s="19">
        <v>45755</v>
      </c>
      <c r="B735" s="20"/>
      <c r="C735" s="20"/>
      <c r="D735" s="20">
        <v>10000</v>
      </c>
      <c r="E735" s="99" t="s">
        <v>559</v>
      </c>
      <c r="F735" s="20">
        <f t="shared" si="11"/>
        <v>144852036</v>
      </c>
      <c r="G735" s="7" t="s">
        <v>330</v>
      </c>
      <c r="H735" s="24" t="s">
        <v>109</v>
      </c>
      <c r="I735" s="32" t="s">
        <v>152</v>
      </c>
    </row>
    <row r="736" spans="1:9" x14ac:dyDescent="0.35">
      <c r="A736" s="19">
        <v>45755</v>
      </c>
      <c r="B736" s="20"/>
      <c r="C736" s="20"/>
      <c r="D736" s="20">
        <v>10000000</v>
      </c>
      <c r="E736" s="99" t="s">
        <v>559</v>
      </c>
      <c r="F736" s="20">
        <f t="shared" si="11"/>
        <v>154852036</v>
      </c>
      <c r="G736" s="7" t="s">
        <v>505</v>
      </c>
      <c r="H736" s="24" t="s">
        <v>105</v>
      </c>
      <c r="I736" s="32" t="s">
        <v>152</v>
      </c>
    </row>
    <row r="737" spans="1:9" x14ac:dyDescent="0.35">
      <c r="A737" s="19">
        <v>45755</v>
      </c>
      <c r="B737" s="20"/>
      <c r="C737" s="20"/>
      <c r="D737" s="20">
        <v>250000</v>
      </c>
      <c r="E737" s="99" t="s">
        <v>559</v>
      </c>
      <c r="F737" s="20">
        <f t="shared" si="11"/>
        <v>155102036</v>
      </c>
      <c r="G737" s="7" t="s">
        <v>330</v>
      </c>
      <c r="H737" s="24" t="s">
        <v>109</v>
      </c>
      <c r="I737" s="32" t="s">
        <v>152</v>
      </c>
    </row>
    <row r="738" spans="1:9" x14ac:dyDescent="0.35">
      <c r="A738" s="19">
        <v>45755</v>
      </c>
      <c r="B738" s="20"/>
      <c r="C738" s="20"/>
      <c r="D738" s="20">
        <v>50000</v>
      </c>
      <c r="E738" s="99" t="s">
        <v>559</v>
      </c>
      <c r="F738" s="20">
        <f t="shared" si="11"/>
        <v>155152036</v>
      </c>
      <c r="G738" s="7" t="s">
        <v>330</v>
      </c>
      <c r="H738" s="24" t="s">
        <v>109</v>
      </c>
      <c r="I738" s="32" t="s">
        <v>152</v>
      </c>
    </row>
    <row r="739" spans="1:9" x14ac:dyDescent="0.35">
      <c r="A739" s="19">
        <v>45755</v>
      </c>
      <c r="B739" s="20"/>
      <c r="C739" s="20"/>
      <c r="D739" s="20">
        <v>10000</v>
      </c>
      <c r="E739" s="99" t="s">
        <v>559</v>
      </c>
      <c r="F739" s="20">
        <f t="shared" si="11"/>
        <v>155162036</v>
      </c>
      <c r="G739" s="7" t="s">
        <v>330</v>
      </c>
      <c r="H739" s="24" t="s">
        <v>109</v>
      </c>
      <c r="I739" s="32" t="s">
        <v>152</v>
      </c>
    </row>
    <row r="740" spans="1:9" x14ac:dyDescent="0.35">
      <c r="A740" s="19">
        <v>45755</v>
      </c>
      <c r="B740" s="20"/>
      <c r="C740" s="20"/>
      <c r="D740" s="20">
        <v>20000</v>
      </c>
      <c r="E740" s="99" t="s">
        <v>559</v>
      </c>
      <c r="F740" s="20">
        <f t="shared" si="11"/>
        <v>155182036</v>
      </c>
      <c r="G740" s="7" t="s">
        <v>330</v>
      </c>
      <c r="H740" s="24" t="s">
        <v>109</v>
      </c>
      <c r="I740" s="32" t="s">
        <v>152</v>
      </c>
    </row>
    <row r="741" spans="1:9" x14ac:dyDescent="0.35">
      <c r="A741" s="19">
        <v>45755</v>
      </c>
      <c r="B741" s="20"/>
      <c r="C741" s="20"/>
      <c r="D741" s="20">
        <v>50000</v>
      </c>
      <c r="E741" s="99" t="s">
        <v>559</v>
      </c>
      <c r="F741" s="20">
        <f t="shared" si="11"/>
        <v>155232036</v>
      </c>
      <c r="G741" s="7" t="s">
        <v>330</v>
      </c>
      <c r="H741" s="24" t="s">
        <v>109</v>
      </c>
      <c r="I741" s="32" t="s">
        <v>152</v>
      </c>
    </row>
    <row r="742" spans="1:9" x14ac:dyDescent="0.35">
      <c r="A742" s="19">
        <v>45755</v>
      </c>
      <c r="B742" s="20"/>
      <c r="C742" s="20"/>
      <c r="D742" s="20">
        <v>5000</v>
      </c>
      <c r="E742" s="99" t="s">
        <v>559</v>
      </c>
      <c r="F742" s="20">
        <f t="shared" si="11"/>
        <v>155237036</v>
      </c>
      <c r="G742" s="7" t="s">
        <v>330</v>
      </c>
      <c r="H742" s="24" t="s">
        <v>109</v>
      </c>
      <c r="I742" s="32" t="s">
        <v>152</v>
      </c>
    </row>
    <row r="743" spans="1:9" x14ac:dyDescent="0.35">
      <c r="A743" s="19">
        <v>45755</v>
      </c>
      <c r="B743" s="20"/>
      <c r="C743" s="20"/>
      <c r="D743" s="20">
        <v>10000</v>
      </c>
      <c r="E743" s="99" t="s">
        <v>559</v>
      </c>
      <c r="F743" s="20">
        <f t="shared" si="11"/>
        <v>155247036</v>
      </c>
      <c r="G743" s="7" t="s">
        <v>330</v>
      </c>
      <c r="H743" s="24" t="s">
        <v>109</v>
      </c>
      <c r="I743" s="32" t="s">
        <v>152</v>
      </c>
    </row>
    <row r="744" spans="1:9" x14ac:dyDescent="0.35">
      <c r="A744" s="19">
        <v>45755</v>
      </c>
      <c r="B744" s="20"/>
      <c r="C744" s="20"/>
      <c r="D744" s="20">
        <v>10000</v>
      </c>
      <c r="E744" s="99" t="s">
        <v>559</v>
      </c>
      <c r="F744" s="20">
        <f t="shared" si="11"/>
        <v>155257036</v>
      </c>
      <c r="G744" s="7" t="s">
        <v>330</v>
      </c>
      <c r="H744" s="24" t="s">
        <v>109</v>
      </c>
      <c r="I744" s="32" t="s">
        <v>152</v>
      </c>
    </row>
    <row r="745" spans="1:9" x14ac:dyDescent="0.35">
      <c r="A745" s="19">
        <v>45755</v>
      </c>
      <c r="B745" s="20"/>
      <c r="C745" s="20"/>
      <c r="D745" s="20">
        <v>200000</v>
      </c>
      <c r="E745" s="99" t="s">
        <v>559</v>
      </c>
      <c r="F745" s="20">
        <f t="shared" si="11"/>
        <v>155457036</v>
      </c>
      <c r="G745" s="7" t="s">
        <v>330</v>
      </c>
      <c r="H745" s="24" t="s">
        <v>109</v>
      </c>
      <c r="I745" s="32" t="s">
        <v>152</v>
      </c>
    </row>
    <row r="746" spans="1:9" x14ac:dyDescent="0.35">
      <c r="A746" s="19">
        <v>45755</v>
      </c>
      <c r="B746" s="20"/>
      <c r="C746" s="20"/>
      <c r="D746" s="20">
        <v>200000</v>
      </c>
      <c r="E746" s="99" t="s">
        <v>559</v>
      </c>
      <c r="F746" s="20">
        <f t="shared" si="11"/>
        <v>155657036</v>
      </c>
      <c r="G746" s="7" t="s">
        <v>330</v>
      </c>
      <c r="H746" s="24" t="s">
        <v>109</v>
      </c>
      <c r="I746" s="32" t="s">
        <v>152</v>
      </c>
    </row>
    <row r="747" spans="1:9" x14ac:dyDescent="0.35">
      <c r="A747" s="19">
        <v>45755</v>
      </c>
      <c r="B747" s="20"/>
      <c r="C747" s="20"/>
      <c r="D747" s="20">
        <v>10000</v>
      </c>
      <c r="E747" s="99" t="s">
        <v>559</v>
      </c>
      <c r="F747" s="20">
        <f t="shared" si="11"/>
        <v>155667036</v>
      </c>
      <c r="G747" s="7" t="s">
        <v>330</v>
      </c>
      <c r="H747" s="24" t="s">
        <v>109</v>
      </c>
      <c r="I747" s="32" t="s">
        <v>152</v>
      </c>
    </row>
    <row r="748" spans="1:9" x14ac:dyDescent="0.35">
      <c r="A748" s="19">
        <v>45755</v>
      </c>
      <c r="B748" s="20"/>
      <c r="C748" s="20"/>
      <c r="D748" s="20">
        <v>20000</v>
      </c>
      <c r="E748" s="99" t="s">
        <v>559</v>
      </c>
      <c r="F748" s="20">
        <f t="shared" si="11"/>
        <v>155687036</v>
      </c>
      <c r="G748" s="7" t="s">
        <v>330</v>
      </c>
      <c r="H748" s="24" t="s">
        <v>109</v>
      </c>
      <c r="I748" s="32" t="s">
        <v>152</v>
      </c>
    </row>
    <row r="749" spans="1:9" x14ac:dyDescent="0.35">
      <c r="A749" s="19">
        <v>45755</v>
      </c>
      <c r="B749" s="20"/>
      <c r="C749" s="20"/>
      <c r="D749" s="20">
        <v>5700</v>
      </c>
      <c r="E749" s="99" t="s">
        <v>559</v>
      </c>
      <c r="F749" s="20">
        <f t="shared" si="11"/>
        <v>155692736</v>
      </c>
      <c r="G749" s="7" t="s">
        <v>330</v>
      </c>
      <c r="H749" s="24" t="s">
        <v>109</v>
      </c>
      <c r="I749" s="32" t="s">
        <v>152</v>
      </c>
    </row>
    <row r="750" spans="1:9" x14ac:dyDescent="0.35">
      <c r="A750" s="19">
        <v>45755</v>
      </c>
      <c r="B750" s="20"/>
      <c r="C750" s="20"/>
      <c r="D750" s="20">
        <v>400000</v>
      </c>
      <c r="E750" s="99" t="s">
        <v>559</v>
      </c>
      <c r="F750" s="20">
        <f t="shared" si="11"/>
        <v>156092736</v>
      </c>
      <c r="G750" s="7" t="s">
        <v>515</v>
      </c>
      <c r="H750" s="24" t="s">
        <v>109</v>
      </c>
      <c r="I750" s="32" t="s">
        <v>152</v>
      </c>
    </row>
    <row r="751" spans="1:9" x14ac:dyDescent="0.35">
      <c r="A751" s="19">
        <v>45755</v>
      </c>
      <c r="B751" s="20"/>
      <c r="C751" s="20"/>
      <c r="D751" s="20">
        <v>20000</v>
      </c>
      <c r="E751" s="99" t="s">
        <v>559</v>
      </c>
      <c r="F751" s="20">
        <f t="shared" si="11"/>
        <v>156112736</v>
      </c>
      <c r="G751" s="7" t="s">
        <v>330</v>
      </c>
      <c r="H751" s="24" t="s">
        <v>109</v>
      </c>
      <c r="I751" s="32" t="s">
        <v>152</v>
      </c>
    </row>
    <row r="752" spans="1:9" x14ac:dyDescent="0.35">
      <c r="A752" s="19">
        <v>45755</v>
      </c>
      <c r="B752" s="20"/>
      <c r="C752" s="20"/>
      <c r="D752" s="20">
        <v>5700</v>
      </c>
      <c r="E752" s="99" t="s">
        <v>559</v>
      </c>
      <c r="F752" s="20">
        <f t="shared" si="11"/>
        <v>156118436</v>
      </c>
      <c r="G752" s="7" t="s">
        <v>330</v>
      </c>
      <c r="H752" s="24" t="s">
        <v>109</v>
      </c>
      <c r="I752" s="32" t="s">
        <v>152</v>
      </c>
    </row>
    <row r="753" spans="1:9" x14ac:dyDescent="0.35">
      <c r="A753" s="19">
        <v>45755</v>
      </c>
      <c r="B753" s="20"/>
      <c r="C753" s="20"/>
      <c r="D753" s="20">
        <v>100000</v>
      </c>
      <c r="E753" s="99" t="s">
        <v>559</v>
      </c>
      <c r="F753" s="20">
        <f t="shared" si="11"/>
        <v>156218436</v>
      </c>
      <c r="G753" s="7" t="s">
        <v>516</v>
      </c>
      <c r="H753" s="24" t="s">
        <v>109</v>
      </c>
      <c r="I753" s="32" t="s">
        <v>152</v>
      </c>
    </row>
    <row r="754" spans="1:9" x14ac:dyDescent="0.35">
      <c r="A754" s="19">
        <v>45755</v>
      </c>
      <c r="B754" s="20"/>
      <c r="C754" s="20"/>
      <c r="D754" s="20">
        <v>150000</v>
      </c>
      <c r="E754" s="99" t="s">
        <v>559</v>
      </c>
      <c r="F754" s="20">
        <f t="shared" si="11"/>
        <v>156368436</v>
      </c>
      <c r="G754" s="7" t="s">
        <v>517</v>
      </c>
      <c r="H754" s="24" t="s">
        <v>109</v>
      </c>
      <c r="I754" s="32" t="s">
        <v>152</v>
      </c>
    </row>
    <row r="755" spans="1:9" x14ac:dyDescent="0.35">
      <c r="A755" s="19">
        <v>45755</v>
      </c>
      <c r="B755" s="20"/>
      <c r="C755" s="20"/>
      <c r="D755" s="20">
        <v>4816</v>
      </c>
      <c r="E755" s="99" t="s">
        <v>559</v>
      </c>
      <c r="F755" s="20">
        <f t="shared" si="11"/>
        <v>156373252</v>
      </c>
      <c r="G755" s="7" t="s">
        <v>330</v>
      </c>
      <c r="H755" s="24" t="s">
        <v>109</v>
      </c>
      <c r="I755" s="32" t="s">
        <v>152</v>
      </c>
    </row>
    <row r="756" spans="1:9" x14ac:dyDescent="0.35">
      <c r="A756" s="19">
        <v>45755</v>
      </c>
      <c r="B756" s="20"/>
      <c r="C756" s="20"/>
      <c r="D756" s="20">
        <v>10000</v>
      </c>
      <c r="E756" s="99" t="s">
        <v>559</v>
      </c>
      <c r="F756" s="20">
        <f t="shared" si="11"/>
        <v>156383252</v>
      </c>
      <c r="G756" s="7" t="s">
        <v>330</v>
      </c>
      <c r="H756" s="24" t="s">
        <v>109</v>
      </c>
      <c r="I756" s="32" t="s">
        <v>152</v>
      </c>
    </row>
    <row r="757" spans="1:9" x14ac:dyDescent="0.35">
      <c r="A757" s="19">
        <v>45755</v>
      </c>
      <c r="B757" s="20"/>
      <c r="C757" s="20"/>
      <c r="D757" s="20">
        <v>2308</v>
      </c>
      <c r="E757" s="99" t="s">
        <v>559</v>
      </c>
      <c r="F757" s="20">
        <f t="shared" si="11"/>
        <v>156385560</v>
      </c>
      <c r="G757" s="7" t="s">
        <v>330</v>
      </c>
      <c r="H757" s="24" t="s">
        <v>109</v>
      </c>
      <c r="I757" s="32" t="s">
        <v>152</v>
      </c>
    </row>
    <row r="758" spans="1:9" x14ac:dyDescent="0.35">
      <c r="A758" s="19">
        <v>45755</v>
      </c>
      <c r="B758" s="20">
        <v>20000</v>
      </c>
      <c r="C758" s="20"/>
      <c r="D758" s="20"/>
      <c r="E758" s="99" t="s">
        <v>559</v>
      </c>
      <c r="F758" s="20">
        <f t="shared" si="11"/>
        <v>156365560</v>
      </c>
      <c r="G758" s="7" t="s">
        <v>330</v>
      </c>
      <c r="H758" s="24" t="s">
        <v>320</v>
      </c>
      <c r="I758" s="32" t="s">
        <v>152</v>
      </c>
    </row>
    <row r="759" spans="1:9" x14ac:dyDescent="0.35">
      <c r="A759" s="19">
        <v>45755</v>
      </c>
      <c r="B759" s="20">
        <v>5700</v>
      </c>
      <c r="C759" s="20"/>
      <c r="D759" s="20"/>
      <c r="E759" s="99" t="s">
        <v>559</v>
      </c>
      <c r="F759" s="20">
        <f t="shared" si="11"/>
        <v>156359860</v>
      </c>
      <c r="G759" s="7" t="s">
        <v>330</v>
      </c>
      <c r="H759" s="24" t="s">
        <v>320</v>
      </c>
      <c r="I759" s="32" t="s">
        <v>152</v>
      </c>
    </row>
    <row r="760" spans="1:9" x14ac:dyDescent="0.35">
      <c r="A760" s="19">
        <v>45755</v>
      </c>
      <c r="B760" s="20"/>
      <c r="C760" s="20"/>
      <c r="D760" s="20">
        <v>25000</v>
      </c>
      <c r="E760" s="99" t="s">
        <v>559</v>
      </c>
      <c r="F760" s="20">
        <f t="shared" si="11"/>
        <v>156384860</v>
      </c>
      <c r="G760" s="7" t="s">
        <v>330</v>
      </c>
      <c r="H760" s="24" t="s">
        <v>109</v>
      </c>
      <c r="I760" s="32" t="s">
        <v>152</v>
      </c>
    </row>
    <row r="761" spans="1:9" x14ac:dyDescent="0.35">
      <c r="A761" s="19">
        <v>45755</v>
      </c>
      <c r="B761" s="20"/>
      <c r="C761" s="20"/>
      <c r="D761" s="20">
        <v>10000</v>
      </c>
      <c r="E761" s="99" t="s">
        <v>559</v>
      </c>
      <c r="F761" s="20">
        <f t="shared" si="11"/>
        <v>156394860</v>
      </c>
      <c r="G761" s="7" t="s">
        <v>330</v>
      </c>
      <c r="H761" s="24" t="s">
        <v>109</v>
      </c>
      <c r="I761" s="32" t="s">
        <v>152</v>
      </c>
    </row>
    <row r="762" spans="1:9" x14ac:dyDescent="0.35">
      <c r="A762" s="19">
        <v>45755</v>
      </c>
      <c r="B762" s="20"/>
      <c r="C762" s="20"/>
      <c r="D762" s="20">
        <v>20000</v>
      </c>
      <c r="E762" s="99" t="s">
        <v>559</v>
      </c>
      <c r="F762" s="20">
        <f t="shared" si="11"/>
        <v>156414860</v>
      </c>
      <c r="G762" s="7" t="s">
        <v>330</v>
      </c>
      <c r="H762" s="24" t="s">
        <v>109</v>
      </c>
      <c r="I762" s="32" t="s">
        <v>152</v>
      </c>
    </row>
    <row r="763" spans="1:9" x14ac:dyDescent="0.35">
      <c r="A763" s="19">
        <v>45755</v>
      </c>
      <c r="B763" s="20"/>
      <c r="C763" s="20"/>
      <c r="D763" s="20">
        <v>25000</v>
      </c>
      <c r="E763" s="99" t="s">
        <v>559</v>
      </c>
      <c r="F763" s="20">
        <f t="shared" si="11"/>
        <v>156439860</v>
      </c>
      <c r="G763" s="7" t="s">
        <v>330</v>
      </c>
      <c r="H763" s="24" t="s">
        <v>109</v>
      </c>
      <c r="I763" s="32" t="s">
        <v>152</v>
      </c>
    </row>
    <row r="764" spans="1:9" x14ac:dyDescent="0.35">
      <c r="A764" s="19">
        <v>45755</v>
      </c>
      <c r="B764" s="20"/>
      <c r="C764" s="20"/>
      <c r="D764" s="20">
        <v>100000</v>
      </c>
      <c r="E764" s="99" t="s">
        <v>559</v>
      </c>
      <c r="F764" s="20">
        <f t="shared" si="11"/>
        <v>156539860</v>
      </c>
      <c r="G764" s="7" t="s">
        <v>330</v>
      </c>
      <c r="H764" s="24" t="s">
        <v>109</v>
      </c>
      <c r="I764" s="32" t="s">
        <v>152</v>
      </c>
    </row>
    <row r="765" spans="1:9" x14ac:dyDescent="0.35">
      <c r="A765" s="19">
        <v>45755</v>
      </c>
      <c r="B765" s="20"/>
      <c r="C765" s="20"/>
      <c r="D765" s="20">
        <v>22000</v>
      </c>
      <c r="E765" s="99" t="s">
        <v>559</v>
      </c>
      <c r="F765" s="20">
        <f t="shared" si="11"/>
        <v>156561860</v>
      </c>
      <c r="G765" s="7" t="s">
        <v>330</v>
      </c>
      <c r="H765" s="24" t="s">
        <v>109</v>
      </c>
      <c r="I765" s="32" t="s">
        <v>152</v>
      </c>
    </row>
    <row r="766" spans="1:9" x14ac:dyDescent="0.35">
      <c r="A766" s="19">
        <v>45757</v>
      </c>
      <c r="B766" s="20">
        <v>2000000</v>
      </c>
      <c r="C766" s="20"/>
      <c r="D766" s="20"/>
      <c r="E766" s="99" t="s">
        <v>559</v>
      </c>
      <c r="F766" s="20">
        <f t="shared" si="11"/>
        <v>154561860</v>
      </c>
      <c r="G766" s="7" t="s">
        <v>518</v>
      </c>
      <c r="H766" s="24" t="s">
        <v>323</v>
      </c>
      <c r="I766" s="32" t="s">
        <v>152</v>
      </c>
    </row>
    <row r="767" spans="1:9" x14ac:dyDescent="0.35">
      <c r="A767" s="19">
        <v>45757</v>
      </c>
      <c r="B767" s="20">
        <v>2900</v>
      </c>
      <c r="C767" s="20"/>
      <c r="D767" s="20"/>
      <c r="E767" s="99" t="s">
        <v>559</v>
      </c>
      <c r="F767" s="20">
        <f t="shared" si="11"/>
        <v>154558960</v>
      </c>
      <c r="G767" s="7" t="s">
        <v>519</v>
      </c>
      <c r="H767" s="24" t="s">
        <v>323</v>
      </c>
      <c r="I767" s="32" t="s">
        <v>152</v>
      </c>
    </row>
    <row r="768" spans="1:9" x14ac:dyDescent="0.35">
      <c r="A768" s="19">
        <v>45757</v>
      </c>
      <c r="B768" s="20"/>
      <c r="C768" s="20"/>
      <c r="D768" s="20">
        <v>17785500</v>
      </c>
      <c r="E768" s="99" t="s">
        <v>559</v>
      </c>
      <c r="F768" s="20">
        <f t="shared" si="11"/>
        <v>172344460</v>
      </c>
      <c r="G768" s="7" t="s">
        <v>520</v>
      </c>
      <c r="H768" s="24" t="s">
        <v>109</v>
      </c>
      <c r="I768" s="32" t="s">
        <v>152</v>
      </c>
    </row>
    <row r="769" spans="1:9" x14ac:dyDescent="0.35">
      <c r="A769" s="19">
        <v>45758</v>
      </c>
      <c r="B769" s="20"/>
      <c r="C769" s="20"/>
      <c r="D769" s="20">
        <v>100000</v>
      </c>
      <c r="E769" s="99" t="s">
        <v>559</v>
      </c>
      <c r="F769" s="20">
        <f t="shared" si="11"/>
        <v>172444460</v>
      </c>
      <c r="G769" s="7" t="s">
        <v>330</v>
      </c>
      <c r="H769" s="24" t="s">
        <v>109</v>
      </c>
      <c r="I769" s="32" t="s">
        <v>152</v>
      </c>
    </row>
    <row r="770" spans="1:9" x14ac:dyDescent="0.35">
      <c r="A770" s="19">
        <v>45758</v>
      </c>
      <c r="B770" s="20"/>
      <c r="C770" s="20"/>
      <c r="D770" s="20">
        <v>2000000</v>
      </c>
      <c r="E770" s="99" t="s">
        <v>559</v>
      </c>
      <c r="F770" s="20">
        <f t="shared" si="11"/>
        <v>174444460</v>
      </c>
      <c r="G770" s="7" t="s">
        <v>522</v>
      </c>
      <c r="H770" s="24" t="s">
        <v>109</v>
      </c>
      <c r="I770" s="32" t="s">
        <v>152</v>
      </c>
    </row>
    <row r="771" spans="1:9" x14ac:dyDescent="0.35">
      <c r="A771" s="19">
        <v>45758</v>
      </c>
      <c r="B771" s="20">
        <v>5250000</v>
      </c>
      <c r="C771" s="20"/>
      <c r="D771" s="20"/>
      <c r="E771" s="99" t="s">
        <v>559</v>
      </c>
      <c r="F771" s="20">
        <f t="shared" si="11"/>
        <v>169194460</v>
      </c>
      <c r="G771" s="7" t="s">
        <v>523</v>
      </c>
      <c r="H771" s="24" t="s">
        <v>322</v>
      </c>
      <c r="I771" s="32" t="s">
        <v>152</v>
      </c>
    </row>
    <row r="772" spans="1:9" x14ac:dyDescent="0.35">
      <c r="A772" s="19">
        <v>45758</v>
      </c>
      <c r="B772" s="20">
        <v>2900</v>
      </c>
      <c r="C772" s="20"/>
      <c r="D772" s="20"/>
      <c r="E772" s="99" t="s">
        <v>559</v>
      </c>
      <c r="F772" s="20">
        <f t="shared" si="11"/>
        <v>169191560</v>
      </c>
      <c r="G772" s="7" t="s">
        <v>524</v>
      </c>
      <c r="H772" s="24" t="s">
        <v>322</v>
      </c>
      <c r="I772" s="32" t="s">
        <v>152</v>
      </c>
    </row>
    <row r="773" spans="1:9" x14ac:dyDescent="0.35">
      <c r="A773" s="19">
        <v>45758</v>
      </c>
      <c r="B773" s="20"/>
      <c r="C773" s="20"/>
      <c r="D773" s="20">
        <v>1000000</v>
      </c>
      <c r="E773" s="99" t="s">
        <v>559</v>
      </c>
      <c r="F773" s="20">
        <f t="shared" si="11"/>
        <v>170191560</v>
      </c>
      <c r="G773" s="7" t="s">
        <v>526</v>
      </c>
      <c r="H773" s="24" t="s">
        <v>109</v>
      </c>
      <c r="I773" s="32" t="s">
        <v>152</v>
      </c>
    </row>
    <row r="774" spans="1:9" x14ac:dyDescent="0.35">
      <c r="A774" s="19">
        <v>45758</v>
      </c>
      <c r="B774" s="20"/>
      <c r="C774" s="20"/>
      <c r="D774" s="20">
        <v>66500</v>
      </c>
      <c r="E774" s="99" t="s">
        <v>559</v>
      </c>
      <c r="F774" s="20">
        <f t="shared" si="11"/>
        <v>170258060</v>
      </c>
      <c r="G774" s="7" t="s">
        <v>527</v>
      </c>
      <c r="H774" s="24" t="s">
        <v>109</v>
      </c>
      <c r="I774" s="32" t="s">
        <v>152</v>
      </c>
    </row>
    <row r="775" spans="1:9" x14ac:dyDescent="0.35">
      <c r="A775" s="19">
        <v>45761</v>
      </c>
      <c r="B775" s="20"/>
      <c r="C775" s="20"/>
      <c r="D775" s="20">
        <v>25000</v>
      </c>
      <c r="E775" s="99" t="s">
        <v>559</v>
      </c>
      <c r="F775" s="20">
        <f t="shared" si="11"/>
        <v>170283060</v>
      </c>
      <c r="G775" s="7" t="s">
        <v>330</v>
      </c>
      <c r="H775" s="24" t="s">
        <v>109</v>
      </c>
      <c r="I775" s="32" t="s">
        <v>152</v>
      </c>
    </row>
    <row r="776" spans="1:9" x14ac:dyDescent="0.35">
      <c r="A776" s="19">
        <v>45761</v>
      </c>
      <c r="B776" s="20"/>
      <c r="C776" s="20"/>
      <c r="D776" s="20">
        <v>100000</v>
      </c>
      <c r="E776" s="99" t="s">
        <v>559</v>
      </c>
      <c r="F776" s="20">
        <f t="shared" si="11"/>
        <v>170383060</v>
      </c>
      <c r="G776" s="7" t="s">
        <v>330</v>
      </c>
      <c r="H776" s="24" t="s">
        <v>109</v>
      </c>
      <c r="I776" s="32" t="s">
        <v>152</v>
      </c>
    </row>
    <row r="777" spans="1:9" x14ac:dyDescent="0.35">
      <c r="A777" s="19">
        <v>45761</v>
      </c>
      <c r="B777" s="20"/>
      <c r="C777" s="20"/>
      <c r="D777" s="20">
        <v>25000</v>
      </c>
      <c r="E777" s="99" t="s">
        <v>559</v>
      </c>
      <c r="F777" s="20">
        <f t="shared" si="11"/>
        <v>170408060</v>
      </c>
      <c r="G777" s="7" t="s">
        <v>330</v>
      </c>
      <c r="H777" s="24" t="s">
        <v>109</v>
      </c>
      <c r="I777" s="32" t="s">
        <v>152</v>
      </c>
    </row>
    <row r="778" spans="1:9" x14ac:dyDescent="0.35">
      <c r="A778" s="19">
        <v>45761</v>
      </c>
      <c r="B778" s="20"/>
      <c r="C778" s="20"/>
      <c r="D778" s="20">
        <v>50000</v>
      </c>
      <c r="E778" s="99" t="s">
        <v>559</v>
      </c>
      <c r="F778" s="20">
        <f t="shared" ref="F778:F845" si="12">+F777+D778-B778</f>
        <v>170458060</v>
      </c>
      <c r="G778" s="7" t="s">
        <v>330</v>
      </c>
      <c r="H778" s="24" t="s">
        <v>109</v>
      </c>
      <c r="I778" s="32" t="s">
        <v>152</v>
      </c>
    </row>
    <row r="779" spans="1:9" x14ac:dyDescent="0.35">
      <c r="A779" s="19">
        <v>45761</v>
      </c>
      <c r="B779" s="20"/>
      <c r="C779" s="20"/>
      <c r="D779" s="20">
        <v>10000</v>
      </c>
      <c r="E779" s="99" t="s">
        <v>559</v>
      </c>
      <c r="F779" s="20">
        <f t="shared" si="12"/>
        <v>170468060</v>
      </c>
      <c r="G779" s="7" t="s">
        <v>330</v>
      </c>
      <c r="H779" s="24" t="s">
        <v>109</v>
      </c>
      <c r="I779" s="32" t="s">
        <v>152</v>
      </c>
    </row>
    <row r="780" spans="1:9" x14ac:dyDescent="0.35">
      <c r="A780" s="19">
        <v>45761</v>
      </c>
      <c r="B780" s="20"/>
      <c r="C780" s="20"/>
      <c r="D780" s="20">
        <v>10000</v>
      </c>
      <c r="E780" s="99" t="s">
        <v>559</v>
      </c>
      <c r="F780" s="20">
        <f t="shared" si="12"/>
        <v>170478060</v>
      </c>
      <c r="G780" s="7" t="s">
        <v>330</v>
      </c>
      <c r="H780" s="24" t="s">
        <v>109</v>
      </c>
      <c r="I780" s="32" t="s">
        <v>152</v>
      </c>
    </row>
    <row r="781" spans="1:9" x14ac:dyDescent="0.35">
      <c r="A781" s="19">
        <v>45761</v>
      </c>
      <c r="B781" s="20"/>
      <c r="C781" s="20"/>
      <c r="D781" s="20">
        <v>20000</v>
      </c>
      <c r="E781" s="99" t="s">
        <v>559</v>
      </c>
      <c r="F781" s="20">
        <f t="shared" si="12"/>
        <v>170498060</v>
      </c>
      <c r="G781" s="7" t="s">
        <v>330</v>
      </c>
      <c r="H781" s="24" t="s">
        <v>109</v>
      </c>
      <c r="I781" s="32" t="s">
        <v>152</v>
      </c>
    </row>
    <row r="782" spans="1:9" x14ac:dyDescent="0.35">
      <c r="A782" s="19">
        <v>45761</v>
      </c>
      <c r="B782" s="20"/>
      <c r="C782" s="20"/>
      <c r="D782" s="20">
        <v>10000</v>
      </c>
      <c r="E782" s="99" t="s">
        <v>559</v>
      </c>
      <c r="F782" s="20">
        <f t="shared" si="12"/>
        <v>170508060</v>
      </c>
      <c r="G782" s="7" t="s">
        <v>330</v>
      </c>
      <c r="H782" s="24" t="s">
        <v>109</v>
      </c>
      <c r="I782" s="32" t="s">
        <v>152</v>
      </c>
    </row>
    <row r="783" spans="1:9" x14ac:dyDescent="0.35">
      <c r="A783" s="19">
        <v>45761</v>
      </c>
      <c r="B783" s="20"/>
      <c r="C783" s="20"/>
      <c r="D783" s="20">
        <v>5000</v>
      </c>
      <c r="E783" s="99" t="s">
        <v>559</v>
      </c>
      <c r="F783" s="20">
        <f t="shared" si="12"/>
        <v>170513060</v>
      </c>
      <c r="G783" s="7" t="s">
        <v>330</v>
      </c>
      <c r="H783" s="24" t="s">
        <v>109</v>
      </c>
      <c r="I783" s="32" t="s">
        <v>152</v>
      </c>
    </row>
    <row r="784" spans="1:9" x14ac:dyDescent="0.35">
      <c r="A784" s="19">
        <v>45761</v>
      </c>
      <c r="B784" s="20"/>
      <c r="C784" s="20"/>
      <c r="D784" s="20">
        <v>6661</v>
      </c>
      <c r="E784" s="99" t="s">
        <v>559</v>
      </c>
      <c r="F784" s="20">
        <f t="shared" si="12"/>
        <v>170519721</v>
      </c>
      <c r="G784" s="7" t="s">
        <v>330</v>
      </c>
      <c r="H784" s="24" t="s">
        <v>109</v>
      </c>
      <c r="I784" s="32" t="s">
        <v>152</v>
      </c>
    </row>
    <row r="785" spans="1:9" x14ac:dyDescent="0.35">
      <c r="A785" s="19">
        <v>45761</v>
      </c>
      <c r="B785" s="20">
        <v>4105500</v>
      </c>
      <c r="C785" s="20"/>
      <c r="D785" s="20"/>
      <c r="E785" s="99" t="s">
        <v>559</v>
      </c>
      <c r="F785" s="20">
        <f t="shared" si="12"/>
        <v>166414221</v>
      </c>
      <c r="G785" s="7" t="s">
        <v>528</v>
      </c>
      <c r="H785" s="24" t="s">
        <v>322</v>
      </c>
      <c r="I785" s="32" t="s">
        <v>152</v>
      </c>
    </row>
    <row r="786" spans="1:9" x14ac:dyDescent="0.35">
      <c r="A786" s="19">
        <v>45761</v>
      </c>
      <c r="B786" s="20">
        <v>6500</v>
      </c>
      <c r="C786" s="20"/>
      <c r="D786" s="20"/>
      <c r="E786" s="99" t="s">
        <v>559</v>
      </c>
      <c r="F786" s="20">
        <f t="shared" si="12"/>
        <v>166407721</v>
      </c>
      <c r="G786" s="7" t="s">
        <v>529</v>
      </c>
      <c r="H786" s="24" t="s">
        <v>322</v>
      </c>
      <c r="I786" s="32" t="s">
        <v>152</v>
      </c>
    </row>
    <row r="787" spans="1:9" x14ac:dyDescent="0.35">
      <c r="A787" s="19">
        <v>45761</v>
      </c>
      <c r="B787" s="20">
        <v>750000</v>
      </c>
      <c r="C787" s="20"/>
      <c r="D787" s="20"/>
      <c r="E787" s="99" t="s">
        <v>559</v>
      </c>
      <c r="F787" s="20">
        <f t="shared" si="12"/>
        <v>165657721</v>
      </c>
      <c r="G787" s="7" t="s">
        <v>530</v>
      </c>
      <c r="H787" s="24" t="s">
        <v>323</v>
      </c>
      <c r="I787" s="32" t="s">
        <v>152</v>
      </c>
    </row>
    <row r="788" spans="1:9" x14ac:dyDescent="0.35">
      <c r="A788" s="19">
        <v>45761</v>
      </c>
      <c r="B788" s="20"/>
      <c r="C788" s="20"/>
      <c r="D788" s="20">
        <v>10000</v>
      </c>
      <c r="E788" s="99" t="s">
        <v>559</v>
      </c>
      <c r="F788" s="20">
        <f t="shared" si="12"/>
        <v>165667721</v>
      </c>
      <c r="G788" s="7" t="s">
        <v>330</v>
      </c>
      <c r="H788" s="24" t="s">
        <v>109</v>
      </c>
      <c r="I788" s="32" t="s">
        <v>152</v>
      </c>
    </row>
    <row r="789" spans="1:9" x14ac:dyDescent="0.35">
      <c r="A789" s="19">
        <v>45761</v>
      </c>
      <c r="B789" s="20"/>
      <c r="C789" s="20"/>
      <c r="D789" s="20">
        <v>25000</v>
      </c>
      <c r="E789" s="99" t="s">
        <v>559</v>
      </c>
      <c r="F789" s="20">
        <f t="shared" si="12"/>
        <v>165692721</v>
      </c>
      <c r="G789" s="7" t="s">
        <v>330</v>
      </c>
      <c r="H789" s="24" t="s">
        <v>109</v>
      </c>
      <c r="I789" s="32" t="s">
        <v>152</v>
      </c>
    </row>
    <row r="790" spans="1:9" x14ac:dyDescent="0.35">
      <c r="A790" s="19">
        <v>45761</v>
      </c>
      <c r="B790" s="20"/>
      <c r="C790" s="20"/>
      <c r="D790" s="20">
        <v>200000</v>
      </c>
      <c r="E790" s="99" t="s">
        <v>559</v>
      </c>
      <c r="F790" s="20">
        <f t="shared" si="12"/>
        <v>165892721</v>
      </c>
      <c r="G790" s="7" t="s">
        <v>531</v>
      </c>
      <c r="H790" s="24" t="s">
        <v>109</v>
      </c>
      <c r="I790" s="32" t="s">
        <v>152</v>
      </c>
    </row>
    <row r="791" spans="1:9" x14ac:dyDescent="0.35">
      <c r="A791" s="19">
        <v>45761</v>
      </c>
      <c r="B791" s="20"/>
      <c r="C791" s="20"/>
      <c r="D791" s="20">
        <v>41800000</v>
      </c>
      <c r="E791" s="99" t="s">
        <v>559</v>
      </c>
      <c r="F791" s="20">
        <f t="shared" si="12"/>
        <v>207692721</v>
      </c>
      <c r="G791" s="7" t="s">
        <v>586</v>
      </c>
      <c r="H791" s="24" t="s">
        <v>105</v>
      </c>
      <c r="I791" s="32" t="s">
        <v>152</v>
      </c>
    </row>
    <row r="792" spans="1:9" x14ac:dyDescent="0.35">
      <c r="A792" s="19">
        <v>45761</v>
      </c>
      <c r="B792" s="20"/>
      <c r="C792" s="20"/>
      <c r="D792" s="20">
        <f>3080000-38000</f>
        <v>3042000</v>
      </c>
      <c r="E792" s="99" t="s">
        <v>559</v>
      </c>
      <c r="F792" s="20">
        <f t="shared" si="12"/>
        <v>210734721</v>
      </c>
      <c r="G792" s="7" t="s">
        <v>587</v>
      </c>
      <c r="H792" s="24" t="s">
        <v>109</v>
      </c>
      <c r="I792" s="32" t="s">
        <v>152</v>
      </c>
    </row>
    <row r="793" spans="1:9" x14ac:dyDescent="0.35">
      <c r="A793" s="19">
        <v>45761</v>
      </c>
      <c r="B793" s="20"/>
      <c r="C793" s="20"/>
      <c r="D793" s="20">
        <v>10195000</v>
      </c>
      <c r="E793" s="99" t="s">
        <v>559</v>
      </c>
      <c r="F793" s="20">
        <f t="shared" si="12"/>
        <v>220929721</v>
      </c>
      <c r="G793" s="7" t="s">
        <v>584</v>
      </c>
      <c r="H793" s="24" t="s">
        <v>107</v>
      </c>
      <c r="I793" s="32" t="s">
        <v>152</v>
      </c>
    </row>
    <row r="794" spans="1:9" x14ac:dyDescent="0.35">
      <c r="A794" s="19">
        <v>45761</v>
      </c>
      <c r="B794" s="20"/>
      <c r="C794" s="20"/>
      <c r="D794" s="20">
        <v>9155000</v>
      </c>
      <c r="E794" s="99" t="s">
        <v>559</v>
      </c>
      <c r="F794" s="20">
        <f t="shared" si="12"/>
        <v>230084721</v>
      </c>
      <c r="G794" s="7" t="s">
        <v>585</v>
      </c>
      <c r="H794" s="24" t="s">
        <v>109</v>
      </c>
      <c r="I794" s="32" t="s">
        <v>152</v>
      </c>
    </row>
    <row r="795" spans="1:9" x14ac:dyDescent="0.35">
      <c r="A795" s="19"/>
      <c r="B795" s="20"/>
      <c r="C795" s="20">
        <v>64192000</v>
      </c>
      <c r="D795" s="20"/>
      <c r="E795" s="99"/>
      <c r="F795" s="20">
        <f t="shared" si="12"/>
        <v>230084721</v>
      </c>
      <c r="G795" s="7" t="s">
        <v>305</v>
      </c>
      <c r="H795" s="24"/>
      <c r="I795" s="32"/>
    </row>
    <row r="796" spans="1:9" x14ac:dyDescent="0.35">
      <c r="A796" s="19">
        <v>45761</v>
      </c>
      <c r="B796" s="20">
        <v>600000</v>
      </c>
      <c r="C796" s="20"/>
      <c r="D796" s="20"/>
      <c r="E796" s="99" t="s">
        <v>559</v>
      </c>
      <c r="F796" s="20">
        <f t="shared" si="12"/>
        <v>229484721</v>
      </c>
      <c r="G796" s="7" t="s">
        <v>532</v>
      </c>
      <c r="H796" s="24" t="s">
        <v>322</v>
      </c>
      <c r="I796" s="32" t="s">
        <v>152</v>
      </c>
    </row>
    <row r="797" spans="1:9" x14ac:dyDescent="0.35">
      <c r="A797" s="19">
        <v>45761</v>
      </c>
      <c r="B797" s="20">
        <v>2900</v>
      </c>
      <c r="C797" s="20"/>
      <c r="D797" s="20"/>
      <c r="E797" s="99" t="s">
        <v>559</v>
      </c>
      <c r="F797" s="20">
        <f t="shared" si="12"/>
        <v>229481821</v>
      </c>
      <c r="G797" s="7" t="s">
        <v>533</v>
      </c>
      <c r="H797" s="24" t="s">
        <v>322</v>
      </c>
      <c r="I797" s="32" t="s">
        <v>152</v>
      </c>
    </row>
    <row r="798" spans="1:9" x14ac:dyDescent="0.35">
      <c r="A798" s="19">
        <v>45762</v>
      </c>
      <c r="B798" s="20"/>
      <c r="C798" s="20"/>
      <c r="D798" s="20">
        <v>50000</v>
      </c>
      <c r="E798" s="99" t="s">
        <v>559</v>
      </c>
      <c r="F798" s="20">
        <f t="shared" si="12"/>
        <v>229531821</v>
      </c>
      <c r="G798" s="7" t="s">
        <v>330</v>
      </c>
      <c r="H798" s="24" t="s">
        <v>109</v>
      </c>
      <c r="I798" s="32" t="s">
        <v>152</v>
      </c>
    </row>
    <row r="799" spans="1:9" x14ac:dyDescent="0.35">
      <c r="A799" s="19">
        <v>45762</v>
      </c>
      <c r="B799" s="20"/>
      <c r="C799" s="20"/>
      <c r="D799" s="20">
        <v>10000</v>
      </c>
      <c r="E799" s="99" t="s">
        <v>559</v>
      </c>
      <c r="F799" s="20">
        <f t="shared" si="12"/>
        <v>229541821</v>
      </c>
      <c r="G799" s="7" t="s">
        <v>330</v>
      </c>
      <c r="H799" s="24" t="s">
        <v>109</v>
      </c>
      <c r="I799" s="32" t="s">
        <v>152</v>
      </c>
    </row>
    <row r="800" spans="1:9" x14ac:dyDescent="0.35">
      <c r="A800" s="19">
        <v>45762</v>
      </c>
      <c r="B800" s="20"/>
      <c r="C800" s="20"/>
      <c r="D800" s="20">
        <v>500000</v>
      </c>
      <c r="E800" s="99" t="s">
        <v>559</v>
      </c>
      <c r="F800" s="20">
        <f t="shared" si="12"/>
        <v>230041821</v>
      </c>
      <c r="G800" s="7" t="s">
        <v>534</v>
      </c>
      <c r="H800" s="24" t="s">
        <v>109</v>
      </c>
      <c r="I800" s="32" t="s">
        <v>152</v>
      </c>
    </row>
    <row r="801" spans="1:9" x14ac:dyDescent="0.35">
      <c r="A801" s="19">
        <v>45762</v>
      </c>
      <c r="B801" s="20">
        <v>850000</v>
      </c>
      <c r="C801" s="20"/>
      <c r="D801" s="20"/>
      <c r="E801" s="99" t="s">
        <v>559</v>
      </c>
      <c r="F801" s="20">
        <f t="shared" si="12"/>
        <v>229191821</v>
      </c>
      <c r="G801" s="7" t="s">
        <v>532</v>
      </c>
      <c r="H801" s="24" t="s">
        <v>322</v>
      </c>
      <c r="I801" s="32" t="s">
        <v>152</v>
      </c>
    </row>
    <row r="802" spans="1:9" x14ac:dyDescent="0.35">
      <c r="A802" s="19">
        <v>45762</v>
      </c>
      <c r="B802" s="20">
        <v>2900</v>
      </c>
      <c r="C802" s="20"/>
      <c r="D802" s="20"/>
      <c r="E802" s="99" t="s">
        <v>559</v>
      </c>
      <c r="F802" s="20">
        <f t="shared" si="12"/>
        <v>229188921</v>
      </c>
      <c r="G802" s="7" t="s">
        <v>533</v>
      </c>
      <c r="H802" s="24" t="s">
        <v>322</v>
      </c>
      <c r="I802" s="32" t="s">
        <v>152</v>
      </c>
    </row>
    <row r="803" spans="1:9" x14ac:dyDescent="0.35">
      <c r="A803" s="19">
        <v>45763</v>
      </c>
      <c r="B803" s="20"/>
      <c r="C803" s="20"/>
      <c r="D803" s="20">
        <v>50000</v>
      </c>
      <c r="E803" s="99" t="s">
        <v>559</v>
      </c>
      <c r="F803" s="20">
        <f t="shared" si="12"/>
        <v>229238921</v>
      </c>
      <c r="G803" s="7" t="s">
        <v>330</v>
      </c>
      <c r="H803" s="24" t="s">
        <v>109</v>
      </c>
      <c r="I803" s="32" t="s">
        <v>152</v>
      </c>
    </row>
    <row r="804" spans="1:9" x14ac:dyDescent="0.35">
      <c r="A804" s="19">
        <v>45763</v>
      </c>
      <c r="B804" s="20"/>
      <c r="C804" s="20"/>
      <c r="D804" s="20">
        <v>100000</v>
      </c>
      <c r="E804" s="99" t="s">
        <v>559</v>
      </c>
      <c r="F804" s="20">
        <f t="shared" si="12"/>
        <v>229338921</v>
      </c>
      <c r="G804" s="7" t="s">
        <v>330</v>
      </c>
      <c r="H804" s="24" t="s">
        <v>109</v>
      </c>
      <c r="I804" s="32" t="s">
        <v>152</v>
      </c>
    </row>
    <row r="805" spans="1:9" x14ac:dyDescent="0.35">
      <c r="A805" s="19">
        <v>45763</v>
      </c>
      <c r="B805" s="20"/>
      <c r="C805" s="20"/>
      <c r="D805" s="20">
        <v>10000</v>
      </c>
      <c r="E805" s="99" t="s">
        <v>559</v>
      </c>
      <c r="F805" s="20">
        <f t="shared" si="12"/>
        <v>229348921</v>
      </c>
      <c r="G805" s="7" t="s">
        <v>330</v>
      </c>
      <c r="H805" s="24" t="s">
        <v>109</v>
      </c>
      <c r="I805" s="32" t="s">
        <v>152</v>
      </c>
    </row>
    <row r="806" spans="1:9" x14ac:dyDescent="0.35">
      <c r="A806" s="19">
        <v>45764</v>
      </c>
      <c r="B806" s="20"/>
      <c r="C806" s="20"/>
      <c r="D806" s="20">
        <v>10000</v>
      </c>
      <c r="E806" s="99" t="s">
        <v>559</v>
      </c>
      <c r="F806" s="20">
        <f t="shared" si="12"/>
        <v>229358921</v>
      </c>
      <c r="G806" s="7" t="s">
        <v>330</v>
      </c>
      <c r="H806" s="24" t="s">
        <v>109</v>
      </c>
      <c r="I806" s="32" t="s">
        <v>152</v>
      </c>
    </row>
    <row r="807" spans="1:9" x14ac:dyDescent="0.35">
      <c r="A807" s="19">
        <v>45764</v>
      </c>
      <c r="B807" s="20">
        <v>7705000</v>
      </c>
      <c r="C807" s="20"/>
      <c r="D807" s="20"/>
      <c r="E807" s="99" t="s">
        <v>559</v>
      </c>
      <c r="F807" s="20">
        <f t="shared" si="12"/>
        <v>221653921</v>
      </c>
      <c r="G807" s="7" t="s">
        <v>535</v>
      </c>
      <c r="H807" s="24" t="s">
        <v>322</v>
      </c>
      <c r="I807" s="32" t="s">
        <v>152</v>
      </c>
    </row>
    <row r="808" spans="1:9" x14ac:dyDescent="0.35">
      <c r="A808" s="19">
        <v>45764</v>
      </c>
      <c r="B808" s="20">
        <v>6500</v>
      </c>
      <c r="C808" s="20"/>
      <c r="D808" s="20"/>
      <c r="E808" s="99" t="s">
        <v>559</v>
      </c>
      <c r="F808" s="20">
        <f t="shared" si="12"/>
        <v>221647421</v>
      </c>
      <c r="G808" s="7" t="s">
        <v>536</v>
      </c>
      <c r="H808" s="24" t="s">
        <v>322</v>
      </c>
      <c r="I808" s="32" t="s">
        <v>152</v>
      </c>
    </row>
    <row r="809" spans="1:9" x14ac:dyDescent="0.35">
      <c r="A809" s="19">
        <v>45765</v>
      </c>
      <c r="B809" s="20"/>
      <c r="C809" s="20"/>
      <c r="D809" s="20">
        <v>50000</v>
      </c>
      <c r="E809" s="99" t="s">
        <v>559</v>
      </c>
      <c r="F809" s="20">
        <f t="shared" si="12"/>
        <v>221697421</v>
      </c>
      <c r="G809" s="7" t="s">
        <v>330</v>
      </c>
      <c r="H809" s="24" t="s">
        <v>109</v>
      </c>
      <c r="I809" s="32" t="s">
        <v>152</v>
      </c>
    </row>
    <row r="810" spans="1:9" x14ac:dyDescent="0.35">
      <c r="A810" s="19">
        <v>45765</v>
      </c>
      <c r="B810" s="20"/>
      <c r="C810" s="20"/>
      <c r="D810" s="20">
        <v>10000</v>
      </c>
      <c r="E810" s="99" t="s">
        <v>559</v>
      </c>
      <c r="F810" s="20">
        <f t="shared" si="12"/>
        <v>221707421</v>
      </c>
      <c r="G810" s="7" t="s">
        <v>330</v>
      </c>
      <c r="H810" s="24" t="s">
        <v>109</v>
      </c>
      <c r="I810" s="32" t="s">
        <v>152</v>
      </c>
    </row>
    <row r="811" spans="1:9" x14ac:dyDescent="0.35">
      <c r="A811" s="19">
        <v>45766</v>
      </c>
      <c r="B811" s="20"/>
      <c r="C811" s="20"/>
      <c r="D811" s="20">
        <v>50000</v>
      </c>
      <c r="E811" s="99" t="s">
        <v>559</v>
      </c>
      <c r="F811" s="20">
        <f t="shared" si="12"/>
        <v>221757421</v>
      </c>
      <c r="G811" s="7" t="s">
        <v>330</v>
      </c>
      <c r="H811" s="24" t="s">
        <v>109</v>
      </c>
      <c r="I811" s="32" t="s">
        <v>152</v>
      </c>
    </row>
    <row r="812" spans="1:9" x14ac:dyDescent="0.35">
      <c r="A812" s="19">
        <v>45766</v>
      </c>
      <c r="B812" s="20"/>
      <c r="C812" s="20"/>
      <c r="D812" s="20">
        <v>200000</v>
      </c>
      <c r="E812" s="99" t="s">
        <v>559</v>
      </c>
      <c r="F812" s="20">
        <f t="shared" si="12"/>
        <v>221957421</v>
      </c>
      <c r="G812" s="7" t="s">
        <v>330</v>
      </c>
      <c r="H812" s="24" t="s">
        <v>109</v>
      </c>
      <c r="I812" s="32" t="s">
        <v>152</v>
      </c>
    </row>
    <row r="813" spans="1:9" x14ac:dyDescent="0.35">
      <c r="A813" s="19">
        <v>45766</v>
      </c>
      <c r="B813" s="20"/>
      <c r="C813" s="20"/>
      <c r="D813" s="20">
        <v>8000</v>
      </c>
      <c r="E813" s="99" t="s">
        <v>559</v>
      </c>
      <c r="F813" s="20">
        <f t="shared" si="12"/>
        <v>221965421</v>
      </c>
      <c r="G813" s="7" t="s">
        <v>330</v>
      </c>
      <c r="H813" s="24" t="s">
        <v>109</v>
      </c>
      <c r="I813" s="32" t="s">
        <v>152</v>
      </c>
    </row>
    <row r="814" spans="1:9" x14ac:dyDescent="0.35">
      <c r="A814" s="19">
        <v>45766</v>
      </c>
      <c r="B814" s="20"/>
      <c r="C814" s="20"/>
      <c r="D814" s="20">
        <v>25000</v>
      </c>
      <c r="E814" s="99" t="s">
        <v>559</v>
      </c>
      <c r="F814" s="20">
        <f t="shared" si="12"/>
        <v>221990421</v>
      </c>
      <c r="G814" s="7" t="s">
        <v>330</v>
      </c>
      <c r="H814" s="24" t="s">
        <v>109</v>
      </c>
      <c r="I814" s="32" t="s">
        <v>152</v>
      </c>
    </row>
    <row r="815" spans="1:9" x14ac:dyDescent="0.35">
      <c r="A815" s="19">
        <v>45766</v>
      </c>
      <c r="B815" s="20"/>
      <c r="C815" s="20"/>
      <c r="D815" s="20">
        <v>100000</v>
      </c>
      <c r="E815" s="99" t="s">
        <v>559</v>
      </c>
      <c r="F815" s="20">
        <f t="shared" si="12"/>
        <v>222090421</v>
      </c>
      <c r="G815" s="7" t="s">
        <v>330</v>
      </c>
      <c r="H815" s="24" t="s">
        <v>109</v>
      </c>
      <c r="I815" s="32" t="s">
        <v>152</v>
      </c>
    </row>
    <row r="816" spans="1:9" x14ac:dyDescent="0.35">
      <c r="A816" s="19">
        <v>45766</v>
      </c>
      <c r="B816" s="20"/>
      <c r="C816" s="20"/>
      <c r="D816" s="20">
        <v>50000</v>
      </c>
      <c r="E816" s="99" t="s">
        <v>559</v>
      </c>
      <c r="F816" s="20">
        <f t="shared" si="12"/>
        <v>222140421</v>
      </c>
      <c r="G816" s="7" t="s">
        <v>330</v>
      </c>
      <c r="H816" s="24" t="s">
        <v>109</v>
      </c>
      <c r="I816" s="32" t="s">
        <v>152</v>
      </c>
    </row>
    <row r="817" spans="1:9" x14ac:dyDescent="0.35">
      <c r="A817" s="19">
        <v>45766</v>
      </c>
      <c r="B817" s="20"/>
      <c r="C817" s="20"/>
      <c r="D817" s="20">
        <v>75000</v>
      </c>
      <c r="E817" s="99" t="s">
        <v>559</v>
      </c>
      <c r="F817" s="20">
        <f t="shared" si="12"/>
        <v>222215421</v>
      </c>
      <c r="G817" s="7" t="s">
        <v>330</v>
      </c>
      <c r="H817" s="24" t="s">
        <v>109</v>
      </c>
      <c r="I817" s="32" t="s">
        <v>152</v>
      </c>
    </row>
    <row r="818" spans="1:9" x14ac:dyDescent="0.35">
      <c r="A818" s="19">
        <v>45766</v>
      </c>
      <c r="B818" s="20"/>
      <c r="C818" s="20"/>
      <c r="D818" s="20">
        <v>20000</v>
      </c>
      <c r="E818" s="99" t="s">
        <v>559</v>
      </c>
      <c r="F818" s="20">
        <f t="shared" si="12"/>
        <v>222235421</v>
      </c>
      <c r="G818" s="7" t="s">
        <v>330</v>
      </c>
      <c r="H818" s="24" t="s">
        <v>109</v>
      </c>
      <c r="I818" s="32" t="s">
        <v>152</v>
      </c>
    </row>
    <row r="819" spans="1:9" x14ac:dyDescent="0.35">
      <c r="A819" s="19">
        <v>45766</v>
      </c>
      <c r="B819" s="20">
        <v>5657000</v>
      </c>
      <c r="C819" s="20"/>
      <c r="D819" s="20"/>
      <c r="E819" s="99" t="s">
        <v>559</v>
      </c>
      <c r="F819" s="20">
        <f t="shared" si="12"/>
        <v>216578421</v>
      </c>
      <c r="G819" s="7" t="s">
        <v>545</v>
      </c>
      <c r="H819" s="24" t="s">
        <v>322</v>
      </c>
      <c r="I819" s="32" t="s">
        <v>152</v>
      </c>
    </row>
    <row r="820" spans="1:9" x14ac:dyDescent="0.35">
      <c r="A820" s="19">
        <v>45766</v>
      </c>
      <c r="B820" s="20">
        <v>6500</v>
      </c>
      <c r="C820" s="20"/>
      <c r="D820" s="20"/>
      <c r="E820" s="99" t="s">
        <v>559</v>
      </c>
      <c r="F820" s="20">
        <f t="shared" si="12"/>
        <v>216571921</v>
      </c>
      <c r="G820" s="7" t="s">
        <v>546</v>
      </c>
      <c r="H820" s="24" t="s">
        <v>322</v>
      </c>
      <c r="I820" s="32" t="s">
        <v>152</v>
      </c>
    </row>
    <row r="821" spans="1:9" x14ac:dyDescent="0.35">
      <c r="A821" s="19">
        <v>45767</v>
      </c>
      <c r="B821" s="20">
        <v>750000</v>
      </c>
      <c r="C821" s="20"/>
      <c r="D821" s="20"/>
      <c r="E821" s="99" t="s">
        <v>559</v>
      </c>
      <c r="F821" s="20">
        <f t="shared" si="12"/>
        <v>215821921</v>
      </c>
      <c r="G821" s="7" t="s">
        <v>547</v>
      </c>
      <c r="H821" s="24" t="s">
        <v>323</v>
      </c>
      <c r="I821" s="32" t="s">
        <v>152</v>
      </c>
    </row>
    <row r="822" spans="1:9" x14ac:dyDescent="0.35">
      <c r="A822" s="19">
        <v>45767</v>
      </c>
      <c r="B822" s="20">
        <v>6500</v>
      </c>
      <c r="C822" s="20"/>
      <c r="D822" s="20"/>
      <c r="E822" s="99" t="s">
        <v>559</v>
      </c>
      <c r="F822" s="20">
        <f t="shared" si="12"/>
        <v>215815421</v>
      </c>
      <c r="G822" s="7" t="s">
        <v>548</v>
      </c>
      <c r="H822" s="24" t="s">
        <v>323</v>
      </c>
      <c r="I822" s="32" t="s">
        <v>152</v>
      </c>
    </row>
    <row r="823" spans="1:9" x14ac:dyDescent="0.35">
      <c r="A823" s="19">
        <v>45767</v>
      </c>
      <c r="B823" s="20"/>
      <c r="C823" s="20"/>
      <c r="D823" s="20">
        <v>50000</v>
      </c>
      <c r="E823" s="99" t="s">
        <v>559</v>
      </c>
      <c r="F823" s="20">
        <f t="shared" si="12"/>
        <v>215865421</v>
      </c>
      <c r="G823" s="7" t="s">
        <v>330</v>
      </c>
      <c r="H823" s="24" t="s">
        <v>109</v>
      </c>
      <c r="I823" s="32" t="s">
        <v>152</v>
      </c>
    </row>
    <row r="824" spans="1:9" x14ac:dyDescent="0.35">
      <c r="A824" s="19">
        <v>45767</v>
      </c>
      <c r="B824" s="20"/>
      <c r="C824" s="20"/>
      <c r="D824" s="20">
        <v>50000</v>
      </c>
      <c r="E824" s="99" t="s">
        <v>559</v>
      </c>
      <c r="F824" s="20">
        <f t="shared" si="12"/>
        <v>215915421</v>
      </c>
      <c r="G824" s="7" t="s">
        <v>330</v>
      </c>
      <c r="H824" s="24" t="s">
        <v>109</v>
      </c>
      <c r="I824" s="32" t="s">
        <v>152</v>
      </c>
    </row>
    <row r="825" spans="1:9" x14ac:dyDescent="0.35">
      <c r="A825" s="19">
        <v>45768</v>
      </c>
      <c r="B825" s="20"/>
      <c r="C825" s="20"/>
      <c r="D825" s="20">
        <v>10000</v>
      </c>
      <c r="E825" s="99" t="s">
        <v>559</v>
      </c>
      <c r="F825" s="20">
        <f t="shared" si="12"/>
        <v>215925421</v>
      </c>
      <c r="G825" s="7" t="s">
        <v>330</v>
      </c>
      <c r="H825" s="24" t="s">
        <v>109</v>
      </c>
      <c r="I825" s="32" t="s">
        <v>152</v>
      </c>
    </row>
    <row r="826" spans="1:9" x14ac:dyDescent="0.35">
      <c r="A826" s="19">
        <v>45768</v>
      </c>
      <c r="B826" s="20"/>
      <c r="C826" s="20"/>
      <c r="D826" s="20">
        <v>5000</v>
      </c>
      <c r="E826" s="99" t="s">
        <v>559</v>
      </c>
      <c r="F826" s="20">
        <f t="shared" si="12"/>
        <v>215930421</v>
      </c>
      <c r="G826" s="7" t="s">
        <v>330</v>
      </c>
      <c r="H826" s="24" t="s">
        <v>109</v>
      </c>
      <c r="I826" s="32" t="s">
        <v>152</v>
      </c>
    </row>
    <row r="827" spans="1:9" x14ac:dyDescent="0.35">
      <c r="A827" s="19">
        <v>45768</v>
      </c>
      <c r="B827" s="20"/>
      <c r="C827" s="20"/>
      <c r="D827" s="20">
        <v>25000</v>
      </c>
      <c r="E827" s="99" t="s">
        <v>559</v>
      </c>
      <c r="F827" s="20">
        <f t="shared" si="12"/>
        <v>215955421</v>
      </c>
      <c r="G827" s="7" t="s">
        <v>330</v>
      </c>
      <c r="H827" s="24" t="s">
        <v>109</v>
      </c>
      <c r="I827" s="32" t="s">
        <v>152</v>
      </c>
    </row>
    <row r="828" spans="1:9" x14ac:dyDescent="0.35">
      <c r="A828" s="19">
        <v>45768</v>
      </c>
      <c r="B828" s="20"/>
      <c r="C828" s="20"/>
      <c r="D828" s="20">
        <v>5000</v>
      </c>
      <c r="E828" s="99" t="s">
        <v>559</v>
      </c>
      <c r="F828" s="20">
        <f t="shared" si="12"/>
        <v>215960421</v>
      </c>
      <c r="G828" s="7" t="s">
        <v>330</v>
      </c>
      <c r="H828" s="24" t="s">
        <v>109</v>
      </c>
      <c r="I828" s="32" t="s">
        <v>152</v>
      </c>
    </row>
    <row r="829" spans="1:9" x14ac:dyDescent="0.35">
      <c r="A829" s="19">
        <v>45769</v>
      </c>
      <c r="B829" s="20"/>
      <c r="C829" s="20"/>
      <c r="D829" s="20">
        <v>10000</v>
      </c>
      <c r="E829" s="99" t="s">
        <v>559</v>
      </c>
      <c r="F829" s="20">
        <f t="shared" si="12"/>
        <v>215970421</v>
      </c>
      <c r="G829" s="7" t="s">
        <v>330</v>
      </c>
      <c r="H829" s="24" t="s">
        <v>109</v>
      </c>
      <c r="I829" s="32" t="s">
        <v>152</v>
      </c>
    </row>
    <row r="830" spans="1:9" x14ac:dyDescent="0.35">
      <c r="A830" s="19">
        <v>45769</v>
      </c>
      <c r="B830" s="20"/>
      <c r="C830" s="20"/>
      <c r="D830" s="41">
        <v>4358000</v>
      </c>
      <c r="E830" s="99" t="s">
        <v>559</v>
      </c>
      <c r="F830" s="20">
        <f t="shared" si="12"/>
        <v>220328421</v>
      </c>
      <c r="G830" s="24" t="s">
        <v>107</v>
      </c>
      <c r="H830" s="24" t="s">
        <v>107</v>
      </c>
      <c r="I830" s="32" t="s">
        <v>152</v>
      </c>
    </row>
    <row r="831" spans="1:9" x14ac:dyDescent="0.35">
      <c r="A831" s="19">
        <v>45769</v>
      </c>
      <c r="B831" s="20"/>
      <c r="C831" s="20"/>
      <c r="D831" s="41">
        <v>2722000</v>
      </c>
      <c r="E831" s="99" t="s">
        <v>559</v>
      </c>
      <c r="F831" s="20">
        <f t="shared" si="12"/>
        <v>223050421</v>
      </c>
      <c r="G831" s="24" t="s">
        <v>109</v>
      </c>
      <c r="H831" s="24" t="s">
        <v>109</v>
      </c>
      <c r="I831" s="32" t="s">
        <v>152</v>
      </c>
    </row>
    <row r="832" spans="1:9" x14ac:dyDescent="0.35">
      <c r="A832" s="19"/>
      <c r="B832" s="20"/>
      <c r="C832" s="20">
        <v>7080000</v>
      </c>
      <c r="D832" s="20"/>
      <c r="E832" s="99"/>
      <c r="F832" s="20">
        <f t="shared" si="12"/>
        <v>223050421</v>
      </c>
      <c r="G832" s="7" t="s">
        <v>552</v>
      </c>
      <c r="H832" s="24"/>
      <c r="I832" s="32"/>
    </row>
    <row r="833" spans="1:9" x14ac:dyDescent="0.35">
      <c r="A833" s="19">
        <v>45769</v>
      </c>
      <c r="B833" s="20">
        <v>7000</v>
      </c>
      <c r="C833" s="20"/>
      <c r="D833" s="20"/>
      <c r="E833" s="99" t="s">
        <v>559</v>
      </c>
      <c r="F833" s="20">
        <f t="shared" si="12"/>
        <v>223043421</v>
      </c>
      <c r="G833" s="7" t="s">
        <v>549</v>
      </c>
      <c r="H833" s="24" t="s">
        <v>320</v>
      </c>
      <c r="I833" s="32" t="s">
        <v>152</v>
      </c>
    </row>
    <row r="834" spans="1:9" x14ac:dyDescent="0.35">
      <c r="A834" s="19">
        <v>45771</v>
      </c>
      <c r="B834" s="20"/>
      <c r="C834" s="20"/>
      <c r="D834" s="20">
        <v>10000</v>
      </c>
      <c r="E834" s="99" t="s">
        <v>559</v>
      </c>
      <c r="F834" s="20">
        <f t="shared" si="12"/>
        <v>223053421</v>
      </c>
      <c r="G834" s="7" t="s">
        <v>330</v>
      </c>
      <c r="H834" s="24" t="s">
        <v>109</v>
      </c>
      <c r="I834" s="32" t="s">
        <v>152</v>
      </c>
    </row>
    <row r="835" spans="1:9" x14ac:dyDescent="0.35">
      <c r="A835" s="19">
        <v>45771</v>
      </c>
      <c r="B835" s="20">
        <v>2000000</v>
      </c>
      <c r="C835" s="20"/>
      <c r="D835" s="20"/>
      <c r="E835" s="99" t="s">
        <v>559</v>
      </c>
      <c r="F835" s="20">
        <f t="shared" si="12"/>
        <v>221053421</v>
      </c>
      <c r="G835" s="7" t="s">
        <v>550</v>
      </c>
      <c r="H835" s="24" t="s">
        <v>200</v>
      </c>
      <c r="I835" s="32" t="s">
        <v>152</v>
      </c>
    </row>
    <row r="836" spans="1:9" x14ac:dyDescent="0.35">
      <c r="A836" s="19">
        <v>45771</v>
      </c>
      <c r="B836" s="20">
        <v>2900</v>
      </c>
      <c r="C836" s="20"/>
      <c r="D836" s="20"/>
      <c r="E836" s="99" t="s">
        <v>559</v>
      </c>
      <c r="F836" s="20">
        <f t="shared" si="12"/>
        <v>221050521</v>
      </c>
      <c r="G836" s="7" t="s">
        <v>551</v>
      </c>
      <c r="H836" s="24" t="s">
        <v>200</v>
      </c>
      <c r="I836" s="32" t="s">
        <v>152</v>
      </c>
    </row>
    <row r="837" spans="1:9" x14ac:dyDescent="0.35">
      <c r="A837" s="19">
        <v>45772</v>
      </c>
      <c r="B837" s="20"/>
      <c r="C837" s="20"/>
      <c r="D837" s="20">
        <v>10000</v>
      </c>
      <c r="E837" s="99" t="s">
        <v>559</v>
      </c>
      <c r="F837" s="20">
        <f t="shared" si="12"/>
        <v>221060521</v>
      </c>
      <c r="G837" s="7" t="s">
        <v>330</v>
      </c>
      <c r="H837" s="24" t="s">
        <v>109</v>
      </c>
      <c r="I837" s="32" t="s">
        <v>152</v>
      </c>
    </row>
    <row r="838" spans="1:9" x14ac:dyDescent="0.35">
      <c r="A838" s="19">
        <v>45772</v>
      </c>
      <c r="B838" s="20"/>
      <c r="C838" s="20"/>
      <c r="D838" s="20">
        <v>10000</v>
      </c>
      <c r="E838" s="99" t="s">
        <v>559</v>
      </c>
      <c r="F838" s="20">
        <f t="shared" si="12"/>
        <v>221070521</v>
      </c>
      <c r="G838" s="7" t="s">
        <v>330</v>
      </c>
      <c r="H838" s="24" t="s">
        <v>109</v>
      </c>
      <c r="I838" s="32" t="s">
        <v>152</v>
      </c>
    </row>
    <row r="839" spans="1:9" x14ac:dyDescent="0.35">
      <c r="A839" s="19">
        <v>45772</v>
      </c>
      <c r="B839" s="20"/>
      <c r="C839" s="20"/>
      <c r="D839" s="20">
        <v>200000</v>
      </c>
      <c r="E839" s="99" t="s">
        <v>559</v>
      </c>
      <c r="F839" s="20">
        <f t="shared" si="12"/>
        <v>221270521</v>
      </c>
      <c r="G839" s="7" t="s">
        <v>306</v>
      </c>
      <c r="H839" s="24" t="s">
        <v>140</v>
      </c>
      <c r="I839" s="32" t="s">
        <v>152</v>
      </c>
    </row>
    <row r="840" spans="1:9" x14ac:dyDescent="0.35">
      <c r="A840" s="19">
        <v>45772</v>
      </c>
      <c r="B840" s="20"/>
      <c r="C840" s="20"/>
      <c r="D840" s="20">
        <v>1000000</v>
      </c>
      <c r="E840" s="99" t="s">
        <v>559</v>
      </c>
      <c r="F840" s="20">
        <f t="shared" si="12"/>
        <v>222270521</v>
      </c>
      <c r="G840" s="7" t="s">
        <v>561</v>
      </c>
      <c r="H840" s="24" t="s">
        <v>109</v>
      </c>
      <c r="I840" s="32" t="s">
        <v>152</v>
      </c>
    </row>
    <row r="841" spans="1:9" x14ac:dyDescent="0.35">
      <c r="A841" s="19">
        <v>45773</v>
      </c>
      <c r="B841" s="20">
        <v>750000</v>
      </c>
      <c r="C841" s="20"/>
      <c r="D841" s="20"/>
      <c r="E841" s="99" t="s">
        <v>559</v>
      </c>
      <c r="F841" s="20">
        <f t="shared" si="12"/>
        <v>221520521</v>
      </c>
      <c r="G841" s="7" t="s">
        <v>562</v>
      </c>
      <c r="H841" s="24" t="s">
        <v>323</v>
      </c>
      <c r="I841" s="32" t="s">
        <v>152</v>
      </c>
    </row>
    <row r="842" spans="1:9" x14ac:dyDescent="0.35">
      <c r="A842" s="19">
        <v>45773</v>
      </c>
      <c r="B842" s="20">
        <v>6500</v>
      </c>
      <c r="C842" s="20"/>
      <c r="D842" s="20"/>
      <c r="E842" s="99" t="s">
        <v>559</v>
      </c>
      <c r="F842" s="20">
        <f t="shared" si="12"/>
        <v>221514021</v>
      </c>
      <c r="G842" s="7" t="s">
        <v>563</v>
      </c>
      <c r="H842" s="24" t="s">
        <v>323</v>
      </c>
      <c r="I842" s="32" t="s">
        <v>152</v>
      </c>
    </row>
    <row r="843" spans="1:9" x14ac:dyDescent="0.35">
      <c r="A843" s="19">
        <v>45773</v>
      </c>
      <c r="B843" s="20"/>
      <c r="C843" s="20"/>
      <c r="D843" s="20">
        <v>10000</v>
      </c>
      <c r="E843" s="99" t="s">
        <v>559</v>
      </c>
      <c r="F843" s="20">
        <f t="shared" si="12"/>
        <v>221524021</v>
      </c>
      <c r="G843" s="7" t="s">
        <v>330</v>
      </c>
      <c r="H843" s="24" t="s">
        <v>109</v>
      </c>
      <c r="I843" s="32" t="s">
        <v>152</v>
      </c>
    </row>
    <row r="844" spans="1:9" x14ac:dyDescent="0.35">
      <c r="A844" s="19">
        <v>45773</v>
      </c>
      <c r="B844" s="20"/>
      <c r="C844" s="20"/>
      <c r="D844" s="20">
        <v>5000</v>
      </c>
      <c r="E844" s="99" t="s">
        <v>559</v>
      </c>
      <c r="F844" s="20">
        <f t="shared" si="12"/>
        <v>221529021</v>
      </c>
      <c r="G844" s="7" t="s">
        <v>330</v>
      </c>
      <c r="H844" s="24" t="s">
        <v>109</v>
      </c>
      <c r="I844" s="32" t="s">
        <v>152</v>
      </c>
    </row>
    <row r="845" spans="1:9" x14ac:dyDescent="0.35">
      <c r="A845" s="19">
        <v>45773</v>
      </c>
      <c r="B845" s="20"/>
      <c r="C845" s="20"/>
      <c r="D845" s="20">
        <v>10000</v>
      </c>
      <c r="E845" s="99" t="s">
        <v>559</v>
      </c>
      <c r="F845" s="20">
        <f t="shared" si="12"/>
        <v>221539021</v>
      </c>
      <c r="G845" s="7" t="s">
        <v>330</v>
      </c>
      <c r="H845" s="24" t="s">
        <v>109</v>
      </c>
      <c r="I845" s="32" t="s">
        <v>152</v>
      </c>
    </row>
    <row r="846" spans="1:9" x14ac:dyDescent="0.35">
      <c r="A846" s="19">
        <v>45773</v>
      </c>
      <c r="B846" s="20"/>
      <c r="C846" s="20"/>
      <c r="D846" s="20">
        <v>100000</v>
      </c>
      <c r="E846" s="99" t="s">
        <v>559</v>
      </c>
      <c r="F846" s="20">
        <f t="shared" ref="F846:F911" si="13">+F845+D846-B846</f>
        <v>221639021</v>
      </c>
      <c r="G846" s="7" t="s">
        <v>424</v>
      </c>
      <c r="H846" s="24" t="s">
        <v>109</v>
      </c>
      <c r="I846" s="32" t="s">
        <v>152</v>
      </c>
    </row>
    <row r="847" spans="1:9" x14ac:dyDescent="0.35">
      <c r="A847" s="19">
        <v>45774</v>
      </c>
      <c r="B847" s="20"/>
      <c r="C847" s="20"/>
      <c r="D847" s="20">
        <v>10000</v>
      </c>
      <c r="E847" s="99" t="s">
        <v>559</v>
      </c>
      <c r="F847" s="20">
        <f t="shared" si="13"/>
        <v>221649021</v>
      </c>
      <c r="G847" s="7" t="s">
        <v>330</v>
      </c>
      <c r="H847" s="24" t="s">
        <v>109</v>
      </c>
      <c r="I847" s="32" t="s">
        <v>152</v>
      </c>
    </row>
    <row r="848" spans="1:9" x14ac:dyDescent="0.35">
      <c r="A848" s="19">
        <v>45775</v>
      </c>
      <c r="B848" s="20"/>
      <c r="C848" s="20"/>
      <c r="D848" s="20">
        <v>10000</v>
      </c>
      <c r="E848" s="99" t="s">
        <v>559</v>
      </c>
      <c r="F848" s="20">
        <f t="shared" si="13"/>
        <v>221659021</v>
      </c>
      <c r="G848" s="7" t="s">
        <v>330</v>
      </c>
      <c r="H848" s="24" t="s">
        <v>109</v>
      </c>
      <c r="I848" s="32" t="s">
        <v>152</v>
      </c>
    </row>
    <row r="849" spans="1:9" x14ac:dyDescent="0.35">
      <c r="A849" s="19">
        <v>45775</v>
      </c>
      <c r="B849" s="20"/>
      <c r="C849" s="20"/>
      <c r="D849" s="20">
        <v>25000</v>
      </c>
      <c r="E849" s="99" t="s">
        <v>559</v>
      </c>
      <c r="F849" s="20">
        <f t="shared" si="13"/>
        <v>221684021</v>
      </c>
      <c r="G849" s="7" t="s">
        <v>330</v>
      </c>
      <c r="H849" s="24" t="s">
        <v>109</v>
      </c>
      <c r="I849" s="32" t="s">
        <v>152</v>
      </c>
    </row>
    <row r="850" spans="1:9" x14ac:dyDescent="0.35">
      <c r="A850" s="19">
        <v>45775</v>
      </c>
      <c r="B850" s="20">
        <v>1500000</v>
      </c>
      <c r="C850" s="20"/>
      <c r="D850" s="20"/>
      <c r="E850" s="99" t="s">
        <v>559</v>
      </c>
      <c r="F850" s="20">
        <f t="shared" si="13"/>
        <v>220184021</v>
      </c>
      <c r="G850" s="7" t="s">
        <v>564</v>
      </c>
      <c r="H850" s="24" t="s">
        <v>325</v>
      </c>
      <c r="I850" s="32" t="s">
        <v>152</v>
      </c>
    </row>
    <row r="851" spans="1:9" x14ac:dyDescent="0.35">
      <c r="A851" s="19">
        <v>45775</v>
      </c>
      <c r="B851" s="20">
        <v>6500</v>
      </c>
      <c r="C851" s="20"/>
      <c r="D851" s="20"/>
      <c r="E851" s="99" t="s">
        <v>559</v>
      </c>
      <c r="F851" s="20">
        <f t="shared" si="13"/>
        <v>220177521</v>
      </c>
      <c r="G851" s="7" t="s">
        <v>565</v>
      </c>
      <c r="H851" s="24" t="s">
        <v>325</v>
      </c>
      <c r="I851" s="32" t="s">
        <v>152</v>
      </c>
    </row>
    <row r="852" spans="1:9" x14ac:dyDescent="0.35">
      <c r="A852" s="19">
        <v>45775</v>
      </c>
      <c r="B852" s="20">
        <v>2000000</v>
      </c>
      <c r="C852" s="20"/>
      <c r="D852" s="20"/>
      <c r="E852" s="99" t="s">
        <v>559</v>
      </c>
      <c r="F852" s="20">
        <f t="shared" si="13"/>
        <v>218177521</v>
      </c>
      <c r="G852" s="7" t="s">
        <v>566</v>
      </c>
      <c r="H852" s="24" t="s">
        <v>325</v>
      </c>
      <c r="I852" s="32" t="s">
        <v>152</v>
      </c>
    </row>
    <row r="853" spans="1:9" x14ac:dyDescent="0.35">
      <c r="A853" s="19">
        <v>45775</v>
      </c>
      <c r="B853" s="20">
        <v>6500</v>
      </c>
      <c r="C853" s="20"/>
      <c r="D853" s="20"/>
      <c r="E853" s="99" t="s">
        <v>559</v>
      </c>
      <c r="F853" s="20">
        <f t="shared" si="13"/>
        <v>218171021</v>
      </c>
      <c r="G853" s="7" t="s">
        <v>567</v>
      </c>
      <c r="H853" s="24" t="s">
        <v>325</v>
      </c>
      <c r="I853" s="32" t="s">
        <v>152</v>
      </c>
    </row>
    <row r="854" spans="1:9" x14ac:dyDescent="0.35">
      <c r="A854" s="19">
        <v>45775</v>
      </c>
      <c r="B854" s="20">
        <v>2000000</v>
      </c>
      <c r="C854" s="20"/>
      <c r="D854" s="20"/>
      <c r="E854" s="99" t="s">
        <v>559</v>
      </c>
      <c r="F854" s="20">
        <f t="shared" si="13"/>
        <v>216171021</v>
      </c>
      <c r="G854" s="7" t="s">
        <v>568</v>
      </c>
      <c r="H854" s="24" t="s">
        <v>325</v>
      </c>
      <c r="I854" s="32" t="s">
        <v>152</v>
      </c>
    </row>
    <row r="855" spans="1:9" x14ac:dyDescent="0.35">
      <c r="A855" s="19">
        <v>45775</v>
      </c>
      <c r="B855" s="20">
        <v>6500</v>
      </c>
      <c r="C855" s="20"/>
      <c r="D855" s="20"/>
      <c r="E855" s="99" t="s">
        <v>559</v>
      </c>
      <c r="F855" s="20">
        <f t="shared" si="13"/>
        <v>216164521</v>
      </c>
      <c r="G855" s="7" t="s">
        <v>569</v>
      </c>
      <c r="H855" s="24" t="s">
        <v>325</v>
      </c>
      <c r="I855" s="32" t="s">
        <v>152</v>
      </c>
    </row>
    <row r="856" spans="1:9" x14ac:dyDescent="0.35">
      <c r="A856" s="19">
        <v>45775</v>
      </c>
      <c r="B856" s="20">
        <v>3250000</v>
      </c>
      <c r="C856" s="20"/>
      <c r="D856" s="20"/>
      <c r="E856" s="99" t="s">
        <v>559</v>
      </c>
      <c r="F856" s="20">
        <f t="shared" si="13"/>
        <v>212914521</v>
      </c>
      <c r="G856" s="7" t="s">
        <v>570</v>
      </c>
      <c r="H856" s="24" t="s">
        <v>325</v>
      </c>
      <c r="I856" s="32" t="s">
        <v>152</v>
      </c>
    </row>
    <row r="857" spans="1:9" x14ac:dyDescent="0.35">
      <c r="A857" s="19">
        <v>45775</v>
      </c>
      <c r="B857" s="20">
        <v>6500</v>
      </c>
      <c r="C857" s="20"/>
      <c r="D857" s="20"/>
      <c r="E857" s="99" t="s">
        <v>559</v>
      </c>
      <c r="F857" s="20">
        <f t="shared" si="13"/>
        <v>212908021</v>
      </c>
      <c r="G857" s="7" t="s">
        <v>571</v>
      </c>
      <c r="H857" s="24" t="s">
        <v>325</v>
      </c>
      <c r="I857" s="32" t="s">
        <v>152</v>
      </c>
    </row>
    <row r="858" spans="1:9" x14ac:dyDescent="0.35">
      <c r="A858" s="19">
        <v>45775</v>
      </c>
      <c r="B858" s="20">
        <v>2700000</v>
      </c>
      <c r="C858" s="20"/>
      <c r="D858" s="20"/>
      <c r="E858" s="99" t="s">
        <v>559</v>
      </c>
      <c r="F858" s="20">
        <f t="shared" si="13"/>
        <v>210208021</v>
      </c>
      <c r="G858" s="7" t="s">
        <v>572</v>
      </c>
      <c r="H858" s="24" t="s">
        <v>201</v>
      </c>
      <c r="I858" s="32" t="s">
        <v>152</v>
      </c>
    </row>
    <row r="859" spans="1:9" x14ac:dyDescent="0.35">
      <c r="A859" s="19">
        <v>45775</v>
      </c>
      <c r="B859" s="20">
        <v>6500</v>
      </c>
      <c r="C859" s="20"/>
      <c r="D859" s="20"/>
      <c r="E859" s="99" t="s">
        <v>559</v>
      </c>
      <c r="F859" s="20">
        <f t="shared" si="13"/>
        <v>210201521</v>
      </c>
      <c r="G859" s="7" t="s">
        <v>573</v>
      </c>
      <c r="H859" s="24" t="s">
        <v>201</v>
      </c>
      <c r="I859" s="32" t="s">
        <v>152</v>
      </c>
    </row>
    <row r="860" spans="1:9" x14ac:dyDescent="0.35">
      <c r="A860" s="19">
        <v>45775</v>
      </c>
      <c r="B860" s="20">
        <v>2500000</v>
      </c>
      <c r="C860" s="20"/>
      <c r="D860" s="20"/>
      <c r="E860" s="99" t="s">
        <v>559</v>
      </c>
      <c r="F860" s="20">
        <f t="shared" si="13"/>
        <v>207701521</v>
      </c>
      <c r="G860" s="7" t="s">
        <v>181</v>
      </c>
      <c r="H860" s="24" t="s">
        <v>325</v>
      </c>
      <c r="I860" s="32" t="s">
        <v>152</v>
      </c>
    </row>
    <row r="861" spans="1:9" x14ac:dyDescent="0.35">
      <c r="A861" s="19">
        <v>45775</v>
      </c>
      <c r="B861" s="20">
        <v>1000000</v>
      </c>
      <c r="C861" s="20"/>
      <c r="D861" s="20"/>
      <c r="E861" s="99" t="s">
        <v>559</v>
      </c>
      <c r="F861" s="20">
        <f t="shared" si="13"/>
        <v>206701521</v>
      </c>
      <c r="G861" s="7" t="s">
        <v>574</v>
      </c>
      <c r="H861" s="24" t="s">
        <v>323</v>
      </c>
      <c r="I861" s="32" t="s">
        <v>152</v>
      </c>
    </row>
    <row r="862" spans="1:9" x14ac:dyDescent="0.35">
      <c r="A862" s="19">
        <v>45775</v>
      </c>
      <c r="B862" s="20">
        <v>4000000</v>
      </c>
      <c r="C862" s="20"/>
      <c r="D862" s="20"/>
      <c r="E862" s="99" t="s">
        <v>559</v>
      </c>
      <c r="F862" s="20">
        <f t="shared" si="13"/>
        <v>202701521</v>
      </c>
      <c r="G862" s="7" t="s">
        <v>575</v>
      </c>
      <c r="H862" s="24" t="s">
        <v>201</v>
      </c>
      <c r="I862" s="32" t="s">
        <v>152</v>
      </c>
    </row>
    <row r="863" spans="1:9" x14ac:dyDescent="0.35">
      <c r="A863" s="19">
        <v>45775</v>
      </c>
      <c r="B863" s="20">
        <v>6500</v>
      </c>
      <c r="C863" s="20"/>
      <c r="D863" s="20"/>
      <c r="E863" s="99" t="s">
        <v>559</v>
      </c>
      <c r="F863" s="20">
        <f t="shared" si="13"/>
        <v>202695021</v>
      </c>
      <c r="G863" s="7" t="s">
        <v>576</v>
      </c>
      <c r="H863" s="24" t="s">
        <v>201</v>
      </c>
      <c r="I863" s="32" t="s">
        <v>152</v>
      </c>
    </row>
    <row r="864" spans="1:9" x14ac:dyDescent="0.35">
      <c r="A864" s="19">
        <v>45775</v>
      </c>
      <c r="B864" s="20"/>
      <c r="C864" s="20"/>
      <c r="D864" s="20">
        <v>600000</v>
      </c>
      <c r="E864" s="99" t="s">
        <v>559</v>
      </c>
      <c r="F864" s="20">
        <f t="shared" si="13"/>
        <v>203295021</v>
      </c>
      <c r="G864" s="7" t="s">
        <v>290</v>
      </c>
      <c r="H864" s="24" t="s">
        <v>140</v>
      </c>
      <c r="I864" s="32" t="s">
        <v>152</v>
      </c>
    </row>
    <row r="865" spans="1:9" x14ac:dyDescent="0.35">
      <c r="A865" s="19">
        <v>45775</v>
      </c>
      <c r="B865" s="20"/>
      <c r="C865" s="20"/>
      <c r="D865" s="20">
        <v>300000</v>
      </c>
      <c r="E865" s="99" t="s">
        <v>559</v>
      </c>
      <c r="F865" s="20">
        <f t="shared" si="13"/>
        <v>203595021</v>
      </c>
      <c r="G865" s="7" t="s">
        <v>577</v>
      </c>
      <c r="H865" s="24" t="s">
        <v>109</v>
      </c>
      <c r="I865" s="32" t="s">
        <v>152</v>
      </c>
    </row>
    <row r="866" spans="1:9" x14ac:dyDescent="0.35">
      <c r="A866" s="19">
        <v>45776</v>
      </c>
      <c r="B866" s="20"/>
      <c r="C866" s="20"/>
      <c r="D866" s="20">
        <v>50000</v>
      </c>
      <c r="E866" s="99" t="s">
        <v>559</v>
      </c>
      <c r="F866" s="20">
        <f t="shared" si="13"/>
        <v>203645021</v>
      </c>
      <c r="G866" s="7" t="s">
        <v>330</v>
      </c>
      <c r="H866" s="24" t="s">
        <v>109</v>
      </c>
      <c r="I866" s="32" t="s">
        <v>152</v>
      </c>
    </row>
    <row r="867" spans="1:9" x14ac:dyDescent="0.35">
      <c r="A867" s="19">
        <v>45776</v>
      </c>
      <c r="B867" s="20"/>
      <c r="C867" s="20"/>
      <c r="D867" s="20">
        <v>50000</v>
      </c>
      <c r="E867" s="99" t="s">
        <v>559</v>
      </c>
      <c r="F867" s="20">
        <f t="shared" si="13"/>
        <v>203695021</v>
      </c>
      <c r="G867" s="7" t="s">
        <v>330</v>
      </c>
      <c r="H867" s="24" t="s">
        <v>109</v>
      </c>
      <c r="I867" s="32" t="s">
        <v>152</v>
      </c>
    </row>
    <row r="868" spans="1:9" x14ac:dyDescent="0.35">
      <c r="A868" s="19">
        <v>45776</v>
      </c>
      <c r="B868" s="20"/>
      <c r="C868" s="20"/>
      <c r="D868" s="20">
        <v>2477000</v>
      </c>
      <c r="E868" s="99" t="s">
        <v>559</v>
      </c>
      <c r="F868" s="20">
        <f t="shared" si="13"/>
        <v>206172021</v>
      </c>
      <c r="G868" s="7" t="s">
        <v>581</v>
      </c>
      <c r="H868" s="24" t="s">
        <v>580</v>
      </c>
      <c r="I868" s="32" t="s">
        <v>152</v>
      </c>
    </row>
    <row r="869" spans="1:9" x14ac:dyDescent="0.35">
      <c r="A869" s="19">
        <v>45776</v>
      </c>
      <c r="B869" s="20"/>
      <c r="C869" s="20"/>
      <c r="D869" s="23">
        <v>3667000</v>
      </c>
      <c r="E869" s="99" t="s">
        <v>559</v>
      </c>
      <c r="F869" s="20">
        <f t="shared" si="13"/>
        <v>209839021</v>
      </c>
      <c r="G869" s="24"/>
      <c r="H869" s="24" t="s">
        <v>107</v>
      </c>
      <c r="I869" s="32" t="s">
        <v>152</v>
      </c>
    </row>
    <row r="870" spans="1:9" x14ac:dyDescent="0.35">
      <c r="A870" s="19">
        <v>45776</v>
      </c>
      <c r="B870" s="20"/>
      <c r="C870" s="20"/>
      <c r="D870" s="23">
        <v>5927000</v>
      </c>
      <c r="E870" s="99" t="s">
        <v>559</v>
      </c>
      <c r="F870" s="20">
        <f t="shared" si="13"/>
        <v>215766021</v>
      </c>
      <c r="G870" s="24"/>
      <c r="H870" s="24" t="s">
        <v>109</v>
      </c>
      <c r="I870" s="32" t="s">
        <v>152</v>
      </c>
    </row>
    <row r="871" spans="1:9" x14ac:dyDescent="0.35">
      <c r="A871" s="19"/>
      <c r="B871" s="20"/>
      <c r="C871" s="20">
        <v>9594000</v>
      </c>
      <c r="D871" s="20"/>
      <c r="E871" s="99"/>
      <c r="F871" s="20">
        <f t="shared" si="13"/>
        <v>215766021</v>
      </c>
      <c r="G871" s="7" t="s">
        <v>305</v>
      </c>
      <c r="H871" s="24"/>
      <c r="I871" s="32"/>
    </row>
    <row r="872" spans="1:9" x14ac:dyDescent="0.35">
      <c r="A872" s="19">
        <v>45777</v>
      </c>
      <c r="B872" s="20"/>
      <c r="C872" s="20"/>
      <c r="D872" s="20">
        <v>50000</v>
      </c>
      <c r="E872" s="99" t="s">
        <v>559</v>
      </c>
      <c r="F872" s="20">
        <f t="shared" si="13"/>
        <v>215816021</v>
      </c>
      <c r="G872" s="7" t="s">
        <v>330</v>
      </c>
      <c r="H872" s="24" t="s">
        <v>109</v>
      </c>
      <c r="I872" s="32" t="s">
        <v>152</v>
      </c>
    </row>
    <row r="873" spans="1:9" x14ac:dyDescent="0.35">
      <c r="A873" s="19">
        <v>45777</v>
      </c>
      <c r="B873" s="20"/>
      <c r="C873" s="20"/>
      <c r="D873" s="20">
        <v>10000</v>
      </c>
      <c r="E873" s="99" t="s">
        <v>559</v>
      </c>
      <c r="F873" s="20">
        <f t="shared" si="13"/>
        <v>215826021</v>
      </c>
      <c r="G873" s="7" t="s">
        <v>330</v>
      </c>
      <c r="H873" s="24" t="s">
        <v>109</v>
      </c>
      <c r="I873" s="32" t="s">
        <v>152</v>
      </c>
    </row>
    <row r="874" spans="1:9" x14ac:dyDescent="0.35">
      <c r="A874" s="19">
        <v>45778</v>
      </c>
      <c r="B874" s="20"/>
      <c r="C874" s="20"/>
      <c r="D874" s="20">
        <v>10000</v>
      </c>
      <c r="E874" s="99" t="s">
        <v>588</v>
      </c>
      <c r="F874" s="20">
        <f t="shared" si="13"/>
        <v>215836021</v>
      </c>
      <c r="G874" s="7" t="s">
        <v>330</v>
      </c>
      <c r="H874" s="24" t="s">
        <v>109</v>
      </c>
      <c r="I874" s="32" t="s">
        <v>152</v>
      </c>
    </row>
    <row r="875" spans="1:9" x14ac:dyDescent="0.35">
      <c r="A875" s="19">
        <v>45778</v>
      </c>
      <c r="B875" s="20"/>
      <c r="C875" s="20"/>
      <c r="D875" s="20">
        <v>200000</v>
      </c>
      <c r="E875" s="99" t="s">
        <v>588</v>
      </c>
      <c r="F875" s="20">
        <f t="shared" si="13"/>
        <v>216036021</v>
      </c>
      <c r="G875" s="7" t="s">
        <v>578</v>
      </c>
      <c r="H875" s="24" t="s">
        <v>109</v>
      </c>
      <c r="I875" s="32" t="s">
        <v>152</v>
      </c>
    </row>
    <row r="876" spans="1:9" x14ac:dyDescent="0.35">
      <c r="A876" s="19">
        <v>45778</v>
      </c>
      <c r="B876" s="20"/>
      <c r="C876" s="20"/>
      <c r="D876" s="20">
        <v>500000</v>
      </c>
      <c r="E876" s="99" t="s">
        <v>588</v>
      </c>
      <c r="F876" s="20">
        <f t="shared" si="13"/>
        <v>216536021</v>
      </c>
      <c r="G876" s="7" t="s">
        <v>579</v>
      </c>
      <c r="H876" s="24" t="s">
        <v>109</v>
      </c>
      <c r="I876" s="32" t="s">
        <v>152</v>
      </c>
    </row>
    <row r="877" spans="1:9" x14ac:dyDescent="0.35">
      <c r="A877" s="19">
        <v>45779</v>
      </c>
      <c r="B877" s="20"/>
      <c r="C877" s="20"/>
      <c r="D877" s="20">
        <v>50000</v>
      </c>
      <c r="E877" s="99" t="s">
        <v>588</v>
      </c>
      <c r="F877" s="20">
        <f t="shared" si="13"/>
        <v>216586021</v>
      </c>
      <c r="G877" s="7" t="s">
        <v>330</v>
      </c>
      <c r="H877" s="24" t="s">
        <v>109</v>
      </c>
      <c r="I877" s="32" t="s">
        <v>152</v>
      </c>
    </row>
    <row r="878" spans="1:9" x14ac:dyDescent="0.35">
      <c r="A878" s="19">
        <v>45779</v>
      </c>
      <c r="B878" s="20"/>
      <c r="C878" s="20"/>
      <c r="D878" s="20">
        <v>10000</v>
      </c>
      <c r="E878" s="99" t="s">
        <v>588</v>
      </c>
      <c r="F878" s="20">
        <f t="shared" si="13"/>
        <v>216596021</v>
      </c>
      <c r="G878" s="7" t="s">
        <v>330</v>
      </c>
      <c r="H878" s="24" t="s">
        <v>109</v>
      </c>
      <c r="I878" s="32" t="s">
        <v>152</v>
      </c>
    </row>
    <row r="879" spans="1:9" x14ac:dyDescent="0.35">
      <c r="A879" s="19">
        <v>45779</v>
      </c>
      <c r="B879" s="20"/>
      <c r="C879" s="20"/>
      <c r="D879" s="20">
        <v>2000000</v>
      </c>
      <c r="E879" s="99" t="s">
        <v>588</v>
      </c>
      <c r="F879" s="20">
        <f t="shared" si="13"/>
        <v>218596021</v>
      </c>
      <c r="G879" s="7" t="s">
        <v>522</v>
      </c>
      <c r="H879" s="24" t="s">
        <v>109</v>
      </c>
      <c r="I879" s="32" t="s">
        <v>152</v>
      </c>
    </row>
    <row r="880" spans="1:9" x14ac:dyDescent="0.35">
      <c r="A880" s="19">
        <v>45780</v>
      </c>
      <c r="B880" s="20"/>
      <c r="C880" s="20"/>
      <c r="D880" s="20">
        <v>200000</v>
      </c>
      <c r="E880" s="99" t="s">
        <v>588</v>
      </c>
      <c r="F880" s="20">
        <f t="shared" si="13"/>
        <v>218796021</v>
      </c>
      <c r="G880" s="7" t="s">
        <v>592</v>
      </c>
      <c r="H880" s="24" t="s">
        <v>109</v>
      </c>
      <c r="I880" s="32" t="s">
        <v>152</v>
      </c>
    </row>
    <row r="881" spans="1:9" x14ac:dyDescent="0.35">
      <c r="A881" s="19">
        <v>45780</v>
      </c>
      <c r="B881" s="20">
        <v>4500000</v>
      </c>
      <c r="C881" s="20"/>
      <c r="D881" s="20"/>
      <c r="E881" s="99" t="s">
        <v>588</v>
      </c>
      <c r="F881" s="20">
        <f t="shared" si="13"/>
        <v>214296021</v>
      </c>
      <c r="G881" s="7" t="s">
        <v>593</v>
      </c>
      <c r="H881" s="24" t="s">
        <v>325</v>
      </c>
      <c r="I881" s="32" t="s">
        <v>152</v>
      </c>
    </row>
    <row r="882" spans="1:9" x14ac:dyDescent="0.35">
      <c r="A882" s="19">
        <v>45780</v>
      </c>
      <c r="B882" s="20">
        <v>6500</v>
      </c>
      <c r="C882" s="20"/>
      <c r="D882" s="20"/>
      <c r="E882" s="99" t="s">
        <v>588</v>
      </c>
      <c r="F882" s="20">
        <f t="shared" si="13"/>
        <v>214289521</v>
      </c>
      <c r="G882" s="7" t="s">
        <v>594</v>
      </c>
      <c r="H882" s="24" t="s">
        <v>325</v>
      </c>
      <c r="I882" s="32" t="s">
        <v>152</v>
      </c>
    </row>
    <row r="883" spans="1:9" x14ac:dyDescent="0.35">
      <c r="A883" s="19">
        <v>45780</v>
      </c>
      <c r="B883" s="20">
        <v>2500000</v>
      </c>
      <c r="C883" s="20"/>
      <c r="D883" s="20"/>
      <c r="E883" s="99" t="s">
        <v>588</v>
      </c>
      <c r="F883" s="20">
        <f t="shared" si="13"/>
        <v>211789521</v>
      </c>
      <c r="G883" s="7" t="s">
        <v>459</v>
      </c>
      <c r="H883" s="24" t="s">
        <v>325</v>
      </c>
      <c r="I883" s="32" t="s">
        <v>152</v>
      </c>
    </row>
    <row r="884" spans="1:9" x14ac:dyDescent="0.35">
      <c r="A884" s="19">
        <v>45780</v>
      </c>
      <c r="B884" s="20">
        <v>6500</v>
      </c>
      <c r="C884" s="20"/>
      <c r="D884" s="20"/>
      <c r="E884" s="99" t="s">
        <v>588</v>
      </c>
      <c r="F884" s="20">
        <f t="shared" si="13"/>
        <v>211783021</v>
      </c>
      <c r="G884" s="7" t="s">
        <v>595</v>
      </c>
      <c r="H884" s="24" t="s">
        <v>325</v>
      </c>
      <c r="I884" s="32" t="s">
        <v>152</v>
      </c>
    </row>
    <row r="885" spans="1:9" x14ac:dyDescent="0.35">
      <c r="A885" s="19">
        <v>45780</v>
      </c>
      <c r="B885" s="20"/>
      <c r="C885" s="20"/>
      <c r="D885" s="20">
        <v>50000</v>
      </c>
      <c r="E885" s="99" t="s">
        <v>588</v>
      </c>
      <c r="F885" s="20">
        <f t="shared" si="13"/>
        <v>211833021</v>
      </c>
      <c r="G885" s="7" t="s">
        <v>330</v>
      </c>
      <c r="H885" s="24" t="s">
        <v>109</v>
      </c>
      <c r="I885" s="32" t="s">
        <v>152</v>
      </c>
    </row>
    <row r="886" spans="1:9" x14ac:dyDescent="0.35">
      <c r="A886" s="19">
        <v>45780</v>
      </c>
      <c r="B886" s="20"/>
      <c r="C886" s="20"/>
      <c r="D886" s="20">
        <v>50000</v>
      </c>
      <c r="E886" s="99" t="s">
        <v>588</v>
      </c>
      <c r="F886" s="20">
        <f t="shared" si="13"/>
        <v>211883021</v>
      </c>
      <c r="G886" s="7" t="s">
        <v>330</v>
      </c>
      <c r="H886" s="24" t="s">
        <v>109</v>
      </c>
      <c r="I886" s="32" t="s">
        <v>152</v>
      </c>
    </row>
    <row r="887" spans="1:9" x14ac:dyDescent="0.35">
      <c r="A887" s="19">
        <v>45780</v>
      </c>
      <c r="B887" s="20"/>
      <c r="C887" s="20"/>
      <c r="D887" s="20">
        <v>25000</v>
      </c>
      <c r="E887" s="99" t="s">
        <v>588</v>
      </c>
      <c r="F887" s="20">
        <f t="shared" si="13"/>
        <v>211908021</v>
      </c>
      <c r="G887" s="7" t="s">
        <v>330</v>
      </c>
      <c r="H887" s="24" t="s">
        <v>109</v>
      </c>
      <c r="I887" s="32" t="s">
        <v>152</v>
      </c>
    </row>
    <row r="888" spans="1:9" x14ac:dyDescent="0.35">
      <c r="A888" s="19">
        <v>45780</v>
      </c>
      <c r="B888" s="20"/>
      <c r="C888" s="20"/>
      <c r="D888" s="20">
        <v>10000</v>
      </c>
      <c r="E888" s="99" t="s">
        <v>588</v>
      </c>
      <c r="F888" s="20">
        <f t="shared" si="13"/>
        <v>211918021</v>
      </c>
      <c r="G888" s="7" t="s">
        <v>330</v>
      </c>
      <c r="H888" s="24" t="s">
        <v>109</v>
      </c>
      <c r="I888" s="32" t="s">
        <v>152</v>
      </c>
    </row>
    <row r="889" spans="1:9" x14ac:dyDescent="0.35">
      <c r="A889" s="19">
        <v>45780</v>
      </c>
      <c r="B889" s="20"/>
      <c r="C889" s="20"/>
      <c r="D889" s="20">
        <v>10000</v>
      </c>
      <c r="E889" s="99" t="s">
        <v>588</v>
      </c>
      <c r="F889" s="20">
        <f t="shared" si="13"/>
        <v>211928021</v>
      </c>
      <c r="G889" s="7" t="s">
        <v>330</v>
      </c>
      <c r="H889" s="24" t="s">
        <v>109</v>
      </c>
      <c r="I889" s="32" t="s">
        <v>152</v>
      </c>
    </row>
    <row r="890" spans="1:9" x14ac:dyDescent="0.35">
      <c r="A890" s="19">
        <v>45780</v>
      </c>
      <c r="B890" s="20">
        <v>750000</v>
      </c>
      <c r="C890" s="20"/>
      <c r="D890" s="20"/>
      <c r="E890" s="99" t="s">
        <v>588</v>
      </c>
      <c r="F890" s="20">
        <f t="shared" si="13"/>
        <v>211178021</v>
      </c>
      <c r="G890" s="7" t="s">
        <v>596</v>
      </c>
      <c r="H890" s="24" t="s">
        <v>323</v>
      </c>
      <c r="I890" s="32" t="s">
        <v>152</v>
      </c>
    </row>
    <row r="891" spans="1:9" x14ac:dyDescent="0.35">
      <c r="A891" s="19">
        <v>45780</v>
      </c>
      <c r="B891" s="20">
        <v>6500</v>
      </c>
      <c r="C891" s="20"/>
      <c r="D891" s="20"/>
      <c r="E891" s="99" t="s">
        <v>588</v>
      </c>
      <c r="F891" s="20">
        <f t="shared" si="13"/>
        <v>211171521</v>
      </c>
      <c r="G891" s="7" t="s">
        <v>597</v>
      </c>
      <c r="H891" s="24" t="s">
        <v>323</v>
      </c>
      <c r="I891" s="32" t="s">
        <v>152</v>
      </c>
    </row>
    <row r="892" spans="1:9" x14ac:dyDescent="0.35">
      <c r="A892" s="19">
        <v>45781</v>
      </c>
      <c r="B892" s="20">
        <v>750000</v>
      </c>
      <c r="C892" s="20"/>
      <c r="D892" s="20"/>
      <c r="E892" s="99" t="s">
        <v>588</v>
      </c>
      <c r="F892" s="20">
        <f t="shared" si="13"/>
        <v>210421521</v>
      </c>
      <c r="G892" s="7" t="s">
        <v>598</v>
      </c>
      <c r="H892" s="24" t="s">
        <v>323</v>
      </c>
      <c r="I892" s="32" t="s">
        <v>152</v>
      </c>
    </row>
    <row r="893" spans="1:9" x14ac:dyDescent="0.35">
      <c r="A893" s="19">
        <v>45781</v>
      </c>
      <c r="B893" s="20">
        <v>6500</v>
      </c>
      <c r="C893" s="20"/>
      <c r="D893" s="20"/>
      <c r="E893" s="99" t="s">
        <v>588</v>
      </c>
      <c r="F893" s="20">
        <f t="shared" si="13"/>
        <v>210415021</v>
      </c>
      <c r="G893" s="7" t="s">
        <v>599</v>
      </c>
      <c r="H893" s="24" t="s">
        <v>323</v>
      </c>
      <c r="I893" s="32" t="s">
        <v>152</v>
      </c>
    </row>
    <row r="894" spans="1:9" x14ac:dyDescent="0.35">
      <c r="A894" s="19">
        <v>45781</v>
      </c>
      <c r="B894" s="20"/>
      <c r="C894" s="20"/>
      <c r="D894" s="20">
        <v>5000</v>
      </c>
      <c r="E894" s="99" t="s">
        <v>588</v>
      </c>
      <c r="F894" s="20">
        <f t="shared" si="13"/>
        <v>210420021</v>
      </c>
      <c r="G894" s="7" t="s">
        <v>330</v>
      </c>
      <c r="H894" s="24" t="s">
        <v>109</v>
      </c>
      <c r="I894" s="32" t="s">
        <v>152</v>
      </c>
    </row>
    <row r="895" spans="1:9" x14ac:dyDescent="0.35">
      <c r="A895" s="19">
        <v>45781</v>
      </c>
      <c r="B895" s="20"/>
      <c r="C895" s="20"/>
      <c r="D895" s="20">
        <v>10000</v>
      </c>
      <c r="E895" s="99" t="s">
        <v>588</v>
      </c>
      <c r="F895" s="20">
        <f t="shared" si="13"/>
        <v>210430021</v>
      </c>
      <c r="G895" s="7" t="s">
        <v>330</v>
      </c>
      <c r="H895" s="24" t="s">
        <v>109</v>
      </c>
      <c r="I895" s="32" t="s">
        <v>152</v>
      </c>
    </row>
    <row r="896" spans="1:9" x14ac:dyDescent="0.35">
      <c r="A896" s="19">
        <v>45781</v>
      </c>
      <c r="B896" s="20"/>
      <c r="C896" s="20"/>
      <c r="D896" s="20">
        <v>400000</v>
      </c>
      <c r="E896" s="99" t="s">
        <v>588</v>
      </c>
      <c r="F896" s="20">
        <f t="shared" si="13"/>
        <v>210830021</v>
      </c>
      <c r="G896" s="7" t="s">
        <v>600</v>
      </c>
      <c r="H896" s="24" t="s">
        <v>109</v>
      </c>
      <c r="I896" s="32" t="s">
        <v>152</v>
      </c>
    </row>
    <row r="897" spans="1:9" x14ac:dyDescent="0.35">
      <c r="A897" s="19">
        <v>45781</v>
      </c>
      <c r="B897" s="20">
        <v>75000</v>
      </c>
      <c r="C897" s="20"/>
      <c r="D897" s="20"/>
      <c r="E897" s="99" t="s">
        <v>588</v>
      </c>
      <c r="F897" s="20">
        <f t="shared" si="13"/>
        <v>210755021</v>
      </c>
      <c r="G897" s="7" t="s">
        <v>601</v>
      </c>
      <c r="H897" s="24" t="s">
        <v>320</v>
      </c>
      <c r="I897" s="32" t="s">
        <v>152</v>
      </c>
    </row>
    <row r="898" spans="1:9" x14ac:dyDescent="0.35">
      <c r="A898" s="19">
        <v>45781</v>
      </c>
      <c r="B898" s="20">
        <v>6500</v>
      </c>
      <c r="C898" s="20"/>
      <c r="D898" s="20"/>
      <c r="E898" s="99" t="s">
        <v>588</v>
      </c>
      <c r="F898" s="20">
        <f t="shared" si="13"/>
        <v>210748521</v>
      </c>
      <c r="G898" s="7" t="s">
        <v>602</v>
      </c>
      <c r="H898" s="24" t="s">
        <v>320</v>
      </c>
      <c r="I898" s="32" t="s">
        <v>152</v>
      </c>
    </row>
    <row r="899" spans="1:9" x14ac:dyDescent="0.35">
      <c r="A899" s="19">
        <v>45781</v>
      </c>
      <c r="B899" s="20"/>
      <c r="C899" s="20"/>
      <c r="D899" s="20">
        <v>150000</v>
      </c>
      <c r="E899" s="99" t="s">
        <v>588</v>
      </c>
      <c r="F899" s="20">
        <f t="shared" si="13"/>
        <v>210898521</v>
      </c>
      <c r="G899" s="7" t="s">
        <v>603</v>
      </c>
      <c r="H899" s="24" t="s">
        <v>109</v>
      </c>
      <c r="I899" s="32" t="s">
        <v>152</v>
      </c>
    </row>
    <row r="900" spans="1:9" x14ac:dyDescent="0.35">
      <c r="A900" s="19">
        <v>45781</v>
      </c>
      <c r="B900" s="20"/>
      <c r="C900" s="20"/>
      <c r="D900" s="20">
        <v>100000</v>
      </c>
      <c r="E900" s="99" t="s">
        <v>588</v>
      </c>
      <c r="F900" s="20">
        <f t="shared" si="13"/>
        <v>210998521</v>
      </c>
      <c r="G900" s="7" t="s">
        <v>330</v>
      </c>
      <c r="H900" s="24" t="s">
        <v>109</v>
      </c>
      <c r="I900" s="32" t="s">
        <v>152</v>
      </c>
    </row>
    <row r="901" spans="1:9" x14ac:dyDescent="0.35">
      <c r="A901" s="19">
        <v>45781</v>
      </c>
      <c r="B901" s="20"/>
      <c r="C901" s="20"/>
      <c r="D901" s="20">
        <v>5000000</v>
      </c>
      <c r="E901" s="99" t="s">
        <v>588</v>
      </c>
      <c r="F901" s="20">
        <f t="shared" si="13"/>
        <v>215998521</v>
      </c>
      <c r="G901" s="7" t="s">
        <v>604</v>
      </c>
      <c r="H901" s="24" t="s">
        <v>613</v>
      </c>
      <c r="I901" s="32" t="s">
        <v>152</v>
      </c>
    </row>
    <row r="902" spans="1:9" x14ac:dyDescent="0.35">
      <c r="A902" s="19">
        <v>45782</v>
      </c>
      <c r="B902" s="20"/>
      <c r="C902" s="20"/>
      <c r="D902" s="20">
        <v>50000</v>
      </c>
      <c r="E902" s="99" t="s">
        <v>588</v>
      </c>
      <c r="F902" s="20">
        <f t="shared" si="13"/>
        <v>216048521</v>
      </c>
      <c r="G902" s="7" t="s">
        <v>330</v>
      </c>
      <c r="H902" s="24" t="s">
        <v>109</v>
      </c>
      <c r="I902" s="32" t="s">
        <v>152</v>
      </c>
    </row>
    <row r="903" spans="1:9" x14ac:dyDescent="0.35">
      <c r="A903" s="19">
        <v>45782</v>
      </c>
      <c r="B903" s="20"/>
      <c r="C903" s="20"/>
      <c r="D903" s="20">
        <v>25000</v>
      </c>
      <c r="E903" s="99" t="s">
        <v>588</v>
      </c>
      <c r="F903" s="20">
        <f t="shared" si="13"/>
        <v>216073521</v>
      </c>
      <c r="G903" s="7" t="s">
        <v>330</v>
      </c>
      <c r="H903" s="24" t="s">
        <v>109</v>
      </c>
      <c r="I903" s="32" t="s">
        <v>152</v>
      </c>
    </row>
    <row r="904" spans="1:9" x14ac:dyDescent="0.35">
      <c r="A904" s="19">
        <v>45783</v>
      </c>
      <c r="B904" s="20"/>
      <c r="C904" s="20"/>
      <c r="D904" s="20">
        <v>10000</v>
      </c>
      <c r="E904" s="99" t="s">
        <v>588</v>
      </c>
      <c r="F904" s="20">
        <f t="shared" si="13"/>
        <v>216083521</v>
      </c>
      <c r="G904" s="7" t="s">
        <v>330</v>
      </c>
      <c r="H904" s="24" t="s">
        <v>109</v>
      </c>
      <c r="I904" s="32" t="s">
        <v>152</v>
      </c>
    </row>
    <row r="905" spans="1:9" x14ac:dyDescent="0.35">
      <c r="A905" s="19">
        <v>45783</v>
      </c>
      <c r="B905" s="20"/>
      <c r="C905" s="20"/>
      <c r="D905" s="20">
        <v>2</v>
      </c>
      <c r="E905" s="99" t="s">
        <v>588</v>
      </c>
      <c r="F905" s="20">
        <f t="shared" si="13"/>
        <v>216083523</v>
      </c>
      <c r="G905" s="7" t="s">
        <v>330</v>
      </c>
      <c r="H905" s="24" t="s">
        <v>109</v>
      </c>
      <c r="I905" s="32" t="s">
        <v>152</v>
      </c>
    </row>
    <row r="906" spans="1:9" x14ac:dyDescent="0.35">
      <c r="A906" s="19">
        <v>45783</v>
      </c>
      <c r="B906" s="20"/>
      <c r="C906" s="20"/>
      <c r="D906" s="195">
        <v>3203000</v>
      </c>
      <c r="E906" s="99" t="s">
        <v>588</v>
      </c>
      <c r="F906" s="20">
        <f t="shared" si="13"/>
        <v>219286523</v>
      </c>
      <c r="G906" s="24"/>
      <c r="H906" s="24" t="s">
        <v>107</v>
      </c>
      <c r="I906" s="32" t="s">
        <v>152</v>
      </c>
    </row>
    <row r="907" spans="1:9" x14ac:dyDescent="0.35">
      <c r="A907" s="19">
        <v>45783</v>
      </c>
      <c r="B907" s="20"/>
      <c r="C907" s="20"/>
      <c r="D907" s="195">
        <v>1683000</v>
      </c>
      <c r="E907" s="99" t="s">
        <v>588</v>
      </c>
      <c r="F907" s="20">
        <f t="shared" si="13"/>
        <v>220969523</v>
      </c>
      <c r="G907" s="24"/>
      <c r="H907" s="24" t="s">
        <v>109</v>
      </c>
      <c r="I907" s="32" t="s">
        <v>152</v>
      </c>
    </row>
    <row r="908" spans="1:9" x14ac:dyDescent="0.35">
      <c r="A908" s="19"/>
      <c r="B908" s="20"/>
      <c r="C908" s="20">
        <v>4886000</v>
      </c>
      <c r="D908" s="20"/>
      <c r="E908" s="99" t="s">
        <v>588</v>
      </c>
      <c r="F908" s="20">
        <f t="shared" si="13"/>
        <v>220969523</v>
      </c>
      <c r="G908" s="7" t="s">
        <v>305</v>
      </c>
      <c r="H908" s="24"/>
      <c r="I908" s="32"/>
    </row>
    <row r="909" spans="1:9" x14ac:dyDescent="0.35">
      <c r="A909" s="19">
        <v>45783</v>
      </c>
      <c r="B909" s="20"/>
      <c r="C909" s="20"/>
      <c r="D909" s="20">
        <v>3500000</v>
      </c>
      <c r="E909" s="99" t="s">
        <v>588</v>
      </c>
      <c r="F909" s="20">
        <f t="shared" si="13"/>
        <v>224469523</v>
      </c>
      <c r="G909" s="7" t="s">
        <v>605</v>
      </c>
      <c r="H909" s="24" t="s">
        <v>613</v>
      </c>
      <c r="I909" s="32" t="s">
        <v>152</v>
      </c>
    </row>
    <row r="910" spans="1:9" x14ac:dyDescent="0.35">
      <c r="A910" s="19">
        <v>45783</v>
      </c>
      <c r="B910" s="20"/>
      <c r="C910" s="20"/>
      <c r="D910" s="20">
        <v>600000</v>
      </c>
      <c r="E910" s="99" t="s">
        <v>588</v>
      </c>
      <c r="F910" s="20">
        <f t="shared" si="13"/>
        <v>225069523</v>
      </c>
      <c r="G910" s="7" t="s">
        <v>606</v>
      </c>
      <c r="H910" s="24" t="s">
        <v>109</v>
      </c>
      <c r="I910" s="32" t="s">
        <v>152</v>
      </c>
    </row>
    <row r="911" spans="1:9" x14ac:dyDescent="0.35">
      <c r="A911" s="19">
        <v>45783</v>
      </c>
      <c r="B911" s="20">
        <v>2000000</v>
      </c>
      <c r="C911" s="20"/>
      <c r="D911" s="20"/>
      <c r="E911" s="99" t="s">
        <v>588</v>
      </c>
      <c r="F911" s="20">
        <f t="shared" si="13"/>
        <v>223069523</v>
      </c>
      <c r="G911" s="7" t="s">
        <v>607</v>
      </c>
      <c r="H911" s="24" t="s">
        <v>323</v>
      </c>
      <c r="I911" s="32" t="s">
        <v>152</v>
      </c>
    </row>
    <row r="912" spans="1:9" x14ac:dyDescent="0.35">
      <c r="A912" s="19">
        <v>45783</v>
      </c>
      <c r="B912" s="20">
        <v>6500</v>
      </c>
      <c r="C912" s="20"/>
      <c r="D912" s="20"/>
      <c r="E912" s="99" t="s">
        <v>588</v>
      </c>
      <c r="F912" s="20">
        <f t="shared" ref="F912:F975" si="14">+F911+D912-B912</f>
        <v>223063023</v>
      </c>
      <c r="G912" s="7" t="s">
        <v>608</v>
      </c>
      <c r="H912" s="24" t="s">
        <v>323</v>
      </c>
      <c r="I912" s="32" t="s">
        <v>152</v>
      </c>
    </row>
    <row r="913" spans="1:12" x14ac:dyDescent="0.35">
      <c r="A913" s="19">
        <v>45784</v>
      </c>
      <c r="B913" s="20"/>
      <c r="C913" s="20"/>
      <c r="D913" s="20">
        <v>200000</v>
      </c>
      <c r="E913" s="99" t="s">
        <v>588</v>
      </c>
      <c r="F913" s="20">
        <f t="shared" si="14"/>
        <v>223263023</v>
      </c>
      <c r="G913" s="7" t="s">
        <v>531</v>
      </c>
      <c r="H913" s="24" t="s">
        <v>109</v>
      </c>
      <c r="I913" s="32" t="s">
        <v>152</v>
      </c>
    </row>
    <row r="914" spans="1:12" x14ac:dyDescent="0.35">
      <c r="A914" s="19">
        <v>45784</v>
      </c>
      <c r="B914" s="20"/>
      <c r="C914" s="20"/>
      <c r="D914" s="20">
        <v>10000</v>
      </c>
      <c r="E914" s="99" t="s">
        <v>588</v>
      </c>
      <c r="F914" s="20">
        <f t="shared" si="14"/>
        <v>223273023</v>
      </c>
      <c r="G914" s="7" t="s">
        <v>330</v>
      </c>
      <c r="H914" s="24" t="s">
        <v>109</v>
      </c>
      <c r="I914" s="32" t="s">
        <v>152</v>
      </c>
    </row>
    <row r="915" spans="1:12" x14ac:dyDescent="0.35">
      <c r="A915" s="19">
        <v>45784</v>
      </c>
      <c r="B915" s="20"/>
      <c r="C915" s="20"/>
      <c r="D915" s="20">
        <v>1000000</v>
      </c>
      <c r="E915" s="99" t="s">
        <v>588</v>
      </c>
      <c r="F915" s="20">
        <f t="shared" si="14"/>
        <v>224273023</v>
      </c>
      <c r="G915" s="7" t="s">
        <v>609</v>
      </c>
      <c r="H915" s="24" t="s">
        <v>109</v>
      </c>
      <c r="I915" s="32" t="s">
        <v>152</v>
      </c>
    </row>
    <row r="916" spans="1:12" x14ac:dyDescent="0.35">
      <c r="A916" s="19">
        <v>45784</v>
      </c>
      <c r="B916" s="20"/>
      <c r="C916" s="20"/>
      <c r="D916" s="20">
        <v>800000</v>
      </c>
      <c r="E916" s="99" t="s">
        <v>588</v>
      </c>
      <c r="F916" s="20">
        <f t="shared" si="14"/>
        <v>225073023</v>
      </c>
      <c r="G916" s="7" t="s">
        <v>610</v>
      </c>
      <c r="H916" s="24" t="s">
        <v>109</v>
      </c>
      <c r="I916" s="32" t="s">
        <v>152</v>
      </c>
    </row>
    <row r="917" spans="1:12" x14ac:dyDescent="0.35">
      <c r="A917" s="19">
        <v>45785</v>
      </c>
      <c r="B917" s="20"/>
      <c r="C917" s="20"/>
      <c r="D917" s="20">
        <v>4000000</v>
      </c>
      <c r="E917" s="99" t="s">
        <v>588</v>
      </c>
      <c r="F917" s="20">
        <f t="shared" si="14"/>
        <v>229073023</v>
      </c>
      <c r="G917" s="7" t="s">
        <v>611</v>
      </c>
      <c r="H917" s="24" t="s">
        <v>613</v>
      </c>
      <c r="I917" s="32" t="s">
        <v>152</v>
      </c>
    </row>
    <row r="918" spans="1:12" x14ac:dyDescent="0.35">
      <c r="A918" s="19">
        <v>45785</v>
      </c>
      <c r="B918" s="20"/>
      <c r="C918" s="20"/>
      <c r="D918" s="20">
        <v>4000000</v>
      </c>
      <c r="E918" s="99" t="s">
        <v>588</v>
      </c>
      <c r="F918" s="20">
        <f t="shared" si="14"/>
        <v>233073023</v>
      </c>
      <c r="G918" s="7" t="s">
        <v>612</v>
      </c>
      <c r="H918" s="24" t="s">
        <v>613</v>
      </c>
      <c r="I918" s="32" t="s">
        <v>152</v>
      </c>
    </row>
    <row r="919" spans="1:12" x14ac:dyDescent="0.35">
      <c r="A919" s="19">
        <v>45785</v>
      </c>
      <c r="B919" s="20"/>
      <c r="C919" s="20"/>
      <c r="D919" s="20">
        <v>10000</v>
      </c>
      <c r="E919" s="99" t="s">
        <v>588</v>
      </c>
      <c r="F919" s="20">
        <f t="shared" si="14"/>
        <v>233083023</v>
      </c>
      <c r="G919" s="7" t="s">
        <v>330</v>
      </c>
      <c r="H919" s="24" t="s">
        <v>109</v>
      </c>
      <c r="I919" s="32" t="s">
        <v>152</v>
      </c>
    </row>
    <row r="920" spans="1:12" x14ac:dyDescent="0.35">
      <c r="A920" s="19">
        <v>45786</v>
      </c>
      <c r="B920" s="20"/>
      <c r="C920" s="20"/>
      <c r="D920" s="20">
        <v>50000</v>
      </c>
      <c r="E920" s="99" t="s">
        <v>617</v>
      </c>
      <c r="F920" s="20">
        <f t="shared" si="14"/>
        <v>233133023</v>
      </c>
      <c r="G920" s="7" t="s">
        <v>330</v>
      </c>
      <c r="H920" s="24" t="s">
        <v>109</v>
      </c>
      <c r="I920" s="32" t="s">
        <v>152</v>
      </c>
      <c r="K920" s="181"/>
      <c r="L920" s="181"/>
    </row>
    <row r="921" spans="1:12" x14ac:dyDescent="0.35">
      <c r="A921" s="19">
        <v>45786</v>
      </c>
      <c r="B921" s="20"/>
      <c r="C921" s="20"/>
      <c r="D921" s="20">
        <v>10000</v>
      </c>
      <c r="E921" s="99" t="s">
        <v>617</v>
      </c>
      <c r="F921" s="20">
        <f t="shared" si="14"/>
        <v>233143023</v>
      </c>
      <c r="G921" s="7" t="s">
        <v>330</v>
      </c>
      <c r="H921" s="24" t="s">
        <v>109</v>
      </c>
      <c r="I921" s="32" t="s">
        <v>152</v>
      </c>
      <c r="K921" s="181"/>
      <c r="L921" s="181"/>
    </row>
    <row r="922" spans="1:12" x14ac:dyDescent="0.35">
      <c r="A922" s="19">
        <v>45786</v>
      </c>
      <c r="B922" s="20"/>
      <c r="C922" s="20"/>
      <c r="D922" s="20">
        <v>10000000</v>
      </c>
      <c r="E922" s="99" t="s">
        <v>617</v>
      </c>
      <c r="F922" s="20">
        <f t="shared" si="14"/>
        <v>243143023</v>
      </c>
      <c r="G922" s="7" t="s">
        <v>618</v>
      </c>
      <c r="H922" s="24" t="s">
        <v>619</v>
      </c>
      <c r="I922" s="32" t="s">
        <v>152</v>
      </c>
      <c r="K922" s="181"/>
      <c r="L922" s="181"/>
    </row>
    <row r="923" spans="1:12" x14ac:dyDescent="0.35">
      <c r="A923" s="19">
        <v>45787</v>
      </c>
      <c r="B923" s="20">
        <v>750000</v>
      </c>
      <c r="C923" s="20"/>
      <c r="D923" s="20"/>
      <c r="E923" s="99" t="s">
        <v>617</v>
      </c>
      <c r="F923" s="20">
        <f t="shared" si="14"/>
        <v>242393023</v>
      </c>
      <c r="G923" s="7" t="s">
        <v>620</v>
      </c>
      <c r="H923" s="24" t="s">
        <v>323</v>
      </c>
      <c r="I923" s="32" t="s">
        <v>152</v>
      </c>
      <c r="K923" s="181"/>
      <c r="L923" s="181"/>
    </row>
    <row r="924" spans="1:12" x14ac:dyDescent="0.35">
      <c r="A924" s="19">
        <v>45787</v>
      </c>
      <c r="B924" s="20">
        <v>6500</v>
      </c>
      <c r="C924" s="20"/>
      <c r="D924" s="20"/>
      <c r="E924" s="99" t="s">
        <v>617</v>
      </c>
      <c r="F924" s="20">
        <f t="shared" si="14"/>
        <v>242386523</v>
      </c>
      <c r="G924" s="7" t="s">
        <v>621</v>
      </c>
      <c r="H924" s="24" t="s">
        <v>323</v>
      </c>
      <c r="I924" s="32" t="s">
        <v>152</v>
      </c>
      <c r="K924" s="181"/>
      <c r="L924" s="181"/>
    </row>
    <row r="925" spans="1:12" x14ac:dyDescent="0.35">
      <c r="A925" s="19">
        <v>45787</v>
      </c>
      <c r="B925" s="20"/>
      <c r="C925" s="20"/>
      <c r="D925" s="20">
        <v>25000</v>
      </c>
      <c r="E925" s="99" t="s">
        <v>617</v>
      </c>
      <c r="F925" s="20">
        <f t="shared" si="14"/>
        <v>242411523</v>
      </c>
      <c r="G925" s="7" t="s">
        <v>330</v>
      </c>
      <c r="H925" s="24" t="s">
        <v>109</v>
      </c>
      <c r="I925" s="32" t="s">
        <v>152</v>
      </c>
      <c r="K925" s="181"/>
      <c r="L925" s="181"/>
    </row>
    <row r="926" spans="1:12" x14ac:dyDescent="0.35">
      <c r="A926" s="19">
        <v>45787</v>
      </c>
      <c r="B926" s="20"/>
      <c r="C926" s="20"/>
      <c r="D926" s="20">
        <v>10000</v>
      </c>
      <c r="E926" s="99" t="s">
        <v>617</v>
      </c>
      <c r="F926" s="20">
        <f t="shared" si="14"/>
        <v>242421523</v>
      </c>
      <c r="G926" s="7" t="s">
        <v>330</v>
      </c>
      <c r="H926" s="24" t="s">
        <v>109</v>
      </c>
      <c r="I926" s="32" t="s">
        <v>152</v>
      </c>
      <c r="K926" s="181"/>
      <c r="L926" s="181"/>
    </row>
    <row r="927" spans="1:12" x14ac:dyDescent="0.35">
      <c r="A927" s="19">
        <v>45787</v>
      </c>
      <c r="B927" s="20"/>
      <c r="C927" s="20"/>
      <c r="D927" s="20">
        <v>100000</v>
      </c>
      <c r="E927" s="99" t="s">
        <v>617</v>
      </c>
      <c r="F927" s="20">
        <f t="shared" si="14"/>
        <v>242521523</v>
      </c>
      <c r="G927" s="7" t="s">
        <v>330</v>
      </c>
      <c r="H927" s="24" t="s">
        <v>109</v>
      </c>
      <c r="I927" s="32" t="s">
        <v>152</v>
      </c>
      <c r="K927" s="181"/>
      <c r="L927" s="181"/>
    </row>
    <row r="928" spans="1:12" x14ac:dyDescent="0.35">
      <c r="A928" s="19">
        <v>45787</v>
      </c>
      <c r="B928" s="20"/>
      <c r="C928" s="20"/>
      <c r="D928" s="20">
        <v>10000</v>
      </c>
      <c r="E928" s="99" t="s">
        <v>617</v>
      </c>
      <c r="F928" s="20">
        <f t="shared" si="14"/>
        <v>242531523</v>
      </c>
      <c r="G928" s="7" t="s">
        <v>330</v>
      </c>
      <c r="H928" s="24" t="s">
        <v>109</v>
      </c>
      <c r="I928" s="32" t="s">
        <v>152</v>
      </c>
      <c r="K928" s="181"/>
      <c r="L928" s="181"/>
    </row>
    <row r="929" spans="1:12" x14ac:dyDescent="0.35">
      <c r="A929" s="19">
        <v>45787</v>
      </c>
      <c r="B929" s="20"/>
      <c r="C929" s="20"/>
      <c r="D929" s="20">
        <v>50000</v>
      </c>
      <c r="E929" s="99" t="s">
        <v>617</v>
      </c>
      <c r="F929" s="20">
        <f t="shared" si="14"/>
        <v>242581523</v>
      </c>
      <c r="G929" s="7" t="s">
        <v>330</v>
      </c>
      <c r="H929" s="24" t="s">
        <v>109</v>
      </c>
      <c r="I929" s="32" t="s">
        <v>152</v>
      </c>
      <c r="K929" s="181"/>
      <c r="L929" s="181"/>
    </row>
    <row r="930" spans="1:12" x14ac:dyDescent="0.35">
      <c r="A930" s="19">
        <v>45787</v>
      </c>
      <c r="B930" s="20"/>
      <c r="C930" s="20"/>
      <c r="D930" s="20">
        <v>40000</v>
      </c>
      <c r="E930" s="99" t="s">
        <v>617</v>
      </c>
      <c r="F930" s="20">
        <f t="shared" si="14"/>
        <v>242621523</v>
      </c>
      <c r="G930" s="7" t="s">
        <v>330</v>
      </c>
      <c r="H930" s="24" t="s">
        <v>109</v>
      </c>
      <c r="I930" s="32" t="s">
        <v>152</v>
      </c>
      <c r="K930" s="181"/>
      <c r="L930" s="181"/>
    </row>
    <row r="931" spans="1:12" x14ac:dyDescent="0.35">
      <c r="A931" s="19">
        <v>45787</v>
      </c>
      <c r="B931" s="20"/>
      <c r="C931" s="20"/>
      <c r="D931" s="20">
        <v>250000</v>
      </c>
      <c r="E931" s="99" t="s">
        <v>617</v>
      </c>
      <c r="F931" s="20">
        <f t="shared" si="14"/>
        <v>242871523</v>
      </c>
      <c r="G931" s="7" t="s">
        <v>330</v>
      </c>
      <c r="H931" s="24" t="s">
        <v>109</v>
      </c>
      <c r="I931" s="32" t="s">
        <v>152</v>
      </c>
      <c r="K931" s="181"/>
      <c r="L931" s="181"/>
    </row>
    <row r="932" spans="1:12" x14ac:dyDescent="0.35">
      <c r="A932" s="19">
        <v>45787</v>
      </c>
      <c r="B932" s="20"/>
      <c r="C932" s="20"/>
      <c r="D932" s="20">
        <v>5000000</v>
      </c>
      <c r="E932" s="99" t="s">
        <v>617</v>
      </c>
      <c r="F932" s="20">
        <f t="shared" si="14"/>
        <v>247871523</v>
      </c>
      <c r="G932" s="7" t="s">
        <v>618</v>
      </c>
      <c r="H932" s="24" t="s">
        <v>619</v>
      </c>
      <c r="I932" s="32" t="s">
        <v>152</v>
      </c>
      <c r="K932" s="181"/>
      <c r="L932" s="181"/>
    </row>
    <row r="933" spans="1:12" x14ac:dyDescent="0.35">
      <c r="A933" s="19">
        <v>45787</v>
      </c>
      <c r="B933" s="20">
        <v>1000000</v>
      </c>
      <c r="C933" s="20"/>
      <c r="D933" s="20"/>
      <c r="E933" s="99" t="s">
        <v>617</v>
      </c>
      <c r="F933" s="20">
        <f t="shared" si="14"/>
        <v>246871523</v>
      </c>
      <c r="G933" s="7" t="s">
        <v>622</v>
      </c>
      <c r="H933" s="24" t="s">
        <v>323</v>
      </c>
      <c r="I933" s="32" t="s">
        <v>152</v>
      </c>
      <c r="K933" s="181"/>
      <c r="L933" s="181"/>
    </row>
    <row r="934" spans="1:12" x14ac:dyDescent="0.35">
      <c r="A934" s="19">
        <v>45787</v>
      </c>
      <c r="B934" s="20">
        <v>6500</v>
      </c>
      <c r="C934" s="20"/>
      <c r="D934" s="20"/>
      <c r="E934" s="99" t="s">
        <v>617</v>
      </c>
      <c r="F934" s="20">
        <f t="shared" si="14"/>
        <v>246865023</v>
      </c>
      <c r="G934" s="7" t="s">
        <v>623</v>
      </c>
      <c r="H934" s="24" t="s">
        <v>323</v>
      </c>
      <c r="I934" s="32" t="s">
        <v>152</v>
      </c>
      <c r="K934" s="181"/>
      <c r="L934" s="181"/>
    </row>
    <row r="935" spans="1:12" x14ac:dyDescent="0.35">
      <c r="A935" s="19">
        <v>45787</v>
      </c>
      <c r="B935" s="20">
        <v>1003000</v>
      </c>
      <c r="C935" s="20"/>
      <c r="D935" s="20"/>
      <c r="E935" s="99" t="s">
        <v>617</v>
      </c>
      <c r="F935" s="20">
        <f t="shared" si="14"/>
        <v>245862023</v>
      </c>
      <c r="G935" s="7" t="s">
        <v>622</v>
      </c>
      <c r="H935" s="24" t="s">
        <v>323</v>
      </c>
      <c r="I935" s="32" t="s">
        <v>152</v>
      </c>
      <c r="K935" s="181"/>
      <c r="L935" s="181"/>
    </row>
    <row r="936" spans="1:12" x14ac:dyDescent="0.35">
      <c r="A936" s="19">
        <v>45787</v>
      </c>
      <c r="B936" s="20">
        <v>6500</v>
      </c>
      <c r="C936" s="20"/>
      <c r="D936" s="20"/>
      <c r="E936" s="99" t="s">
        <v>617</v>
      </c>
      <c r="F936" s="20">
        <f t="shared" si="14"/>
        <v>245855523</v>
      </c>
      <c r="G936" s="7" t="s">
        <v>623</v>
      </c>
      <c r="H936" s="24" t="s">
        <v>323</v>
      </c>
      <c r="I936" s="32" t="s">
        <v>152</v>
      </c>
      <c r="K936" s="181"/>
      <c r="L936" s="181"/>
    </row>
    <row r="937" spans="1:12" x14ac:dyDescent="0.35">
      <c r="A937" s="19">
        <v>45787</v>
      </c>
      <c r="B937" s="20">
        <v>750000</v>
      </c>
      <c r="C937" s="20"/>
      <c r="D937" s="20"/>
      <c r="E937" s="99" t="s">
        <v>617</v>
      </c>
      <c r="F937" s="20">
        <f t="shared" si="14"/>
        <v>245105523</v>
      </c>
      <c r="G937" s="7" t="s">
        <v>622</v>
      </c>
      <c r="H937" s="24" t="s">
        <v>323</v>
      </c>
      <c r="I937" s="32" t="s">
        <v>152</v>
      </c>
      <c r="K937" s="181"/>
      <c r="L937" s="181"/>
    </row>
    <row r="938" spans="1:12" x14ac:dyDescent="0.35">
      <c r="A938" s="19">
        <v>45787</v>
      </c>
      <c r="B938" s="20">
        <v>6500</v>
      </c>
      <c r="C938" s="20"/>
      <c r="D938" s="20"/>
      <c r="E938" s="99" t="s">
        <v>617</v>
      </c>
      <c r="F938" s="20">
        <f t="shared" si="14"/>
        <v>245099023</v>
      </c>
      <c r="G938" s="7" t="s">
        <v>623</v>
      </c>
      <c r="H938" s="24" t="s">
        <v>323</v>
      </c>
      <c r="I938" s="32" t="s">
        <v>152</v>
      </c>
      <c r="K938" s="181"/>
      <c r="L938" s="181"/>
    </row>
    <row r="939" spans="1:12" x14ac:dyDescent="0.35">
      <c r="A939" s="19">
        <v>45787</v>
      </c>
      <c r="B939" s="20">
        <v>750000</v>
      </c>
      <c r="C939" s="20"/>
      <c r="D939" s="20"/>
      <c r="E939" s="99" t="s">
        <v>617</v>
      </c>
      <c r="F939" s="20">
        <f t="shared" si="14"/>
        <v>244349023</v>
      </c>
      <c r="G939" s="7" t="s">
        <v>622</v>
      </c>
      <c r="H939" s="24" t="s">
        <v>323</v>
      </c>
      <c r="I939" s="32" t="s">
        <v>152</v>
      </c>
      <c r="K939" s="181"/>
      <c r="L939" s="181"/>
    </row>
    <row r="940" spans="1:12" x14ac:dyDescent="0.35">
      <c r="A940" s="19">
        <v>45787</v>
      </c>
      <c r="B940" s="20">
        <v>6500</v>
      </c>
      <c r="C940" s="20"/>
      <c r="D940" s="20"/>
      <c r="E940" s="99" t="s">
        <v>617</v>
      </c>
      <c r="F940" s="20">
        <f t="shared" si="14"/>
        <v>244342523</v>
      </c>
      <c r="G940" s="7" t="s">
        <v>623</v>
      </c>
      <c r="H940" s="24" t="s">
        <v>323</v>
      </c>
      <c r="I940" s="32" t="s">
        <v>152</v>
      </c>
      <c r="K940" s="181"/>
      <c r="L940" s="181"/>
    </row>
    <row r="941" spans="1:12" x14ac:dyDescent="0.35">
      <c r="A941" s="19">
        <v>45787</v>
      </c>
      <c r="B941" s="20"/>
      <c r="C941" s="20"/>
      <c r="D941" s="20">
        <v>5000000</v>
      </c>
      <c r="E941" s="99" t="s">
        <v>617</v>
      </c>
      <c r="F941" s="20">
        <f t="shared" si="14"/>
        <v>249342523</v>
      </c>
      <c r="G941" s="7" t="s">
        <v>618</v>
      </c>
      <c r="H941" s="24" t="s">
        <v>619</v>
      </c>
      <c r="I941" s="32" t="s">
        <v>152</v>
      </c>
      <c r="K941" s="181"/>
      <c r="L941" s="181"/>
    </row>
    <row r="942" spans="1:12" x14ac:dyDescent="0.35">
      <c r="A942" s="19">
        <v>45787</v>
      </c>
      <c r="B942" s="20"/>
      <c r="C942" s="20"/>
      <c r="D942" s="20">
        <v>5000000</v>
      </c>
      <c r="E942" s="99" t="s">
        <v>617</v>
      </c>
      <c r="F942" s="20">
        <f t="shared" si="14"/>
        <v>254342523</v>
      </c>
      <c r="G942" s="7" t="s">
        <v>618</v>
      </c>
      <c r="H942" s="24" t="s">
        <v>619</v>
      </c>
      <c r="I942" s="32" t="s">
        <v>152</v>
      </c>
      <c r="K942" s="181"/>
      <c r="L942" s="181"/>
    </row>
    <row r="943" spans="1:12" x14ac:dyDescent="0.35">
      <c r="A943" s="19">
        <v>45787</v>
      </c>
      <c r="B943" s="20"/>
      <c r="C943" s="20"/>
      <c r="D943" s="20">
        <v>5000000</v>
      </c>
      <c r="E943" s="99" t="s">
        <v>617</v>
      </c>
      <c r="F943" s="20">
        <f t="shared" si="14"/>
        <v>259342523</v>
      </c>
      <c r="G943" s="7" t="s">
        <v>618</v>
      </c>
      <c r="H943" s="24" t="s">
        <v>619</v>
      </c>
      <c r="I943" s="32" t="s">
        <v>152</v>
      </c>
      <c r="K943" s="181"/>
      <c r="L943" s="181"/>
    </row>
    <row r="944" spans="1:12" x14ac:dyDescent="0.35">
      <c r="A944" s="19">
        <v>45787</v>
      </c>
      <c r="B944" s="20"/>
      <c r="C944" s="20"/>
      <c r="D944" s="20">
        <v>5000000</v>
      </c>
      <c r="E944" s="99" t="s">
        <v>617</v>
      </c>
      <c r="F944" s="20">
        <f t="shared" si="14"/>
        <v>264342523</v>
      </c>
      <c r="G944" s="7" t="s">
        <v>618</v>
      </c>
      <c r="H944" s="24" t="s">
        <v>619</v>
      </c>
      <c r="I944" s="32" t="s">
        <v>152</v>
      </c>
      <c r="K944" s="181"/>
      <c r="L944" s="181"/>
    </row>
    <row r="945" spans="1:12" x14ac:dyDescent="0.35">
      <c r="A945" s="19">
        <v>45788</v>
      </c>
      <c r="B945" s="20">
        <v>750000</v>
      </c>
      <c r="C945" s="20"/>
      <c r="D945" s="20"/>
      <c r="E945" s="99" t="s">
        <v>617</v>
      </c>
      <c r="F945" s="20">
        <f t="shared" si="14"/>
        <v>263592523</v>
      </c>
      <c r="G945" s="7" t="s">
        <v>624</v>
      </c>
      <c r="H945" s="24" t="s">
        <v>323</v>
      </c>
      <c r="I945" s="32" t="s">
        <v>152</v>
      </c>
      <c r="K945" s="181"/>
      <c r="L945" s="181"/>
    </row>
    <row r="946" spans="1:12" x14ac:dyDescent="0.35">
      <c r="A946" s="19">
        <v>45788</v>
      </c>
      <c r="B946" s="20"/>
      <c r="C946" s="20"/>
      <c r="D946" s="20">
        <v>10000</v>
      </c>
      <c r="E946" s="99" t="s">
        <v>617</v>
      </c>
      <c r="F946" s="20">
        <f t="shared" si="14"/>
        <v>263602523</v>
      </c>
      <c r="G946" s="7" t="s">
        <v>330</v>
      </c>
      <c r="H946" s="24" t="s">
        <v>109</v>
      </c>
      <c r="I946" s="32" t="s">
        <v>152</v>
      </c>
      <c r="K946" s="181"/>
      <c r="L946" s="181"/>
    </row>
    <row r="947" spans="1:12" x14ac:dyDescent="0.35">
      <c r="A947" s="19">
        <v>45788</v>
      </c>
      <c r="B947" s="20"/>
      <c r="C947" s="20"/>
      <c r="D947" s="20">
        <v>10000</v>
      </c>
      <c r="E947" s="99" t="s">
        <v>617</v>
      </c>
      <c r="F947" s="20">
        <f t="shared" si="14"/>
        <v>263612523</v>
      </c>
      <c r="G947" s="7" t="s">
        <v>330</v>
      </c>
      <c r="H947" s="24" t="s">
        <v>109</v>
      </c>
      <c r="I947" s="32" t="s">
        <v>152</v>
      </c>
      <c r="K947" s="181"/>
      <c r="L947" s="181"/>
    </row>
    <row r="948" spans="1:12" x14ac:dyDescent="0.35">
      <c r="A948" s="19">
        <v>45788</v>
      </c>
      <c r="B948" s="20"/>
      <c r="C948" s="20"/>
      <c r="D948" s="20">
        <v>20000</v>
      </c>
      <c r="E948" s="99" t="s">
        <v>617</v>
      </c>
      <c r="F948" s="20">
        <f t="shared" si="14"/>
        <v>263632523</v>
      </c>
      <c r="G948" s="7" t="s">
        <v>330</v>
      </c>
      <c r="H948" s="24" t="s">
        <v>109</v>
      </c>
      <c r="I948" s="32" t="s">
        <v>152</v>
      </c>
      <c r="K948" s="181"/>
      <c r="L948" s="181"/>
    </row>
    <row r="949" spans="1:12" x14ac:dyDescent="0.35">
      <c r="A949" s="19">
        <v>45788</v>
      </c>
      <c r="B949" s="20"/>
      <c r="C949" s="20"/>
      <c r="D949" s="20">
        <v>4500000</v>
      </c>
      <c r="E949" s="99" t="s">
        <v>617</v>
      </c>
      <c r="F949" s="20">
        <f t="shared" si="14"/>
        <v>268132523</v>
      </c>
      <c r="G949" s="7" t="s">
        <v>618</v>
      </c>
      <c r="H949" s="24" t="s">
        <v>619</v>
      </c>
      <c r="I949" s="32" t="s">
        <v>152</v>
      </c>
      <c r="K949" s="181"/>
      <c r="L949" s="181"/>
    </row>
    <row r="950" spans="1:12" x14ac:dyDescent="0.35">
      <c r="A950" s="19">
        <v>45788</v>
      </c>
      <c r="B950" s="20"/>
      <c r="C950" s="20"/>
      <c r="D950" s="20">
        <v>20000000</v>
      </c>
      <c r="E950" s="99" t="s">
        <v>617</v>
      </c>
      <c r="F950" s="20">
        <f t="shared" si="14"/>
        <v>288132523</v>
      </c>
      <c r="G950" s="7" t="s">
        <v>618</v>
      </c>
      <c r="H950" s="24" t="s">
        <v>619</v>
      </c>
      <c r="I950" s="32" t="s">
        <v>152</v>
      </c>
      <c r="K950" s="181"/>
      <c r="L950" s="181"/>
    </row>
    <row r="951" spans="1:12" x14ac:dyDescent="0.35">
      <c r="A951" s="19">
        <v>45788</v>
      </c>
      <c r="B951" s="20"/>
      <c r="C951" s="20"/>
      <c r="D951" s="20">
        <v>8500000</v>
      </c>
      <c r="E951" s="99" t="s">
        <v>617</v>
      </c>
      <c r="F951" s="20">
        <f t="shared" si="14"/>
        <v>296632523</v>
      </c>
      <c r="G951" s="7" t="s">
        <v>618</v>
      </c>
      <c r="H951" s="24" t="s">
        <v>619</v>
      </c>
      <c r="I951" s="32" t="s">
        <v>152</v>
      </c>
      <c r="K951" s="181"/>
      <c r="L951" s="181"/>
    </row>
    <row r="952" spans="1:12" x14ac:dyDescent="0.35">
      <c r="A952" s="19">
        <v>45788</v>
      </c>
      <c r="B952" s="20"/>
      <c r="C952" s="20"/>
      <c r="D952" s="20">
        <v>5000000</v>
      </c>
      <c r="E952" s="99" t="s">
        <v>617</v>
      </c>
      <c r="F952" s="20">
        <f t="shared" si="14"/>
        <v>301632523</v>
      </c>
      <c r="G952" s="7" t="s">
        <v>618</v>
      </c>
      <c r="H952" s="24" t="s">
        <v>619</v>
      </c>
      <c r="I952" s="32" t="s">
        <v>152</v>
      </c>
      <c r="K952" s="181"/>
      <c r="L952" s="181"/>
    </row>
    <row r="953" spans="1:12" x14ac:dyDescent="0.35">
      <c r="A953" s="19">
        <v>45789</v>
      </c>
      <c r="B953" s="20"/>
      <c r="C953" s="20"/>
      <c r="D953" s="20">
        <v>5000000</v>
      </c>
      <c r="E953" s="99" t="s">
        <v>617</v>
      </c>
      <c r="F953" s="20">
        <f t="shared" si="14"/>
        <v>306632523</v>
      </c>
      <c r="G953" s="7" t="s">
        <v>618</v>
      </c>
      <c r="H953" s="24" t="s">
        <v>619</v>
      </c>
      <c r="I953" s="32" t="s">
        <v>152</v>
      </c>
      <c r="K953" s="181"/>
      <c r="L953" s="181"/>
    </row>
    <row r="954" spans="1:12" x14ac:dyDescent="0.35">
      <c r="A954" s="19">
        <v>45789</v>
      </c>
      <c r="B954" s="20"/>
      <c r="C954" s="20"/>
      <c r="D954" s="20">
        <v>25000</v>
      </c>
      <c r="E954" s="99" t="s">
        <v>617</v>
      </c>
      <c r="F954" s="20">
        <f t="shared" si="14"/>
        <v>306657523</v>
      </c>
      <c r="G954" s="7" t="s">
        <v>330</v>
      </c>
      <c r="H954" s="24" t="s">
        <v>109</v>
      </c>
      <c r="I954" s="32" t="s">
        <v>152</v>
      </c>
      <c r="K954" s="181"/>
      <c r="L954" s="181"/>
    </row>
    <row r="955" spans="1:12" x14ac:dyDescent="0.35">
      <c r="A955" s="19">
        <v>45789</v>
      </c>
      <c r="B955" s="20"/>
      <c r="C955" s="20"/>
      <c r="D955" s="20">
        <v>5000000</v>
      </c>
      <c r="E955" s="99" t="s">
        <v>617</v>
      </c>
      <c r="F955" s="20">
        <f t="shared" si="14"/>
        <v>311657523</v>
      </c>
      <c r="G955" s="7" t="s">
        <v>618</v>
      </c>
      <c r="H955" s="24" t="s">
        <v>619</v>
      </c>
      <c r="I955" s="32" t="s">
        <v>152</v>
      </c>
      <c r="K955" s="181"/>
      <c r="L955" s="181"/>
    </row>
    <row r="956" spans="1:12" x14ac:dyDescent="0.35">
      <c r="A956" s="19">
        <v>45789</v>
      </c>
      <c r="B956" s="20"/>
      <c r="C956" s="20"/>
      <c r="D956" s="20">
        <v>1750000</v>
      </c>
      <c r="E956" s="99" t="s">
        <v>617</v>
      </c>
      <c r="F956" s="20">
        <f t="shared" si="14"/>
        <v>313407523</v>
      </c>
      <c r="G956" s="7" t="s">
        <v>618</v>
      </c>
      <c r="H956" s="24" t="s">
        <v>619</v>
      </c>
      <c r="I956" s="32" t="s">
        <v>152</v>
      </c>
      <c r="K956" s="181"/>
      <c r="L956" s="181"/>
    </row>
    <row r="957" spans="1:12" x14ac:dyDescent="0.35">
      <c r="A957" s="19">
        <v>45789</v>
      </c>
      <c r="B957" s="20"/>
      <c r="C957" s="20"/>
      <c r="D957" s="20">
        <v>10500000</v>
      </c>
      <c r="E957" s="99" t="s">
        <v>617</v>
      </c>
      <c r="F957" s="20">
        <f t="shared" si="14"/>
        <v>323907523</v>
      </c>
      <c r="G957" s="7" t="s">
        <v>618</v>
      </c>
      <c r="H957" s="24" t="s">
        <v>619</v>
      </c>
      <c r="I957" s="32" t="s">
        <v>152</v>
      </c>
      <c r="K957" s="181"/>
      <c r="L957" s="181"/>
    </row>
    <row r="958" spans="1:12" x14ac:dyDescent="0.35">
      <c r="A958" s="19">
        <v>45789</v>
      </c>
      <c r="B958" s="20"/>
      <c r="C958" s="20"/>
      <c r="D958" s="20">
        <v>5000000</v>
      </c>
      <c r="E958" s="99" t="s">
        <v>617</v>
      </c>
      <c r="F958" s="20">
        <f t="shared" si="14"/>
        <v>328907523</v>
      </c>
      <c r="G958" s="7" t="s">
        <v>618</v>
      </c>
      <c r="H958" s="24" t="s">
        <v>619</v>
      </c>
      <c r="I958" s="32" t="s">
        <v>152</v>
      </c>
      <c r="K958" s="181"/>
      <c r="L958" s="181"/>
    </row>
    <row r="959" spans="1:12" x14ac:dyDescent="0.35">
      <c r="A959" s="19">
        <v>45790</v>
      </c>
      <c r="B959" s="20"/>
      <c r="C959" s="20"/>
      <c r="D959" s="20">
        <v>500000</v>
      </c>
      <c r="E959" s="99" t="s">
        <v>617</v>
      </c>
      <c r="F959" s="20">
        <f t="shared" si="14"/>
        <v>329407523</v>
      </c>
      <c r="G959" s="7" t="s">
        <v>330</v>
      </c>
      <c r="H959" s="24" t="s">
        <v>109</v>
      </c>
      <c r="I959" s="32" t="s">
        <v>152</v>
      </c>
      <c r="K959" s="181"/>
      <c r="L959" s="181"/>
    </row>
    <row r="960" spans="1:12" x14ac:dyDescent="0.35">
      <c r="A960" s="19">
        <v>45790</v>
      </c>
      <c r="B960" s="20"/>
      <c r="C960" s="20"/>
      <c r="D960" s="20">
        <v>3500000</v>
      </c>
      <c r="E960" s="99" t="s">
        <v>617</v>
      </c>
      <c r="F960" s="20">
        <f t="shared" si="14"/>
        <v>332907523</v>
      </c>
      <c r="G960" s="7" t="s">
        <v>618</v>
      </c>
      <c r="H960" s="24" t="s">
        <v>619</v>
      </c>
      <c r="I960" s="32" t="s">
        <v>152</v>
      </c>
      <c r="K960" s="181"/>
      <c r="L960" s="181"/>
    </row>
    <row r="961" spans="1:12" x14ac:dyDescent="0.35">
      <c r="A961" s="19">
        <v>45790</v>
      </c>
      <c r="B961" s="20"/>
      <c r="C961" s="20"/>
      <c r="D961" s="20">
        <v>5000000</v>
      </c>
      <c r="E961" s="99" t="s">
        <v>617</v>
      </c>
      <c r="F961" s="20">
        <f t="shared" si="14"/>
        <v>337907523</v>
      </c>
      <c r="G961" s="7" t="s">
        <v>618</v>
      </c>
      <c r="H961" s="24" t="s">
        <v>619</v>
      </c>
      <c r="I961" s="32" t="s">
        <v>152</v>
      </c>
      <c r="K961" s="181"/>
      <c r="L961" s="181"/>
    </row>
    <row r="962" spans="1:12" x14ac:dyDescent="0.35">
      <c r="A962" s="19">
        <v>45790</v>
      </c>
      <c r="B962" s="20"/>
      <c r="C962" s="20"/>
      <c r="D962" s="20">
        <v>4000000</v>
      </c>
      <c r="E962" s="99" t="s">
        <v>617</v>
      </c>
      <c r="F962" s="20">
        <f t="shared" si="14"/>
        <v>341907523</v>
      </c>
      <c r="G962" s="7" t="s">
        <v>618</v>
      </c>
      <c r="H962" s="24" t="s">
        <v>619</v>
      </c>
      <c r="I962" s="32" t="s">
        <v>152</v>
      </c>
      <c r="K962" s="181"/>
      <c r="L962" s="181"/>
    </row>
    <row r="963" spans="1:12" x14ac:dyDescent="0.35">
      <c r="A963" s="19">
        <v>45791</v>
      </c>
      <c r="B963" s="20"/>
      <c r="C963" s="20"/>
      <c r="D963" s="20">
        <v>4500000</v>
      </c>
      <c r="E963" s="99" t="s">
        <v>617</v>
      </c>
      <c r="F963" s="20">
        <f t="shared" si="14"/>
        <v>346407523</v>
      </c>
      <c r="G963" s="7" t="s">
        <v>618</v>
      </c>
      <c r="H963" s="24" t="s">
        <v>619</v>
      </c>
      <c r="I963" s="32" t="s">
        <v>152</v>
      </c>
      <c r="K963" s="181"/>
      <c r="L963" s="181"/>
    </row>
    <row r="964" spans="1:12" x14ac:dyDescent="0.35">
      <c r="A964" s="19">
        <v>45791</v>
      </c>
      <c r="B964" s="20"/>
      <c r="C964" s="20"/>
      <c r="D964" s="20">
        <v>350000</v>
      </c>
      <c r="E964" s="99" t="s">
        <v>617</v>
      </c>
      <c r="F964" s="20">
        <f t="shared" si="14"/>
        <v>346757523</v>
      </c>
      <c r="G964" s="7" t="s">
        <v>330</v>
      </c>
      <c r="H964" s="24" t="s">
        <v>109</v>
      </c>
      <c r="I964" s="32" t="s">
        <v>152</v>
      </c>
      <c r="K964" s="181"/>
      <c r="L964" s="181"/>
    </row>
    <row r="965" spans="1:12" x14ac:dyDescent="0.35">
      <c r="A965" s="19">
        <v>45791</v>
      </c>
      <c r="B965" s="20"/>
      <c r="C965" s="20"/>
      <c r="D965" s="20">
        <v>28000000</v>
      </c>
      <c r="E965" s="99" t="s">
        <v>617</v>
      </c>
      <c r="F965" s="20">
        <f t="shared" si="14"/>
        <v>374757523</v>
      </c>
      <c r="G965" s="7" t="s">
        <v>618</v>
      </c>
      <c r="H965" s="24" t="s">
        <v>619</v>
      </c>
      <c r="I965" s="32" t="s">
        <v>152</v>
      </c>
      <c r="K965" s="181"/>
      <c r="L965" s="181"/>
    </row>
    <row r="966" spans="1:12" x14ac:dyDescent="0.35">
      <c r="A966" s="19">
        <v>45791</v>
      </c>
      <c r="B966" s="20"/>
      <c r="C966" s="20"/>
      <c r="D966" s="23">
        <v>3162000</v>
      </c>
      <c r="E966" s="99" t="s">
        <v>617</v>
      </c>
      <c r="F966" s="20">
        <f t="shared" si="14"/>
        <v>377919523</v>
      </c>
      <c r="G966" s="24"/>
      <c r="H966" s="24" t="s">
        <v>107</v>
      </c>
      <c r="I966" s="32" t="s">
        <v>152</v>
      </c>
      <c r="K966" s="181"/>
      <c r="L966" s="181"/>
    </row>
    <row r="967" spans="1:12" x14ac:dyDescent="0.35">
      <c r="A967" s="19">
        <v>45791</v>
      </c>
      <c r="B967" s="20"/>
      <c r="C967" s="20"/>
      <c r="D967" s="23">
        <v>569000</v>
      </c>
      <c r="E967" s="99" t="s">
        <v>617</v>
      </c>
      <c r="F967" s="20">
        <f t="shared" si="14"/>
        <v>378488523</v>
      </c>
      <c r="G967" s="24"/>
      <c r="H967" s="24" t="s">
        <v>109</v>
      </c>
      <c r="I967" s="32" t="s">
        <v>152</v>
      </c>
      <c r="K967" s="181"/>
      <c r="L967" s="181"/>
    </row>
    <row r="968" spans="1:12" x14ac:dyDescent="0.35">
      <c r="A968" s="19"/>
      <c r="B968" s="20"/>
      <c r="C968" s="20">
        <v>3731000</v>
      </c>
      <c r="D968" s="20"/>
      <c r="E968" s="99" t="s">
        <v>617</v>
      </c>
      <c r="F968" s="20">
        <f t="shared" si="14"/>
        <v>378488523</v>
      </c>
      <c r="G968" s="7" t="s">
        <v>625</v>
      </c>
      <c r="H968" s="24"/>
      <c r="I968" s="32"/>
      <c r="K968" s="181"/>
      <c r="L968" s="181"/>
    </row>
    <row r="969" spans="1:12" x14ac:dyDescent="0.35">
      <c r="A969" s="19">
        <v>45791</v>
      </c>
      <c r="B969" s="20"/>
      <c r="C969" s="20"/>
      <c r="D969" s="20">
        <v>4500000</v>
      </c>
      <c r="E969" s="99" t="s">
        <v>617</v>
      </c>
      <c r="F969" s="20">
        <f t="shared" si="14"/>
        <v>382988523</v>
      </c>
      <c r="G969" s="7" t="s">
        <v>618</v>
      </c>
      <c r="H969" s="24" t="s">
        <v>619</v>
      </c>
      <c r="I969" s="32" t="s">
        <v>152</v>
      </c>
      <c r="K969" s="181"/>
      <c r="L969" s="181"/>
    </row>
    <row r="970" spans="1:12" x14ac:dyDescent="0.35">
      <c r="A970" s="19">
        <v>45791</v>
      </c>
      <c r="B970" s="20"/>
      <c r="C970" s="20"/>
      <c r="D970" s="20">
        <v>4000000</v>
      </c>
      <c r="E970" s="99" t="s">
        <v>617</v>
      </c>
      <c r="F970" s="20">
        <f t="shared" si="14"/>
        <v>386988523</v>
      </c>
      <c r="G970" s="7" t="s">
        <v>618</v>
      </c>
      <c r="H970" s="24" t="s">
        <v>619</v>
      </c>
      <c r="I970" s="32" t="s">
        <v>152</v>
      </c>
      <c r="K970" s="181"/>
      <c r="L970" s="181"/>
    </row>
    <row r="971" spans="1:12" x14ac:dyDescent="0.35">
      <c r="A971" s="19">
        <v>45791</v>
      </c>
      <c r="B971" s="20"/>
      <c r="C971" s="20"/>
      <c r="D971" s="20">
        <v>3500000</v>
      </c>
      <c r="E971" s="99" t="s">
        <v>617</v>
      </c>
      <c r="F971" s="20">
        <f t="shared" si="14"/>
        <v>390488523</v>
      </c>
      <c r="G971" s="7" t="s">
        <v>618</v>
      </c>
      <c r="H971" s="24" t="s">
        <v>619</v>
      </c>
      <c r="I971" s="32" t="s">
        <v>152</v>
      </c>
      <c r="K971" s="181"/>
      <c r="L971" s="181"/>
    </row>
    <row r="972" spans="1:12" x14ac:dyDescent="0.35">
      <c r="A972" s="19">
        <v>45791</v>
      </c>
      <c r="B972" s="20"/>
      <c r="C972" s="20"/>
      <c r="D972" s="20">
        <v>4000000</v>
      </c>
      <c r="E972" s="99" t="s">
        <v>617</v>
      </c>
      <c r="F972" s="20">
        <f t="shared" si="14"/>
        <v>394488523</v>
      </c>
      <c r="G972" s="7" t="s">
        <v>618</v>
      </c>
      <c r="H972" s="24" t="s">
        <v>619</v>
      </c>
      <c r="I972" s="32" t="s">
        <v>152</v>
      </c>
      <c r="K972" s="181"/>
      <c r="L972" s="181"/>
    </row>
    <row r="973" spans="1:12" x14ac:dyDescent="0.35">
      <c r="A973" s="19">
        <v>45792</v>
      </c>
      <c r="B973" s="20"/>
      <c r="C973" s="20"/>
      <c r="D973" s="20">
        <v>50000</v>
      </c>
      <c r="E973" s="99" t="s">
        <v>617</v>
      </c>
      <c r="F973" s="20">
        <f t="shared" si="14"/>
        <v>394538523</v>
      </c>
      <c r="G973" s="7" t="s">
        <v>330</v>
      </c>
      <c r="H973" s="24" t="s">
        <v>109</v>
      </c>
      <c r="I973" s="32" t="s">
        <v>152</v>
      </c>
      <c r="K973" s="181"/>
      <c r="L973" s="181"/>
    </row>
    <row r="974" spans="1:12" x14ac:dyDescent="0.35">
      <c r="A974" s="19">
        <v>45792</v>
      </c>
      <c r="B974" s="20"/>
      <c r="C974" s="20"/>
      <c r="D974" s="20">
        <v>10000</v>
      </c>
      <c r="E974" s="99" t="s">
        <v>617</v>
      </c>
      <c r="F974" s="20">
        <f t="shared" si="14"/>
        <v>394548523</v>
      </c>
      <c r="G974" s="7" t="s">
        <v>330</v>
      </c>
      <c r="H974" s="24" t="s">
        <v>109</v>
      </c>
      <c r="I974" s="32" t="s">
        <v>152</v>
      </c>
      <c r="K974" s="181"/>
      <c r="L974" s="181"/>
    </row>
    <row r="975" spans="1:12" x14ac:dyDescent="0.35">
      <c r="A975" s="19">
        <v>45792</v>
      </c>
      <c r="B975" s="20"/>
      <c r="C975" s="20"/>
      <c r="D975" s="20">
        <v>10000</v>
      </c>
      <c r="E975" s="99" t="s">
        <v>617</v>
      </c>
      <c r="F975" s="20">
        <f t="shared" si="14"/>
        <v>394558523</v>
      </c>
      <c r="G975" s="7" t="s">
        <v>330</v>
      </c>
      <c r="H975" s="24" t="s">
        <v>109</v>
      </c>
      <c r="I975" s="32" t="s">
        <v>152</v>
      </c>
      <c r="K975" s="181"/>
      <c r="L975" s="181"/>
    </row>
    <row r="976" spans="1:12" x14ac:dyDescent="0.35">
      <c r="A976" s="19">
        <v>45792</v>
      </c>
      <c r="B976" s="20"/>
      <c r="C976" s="20"/>
      <c r="D976" s="20">
        <v>4000000</v>
      </c>
      <c r="E976" s="99" t="s">
        <v>617</v>
      </c>
      <c r="F976" s="20">
        <f t="shared" ref="F976:F1038" si="15">+F975+D976-B976</f>
        <v>398558523</v>
      </c>
      <c r="G976" s="7" t="s">
        <v>618</v>
      </c>
      <c r="H976" s="24" t="s">
        <v>619</v>
      </c>
      <c r="I976" s="32" t="s">
        <v>152</v>
      </c>
      <c r="K976" s="181"/>
      <c r="L976" s="181"/>
    </row>
    <row r="977" spans="1:12" x14ac:dyDescent="0.35">
      <c r="A977" s="19">
        <v>45792</v>
      </c>
      <c r="B977" s="20"/>
      <c r="C977" s="20"/>
      <c r="D977" s="20">
        <v>8500000</v>
      </c>
      <c r="E977" s="99" t="s">
        <v>617</v>
      </c>
      <c r="F977" s="20">
        <f t="shared" si="15"/>
        <v>407058523</v>
      </c>
      <c r="G977" s="7" t="s">
        <v>618</v>
      </c>
      <c r="H977" s="24" t="s">
        <v>619</v>
      </c>
      <c r="I977" s="32" t="s">
        <v>152</v>
      </c>
      <c r="K977" s="181"/>
      <c r="L977" s="181"/>
    </row>
    <row r="978" spans="1:12" x14ac:dyDescent="0.35">
      <c r="A978" s="19">
        <v>45793</v>
      </c>
      <c r="B978" s="20"/>
      <c r="C978" s="20"/>
      <c r="D978" s="20">
        <v>10000</v>
      </c>
      <c r="E978" s="99" t="s">
        <v>626</v>
      </c>
      <c r="F978" s="20">
        <f t="shared" si="15"/>
        <v>407068523</v>
      </c>
      <c r="G978" s="7" t="s">
        <v>330</v>
      </c>
      <c r="H978" s="24" t="s">
        <v>109</v>
      </c>
      <c r="I978" s="32" t="s">
        <v>152</v>
      </c>
      <c r="K978" s="181"/>
      <c r="L978" s="181"/>
    </row>
    <row r="979" spans="1:12" x14ac:dyDescent="0.35">
      <c r="A979" s="19">
        <v>45793</v>
      </c>
      <c r="B979" s="20"/>
      <c r="C979" s="20"/>
      <c r="D979" s="20">
        <v>10000</v>
      </c>
      <c r="E979" s="99" t="s">
        <v>626</v>
      </c>
      <c r="F979" s="20">
        <f t="shared" si="15"/>
        <v>407078523</v>
      </c>
      <c r="G979" s="7" t="s">
        <v>330</v>
      </c>
      <c r="H979" s="24" t="s">
        <v>109</v>
      </c>
      <c r="I979" s="32" t="s">
        <v>152</v>
      </c>
      <c r="K979" s="181"/>
      <c r="L979" s="181"/>
    </row>
    <row r="980" spans="1:12" x14ac:dyDescent="0.35">
      <c r="A980" s="19">
        <v>45793</v>
      </c>
      <c r="B980" s="20"/>
      <c r="C980" s="20"/>
      <c r="D980" s="20">
        <v>35000</v>
      </c>
      <c r="E980" s="99" t="s">
        <v>626</v>
      </c>
      <c r="F980" s="20">
        <f t="shared" si="15"/>
        <v>407113523</v>
      </c>
      <c r="G980" s="7" t="s">
        <v>330</v>
      </c>
      <c r="H980" s="24" t="s">
        <v>109</v>
      </c>
      <c r="I980" s="32" t="s">
        <v>152</v>
      </c>
      <c r="K980" s="181"/>
      <c r="L980" s="181"/>
    </row>
    <row r="981" spans="1:12" x14ac:dyDescent="0.35">
      <c r="A981" s="19">
        <v>45793</v>
      </c>
      <c r="B981" s="20">
        <v>30000000</v>
      </c>
      <c r="C981" s="20"/>
      <c r="D981" s="20"/>
      <c r="E981" s="99" t="s">
        <v>626</v>
      </c>
      <c r="F981" s="20">
        <f t="shared" si="15"/>
        <v>377113523</v>
      </c>
      <c r="G981" s="7" t="s">
        <v>627</v>
      </c>
      <c r="H981" s="24" t="s">
        <v>614</v>
      </c>
      <c r="I981" s="32" t="s">
        <v>152</v>
      </c>
      <c r="K981" s="181"/>
      <c r="L981" s="181"/>
    </row>
    <row r="982" spans="1:12" x14ac:dyDescent="0.35">
      <c r="A982" s="19">
        <v>45793</v>
      </c>
      <c r="B982" s="20">
        <v>2900</v>
      </c>
      <c r="C982" s="20"/>
      <c r="D982" s="20"/>
      <c r="E982" s="99" t="s">
        <v>626</v>
      </c>
      <c r="F982" s="20">
        <f t="shared" si="15"/>
        <v>377110623</v>
      </c>
      <c r="G982" s="7" t="s">
        <v>628</v>
      </c>
      <c r="H982" s="24" t="s">
        <v>614</v>
      </c>
      <c r="I982" s="32" t="s">
        <v>152</v>
      </c>
      <c r="K982" s="181"/>
      <c r="L982" s="181"/>
    </row>
    <row r="983" spans="1:12" x14ac:dyDescent="0.35">
      <c r="A983" s="19">
        <v>45793</v>
      </c>
      <c r="B983" s="20">
        <v>6000</v>
      </c>
      <c r="C983" s="20"/>
      <c r="D983" s="20"/>
      <c r="E983" s="99" t="s">
        <v>626</v>
      </c>
      <c r="F983" s="20">
        <f t="shared" si="15"/>
        <v>377104623</v>
      </c>
      <c r="G983" s="7" t="s">
        <v>629</v>
      </c>
      <c r="H983" s="24" t="s">
        <v>320</v>
      </c>
      <c r="I983" s="32" t="s">
        <v>152</v>
      </c>
      <c r="K983" s="181"/>
      <c r="L983" s="181"/>
    </row>
    <row r="984" spans="1:12" x14ac:dyDescent="0.35">
      <c r="A984" s="19">
        <v>45793</v>
      </c>
      <c r="B984" s="20"/>
      <c r="C984" s="20"/>
      <c r="D984" s="20">
        <v>5000000</v>
      </c>
      <c r="E984" s="99" t="s">
        <v>626</v>
      </c>
      <c r="F984" s="20">
        <f t="shared" si="15"/>
        <v>382104623</v>
      </c>
      <c r="G984" s="7" t="s">
        <v>630</v>
      </c>
      <c r="H984" s="24" t="s">
        <v>619</v>
      </c>
      <c r="I984" s="32" t="s">
        <v>152</v>
      </c>
      <c r="K984" s="181"/>
      <c r="L984" s="181"/>
    </row>
    <row r="985" spans="1:12" x14ac:dyDescent="0.35">
      <c r="A985" s="19">
        <v>45794</v>
      </c>
      <c r="B985" s="20">
        <v>750000</v>
      </c>
      <c r="C985" s="20"/>
      <c r="D985" s="20"/>
      <c r="E985" s="99" t="s">
        <v>626</v>
      </c>
      <c r="F985" s="20">
        <f t="shared" si="15"/>
        <v>381354623</v>
      </c>
      <c r="G985" s="7" t="s">
        <v>631</v>
      </c>
      <c r="H985" s="24" t="s">
        <v>323</v>
      </c>
      <c r="I985" s="32" t="s">
        <v>152</v>
      </c>
      <c r="K985" s="181"/>
      <c r="L985" s="181"/>
    </row>
    <row r="986" spans="1:12" x14ac:dyDescent="0.35">
      <c r="A986" s="19">
        <v>45794</v>
      </c>
      <c r="B986" s="20"/>
      <c r="C986" s="20"/>
      <c r="D986" s="20">
        <v>7500000</v>
      </c>
      <c r="E986" s="99" t="s">
        <v>626</v>
      </c>
      <c r="F986" s="20">
        <f t="shared" si="15"/>
        <v>388854623</v>
      </c>
      <c r="G986" s="7" t="s">
        <v>630</v>
      </c>
      <c r="H986" s="24" t="s">
        <v>619</v>
      </c>
      <c r="I986" s="32" t="s">
        <v>152</v>
      </c>
      <c r="K986" s="181"/>
      <c r="L986" s="181"/>
    </row>
    <row r="987" spans="1:12" x14ac:dyDescent="0.35">
      <c r="A987" s="19">
        <v>45794</v>
      </c>
      <c r="B987" s="20"/>
      <c r="C987" s="20"/>
      <c r="D987" s="20">
        <v>100000</v>
      </c>
      <c r="E987" s="99" t="s">
        <v>626</v>
      </c>
      <c r="F987" s="20">
        <f t="shared" si="15"/>
        <v>388954623</v>
      </c>
      <c r="G987" s="7" t="s">
        <v>330</v>
      </c>
      <c r="H987" s="24" t="s">
        <v>109</v>
      </c>
      <c r="I987" s="32" t="s">
        <v>152</v>
      </c>
      <c r="K987" s="181"/>
      <c r="L987" s="181"/>
    </row>
    <row r="988" spans="1:12" x14ac:dyDescent="0.35">
      <c r="A988" s="19">
        <v>45794</v>
      </c>
      <c r="B988" s="20"/>
      <c r="C988" s="20"/>
      <c r="D988" s="20">
        <v>25000</v>
      </c>
      <c r="E988" s="99" t="s">
        <v>626</v>
      </c>
      <c r="F988" s="20">
        <f t="shared" si="15"/>
        <v>388979623</v>
      </c>
      <c r="G988" s="7" t="s">
        <v>330</v>
      </c>
      <c r="H988" s="24" t="s">
        <v>109</v>
      </c>
      <c r="I988" s="32" t="s">
        <v>152</v>
      </c>
      <c r="K988" s="181"/>
      <c r="L988" s="181"/>
    </row>
    <row r="989" spans="1:12" x14ac:dyDescent="0.35">
      <c r="A989" s="19">
        <v>45794</v>
      </c>
      <c r="B989" s="20"/>
      <c r="C989" s="20"/>
      <c r="D989" s="20">
        <v>10000</v>
      </c>
      <c r="E989" s="99" t="s">
        <v>626</v>
      </c>
      <c r="F989" s="20">
        <f t="shared" si="15"/>
        <v>388989623</v>
      </c>
      <c r="G989" s="7" t="s">
        <v>330</v>
      </c>
      <c r="H989" s="24" t="s">
        <v>109</v>
      </c>
      <c r="I989" s="32" t="s">
        <v>152</v>
      </c>
      <c r="K989" s="181"/>
      <c r="L989" s="181"/>
    </row>
    <row r="990" spans="1:12" x14ac:dyDescent="0.35">
      <c r="A990" s="19">
        <v>45794</v>
      </c>
      <c r="B990" s="20"/>
      <c r="C990" s="20"/>
      <c r="D990" s="20">
        <v>5000</v>
      </c>
      <c r="E990" s="99" t="s">
        <v>626</v>
      </c>
      <c r="F990" s="20">
        <f t="shared" si="15"/>
        <v>388994623</v>
      </c>
      <c r="G990" s="7" t="s">
        <v>330</v>
      </c>
      <c r="H990" s="24" t="s">
        <v>109</v>
      </c>
      <c r="I990" s="32" t="s">
        <v>152</v>
      </c>
      <c r="K990" s="181"/>
      <c r="L990" s="181"/>
    </row>
    <row r="991" spans="1:12" x14ac:dyDescent="0.35">
      <c r="A991" s="19">
        <v>45794</v>
      </c>
      <c r="B991" s="20"/>
      <c r="C991" s="20"/>
      <c r="D991" s="20">
        <v>20000</v>
      </c>
      <c r="E991" s="99" t="s">
        <v>626</v>
      </c>
      <c r="F991" s="20">
        <f t="shared" si="15"/>
        <v>389014623</v>
      </c>
      <c r="G991" s="7" t="s">
        <v>330</v>
      </c>
      <c r="H991" s="24" t="s">
        <v>109</v>
      </c>
      <c r="I991" s="32" t="s">
        <v>152</v>
      </c>
      <c r="K991" s="181"/>
      <c r="L991" s="181"/>
    </row>
    <row r="992" spans="1:12" x14ac:dyDescent="0.35">
      <c r="A992" s="19">
        <v>45794</v>
      </c>
      <c r="B992" s="20"/>
      <c r="C992" s="20"/>
      <c r="D992" s="20">
        <v>2000</v>
      </c>
      <c r="E992" s="99" t="s">
        <v>626</v>
      </c>
      <c r="F992" s="20">
        <f t="shared" si="15"/>
        <v>389016623</v>
      </c>
      <c r="G992" s="7" t="s">
        <v>330</v>
      </c>
      <c r="H992" s="24" t="s">
        <v>109</v>
      </c>
      <c r="I992" s="32" t="s">
        <v>152</v>
      </c>
      <c r="K992" s="181"/>
      <c r="L992" s="181"/>
    </row>
    <row r="993" spans="1:12" x14ac:dyDescent="0.35">
      <c r="A993" s="19">
        <v>45794</v>
      </c>
      <c r="B993" s="20"/>
      <c r="C993" s="20"/>
      <c r="D993" s="20">
        <v>4000000</v>
      </c>
      <c r="E993" s="99" t="s">
        <v>626</v>
      </c>
      <c r="F993" s="20">
        <f t="shared" si="15"/>
        <v>393016623</v>
      </c>
      <c r="G993" s="7" t="s">
        <v>630</v>
      </c>
      <c r="H993" s="24" t="s">
        <v>619</v>
      </c>
      <c r="I993" s="32" t="s">
        <v>152</v>
      </c>
      <c r="K993" s="181"/>
      <c r="L993" s="181"/>
    </row>
    <row r="994" spans="1:12" x14ac:dyDescent="0.35">
      <c r="A994" s="19">
        <v>45794</v>
      </c>
      <c r="B994" s="20"/>
      <c r="C994" s="20"/>
      <c r="D994" s="20">
        <v>3500000</v>
      </c>
      <c r="E994" s="99" t="s">
        <v>626</v>
      </c>
      <c r="F994" s="20">
        <f t="shared" si="15"/>
        <v>396516623</v>
      </c>
      <c r="G994" s="7" t="s">
        <v>630</v>
      </c>
      <c r="H994" s="24" t="s">
        <v>619</v>
      </c>
      <c r="I994" s="32" t="s">
        <v>152</v>
      </c>
      <c r="K994" s="181"/>
      <c r="L994" s="181"/>
    </row>
    <row r="995" spans="1:12" x14ac:dyDescent="0.35">
      <c r="A995" s="19">
        <v>45795</v>
      </c>
      <c r="B995" s="20">
        <v>750000</v>
      </c>
      <c r="C995" s="20"/>
      <c r="D995" s="20"/>
      <c r="E995" s="99" t="s">
        <v>626</v>
      </c>
      <c r="F995" s="20">
        <f t="shared" si="15"/>
        <v>395766623</v>
      </c>
      <c r="G995" s="7" t="s">
        <v>632</v>
      </c>
      <c r="H995" s="24" t="s">
        <v>323</v>
      </c>
      <c r="I995" s="32" t="s">
        <v>152</v>
      </c>
      <c r="K995" s="181"/>
      <c r="L995" s="181"/>
    </row>
    <row r="996" spans="1:12" x14ac:dyDescent="0.35">
      <c r="A996" s="19">
        <v>45795</v>
      </c>
      <c r="B996" s="20">
        <v>6500</v>
      </c>
      <c r="C996" s="20"/>
      <c r="D996" s="20"/>
      <c r="E996" s="99" t="s">
        <v>626</v>
      </c>
      <c r="F996" s="20">
        <f t="shared" si="15"/>
        <v>395760123</v>
      </c>
      <c r="G996" s="7" t="s">
        <v>633</v>
      </c>
      <c r="H996" s="24" t="s">
        <v>323</v>
      </c>
      <c r="I996" s="32" t="s">
        <v>152</v>
      </c>
      <c r="K996" s="181"/>
      <c r="L996" s="181"/>
    </row>
    <row r="997" spans="1:12" x14ac:dyDescent="0.35">
      <c r="A997" s="19">
        <v>45795</v>
      </c>
      <c r="B997" s="20"/>
      <c r="C997" s="20"/>
      <c r="D997" s="20">
        <v>10000</v>
      </c>
      <c r="E997" s="99" t="s">
        <v>626</v>
      </c>
      <c r="F997" s="20">
        <f t="shared" si="15"/>
        <v>395770123</v>
      </c>
      <c r="G997" s="7" t="s">
        <v>330</v>
      </c>
      <c r="H997" s="24" t="s">
        <v>109</v>
      </c>
      <c r="I997" s="32" t="s">
        <v>152</v>
      </c>
      <c r="K997" s="181"/>
      <c r="L997" s="181"/>
    </row>
    <row r="998" spans="1:12" x14ac:dyDescent="0.35">
      <c r="A998" s="19">
        <v>45795</v>
      </c>
      <c r="B998" s="20"/>
      <c r="C998" s="20"/>
      <c r="D998" s="20">
        <v>10000</v>
      </c>
      <c r="E998" s="99" t="s">
        <v>626</v>
      </c>
      <c r="F998" s="20">
        <f t="shared" si="15"/>
        <v>395780123</v>
      </c>
      <c r="G998" s="7" t="s">
        <v>330</v>
      </c>
      <c r="H998" s="24" t="s">
        <v>109</v>
      </c>
      <c r="I998" s="32" t="s">
        <v>152</v>
      </c>
      <c r="K998" s="181"/>
      <c r="L998" s="181"/>
    </row>
    <row r="999" spans="1:12" ht="15" customHeight="1" x14ac:dyDescent="0.35">
      <c r="A999" s="19">
        <v>45795</v>
      </c>
      <c r="B999" s="20">
        <v>5000000</v>
      </c>
      <c r="C999" s="20"/>
      <c r="D999" s="20"/>
      <c r="E999" s="99" t="s">
        <v>626</v>
      </c>
      <c r="F999" s="20">
        <f t="shared" si="15"/>
        <v>390780123</v>
      </c>
      <c r="G999" s="7" t="s">
        <v>634</v>
      </c>
      <c r="H999" s="24" t="s">
        <v>323</v>
      </c>
      <c r="I999" s="32" t="s">
        <v>152</v>
      </c>
      <c r="K999" s="181"/>
      <c r="L999" s="181"/>
    </row>
    <row r="1000" spans="1:12" x14ac:dyDescent="0.35">
      <c r="A1000" s="19">
        <v>45795</v>
      </c>
      <c r="B1000" s="20">
        <v>6500</v>
      </c>
      <c r="C1000" s="20"/>
      <c r="D1000" s="20"/>
      <c r="E1000" s="99" t="s">
        <v>626</v>
      </c>
      <c r="F1000" s="20">
        <f t="shared" si="15"/>
        <v>390773623</v>
      </c>
      <c r="G1000" s="7" t="s">
        <v>635</v>
      </c>
      <c r="H1000" s="24" t="s">
        <v>323</v>
      </c>
      <c r="I1000" s="32" t="s">
        <v>152</v>
      </c>
      <c r="K1000" s="181"/>
      <c r="L1000" s="181"/>
    </row>
    <row r="1001" spans="1:12" x14ac:dyDescent="0.35">
      <c r="A1001" s="19">
        <v>45795</v>
      </c>
      <c r="B1001" s="20"/>
      <c r="C1001" s="20"/>
      <c r="D1001" s="20">
        <v>3500000</v>
      </c>
      <c r="E1001" s="99" t="s">
        <v>626</v>
      </c>
      <c r="F1001" s="20">
        <f t="shared" si="15"/>
        <v>394273623</v>
      </c>
      <c r="G1001" s="7" t="s">
        <v>630</v>
      </c>
      <c r="H1001" s="24" t="s">
        <v>619</v>
      </c>
      <c r="I1001" s="32" t="s">
        <v>152</v>
      </c>
      <c r="K1001" s="181"/>
      <c r="L1001" s="181"/>
    </row>
    <row r="1002" spans="1:12" x14ac:dyDescent="0.35">
      <c r="A1002" s="19">
        <v>45795</v>
      </c>
      <c r="B1002" s="20"/>
      <c r="C1002" s="20"/>
      <c r="D1002" s="20">
        <v>7500000</v>
      </c>
      <c r="E1002" s="99" t="s">
        <v>626</v>
      </c>
      <c r="F1002" s="20">
        <f t="shared" si="15"/>
        <v>401773623</v>
      </c>
      <c r="G1002" s="7" t="s">
        <v>630</v>
      </c>
      <c r="H1002" s="24" t="s">
        <v>619</v>
      </c>
      <c r="I1002" s="32" t="s">
        <v>152</v>
      </c>
      <c r="K1002" s="181"/>
      <c r="L1002" s="181"/>
    </row>
    <row r="1003" spans="1:12" x14ac:dyDescent="0.35">
      <c r="A1003" s="19">
        <v>45795</v>
      </c>
      <c r="B1003" s="20"/>
      <c r="C1003" s="20"/>
      <c r="D1003" s="20">
        <v>4000000</v>
      </c>
      <c r="E1003" s="99" t="s">
        <v>626</v>
      </c>
      <c r="F1003" s="20">
        <f t="shared" si="15"/>
        <v>405773623</v>
      </c>
      <c r="G1003" s="7" t="s">
        <v>630</v>
      </c>
      <c r="H1003" s="24" t="s">
        <v>619</v>
      </c>
      <c r="I1003" s="32" t="s">
        <v>152</v>
      </c>
      <c r="K1003" s="181"/>
      <c r="L1003" s="181"/>
    </row>
    <row r="1004" spans="1:12" x14ac:dyDescent="0.35">
      <c r="A1004" s="19">
        <v>45795</v>
      </c>
      <c r="B1004" s="20"/>
      <c r="C1004" s="20"/>
      <c r="D1004" s="20">
        <v>7000000</v>
      </c>
      <c r="E1004" s="99" t="s">
        <v>626</v>
      </c>
      <c r="F1004" s="20">
        <f t="shared" si="15"/>
        <v>412773623</v>
      </c>
      <c r="G1004" s="7" t="s">
        <v>630</v>
      </c>
      <c r="H1004" s="24" t="s">
        <v>619</v>
      </c>
      <c r="I1004" s="32" t="s">
        <v>152</v>
      </c>
      <c r="K1004" s="181"/>
      <c r="L1004" s="181"/>
    </row>
    <row r="1005" spans="1:12" x14ac:dyDescent="0.35">
      <c r="A1005" s="19">
        <v>45796</v>
      </c>
      <c r="B1005" s="20"/>
      <c r="C1005" s="20"/>
      <c r="D1005" s="196">
        <v>3633000</v>
      </c>
      <c r="E1005" s="99" t="s">
        <v>626</v>
      </c>
      <c r="F1005" s="20">
        <f t="shared" si="15"/>
        <v>416406623</v>
      </c>
      <c r="G1005" s="7"/>
      <c r="H1005" s="24" t="s">
        <v>107</v>
      </c>
      <c r="I1005" s="32" t="s">
        <v>152</v>
      </c>
      <c r="K1005" s="181"/>
      <c r="L1005" s="181"/>
    </row>
    <row r="1006" spans="1:12" x14ac:dyDescent="0.35">
      <c r="A1006" s="19">
        <v>45796</v>
      </c>
      <c r="B1006" s="20"/>
      <c r="C1006" s="20"/>
      <c r="D1006" s="196">
        <v>3637000</v>
      </c>
      <c r="E1006" s="99" t="s">
        <v>626</v>
      </c>
      <c r="F1006" s="20">
        <f t="shared" si="15"/>
        <v>420043623</v>
      </c>
      <c r="G1006" s="7"/>
      <c r="H1006" s="24" t="s">
        <v>109</v>
      </c>
      <c r="I1006" s="32" t="s">
        <v>152</v>
      </c>
      <c r="K1006" s="181"/>
      <c r="L1006" s="181"/>
    </row>
    <row r="1007" spans="1:12" x14ac:dyDescent="0.35">
      <c r="A1007" s="19"/>
      <c r="B1007" s="20"/>
      <c r="C1007" s="20">
        <v>7270000</v>
      </c>
      <c r="D1007" s="20"/>
      <c r="E1007" s="99"/>
      <c r="F1007" s="20">
        <f t="shared" si="15"/>
        <v>420043623</v>
      </c>
      <c r="G1007" s="7" t="s">
        <v>636</v>
      </c>
      <c r="H1007" s="24"/>
      <c r="I1007" s="32"/>
      <c r="K1007" s="181"/>
      <c r="L1007" s="181"/>
    </row>
    <row r="1008" spans="1:12" x14ac:dyDescent="0.35">
      <c r="A1008" s="19">
        <v>45796</v>
      </c>
      <c r="B1008" s="20"/>
      <c r="C1008" s="20"/>
      <c r="D1008" s="20">
        <v>4000000</v>
      </c>
      <c r="E1008" s="99" t="s">
        <v>626</v>
      </c>
      <c r="F1008" s="20">
        <f t="shared" si="15"/>
        <v>424043623</v>
      </c>
      <c r="G1008" s="7" t="s">
        <v>630</v>
      </c>
      <c r="H1008" s="24" t="s">
        <v>619</v>
      </c>
      <c r="I1008" s="32" t="s">
        <v>152</v>
      </c>
      <c r="K1008" s="181"/>
      <c r="L1008" s="181"/>
    </row>
    <row r="1009" spans="1:12" x14ac:dyDescent="0.35">
      <c r="A1009" s="19">
        <v>45796</v>
      </c>
      <c r="B1009" s="20"/>
      <c r="C1009" s="20"/>
      <c r="D1009" s="20">
        <v>11000000</v>
      </c>
      <c r="E1009" s="99" t="s">
        <v>626</v>
      </c>
      <c r="F1009" s="20">
        <f t="shared" si="15"/>
        <v>435043623</v>
      </c>
      <c r="G1009" s="7" t="s">
        <v>630</v>
      </c>
      <c r="H1009" s="24" t="s">
        <v>619</v>
      </c>
      <c r="I1009" s="32" t="s">
        <v>152</v>
      </c>
      <c r="K1009" s="181"/>
      <c r="L1009" s="181"/>
    </row>
    <row r="1010" spans="1:12" x14ac:dyDescent="0.35">
      <c r="A1010" s="19">
        <v>45796</v>
      </c>
      <c r="B1010" s="20"/>
      <c r="C1010" s="20"/>
      <c r="D1010" s="20">
        <v>4000000</v>
      </c>
      <c r="E1010" s="99" t="s">
        <v>626</v>
      </c>
      <c r="F1010" s="20">
        <f t="shared" si="15"/>
        <v>439043623</v>
      </c>
      <c r="G1010" s="7" t="s">
        <v>630</v>
      </c>
      <c r="H1010" s="24" t="s">
        <v>619</v>
      </c>
      <c r="I1010" s="32" t="s">
        <v>152</v>
      </c>
      <c r="K1010" s="181"/>
      <c r="L1010" s="181"/>
    </row>
    <row r="1011" spans="1:12" x14ac:dyDescent="0.35">
      <c r="A1011" s="19">
        <v>45796</v>
      </c>
      <c r="B1011" s="20"/>
      <c r="C1011" s="20"/>
      <c r="D1011" s="20">
        <v>4000000</v>
      </c>
      <c r="E1011" s="99" t="s">
        <v>626</v>
      </c>
      <c r="F1011" s="20">
        <f t="shared" si="15"/>
        <v>443043623</v>
      </c>
      <c r="G1011" s="7" t="s">
        <v>630</v>
      </c>
      <c r="H1011" s="24" t="s">
        <v>619</v>
      </c>
      <c r="I1011" s="32" t="s">
        <v>152</v>
      </c>
      <c r="K1011" s="181"/>
      <c r="L1011" s="181"/>
    </row>
    <row r="1012" spans="1:12" x14ac:dyDescent="0.35">
      <c r="A1012" s="19">
        <v>45797</v>
      </c>
      <c r="B1012" s="20"/>
      <c r="C1012" s="20"/>
      <c r="D1012" s="20">
        <v>3500000</v>
      </c>
      <c r="E1012" s="99" t="s">
        <v>626</v>
      </c>
      <c r="F1012" s="20">
        <f t="shared" si="15"/>
        <v>446543623</v>
      </c>
      <c r="G1012" s="7" t="s">
        <v>630</v>
      </c>
      <c r="H1012" s="24" t="s">
        <v>619</v>
      </c>
      <c r="I1012" s="32" t="s">
        <v>152</v>
      </c>
      <c r="K1012" s="181"/>
      <c r="L1012" s="181"/>
    </row>
    <row r="1013" spans="1:12" x14ac:dyDescent="0.35">
      <c r="A1013" s="19">
        <v>45797</v>
      </c>
      <c r="B1013" s="20"/>
      <c r="C1013" s="20"/>
      <c r="D1013" s="20">
        <v>10000</v>
      </c>
      <c r="E1013" s="99" t="s">
        <v>626</v>
      </c>
      <c r="F1013" s="20">
        <f t="shared" si="15"/>
        <v>446553623</v>
      </c>
      <c r="G1013" s="7" t="s">
        <v>330</v>
      </c>
      <c r="H1013" s="24" t="s">
        <v>109</v>
      </c>
      <c r="I1013" s="32" t="s">
        <v>152</v>
      </c>
      <c r="K1013" s="181"/>
      <c r="L1013" s="181"/>
    </row>
    <row r="1014" spans="1:12" x14ac:dyDescent="0.35">
      <c r="A1014" s="19">
        <v>45797</v>
      </c>
      <c r="B1014" s="20"/>
      <c r="C1014" s="20"/>
      <c r="D1014" s="20">
        <v>3500000</v>
      </c>
      <c r="E1014" s="99" t="s">
        <v>626</v>
      </c>
      <c r="F1014" s="20">
        <f t="shared" si="15"/>
        <v>450053623</v>
      </c>
      <c r="G1014" s="7" t="s">
        <v>630</v>
      </c>
      <c r="H1014" s="24" t="s">
        <v>619</v>
      </c>
      <c r="I1014" s="32" t="s">
        <v>152</v>
      </c>
      <c r="K1014" s="181"/>
      <c r="L1014" s="181"/>
    </row>
    <row r="1015" spans="1:12" x14ac:dyDescent="0.35">
      <c r="A1015" s="19">
        <v>45798</v>
      </c>
      <c r="B1015" s="20"/>
      <c r="C1015" s="20"/>
      <c r="D1015" s="20">
        <v>5000000</v>
      </c>
      <c r="E1015" s="99" t="s">
        <v>626</v>
      </c>
      <c r="F1015" s="20">
        <f t="shared" si="15"/>
        <v>455053623</v>
      </c>
      <c r="G1015" s="7" t="s">
        <v>630</v>
      </c>
      <c r="H1015" s="24" t="s">
        <v>619</v>
      </c>
      <c r="I1015" s="32" t="s">
        <v>152</v>
      </c>
      <c r="K1015" s="181"/>
      <c r="L1015" s="181"/>
    </row>
    <row r="1016" spans="1:12" x14ac:dyDescent="0.35">
      <c r="A1016" s="19">
        <v>45798</v>
      </c>
      <c r="B1016" s="20"/>
      <c r="C1016" s="20"/>
      <c r="D1016" s="20">
        <v>10000</v>
      </c>
      <c r="E1016" s="99" t="s">
        <v>626</v>
      </c>
      <c r="F1016" s="20">
        <f t="shared" si="15"/>
        <v>455063623</v>
      </c>
      <c r="G1016" s="7" t="s">
        <v>330</v>
      </c>
      <c r="H1016" s="24" t="s">
        <v>109</v>
      </c>
      <c r="I1016" s="32" t="s">
        <v>152</v>
      </c>
      <c r="K1016" s="181"/>
      <c r="L1016" s="181"/>
    </row>
    <row r="1017" spans="1:12" x14ac:dyDescent="0.35">
      <c r="A1017" s="19">
        <v>45798</v>
      </c>
      <c r="B1017" s="20"/>
      <c r="C1017" s="20"/>
      <c r="D1017" s="20">
        <v>4500000</v>
      </c>
      <c r="E1017" s="99" t="s">
        <v>626</v>
      </c>
      <c r="F1017" s="20">
        <f t="shared" si="15"/>
        <v>459563623</v>
      </c>
      <c r="G1017" s="7" t="s">
        <v>630</v>
      </c>
      <c r="H1017" s="24" t="s">
        <v>619</v>
      </c>
      <c r="I1017" s="32" t="s">
        <v>152</v>
      </c>
      <c r="K1017" s="181"/>
      <c r="L1017" s="181"/>
    </row>
    <row r="1018" spans="1:12" x14ac:dyDescent="0.35">
      <c r="A1018" s="19">
        <v>45799</v>
      </c>
      <c r="B1018" s="20"/>
      <c r="C1018" s="20"/>
      <c r="D1018" s="20">
        <v>4500000</v>
      </c>
      <c r="E1018" s="99" t="s">
        <v>626</v>
      </c>
      <c r="F1018" s="20">
        <f t="shared" si="15"/>
        <v>464063623</v>
      </c>
      <c r="G1018" s="7" t="s">
        <v>630</v>
      </c>
      <c r="H1018" s="24" t="s">
        <v>619</v>
      </c>
      <c r="I1018" s="32" t="s">
        <v>152</v>
      </c>
      <c r="K1018" s="181"/>
      <c r="L1018" s="181"/>
    </row>
    <row r="1019" spans="1:12" x14ac:dyDescent="0.35">
      <c r="A1019" s="19">
        <v>45799</v>
      </c>
      <c r="B1019" s="20"/>
      <c r="C1019" s="20"/>
      <c r="D1019" s="20">
        <v>4500000</v>
      </c>
      <c r="E1019" s="99" t="s">
        <v>626</v>
      </c>
      <c r="F1019" s="20">
        <f t="shared" si="15"/>
        <v>468563623</v>
      </c>
      <c r="G1019" s="7" t="s">
        <v>630</v>
      </c>
      <c r="H1019" s="24" t="s">
        <v>619</v>
      </c>
      <c r="I1019" s="32" t="s">
        <v>152</v>
      </c>
      <c r="K1019" s="181"/>
      <c r="L1019" s="181"/>
    </row>
    <row r="1020" spans="1:12" x14ac:dyDescent="0.35">
      <c r="A1020" s="19">
        <v>45799</v>
      </c>
      <c r="B1020" s="20"/>
      <c r="C1020" s="20"/>
      <c r="D1020" s="20">
        <v>50000</v>
      </c>
      <c r="E1020" s="99" t="s">
        <v>626</v>
      </c>
      <c r="F1020" s="20">
        <f t="shared" si="15"/>
        <v>468613623</v>
      </c>
      <c r="G1020" s="7" t="s">
        <v>330</v>
      </c>
      <c r="H1020" s="24" t="s">
        <v>109</v>
      </c>
      <c r="I1020" s="32" t="s">
        <v>152</v>
      </c>
      <c r="K1020" s="181"/>
      <c r="L1020" s="181"/>
    </row>
    <row r="1021" spans="1:12" x14ac:dyDescent="0.35">
      <c r="A1021" s="19">
        <v>45799</v>
      </c>
      <c r="B1021" s="20"/>
      <c r="C1021" s="20"/>
      <c r="D1021" s="20">
        <v>100000</v>
      </c>
      <c r="E1021" s="99" t="s">
        <v>626</v>
      </c>
      <c r="F1021" s="20">
        <f t="shared" si="15"/>
        <v>468713623</v>
      </c>
      <c r="G1021" s="7" t="s">
        <v>330</v>
      </c>
      <c r="H1021" s="24" t="s">
        <v>109</v>
      </c>
      <c r="I1021" s="32" t="s">
        <v>152</v>
      </c>
      <c r="K1021" s="181"/>
      <c r="L1021" s="181"/>
    </row>
    <row r="1022" spans="1:12" x14ac:dyDescent="0.35">
      <c r="A1022" s="19">
        <v>45799</v>
      </c>
      <c r="B1022" s="20"/>
      <c r="C1022" s="20"/>
      <c r="D1022" s="20">
        <v>10000</v>
      </c>
      <c r="E1022" s="99" t="s">
        <v>626</v>
      </c>
      <c r="F1022" s="20">
        <f t="shared" si="15"/>
        <v>468723623</v>
      </c>
      <c r="G1022" s="7" t="s">
        <v>330</v>
      </c>
      <c r="H1022" s="24" t="s">
        <v>109</v>
      </c>
      <c r="I1022" s="32" t="s">
        <v>152</v>
      </c>
      <c r="K1022" s="181"/>
      <c r="L1022" s="181"/>
    </row>
    <row r="1023" spans="1:12" x14ac:dyDescent="0.35">
      <c r="A1023" s="19">
        <v>45799</v>
      </c>
      <c r="B1023" s="20"/>
      <c r="C1023" s="20"/>
      <c r="D1023" s="20">
        <v>3735000</v>
      </c>
      <c r="E1023" s="99" t="s">
        <v>626</v>
      </c>
      <c r="F1023" s="20">
        <f t="shared" si="15"/>
        <v>472458623</v>
      </c>
      <c r="G1023" s="7" t="s">
        <v>630</v>
      </c>
      <c r="H1023" s="24" t="s">
        <v>619</v>
      </c>
      <c r="I1023" s="32" t="s">
        <v>152</v>
      </c>
      <c r="K1023" s="181"/>
      <c r="L1023" s="181"/>
    </row>
    <row r="1024" spans="1:12" x14ac:dyDescent="0.35">
      <c r="A1024" s="19">
        <v>45800</v>
      </c>
      <c r="B1024" s="20"/>
      <c r="C1024" s="20"/>
      <c r="D1024" s="20">
        <v>11500000</v>
      </c>
      <c r="E1024" s="99" t="s">
        <v>626</v>
      </c>
      <c r="F1024" s="20">
        <f t="shared" si="15"/>
        <v>483958623</v>
      </c>
      <c r="G1024" s="7" t="s">
        <v>630</v>
      </c>
      <c r="H1024" s="24" t="s">
        <v>619</v>
      </c>
      <c r="I1024" s="32" t="s">
        <v>152</v>
      </c>
      <c r="K1024" s="181"/>
      <c r="L1024" s="181"/>
    </row>
    <row r="1025" spans="1:12" x14ac:dyDescent="0.35">
      <c r="A1025" s="19">
        <v>45800</v>
      </c>
      <c r="B1025" s="20"/>
      <c r="C1025" s="20"/>
      <c r="D1025" s="20">
        <v>8500000</v>
      </c>
      <c r="E1025" s="99" t="s">
        <v>626</v>
      </c>
      <c r="F1025" s="20">
        <f t="shared" si="15"/>
        <v>492458623</v>
      </c>
      <c r="G1025" s="7" t="s">
        <v>630</v>
      </c>
      <c r="H1025" s="24" t="s">
        <v>619</v>
      </c>
      <c r="I1025" s="32" t="s">
        <v>152</v>
      </c>
      <c r="K1025" s="181"/>
      <c r="L1025" s="181"/>
    </row>
    <row r="1026" spans="1:12" x14ac:dyDescent="0.35">
      <c r="A1026" s="19">
        <v>45800</v>
      </c>
      <c r="B1026" s="20"/>
      <c r="C1026" s="20"/>
      <c r="D1026" s="20">
        <v>50000</v>
      </c>
      <c r="E1026" s="99" t="s">
        <v>626</v>
      </c>
      <c r="F1026" s="20">
        <f t="shared" si="15"/>
        <v>492508623</v>
      </c>
      <c r="G1026" s="7" t="s">
        <v>330</v>
      </c>
      <c r="H1026" s="24" t="s">
        <v>109</v>
      </c>
      <c r="I1026" s="32" t="s">
        <v>152</v>
      </c>
      <c r="K1026" s="181"/>
      <c r="L1026" s="181"/>
    </row>
    <row r="1027" spans="1:12" x14ac:dyDescent="0.35">
      <c r="A1027" s="19">
        <v>45800</v>
      </c>
      <c r="B1027" s="20"/>
      <c r="C1027" s="20"/>
      <c r="D1027" s="20">
        <v>50000</v>
      </c>
      <c r="E1027" s="99" t="s">
        <v>626</v>
      </c>
      <c r="F1027" s="20">
        <f t="shared" si="15"/>
        <v>492558623</v>
      </c>
      <c r="G1027" s="7" t="s">
        <v>330</v>
      </c>
      <c r="H1027" s="24" t="s">
        <v>109</v>
      </c>
      <c r="I1027" s="32" t="s">
        <v>152</v>
      </c>
      <c r="K1027" s="181"/>
      <c r="L1027" s="181"/>
    </row>
    <row r="1028" spans="1:12" x14ac:dyDescent="0.35">
      <c r="A1028" s="19">
        <v>45800</v>
      </c>
      <c r="B1028" s="20"/>
      <c r="C1028" s="20"/>
      <c r="D1028" s="20">
        <v>100000</v>
      </c>
      <c r="E1028" s="99" t="s">
        <v>626</v>
      </c>
      <c r="F1028" s="20">
        <f t="shared" si="15"/>
        <v>492658623</v>
      </c>
      <c r="G1028" s="7" t="s">
        <v>330</v>
      </c>
      <c r="H1028" s="24" t="s">
        <v>109</v>
      </c>
      <c r="I1028" s="32" t="s">
        <v>152</v>
      </c>
      <c r="K1028" s="181"/>
      <c r="L1028" s="181"/>
    </row>
    <row r="1029" spans="1:12" x14ac:dyDescent="0.35">
      <c r="A1029" s="19">
        <v>45800</v>
      </c>
      <c r="B1029" s="20"/>
      <c r="C1029" s="20"/>
      <c r="D1029" s="20">
        <v>20000</v>
      </c>
      <c r="E1029" s="99" t="s">
        <v>626</v>
      </c>
      <c r="F1029" s="20">
        <f t="shared" si="15"/>
        <v>492678623</v>
      </c>
      <c r="G1029" s="7" t="s">
        <v>330</v>
      </c>
      <c r="H1029" s="24" t="s">
        <v>109</v>
      </c>
      <c r="I1029" s="32" t="s">
        <v>152</v>
      </c>
      <c r="K1029" s="181"/>
      <c r="L1029" s="181"/>
    </row>
    <row r="1030" spans="1:12" x14ac:dyDescent="0.35">
      <c r="A1030" s="19">
        <v>45800</v>
      </c>
      <c r="B1030" s="20"/>
      <c r="C1030" s="20"/>
      <c r="D1030" s="20">
        <v>100000</v>
      </c>
      <c r="E1030" s="99" t="s">
        <v>626</v>
      </c>
      <c r="F1030" s="20">
        <f t="shared" si="15"/>
        <v>492778623</v>
      </c>
      <c r="G1030" s="7" t="s">
        <v>330</v>
      </c>
      <c r="H1030" s="24" t="s">
        <v>109</v>
      </c>
      <c r="I1030" s="32" t="s">
        <v>152</v>
      </c>
      <c r="K1030" s="181"/>
      <c r="L1030" s="181"/>
    </row>
    <row r="1031" spans="1:12" x14ac:dyDescent="0.35">
      <c r="A1031" s="19">
        <v>45800</v>
      </c>
      <c r="B1031" s="20"/>
      <c r="C1031" s="20"/>
      <c r="D1031" s="20">
        <v>50000</v>
      </c>
      <c r="E1031" s="99" t="s">
        <v>626</v>
      </c>
      <c r="F1031" s="20">
        <f t="shared" si="15"/>
        <v>492828623</v>
      </c>
      <c r="G1031" s="7" t="s">
        <v>330</v>
      </c>
      <c r="H1031" s="24" t="s">
        <v>109</v>
      </c>
      <c r="I1031" s="32" t="s">
        <v>152</v>
      </c>
      <c r="K1031" s="181"/>
      <c r="L1031" s="181"/>
    </row>
    <row r="1032" spans="1:12" x14ac:dyDescent="0.35">
      <c r="A1032" s="19">
        <v>45800</v>
      </c>
      <c r="B1032" s="20"/>
      <c r="C1032" s="20"/>
      <c r="D1032" s="20">
        <v>100000</v>
      </c>
      <c r="E1032" s="99" t="s">
        <v>626</v>
      </c>
      <c r="F1032" s="20">
        <f t="shared" si="15"/>
        <v>492928623</v>
      </c>
      <c r="G1032" s="7" t="s">
        <v>330</v>
      </c>
      <c r="H1032" s="24" t="s">
        <v>109</v>
      </c>
      <c r="I1032" s="32" t="s">
        <v>152</v>
      </c>
      <c r="K1032" s="181"/>
      <c r="L1032" s="181"/>
    </row>
    <row r="1033" spans="1:12" x14ac:dyDescent="0.35">
      <c r="A1033" s="19">
        <v>45800</v>
      </c>
      <c r="B1033" s="20"/>
      <c r="C1033" s="20"/>
      <c r="D1033" s="20">
        <v>50000</v>
      </c>
      <c r="E1033" s="99" t="s">
        <v>626</v>
      </c>
      <c r="F1033" s="20">
        <f t="shared" si="15"/>
        <v>492978623</v>
      </c>
      <c r="G1033" s="7" t="s">
        <v>330</v>
      </c>
      <c r="H1033" s="24" t="s">
        <v>109</v>
      </c>
      <c r="I1033" s="32" t="s">
        <v>152</v>
      </c>
      <c r="K1033" s="181"/>
      <c r="L1033" s="181"/>
    </row>
    <row r="1034" spans="1:12" x14ac:dyDescent="0.35">
      <c r="A1034" s="19">
        <v>45800</v>
      </c>
      <c r="B1034" s="20"/>
      <c r="C1034" s="20"/>
      <c r="D1034" s="20">
        <v>20000</v>
      </c>
      <c r="E1034" s="99" t="s">
        <v>626</v>
      </c>
      <c r="F1034" s="20">
        <f t="shared" si="15"/>
        <v>492998623</v>
      </c>
      <c r="G1034" s="7" t="s">
        <v>330</v>
      </c>
      <c r="H1034" s="24" t="s">
        <v>109</v>
      </c>
      <c r="I1034" s="32" t="s">
        <v>152</v>
      </c>
      <c r="K1034" s="181"/>
      <c r="L1034" s="181"/>
    </row>
    <row r="1035" spans="1:12" x14ac:dyDescent="0.35">
      <c r="A1035" s="19">
        <v>45800</v>
      </c>
      <c r="B1035" s="20"/>
      <c r="C1035" s="20"/>
      <c r="D1035" s="20">
        <v>10000</v>
      </c>
      <c r="E1035" s="99" t="s">
        <v>626</v>
      </c>
      <c r="F1035" s="20">
        <f t="shared" si="15"/>
        <v>493008623</v>
      </c>
      <c r="G1035" s="7" t="s">
        <v>330</v>
      </c>
      <c r="H1035" s="24" t="s">
        <v>109</v>
      </c>
      <c r="I1035" s="32" t="s">
        <v>152</v>
      </c>
      <c r="K1035" s="181"/>
      <c r="L1035" s="181"/>
    </row>
    <row r="1036" spans="1:12" x14ac:dyDescent="0.35">
      <c r="A1036" s="19">
        <v>45800</v>
      </c>
      <c r="B1036" s="20"/>
      <c r="C1036" s="20"/>
      <c r="D1036" s="20">
        <v>4000000</v>
      </c>
      <c r="E1036" s="99" t="s">
        <v>626</v>
      </c>
      <c r="F1036" s="20">
        <f t="shared" si="15"/>
        <v>497008623</v>
      </c>
      <c r="G1036" s="7" t="s">
        <v>630</v>
      </c>
      <c r="H1036" s="24" t="s">
        <v>619</v>
      </c>
      <c r="I1036" s="32" t="s">
        <v>152</v>
      </c>
      <c r="K1036" s="181"/>
      <c r="L1036" s="181"/>
    </row>
    <row r="1037" spans="1:12" x14ac:dyDescent="0.35">
      <c r="A1037" s="19">
        <v>45800</v>
      </c>
      <c r="B1037" s="20"/>
      <c r="C1037" s="20"/>
      <c r="D1037" s="20">
        <v>50000</v>
      </c>
      <c r="E1037" s="99" t="s">
        <v>626</v>
      </c>
      <c r="F1037" s="20">
        <f t="shared" si="15"/>
        <v>497058623</v>
      </c>
      <c r="G1037" s="7" t="s">
        <v>330</v>
      </c>
      <c r="H1037" s="24" t="s">
        <v>109</v>
      </c>
      <c r="I1037" s="32" t="s">
        <v>152</v>
      </c>
      <c r="K1037" s="181"/>
      <c r="L1037" s="181"/>
    </row>
    <row r="1038" spans="1:12" x14ac:dyDescent="0.35">
      <c r="A1038" s="19">
        <v>45800</v>
      </c>
      <c r="B1038" s="20"/>
      <c r="C1038" s="20"/>
      <c r="D1038" s="20">
        <v>1000</v>
      </c>
      <c r="E1038" s="99" t="s">
        <v>626</v>
      </c>
      <c r="F1038" s="20">
        <f t="shared" si="15"/>
        <v>497059623</v>
      </c>
      <c r="G1038" s="7" t="s">
        <v>330</v>
      </c>
      <c r="H1038" s="24" t="s">
        <v>109</v>
      </c>
      <c r="I1038" s="32" t="s">
        <v>152</v>
      </c>
      <c r="K1038" s="181"/>
      <c r="L1038" s="181"/>
    </row>
    <row r="1039" spans="1:12" x14ac:dyDescent="0.35">
      <c r="A1039" s="176"/>
      <c r="B1039" s="176"/>
      <c r="C1039" s="176"/>
      <c r="D1039" s="176"/>
      <c r="E1039" s="176"/>
      <c r="F1039" s="182"/>
      <c r="G1039" s="176"/>
      <c r="H1039" s="176"/>
      <c r="I1039" s="176"/>
    </row>
    <row r="1040" spans="1:12" x14ac:dyDescent="0.35">
      <c r="A1040" s="6" t="s">
        <v>2</v>
      </c>
      <c r="B1040" s="6" t="s">
        <v>3</v>
      </c>
      <c r="C1040" s="6" t="s">
        <v>138</v>
      </c>
      <c r="D1040" s="6" t="s">
        <v>4</v>
      </c>
      <c r="E1040" s="6" t="s">
        <v>192</v>
      </c>
      <c r="F1040" s="6" t="s">
        <v>5</v>
      </c>
      <c r="G1040" s="6" t="s">
        <v>6</v>
      </c>
      <c r="H1040" s="34" t="s">
        <v>141</v>
      </c>
      <c r="I1040" s="34" t="s">
        <v>359</v>
      </c>
    </row>
    <row r="1041" spans="1:9" x14ac:dyDescent="0.35">
      <c r="A1041" s="129">
        <v>45660</v>
      </c>
      <c r="B1041" s="130"/>
      <c r="C1041" s="131"/>
      <c r="D1041" s="131">
        <v>2836352</v>
      </c>
      <c r="E1041" s="132" t="s">
        <v>357</v>
      </c>
      <c r="F1041" s="130"/>
      <c r="G1041" s="133" t="s">
        <v>107</v>
      </c>
      <c r="H1041" s="133" t="s">
        <v>206</v>
      </c>
      <c r="I1041" s="134" t="s">
        <v>108</v>
      </c>
    </row>
    <row r="1042" spans="1:9" x14ac:dyDescent="0.35">
      <c r="A1042" s="129">
        <v>45660</v>
      </c>
      <c r="B1042" s="130"/>
      <c r="C1042" s="131"/>
      <c r="D1042" s="131">
        <v>2163648</v>
      </c>
      <c r="E1042" s="132" t="s">
        <v>357</v>
      </c>
      <c r="F1042" s="130"/>
      <c r="G1042" s="133" t="s">
        <v>109</v>
      </c>
      <c r="H1042" s="133" t="s">
        <v>207</v>
      </c>
      <c r="I1042" s="134" t="s">
        <v>108</v>
      </c>
    </row>
    <row r="1043" spans="1:9" x14ac:dyDescent="0.35">
      <c r="A1043" s="129"/>
      <c r="B1043" s="135"/>
      <c r="C1043" s="135">
        <v>5000000</v>
      </c>
      <c r="D1043" s="135"/>
      <c r="E1043" s="135"/>
      <c r="F1043" s="135">
        <v>5000000</v>
      </c>
      <c r="G1043" s="136" t="s">
        <v>142</v>
      </c>
      <c r="H1043" s="133"/>
      <c r="I1043" s="137"/>
    </row>
    <row r="1044" spans="1:9" x14ac:dyDescent="0.35">
      <c r="A1044" s="129">
        <v>45660</v>
      </c>
      <c r="B1044" s="135">
        <v>675000</v>
      </c>
      <c r="C1044" s="135"/>
      <c r="D1044" s="135"/>
      <c r="E1044" s="132" t="s">
        <v>357</v>
      </c>
      <c r="F1044" s="135">
        <f t="shared" ref="F1044:F1107" si="16">+F1043+D1044-B1044</f>
        <v>4325000</v>
      </c>
      <c r="G1044" s="136" t="s">
        <v>111</v>
      </c>
      <c r="H1044" s="133" t="s">
        <v>328</v>
      </c>
      <c r="I1044" s="134" t="s">
        <v>108</v>
      </c>
    </row>
    <row r="1045" spans="1:9" x14ac:dyDescent="0.35">
      <c r="A1045" s="129">
        <v>45660</v>
      </c>
      <c r="B1045" s="135">
        <v>130000</v>
      </c>
      <c r="C1045" s="135"/>
      <c r="D1045" s="135"/>
      <c r="E1045" s="132" t="s">
        <v>357</v>
      </c>
      <c r="F1045" s="135">
        <f t="shared" si="16"/>
        <v>4195000</v>
      </c>
      <c r="G1045" s="136" t="s">
        <v>112</v>
      </c>
      <c r="H1045" s="133" t="s">
        <v>322</v>
      </c>
      <c r="I1045" s="134" t="s">
        <v>108</v>
      </c>
    </row>
    <row r="1046" spans="1:9" x14ac:dyDescent="0.35">
      <c r="A1046" s="129">
        <v>45660</v>
      </c>
      <c r="B1046" s="135">
        <v>180000</v>
      </c>
      <c r="C1046" s="135"/>
      <c r="D1046" s="135"/>
      <c r="E1046" s="132" t="s">
        <v>357</v>
      </c>
      <c r="F1046" s="135">
        <f t="shared" si="16"/>
        <v>4015000</v>
      </c>
      <c r="G1046" s="136" t="s">
        <v>116</v>
      </c>
      <c r="H1046" s="133" t="s">
        <v>327</v>
      </c>
      <c r="I1046" s="134" t="s">
        <v>108</v>
      </c>
    </row>
    <row r="1047" spans="1:9" x14ac:dyDescent="0.35">
      <c r="A1047" s="129">
        <v>45660</v>
      </c>
      <c r="B1047" s="135">
        <v>170000</v>
      </c>
      <c r="C1047" s="135"/>
      <c r="D1047" s="135"/>
      <c r="E1047" s="132" t="s">
        <v>357</v>
      </c>
      <c r="F1047" s="135">
        <f t="shared" si="16"/>
        <v>3845000</v>
      </c>
      <c r="G1047" s="136" t="s">
        <v>113</v>
      </c>
      <c r="H1047" s="133" t="s">
        <v>322</v>
      </c>
      <c r="I1047" s="134" t="s">
        <v>108</v>
      </c>
    </row>
    <row r="1048" spans="1:9" x14ac:dyDescent="0.35">
      <c r="A1048" s="129">
        <v>45664</v>
      </c>
      <c r="B1048" s="135">
        <v>500000</v>
      </c>
      <c r="C1048" s="131"/>
      <c r="D1048" s="135"/>
      <c r="E1048" s="132" t="s">
        <v>357</v>
      </c>
      <c r="F1048" s="135">
        <f t="shared" si="16"/>
        <v>3345000</v>
      </c>
      <c r="G1048" s="136" t="s">
        <v>117</v>
      </c>
      <c r="H1048" s="133" t="s">
        <v>322</v>
      </c>
      <c r="I1048" s="134" t="s">
        <v>108</v>
      </c>
    </row>
    <row r="1049" spans="1:9" x14ac:dyDescent="0.35">
      <c r="A1049" s="129">
        <v>45669</v>
      </c>
      <c r="B1049" s="138">
        <v>750000</v>
      </c>
      <c r="C1049" s="131"/>
      <c r="D1049" s="135"/>
      <c r="E1049" s="132" t="s">
        <v>357</v>
      </c>
      <c r="F1049" s="135">
        <f t="shared" si="16"/>
        <v>2595000</v>
      </c>
      <c r="G1049" s="136" t="s">
        <v>118</v>
      </c>
      <c r="H1049" s="133" t="s">
        <v>323</v>
      </c>
      <c r="I1049" s="134" t="s">
        <v>108</v>
      </c>
    </row>
    <row r="1050" spans="1:9" x14ac:dyDescent="0.35">
      <c r="A1050" s="129">
        <v>45669</v>
      </c>
      <c r="B1050" s="138">
        <v>130000</v>
      </c>
      <c r="C1050" s="131"/>
      <c r="D1050" s="139"/>
      <c r="E1050" s="132" t="s">
        <v>357</v>
      </c>
      <c r="F1050" s="135">
        <f t="shared" si="16"/>
        <v>2465000</v>
      </c>
      <c r="G1050" s="136" t="s">
        <v>112</v>
      </c>
      <c r="H1050" s="133" t="s">
        <v>322</v>
      </c>
      <c r="I1050" s="134" t="s">
        <v>108</v>
      </c>
    </row>
    <row r="1051" spans="1:9" x14ac:dyDescent="0.35">
      <c r="A1051" s="129">
        <v>45669</v>
      </c>
      <c r="B1051" s="138">
        <v>104000</v>
      </c>
      <c r="C1051" s="135"/>
      <c r="D1051" s="135"/>
      <c r="E1051" s="132" t="s">
        <v>357</v>
      </c>
      <c r="F1051" s="135">
        <f t="shared" si="16"/>
        <v>2361000</v>
      </c>
      <c r="G1051" s="136" t="s">
        <v>119</v>
      </c>
      <c r="H1051" s="133" t="s">
        <v>327</v>
      </c>
      <c r="I1051" s="134" t="s">
        <v>108</v>
      </c>
    </row>
    <row r="1052" spans="1:9" x14ac:dyDescent="0.35">
      <c r="A1052" s="129">
        <v>45669</v>
      </c>
      <c r="B1052" s="138">
        <v>200000</v>
      </c>
      <c r="C1052" s="131"/>
      <c r="D1052" s="130"/>
      <c r="E1052" s="132" t="s">
        <v>357</v>
      </c>
      <c r="F1052" s="135">
        <f t="shared" si="16"/>
        <v>2161000</v>
      </c>
      <c r="G1052" s="136" t="s">
        <v>120</v>
      </c>
      <c r="H1052" s="133" t="s">
        <v>322</v>
      </c>
      <c r="I1052" s="134" t="s">
        <v>108</v>
      </c>
    </row>
    <row r="1053" spans="1:9" x14ac:dyDescent="0.35">
      <c r="A1053" s="129">
        <v>45669</v>
      </c>
      <c r="B1053" s="138">
        <v>500000</v>
      </c>
      <c r="C1053" s="135"/>
      <c r="D1053" s="139"/>
      <c r="E1053" s="132" t="s">
        <v>357</v>
      </c>
      <c r="F1053" s="135">
        <f t="shared" si="16"/>
        <v>1661000</v>
      </c>
      <c r="G1053" s="136" t="s">
        <v>122</v>
      </c>
      <c r="H1053" s="133" t="s">
        <v>323</v>
      </c>
      <c r="I1053" s="134" t="s">
        <v>108</v>
      </c>
    </row>
    <row r="1054" spans="1:9" x14ac:dyDescent="0.35">
      <c r="A1054" s="129">
        <v>45669</v>
      </c>
      <c r="B1054" s="135"/>
      <c r="C1054" s="135"/>
      <c r="D1054" s="139">
        <v>2000000</v>
      </c>
      <c r="E1054" s="132" t="s">
        <v>357</v>
      </c>
      <c r="F1054" s="135">
        <f t="shared" si="16"/>
        <v>3661000</v>
      </c>
      <c r="G1054" s="136" t="s">
        <v>110</v>
      </c>
      <c r="H1054" s="133" t="s">
        <v>109</v>
      </c>
      <c r="I1054" s="134" t="s">
        <v>108</v>
      </c>
    </row>
    <row r="1055" spans="1:9" x14ac:dyDescent="0.35">
      <c r="A1055" s="129">
        <v>45669</v>
      </c>
      <c r="B1055" s="140">
        <v>2000000</v>
      </c>
      <c r="C1055" s="135"/>
      <c r="D1055" s="135"/>
      <c r="E1055" s="132" t="s">
        <v>357</v>
      </c>
      <c r="F1055" s="135">
        <f t="shared" si="16"/>
        <v>1661000</v>
      </c>
      <c r="G1055" s="136" t="s">
        <v>121</v>
      </c>
      <c r="H1055" s="133" t="s">
        <v>328</v>
      </c>
      <c r="I1055" s="134" t="s">
        <v>108</v>
      </c>
    </row>
    <row r="1056" spans="1:9" x14ac:dyDescent="0.35">
      <c r="A1056" s="129">
        <v>45669</v>
      </c>
      <c r="B1056" s="140">
        <v>500000</v>
      </c>
      <c r="C1056" s="135"/>
      <c r="D1056" s="139"/>
      <c r="E1056" s="132" t="s">
        <v>357</v>
      </c>
      <c r="F1056" s="135">
        <f t="shared" si="16"/>
        <v>1161000</v>
      </c>
      <c r="G1056" s="136" t="s">
        <v>122</v>
      </c>
      <c r="H1056" s="133" t="s">
        <v>323</v>
      </c>
      <c r="I1056" s="134" t="s">
        <v>108</v>
      </c>
    </row>
    <row r="1057" spans="1:9" x14ac:dyDescent="0.35">
      <c r="A1057" s="129">
        <v>45670</v>
      </c>
      <c r="B1057" s="140">
        <v>140000</v>
      </c>
      <c r="C1057" s="135"/>
      <c r="D1057" s="135"/>
      <c r="E1057" s="132" t="s">
        <v>357</v>
      </c>
      <c r="F1057" s="135">
        <f t="shared" si="16"/>
        <v>1021000</v>
      </c>
      <c r="G1057" s="136" t="s">
        <v>123</v>
      </c>
      <c r="H1057" s="133" t="s">
        <v>320</v>
      </c>
      <c r="I1057" s="134" t="s">
        <v>108</v>
      </c>
    </row>
    <row r="1058" spans="1:9" x14ac:dyDescent="0.35">
      <c r="A1058" s="129">
        <v>45670</v>
      </c>
      <c r="B1058" s="140">
        <v>197000</v>
      </c>
      <c r="C1058" s="135"/>
      <c r="D1058" s="135"/>
      <c r="E1058" s="132" t="s">
        <v>357</v>
      </c>
      <c r="F1058" s="135">
        <f t="shared" si="16"/>
        <v>824000</v>
      </c>
      <c r="G1058" s="136" t="s">
        <v>124</v>
      </c>
      <c r="H1058" s="133" t="s">
        <v>322</v>
      </c>
      <c r="I1058" s="134" t="s">
        <v>108</v>
      </c>
    </row>
    <row r="1059" spans="1:9" x14ac:dyDescent="0.35">
      <c r="A1059" s="129">
        <v>45670</v>
      </c>
      <c r="B1059" s="140">
        <v>72000</v>
      </c>
      <c r="C1059" s="131"/>
      <c r="D1059" s="135"/>
      <c r="E1059" s="132" t="s">
        <v>357</v>
      </c>
      <c r="F1059" s="135">
        <f t="shared" si="16"/>
        <v>752000</v>
      </c>
      <c r="G1059" s="136" t="s">
        <v>137</v>
      </c>
      <c r="H1059" s="133" t="s">
        <v>327</v>
      </c>
      <c r="I1059" s="134" t="s">
        <v>108</v>
      </c>
    </row>
    <row r="1060" spans="1:9" x14ac:dyDescent="0.35">
      <c r="A1060" s="129">
        <v>45674</v>
      </c>
      <c r="B1060" s="135"/>
      <c r="C1060" s="131"/>
      <c r="D1060" s="131">
        <v>33000</v>
      </c>
      <c r="E1060" s="132" t="s">
        <v>357</v>
      </c>
      <c r="F1060" s="135">
        <f t="shared" si="16"/>
        <v>785000</v>
      </c>
      <c r="G1060" s="136"/>
      <c r="H1060" s="133" t="s">
        <v>107</v>
      </c>
      <c r="I1060" s="134" t="s">
        <v>108</v>
      </c>
    </row>
    <row r="1061" spans="1:9" x14ac:dyDescent="0.35">
      <c r="A1061" s="129">
        <v>45674</v>
      </c>
      <c r="B1061" s="135"/>
      <c r="C1061" s="131"/>
      <c r="D1061" s="131">
        <v>2967000</v>
      </c>
      <c r="E1061" s="132" t="s">
        <v>357</v>
      </c>
      <c r="F1061" s="135">
        <f t="shared" si="16"/>
        <v>3752000</v>
      </c>
      <c r="G1061" s="136"/>
      <c r="H1061" s="133" t="s">
        <v>109</v>
      </c>
      <c r="I1061" s="134" t="s">
        <v>108</v>
      </c>
    </row>
    <row r="1062" spans="1:9" x14ac:dyDescent="0.35">
      <c r="A1062" s="129"/>
      <c r="B1062" s="135"/>
      <c r="C1062" s="135">
        <v>3000000</v>
      </c>
      <c r="D1062" s="135"/>
      <c r="E1062" s="135"/>
      <c r="F1062" s="135">
        <f t="shared" si="16"/>
        <v>3752000</v>
      </c>
      <c r="G1062" s="136" t="s">
        <v>110</v>
      </c>
      <c r="H1062" s="133"/>
      <c r="I1062" s="141"/>
    </row>
    <row r="1063" spans="1:9" x14ac:dyDescent="0.35">
      <c r="A1063" s="129">
        <v>45682</v>
      </c>
      <c r="B1063" s="135">
        <v>100000</v>
      </c>
      <c r="C1063" s="131"/>
      <c r="D1063" s="130"/>
      <c r="E1063" s="132" t="s">
        <v>357</v>
      </c>
      <c r="F1063" s="135">
        <f t="shared" si="16"/>
        <v>3652000</v>
      </c>
      <c r="G1063" s="136" t="s">
        <v>186</v>
      </c>
      <c r="H1063" s="133" t="s">
        <v>322</v>
      </c>
      <c r="I1063" s="134" t="s">
        <v>108</v>
      </c>
    </row>
    <row r="1064" spans="1:9" x14ac:dyDescent="0.35">
      <c r="A1064" s="129">
        <v>45682</v>
      </c>
      <c r="B1064" s="142">
        <v>130000</v>
      </c>
      <c r="C1064" s="135"/>
      <c r="D1064" s="135"/>
      <c r="E1064" s="132" t="s">
        <v>357</v>
      </c>
      <c r="F1064" s="135">
        <f t="shared" si="16"/>
        <v>3522000</v>
      </c>
      <c r="G1064" s="136" t="s">
        <v>112</v>
      </c>
      <c r="H1064" s="133" t="s">
        <v>322</v>
      </c>
      <c r="I1064" s="134" t="s">
        <v>108</v>
      </c>
    </row>
    <row r="1065" spans="1:9" x14ac:dyDescent="0.35">
      <c r="A1065" s="129">
        <v>45683</v>
      </c>
      <c r="B1065" s="142">
        <v>90000</v>
      </c>
      <c r="C1065" s="135"/>
      <c r="D1065" s="135"/>
      <c r="E1065" s="132" t="s">
        <v>357</v>
      </c>
      <c r="F1065" s="135">
        <f t="shared" si="16"/>
        <v>3432000</v>
      </c>
      <c r="G1065" s="136" t="s">
        <v>187</v>
      </c>
      <c r="H1065" s="133" t="s">
        <v>327</v>
      </c>
      <c r="I1065" s="134" t="s">
        <v>108</v>
      </c>
    </row>
    <row r="1066" spans="1:9" x14ac:dyDescent="0.35">
      <c r="A1066" s="129">
        <v>45687</v>
      </c>
      <c r="B1066" s="142">
        <v>500000</v>
      </c>
      <c r="C1066" s="135"/>
      <c r="D1066" s="135"/>
      <c r="E1066" s="132" t="s">
        <v>357</v>
      </c>
      <c r="F1066" s="135">
        <f t="shared" si="16"/>
        <v>2932000</v>
      </c>
      <c r="G1066" s="136" t="s">
        <v>191</v>
      </c>
      <c r="H1066" s="133" t="s">
        <v>323</v>
      </c>
      <c r="I1066" s="134" t="s">
        <v>108</v>
      </c>
    </row>
    <row r="1067" spans="1:9" x14ac:dyDescent="0.35">
      <c r="A1067" s="129">
        <v>45687</v>
      </c>
      <c r="B1067" s="142">
        <v>400000</v>
      </c>
      <c r="C1067" s="135"/>
      <c r="D1067" s="135"/>
      <c r="E1067" s="132" t="s">
        <v>357</v>
      </c>
      <c r="F1067" s="135">
        <f t="shared" si="16"/>
        <v>2532000</v>
      </c>
      <c r="G1067" s="136" t="s">
        <v>188</v>
      </c>
      <c r="H1067" s="133" t="s">
        <v>323</v>
      </c>
      <c r="I1067" s="134" t="s">
        <v>108</v>
      </c>
    </row>
    <row r="1068" spans="1:9" x14ac:dyDescent="0.35">
      <c r="A1068" s="129">
        <v>45687</v>
      </c>
      <c r="B1068" s="142">
        <v>500000</v>
      </c>
      <c r="C1068" s="135"/>
      <c r="D1068" s="135"/>
      <c r="E1068" s="132" t="s">
        <v>357</v>
      </c>
      <c r="F1068" s="135">
        <f t="shared" si="16"/>
        <v>2032000</v>
      </c>
      <c r="G1068" s="136" t="s">
        <v>189</v>
      </c>
      <c r="H1068" s="133" t="s">
        <v>322</v>
      </c>
      <c r="I1068" s="134" t="s">
        <v>108</v>
      </c>
    </row>
    <row r="1069" spans="1:9" x14ac:dyDescent="0.35">
      <c r="A1069" s="129">
        <v>45687</v>
      </c>
      <c r="B1069" s="142">
        <v>500000</v>
      </c>
      <c r="C1069" s="135"/>
      <c r="D1069" s="135"/>
      <c r="E1069" s="132" t="s">
        <v>357</v>
      </c>
      <c r="F1069" s="135">
        <f t="shared" si="16"/>
        <v>1532000</v>
      </c>
      <c r="G1069" s="136" t="s">
        <v>190</v>
      </c>
      <c r="H1069" s="133" t="s">
        <v>322</v>
      </c>
      <c r="I1069" s="134" t="s">
        <v>108</v>
      </c>
    </row>
    <row r="1070" spans="1:9" x14ac:dyDescent="0.35">
      <c r="A1070" s="129">
        <v>45687</v>
      </c>
      <c r="B1070" s="142"/>
      <c r="C1070" s="131"/>
      <c r="D1070" s="135">
        <v>2000000</v>
      </c>
      <c r="E1070" s="143" t="s">
        <v>357</v>
      </c>
      <c r="F1070" s="135">
        <f t="shared" si="16"/>
        <v>3532000</v>
      </c>
      <c r="G1070" s="136" t="s">
        <v>110</v>
      </c>
      <c r="H1070" s="133" t="s">
        <v>109</v>
      </c>
      <c r="I1070" s="134" t="s">
        <v>108</v>
      </c>
    </row>
    <row r="1071" spans="1:9" x14ac:dyDescent="0.35">
      <c r="A1071" s="129">
        <v>45690</v>
      </c>
      <c r="B1071" s="142">
        <v>90000</v>
      </c>
      <c r="C1071" s="131"/>
      <c r="D1071" s="135"/>
      <c r="E1071" s="132" t="s">
        <v>358</v>
      </c>
      <c r="F1071" s="135">
        <f t="shared" si="16"/>
        <v>3442000</v>
      </c>
      <c r="G1071" s="136" t="s">
        <v>119</v>
      </c>
      <c r="H1071" s="133" t="s">
        <v>327</v>
      </c>
      <c r="I1071" s="134" t="s">
        <v>108</v>
      </c>
    </row>
    <row r="1072" spans="1:9" x14ac:dyDescent="0.35">
      <c r="A1072" s="129">
        <v>45691</v>
      </c>
      <c r="B1072" s="142">
        <v>130000</v>
      </c>
      <c r="C1072" s="135"/>
      <c r="D1072" s="135"/>
      <c r="E1072" s="132" t="s">
        <v>358</v>
      </c>
      <c r="F1072" s="135">
        <f t="shared" si="16"/>
        <v>3312000</v>
      </c>
      <c r="G1072" s="136" t="s">
        <v>112</v>
      </c>
      <c r="H1072" s="133" t="s">
        <v>322</v>
      </c>
      <c r="I1072" s="134" t="s">
        <v>108</v>
      </c>
    </row>
    <row r="1073" spans="1:9" x14ac:dyDescent="0.35">
      <c r="A1073" s="129">
        <v>45692</v>
      </c>
      <c r="B1073" s="135">
        <v>150000</v>
      </c>
      <c r="C1073" s="134"/>
      <c r="D1073" s="134"/>
      <c r="E1073" s="132" t="s">
        <v>358</v>
      </c>
      <c r="F1073" s="135">
        <f t="shared" si="16"/>
        <v>3162000</v>
      </c>
      <c r="G1073" s="136" t="s">
        <v>186</v>
      </c>
      <c r="H1073" s="133" t="s">
        <v>322</v>
      </c>
      <c r="I1073" s="134" t="s">
        <v>108</v>
      </c>
    </row>
    <row r="1074" spans="1:9" x14ac:dyDescent="0.35">
      <c r="A1074" s="129">
        <v>45695</v>
      </c>
      <c r="B1074" s="135">
        <v>500000</v>
      </c>
      <c r="C1074" s="134"/>
      <c r="D1074" s="134"/>
      <c r="E1074" s="132" t="s">
        <v>358</v>
      </c>
      <c r="F1074" s="135">
        <f t="shared" si="16"/>
        <v>2662000</v>
      </c>
      <c r="G1074" s="136" t="s">
        <v>122</v>
      </c>
      <c r="H1074" s="133" t="s">
        <v>323</v>
      </c>
      <c r="I1074" s="134" t="s">
        <v>108</v>
      </c>
    </row>
    <row r="1075" spans="1:9" x14ac:dyDescent="0.35">
      <c r="A1075" s="129">
        <v>45692</v>
      </c>
      <c r="B1075" s="135">
        <v>500000</v>
      </c>
      <c r="C1075" s="134"/>
      <c r="D1075" s="134"/>
      <c r="E1075" s="132" t="s">
        <v>358</v>
      </c>
      <c r="F1075" s="135">
        <f t="shared" si="16"/>
        <v>2162000</v>
      </c>
      <c r="G1075" s="136" t="s">
        <v>266</v>
      </c>
      <c r="H1075" s="133" t="s">
        <v>322</v>
      </c>
      <c r="I1075" s="134" t="s">
        <v>108</v>
      </c>
    </row>
    <row r="1076" spans="1:9" x14ac:dyDescent="0.35">
      <c r="A1076" s="129">
        <v>45692</v>
      </c>
      <c r="B1076" s="135">
        <v>200000</v>
      </c>
      <c r="C1076" s="134"/>
      <c r="D1076" s="134"/>
      <c r="E1076" s="132" t="s">
        <v>358</v>
      </c>
      <c r="F1076" s="135">
        <f t="shared" si="16"/>
        <v>1962000</v>
      </c>
      <c r="G1076" s="136" t="s">
        <v>267</v>
      </c>
      <c r="H1076" s="133" t="s">
        <v>322</v>
      </c>
      <c r="I1076" s="134" t="s">
        <v>108</v>
      </c>
    </row>
    <row r="1077" spans="1:9" x14ac:dyDescent="0.35">
      <c r="A1077" s="129">
        <v>45693</v>
      </c>
      <c r="B1077" s="135">
        <v>50000</v>
      </c>
      <c r="C1077" s="134"/>
      <c r="D1077" s="134"/>
      <c r="E1077" s="132" t="s">
        <v>358</v>
      </c>
      <c r="F1077" s="135">
        <f t="shared" si="16"/>
        <v>1912000</v>
      </c>
      <c r="G1077" s="136" t="s">
        <v>268</v>
      </c>
      <c r="H1077" s="133" t="s">
        <v>327</v>
      </c>
      <c r="I1077" s="134" t="s">
        <v>108</v>
      </c>
    </row>
    <row r="1078" spans="1:9" x14ac:dyDescent="0.35">
      <c r="A1078" s="129">
        <v>45697</v>
      </c>
      <c r="B1078" s="135">
        <v>90000</v>
      </c>
      <c r="C1078" s="134"/>
      <c r="D1078" s="134"/>
      <c r="E1078" s="132" t="s">
        <v>358</v>
      </c>
      <c r="F1078" s="135">
        <f t="shared" si="16"/>
        <v>1822000</v>
      </c>
      <c r="G1078" s="136" t="s">
        <v>119</v>
      </c>
      <c r="H1078" s="133" t="s">
        <v>327</v>
      </c>
      <c r="I1078" s="134" t="s">
        <v>108</v>
      </c>
    </row>
    <row r="1079" spans="1:9" x14ac:dyDescent="0.35">
      <c r="A1079" s="129">
        <v>45698</v>
      </c>
      <c r="B1079" s="135">
        <v>50000</v>
      </c>
      <c r="C1079" s="134"/>
      <c r="D1079" s="134"/>
      <c r="E1079" s="132" t="s">
        <v>358</v>
      </c>
      <c r="F1079" s="135">
        <f t="shared" si="16"/>
        <v>1772000</v>
      </c>
      <c r="G1079" s="136" t="s">
        <v>280</v>
      </c>
      <c r="H1079" s="133" t="s">
        <v>322</v>
      </c>
      <c r="I1079" s="134" t="s">
        <v>108</v>
      </c>
    </row>
    <row r="1080" spans="1:9" x14ac:dyDescent="0.35">
      <c r="A1080" s="129">
        <v>45702</v>
      </c>
      <c r="B1080" s="135">
        <v>500000</v>
      </c>
      <c r="C1080" s="134"/>
      <c r="D1080" s="134"/>
      <c r="E1080" s="132" t="s">
        <v>358</v>
      </c>
      <c r="F1080" s="135">
        <f t="shared" si="16"/>
        <v>1272000</v>
      </c>
      <c r="G1080" s="136" t="s">
        <v>122</v>
      </c>
      <c r="H1080" s="133" t="s">
        <v>323</v>
      </c>
      <c r="I1080" s="134" t="s">
        <v>108</v>
      </c>
    </row>
    <row r="1081" spans="1:9" x14ac:dyDescent="0.35">
      <c r="A1081" s="129">
        <v>45702</v>
      </c>
      <c r="B1081" s="135"/>
      <c r="C1081" s="134"/>
      <c r="D1081" s="135">
        <v>750000</v>
      </c>
      <c r="E1081" s="132" t="s">
        <v>358</v>
      </c>
      <c r="F1081" s="135">
        <f t="shared" si="16"/>
        <v>2022000</v>
      </c>
      <c r="G1081" s="136" t="s">
        <v>281</v>
      </c>
      <c r="H1081" s="133" t="s">
        <v>109</v>
      </c>
      <c r="I1081" s="134" t="s">
        <v>108</v>
      </c>
    </row>
    <row r="1082" spans="1:9" x14ac:dyDescent="0.35">
      <c r="A1082" s="129">
        <v>45703</v>
      </c>
      <c r="B1082" s="135">
        <v>1000000</v>
      </c>
      <c r="C1082" s="134"/>
      <c r="D1082" s="134"/>
      <c r="E1082" s="132" t="s">
        <v>358</v>
      </c>
      <c r="F1082" s="135">
        <f t="shared" si="16"/>
        <v>1022000</v>
      </c>
      <c r="G1082" s="136" t="s">
        <v>296</v>
      </c>
      <c r="H1082" s="133" t="s">
        <v>321</v>
      </c>
      <c r="I1082" s="134" t="s">
        <v>108</v>
      </c>
    </row>
    <row r="1083" spans="1:9" x14ac:dyDescent="0.35">
      <c r="A1083" s="129">
        <v>45703</v>
      </c>
      <c r="B1083" s="135">
        <v>395000</v>
      </c>
      <c r="C1083" s="134"/>
      <c r="D1083" s="134"/>
      <c r="E1083" s="132" t="s">
        <v>358</v>
      </c>
      <c r="F1083" s="135">
        <f t="shared" si="16"/>
        <v>627000</v>
      </c>
      <c r="G1083" s="136" t="s">
        <v>297</v>
      </c>
      <c r="H1083" s="133" t="s">
        <v>321</v>
      </c>
      <c r="I1083" s="134" t="s">
        <v>108</v>
      </c>
    </row>
    <row r="1084" spans="1:9" x14ac:dyDescent="0.35">
      <c r="A1084" s="129">
        <v>45704</v>
      </c>
      <c r="B1084" s="135">
        <v>90000</v>
      </c>
      <c r="C1084" s="134"/>
      <c r="D1084" s="134"/>
      <c r="E1084" s="132" t="s">
        <v>358</v>
      </c>
      <c r="F1084" s="135">
        <f t="shared" si="16"/>
        <v>537000</v>
      </c>
      <c r="G1084" s="136" t="s">
        <v>298</v>
      </c>
      <c r="H1084" s="133" t="s">
        <v>327</v>
      </c>
      <c r="I1084" s="134" t="s">
        <v>108</v>
      </c>
    </row>
    <row r="1085" spans="1:9" x14ac:dyDescent="0.35">
      <c r="A1085" s="129">
        <v>45704</v>
      </c>
      <c r="B1085" s="135">
        <v>20000</v>
      </c>
      <c r="C1085" s="134"/>
      <c r="D1085" s="134"/>
      <c r="E1085" s="132" t="s">
        <v>358</v>
      </c>
      <c r="F1085" s="135">
        <f t="shared" si="16"/>
        <v>517000</v>
      </c>
      <c r="G1085" s="136" t="s">
        <v>299</v>
      </c>
      <c r="H1085" s="133" t="s">
        <v>322</v>
      </c>
      <c r="I1085" s="134" t="s">
        <v>108</v>
      </c>
    </row>
    <row r="1086" spans="1:9" x14ac:dyDescent="0.35">
      <c r="A1086" s="129">
        <v>45705</v>
      </c>
      <c r="B1086" s="135"/>
      <c r="C1086" s="134"/>
      <c r="D1086" s="135">
        <v>2000000</v>
      </c>
      <c r="E1086" s="132" t="s">
        <v>358</v>
      </c>
      <c r="F1086" s="135">
        <f t="shared" si="16"/>
        <v>2517000</v>
      </c>
      <c r="G1086" s="136" t="s">
        <v>110</v>
      </c>
      <c r="H1086" s="133" t="s">
        <v>109</v>
      </c>
      <c r="I1086" s="134" t="s">
        <v>108</v>
      </c>
    </row>
    <row r="1087" spans="1:9" x14ac:dyDescent="0.35">
      <c r="A1087" s="129">
        <v>45705</v>
      </c>
      <c r="B1087" s="135">
        <v>92000</v>
      </c>
      <c r="C1087" s="134"/>
      <c r="D1087" s="134"/>
      <c r="E1087" s="132" t="s">
        <v>358</v>
      </c>
      <c r="F1087" s="135">
        <f t="shared" si="16"/>
        <v>2425000</v>
      </c>
      <c r="G1087" s="136" t="s">
        <v>300</v>
      </c>
      <c r="H1087" s="133" t="s">
        <v>322</v>
      </c>
      <c r="I1087" s="134" t="s">
        <v>108</v>
      </c>
    </row>
    <row r="1088" spans="1:9" x14ac:dyDescent="0.35">
      <c r="A1088" s="129">
        <v>45706</v>
      </c>
      <c r="B1088" s="135">
        <v>45000</v>
      </c>
      <c r="C1088" s="134"/>
      <c r="D1088" s="134"/>
      <c r="E1088" s="132" t="s">
        <v>358</v>
      </c>
      <c r="F1088" s="135">
        <f t="shared" si="16"/>
        <v>2380000</v>
      </c>
      <c r="G1088" s="136" t="s">
        <v>301</v>
      </c>
      <c r="H1088" s="133" t="s">
        <v>322</v>
      </c>
      <c r="I1088" s="134" t="s">
        <v>108</v>
      </c>
    </row>
    <row r="1089" spans="1:9" x14ac:dyDescent="0.35">
      <c r="A1089" s="129">
        <v>45709</v>
      </c>
      <c r="B1089" s="135">
        <v>500000</v>
      </c>
      <c r="C1089" s="134"/>
      <c r="D1089" s="134"/>
      <c r="E1089" s="132" t="s">
        <v>358</v>
      </c>
      <c r="F1089" s="135">
        <f t="shared" si="16"/>
        <v>1880000</v>
      </c>
      <c r="G1089" s="136" t="s">
        <v>302</v>
      </c>
      <c r="H1089" s="133" t="s">
        <v>323</v>
      </c>
      <c r="I1089" s="134" t="s">
        <v>108</v>
      </c>
    </row>
    <row r="1090" spans="1:9" x14ac:dyDescent="0.35">
      <c r="A1090" s="129">
        <v>45710</v>
      </c>
      <c r="B1090" s="135">
        <v>1000000</v>
      </c>
      <c r="C1090" s="134"/>
      <c r="D1090" s="134"/>
      <c r="E1090" s="132" t="s">
        <v>358</v>
      </c>
      <c r="F1090" s="135">
        <f t="shared" si="16"/>
        <v>880000</v>
      </c>
      <c r="G1090" s="136" t="s">
        <v>309</v>
      </c>
      <c r="H1090" s="133" t="s">
        <v>328</v>
      </c>
      <c r="I1090" s="134" t="s">
        <v>108</v>
      </c>
    </row>
    <row r="1091" spans="1:9" x14ac:dyDescent="0.35">
      <c r="A1091" s="129">
        <v>45711</v>
      </c>
      <c r="B1091" s="135">
        <v>60000</v>
      </c>
      <c r="C1091" s="134"/>
      <c r="D1091" s="134"/>
      <c r="E1091" s="132" t="s">
        <v>358</v>
      </c>
      <c r="F1091" s="135">
        <f t="shared" si="16"/>
        <v>820000</v>
      </c>
      <c r="G1091" s="136" t="s">
        <v>310</v>
      </c>
      <c r="H1091" s="133" t="s">
        <v>327</v>
      </c>
      <c r="I1091" s="134" t="s">
        <v>108</v>
      </c>
    </row>
    <row r="1092" spans="1:9" x14ac:dyDescent="0.35">
      <c r="A1092" s="129">
        <v>45711</v>
      </c>
      <c r="B1092" s="135">
        <v>100000</v>
      </c>
      <c r="C1092" s="134"/>
      <c r="D1092" s="134"/>
      <c r="E1092" s="132" t="s">
        <v>358</v>
      </c>
      <c r="F1092" s="135">
        <f t="shared" si="16"/>
        <v>720000</v>
      </c>
      <c r="G1092" s="136" t="s">
        <v>311</v>
      </c>
      <c r="H1092" s="133" t="s">
        <v>320</v>
      </c>
      <c r="I1092" s="134" t="s">
        <v>108</v>
      </c>
    </row>
    <row r="1093" spans="1:9" x14ac:dyDescent="0.35">
      <c r="A1093" s="129">
        <v>45712</v>
      </c>
      <c r="B1093" s="135">
        <v>250000</v>
      </c>
      <c r="C1093" s="134"/>
      <c r="D1093" s="134"/>
      <c r="E1093" s="132" t="s">
        <v>358</v>
      </c>
      <c r="F1093" s="135">
        <f t="shared" si="16"/>
        <v>470000</v>
      </c>
      <c r="G1093" s="136" t="s">
        <v>312</v>
      </c>
      <c r="H1093" s="133" t="s">
        <v>320</v>
      </c>
      <c r="I1093" s="134" t="s">
        <v>108</v>
      </c>
    </row>
    <row r="1094" spans="1:9" x14ac:dyDescent="0.35">
      <c r="A1094" s="144">
        <v>45712</v>
      </c>
      <c r="B1094" s="135">
        <v>130000</v>
      </c>
      <c r="C1094" s="134"/>
      <c r="D1094" s="135"/>
      <c r="E1094" s="132" t="s">
        <v>358</v>
      </c>
      <c r="F1094" s="135">
        <f t="shared" si="16"/>
        <v>340000</v>
      </c>
      <c r="G1094" s="136" t="s">
        <v>313</v>
      </c>
      <c r="H1094" s="133" t="s">
        <v>320</v>
      </c>
      <c r="I1094" s="134" t="s">
        <v>108</v>
      </c>
    </row>
    <row r="1095" spans="1:9" x14ac:dyDescent="0.35">
      <c r="A1095" s="144">
        <v>45712</v>
      </c>
      <c r="B1095" s="135"/>
      <c r="C1095" s="134"/>
      <c r="D1095" s="135">
        <v>1000000</v>
      </c>
      <c r="E1095" s="132" t="s">
        <v>358</v>
      </c>
      <c r="F1095" s="135">
        <f t="shared" si="16"/>
        <v>1340000</v>
      </c>
      <c r="G1095" s="136" t="s">
        <v>110</v>
      </c>
      <c r="H1095" s="133" t="s">
        <v>109</v>
      </c>
      <c r="I1095" s="134" t="s">
        <v>108</v>
      </c>
    </row>
    <row r="1096" spans="1:9" x14ac:dyDescent="0.35">
      <c r="A1096" s="144">
        <v>45717</v>
      </c>
      <c r="B1096" s="135">
        <v>400000</v>
      </c>
      <c r="C1096" s="134"/>
      <c r="D1096" s="135"/>
      <c r="E1096" s="134" t="s">
        <v>521</v>
      </c>
      <c r="F1096" s="135">
        <f t="shared" si="16"/>
        <v>940000</v>
      </c>
      <c r="G1096" s="136" t="s">
        <v>188</v>
      </c>
      <c r="H1096" s="133" t="s">
        <v>323</v>
      </c>
      <c r="I1096" s="134" t="s">
        <v>108</v>
      </c>
    </row>
    <row r="1097" spans="1:9" x14ac:dyDescent="0.35">
      <c r="A1097" s="144">
        <v>45717</v>
      </c>
      <c r="B1097" s="135">
        <v>200000</v>
      </c>
      <c r="C1097" s="134"/>
      <c r="D1097" s="135"/>
      <c r="E1097" s="134" t="s">
        <v>521</v>
      </c>
      <c r="F1097" s="135">
        <f t="shared" si="16"/>
        <v>740000</v>
      </c>
      <c r="G1097" s="136" t="s">
        <v>353</v>
      </c>
      <c r="H1097" s="133" t="s">
        <v>322</v>
      </c>
      <c r="I1097" s="134" t="s">
        <v>108</v>
      </c>
    </row>
    <row r="1098" spans="1:9" x14ac:dyDescent="0.35">
      <c r="A1098" s="144">
        <v>45718</v>
      </c>
      <c r="B1098" s="135">
        <v>100000</v>
      </c>
      <c r="C1098" s="134"/>
      <c r="D1098" s="135"/>
      <c r="E1098" s="134" t="s">
        <v>521</v>
      </c>
      <c r="F1098" s="135">
        <f t="shared" si="16"/>
        <v>640000</v>
      </c>
      <c r="G1098" s="136" t="s">
        <v>354</v>
      </c>
      <c r="H1098" s="133" t="s">
        <v>320</v>
      </c>
      <c r="I1098" s="134" t="s">
        <v>108</v>
      </c>
    </row>
    <row r="1099" spans="1:9" x14ac:dyDescent="0.35">
      <c r="A1099" s="144">
        <v>45719</v>
      </c>
      <c r="B1099" s="135">
        <v>50000</v>
      </c>
      <c r="C1099" s="134"/>
      <c r="D1099" s="135"/>
      <c r="E1099" s="134" t="s">
        <v>521</v>
      </c>
      <c r="F1099" s="135">
        <f t="shared" si="16"/>
        <v>590000</v>
      </c>
      <c r="G1099" s="136" t="s">
        <v>355</v>
      </c>
      <c r="H1099" s="133" t="s">
        <v>320</v>
      </c>
      <c r="I1099" s="134" t="s">
        <v>108</v>
      </c>
    </row>
    <row r="1100" spans="1:9" x14ac:dyDescent="0.35">
      <c r="A1100" s="144">
        <v>45720</v>
      </c>
      <c r="B1100" s="135"/>
      <c r="C1100" s="134"/>
      <c r="D1100" s="135">
        <v>3000000</v>
      </c>
      <c r="E1100" s="134" t="s">
        <v>521</v>
      </c>
      <c r="F1100" s="135">
        <f t="shared" si="16"/>
        <v>3590000</v>
      </c>
      <c r="G1100" s="136" t="s">
        <v>110</v>
      </c>
      <c r="H1100" s="133" t="s">
        <v>109</v>
      </c>
      <c r="I1100" s="134" t="s">
        <v>108</v>
      </c>
    </row>
    <row r="1101" spans="1:9" x14ac:dyDescent="0.35">
      <c r="A1101" s="144">
        <v>45721</v>
      </c>
      <c r="B1101" s="135">
        <v>130000</v>
      </c>
      <c r="C1101" s="134"/>
      <c r="D1101" s="135"/>
      <c r="E1101" s="134" t="s">
        <v>521</v>
      </c>
      <c r="F1101" s="135">
        <f t="shared" si="16"/>
        <v>3460000</v>
      </c>
      <c r="G1101" s="136" t="s">
        <v>356</v>
      </c>
      <c r="H1101" s="133" t="s">
        <v>322</v>
      </c>
      <c r="I1101" s="134" t="s">
        <v>108</v>
      </c>
    </row>
    <row r="1102" spans="1:9" x14ac:dyDescent="0.35">
      <c r="A1102" s="144">
        <v>45722</v>
      </c>
      <c r="B1102" s="135">
        <v>500000</v>
      </c>
      <c r="C1102" s="134"/>
      <c r="D1102" s="135"/>
      <c r="E1102" s="134" t="s">
        <v>521</v>
      </c>
      <c r="F1102" s="135">
        <f t="shared" si="16"/>
        <v>2960000</v>
      </c>
      <c r="G1102" s="136" t="s">
        <v>191</v>
      </c>
      <c r="H1102" s="133" t="s">
        <v>323</v>
      </c>
      <c r="I1102" s="134" t="s">
        <v>108</v>
      </c>
    </row>
    <row r="1103" spans="1:9" x14ac:dyDescent="0.35">
      <c r="A1103" s="144">
        <v>45723</v>
      </c>
      <c r="B1103" s="135">
        <v>150000</v>
      </c>
      <c r="C1103" s="134"/>
      <c r="D1103" s="135"/>
      <c r="E1103" s="134" t="s">
        <v>521</v>
      </c>
      <c r="F1103" s="135">
        <f t="shared" si="16"/>
        <v>2810000</v>
      </c>
      <c r="G1103" s="136" t="s">
        <v>392</v>
      </c>
      <c r="H1103" s="133" t="s">
        <v>203</v>
      </c>
      <c r="I1103" s="134" t="s">
        <v>108</v>
      </c>
    </row>
    <row r="1104" spans="1:9" x14ac:dyDescent="0.35">
      <c r="A1104" s="144">
        <v>45723</v>
      </c>
      <c r="B1104" s="135">
        <v>245000</v>
      </c>
      <c r="C1104" s="134"/>
      <c r="D1104" s="135"/>
      <c r="E1104" s="134" t="s">
        <v>521</v>
      </c>
      <c r="F1104" s="135">
        <f t="shared" si="16"/>
        <v>2565000</v>
      </c>
      <c r="G1104" s="136" t="s">
        <v>393</v>
      </c>
      <c r="H1104" s="133" t="s">
        <v>322</v>
      </c>
      <c r="I1104" s="134" t="s">
        <v>108</v>
      </c>
    </row>
    <row r="1105" spans="1:9" x14ac:dyDescent="0.35">
      <c r="A1105" s="144">
        <v>45727</v>
      </c>
      <c r="B1105" s="135">
        <v>150000</v>
      </c>
      <c r="C1105" s="134"/>
      <c r="D1105" s="135"/>
      <c r="E1105" s="134" t="s">
        <v>521</v>
      </c>
      <c r="F1105" s="135">
        <f t="shared" si="16"/>
        <v>2415000</v>
      </c>
      <c r="G1105" s="136" t="s">
        <v>394</v>
      </c>
      <c r="H1105" s="133" t="s">
        <v>320</v>
      </c>
      <c r="I1105" s="134" t="s">
        <v>108</v>
      </c>
    </row>
    <row r="1106" spans="1:9" x14ac:dyDescent="0.35">
      <c r="A1106" s="144">
        <v>45728</v>
      </c>
      <c r="B1106" s="135">
        <v>130000</v>
      </c>
      <c r="C1106" s="134"/>
      <c r="D1106" s="135"/>
      <c r="E1106" s="134" t="s">
        <v>521</v>
      </c>
      <c r="F1106" s="135">
        <f t="shared" si="16"/>
        <v>2285000</v>
      </c>
      <c r="G1106" s="136" t="s">
        <v>395</v>
      </c>
      <c r="H1106" s="133" t="s">
        <v>322</v>
      </c>
      <c r="I1106" s="134" t="s">
        <v>108</v>
      </c>
    </row>
    <row r="1107" spans="1:9" x14ac:dyDescent="0.35">
      <c r="A1107" s="144">
        <v>45728</v>
      </c>
      <c r="B1107" s="135">
        <v>200000</v>
      </c>
      <c r="C1107" s="134"/>
      <c r="D1107" s="135"/>
      <c r="E1107" s="134" t="s">
        <v>521</v>
      </c>
      <c r="F1107" s="135">
        <f t="shared" si="16"/>
        <v>2085000</v>
      </c>
      <c r="G1107" s="136" t="s">
        <v>396</v>
      </c>
      <c r="H1107" s="133" t="s">
        <v>322</v>
      </c>
      <c r="I1107" s="134" t="s">
        <v>108</v>
      </c>
    </row>
    <row r="1108" spans="1:9" x14ac:dyDescent="0.35">
      <c r="A1108" s="144">
        <v>45728</v>
      </c>
      <c r="B1108" s="135">
        <v>240000</v>
      </c>
      <c r="C1108" s="134"/>
      <c r="D1108" s="135"/>
      <c r="E1108" s="134" t="s">
        <v>521</v>
      </c>
      <c r="F1108" s="135">
        <f t="shared" ref="F1108:F1125" si="17">+F1107+D1108-B1108</f>
        <v>1845000</v>
      </c>
      <c r="G1108" s="136" t="s">
        <v>397</v>
      </c>
      <c r="H1108" s="133" t="s">
        <v>320</v>
      </c>
      <c r="I1108" s="134" t="s">
        <v>108</v>
      </c>
    </row>
    <row r="1109" spans="1:9" x14ac:dyDescent="0.35">
      <c r="A1109" s="144">
        <v>45730</v>
      </c>
      <c r="B1109" s="135">
        <v>500000</v>
      </c>
      <c r="C1109" s="134"/>
      <c r="D1109" s="135"/>
      <c r="E1109" s="134" t="s">
        <v>521</v>
      </c>
      <c r="F1109" s="135">
        <f t="shared" si="17"/>
        <v>1345000</v>
      </c>
      <c r="G1109" s="136" t="s">
        <v>191</v>
      </c>
      <c r="H1109" s="133" t="s">
        <v>323</v>
      </c>
      <c r="I1109" s="134" t="s">
        <v>108</v>
      </c>
    </row>
    <row r="1110" spans="1:9" x14ac:dyDescent="0.35">
      <c r="A1110" s="144">
        <v>45732</v>
      </c>
      <c r="B1110" s="135">
        <v>585000</v>
      </c>
      <c r="C1110" s="134"/>
      <c r="D1110" s="135"/>
      <c r="E1110" s="134" t="s">
        <v>521</v>
      </c>
      <c r="F1110" s="135">
        <f t="shared" si="17"/>
        <v>760000</v>
      </c>
      <c r="G1110" s="136" t="s">
        <v>412</v>
      </c>
      <c r="H1110" s="133" t="s">
        <v>320</v>
      </c>
      <c r="I1110" s="134" t="s">
        <v>108</v>
      </c>
    </row>
    <row r="1111" spans="1:9" x14ac:dyDescent="0.35">
      <c r="A1111" s="144">
        <v>45732</v>
      </c>
      <c r="B1111" s="135">
        <v>100000</v>
      </c>
      <c r="C1111" s="134"/>
      <c r="D1111" s="135"/>
      <c r="E1111" s="134" t="s">
        <v>521</v>
      </c>
      <c r="F1111" s="135">
        <f t="shared" si="17"/>
        <v>660000</v>
      </c>
      <c r="G1111" s="136" t="s">
        <v>413</v>
      </c>
      <c r="H1111" s="133" t="s">
        <v>322</v>
      </c>
      <c r="I1111" s="134" t="s">
        <v>108</v>
      </c>
    </row>
    <row r="1112" spans="1:9" x14ac:dyDescent="0.35">
      <c r="A1112" s="144">
        <v>45733</v>
      </c>
      <c r="B1112" s="135"/>
      <c r="C1112" s="134"/>
      <c r="D1112" s="135">
        <v>5000000</v>
      </c>
      <c r="E1112" s="134" t="s">
        <v>521</v>
      </c>
      <c r="F1112" s="135">
        <f t="shared" si="17"/>
        <v>5660000</v>
      </c>
      <c r="G1112" s="136" t="s">
        <v>414</v>
      </c>
      <c r="H1112" s="133" t="s">
        <v>109</v>
      </c>
      <c r="I1112" s="134" t="s">
        <v>108</v>
      </c>
    </row>
    <row r="1113" spans="1:9" x14ac:dyDescent="0.35">
      <c r="A1113" s="144">
        <v>45735</v>
      </c>
      <c r="B1113" s="135">
        <v>1250000</v>
      </c>
      <c r="C1113" s="134"/>
      <c r="D1113" s="135"/>
      <c r="E1113" s="134" t="s">
        <v>521</v>
      </c>
      <c r="F1113" s="135">
        <f t="shared" si="17"/>
        <v>4410000</v>
      </c>
      <c r="G1113" s="136" t="s">
        <v>415</v>
      </c>
      <c r="H1113" s="133" t="s">
        <v>323</v>
      </c>
      <c r="I1113" s="134" t="s">
        <v>108</v>
      </c>
    </row>
    <row r="1114" spans="1:9" x14ac:dyDescent="0.35">
      <c r="A1114" s="144">
        <v>45735</v>
      </c>
      <c r="B1114" s="135">
        <v>100000</v>
      </c>
      <c r="C1114" s="134"/>
      <c r="D1114" s="135"/>
      <c r="E1114" s="134" t="s">
        <v>521</v>
      </c>
      <c r="F1114" s="135">
        <f t="shared" si="17"/>
        <v>4310000</v>
      </c>
      <c r="G1114" s="136" t="s">
        <v>416</v>
      </c>
      <c r="H1114" s="133" t="s">
        <v>322</v>
      </c>
      <c r="I1114" s="134" t="s">
        <v>108</v>
      </c>
    </row>
    <row r="1115" spans="1:9" x14ac:dyDescent="0.35">
      <c r="A1115" s="144">
        <v>45736</v>
      </c>
      <c r="B1115" s="135">
        <v>200000</v>
      </c>
      <c r="C1115" s="134"/>
      <c r="D1115" s="135"/>
      <c r="E1115" s="134" t="s">
        <v>521</v>
      </c>
      <c r="F1115" s="135">
        <f t="shared" si="17"/>
        <v>4110000</v>
      </c>
      <c r="G1115" s="136" t="s">
        <v>417</v>
      </c>
      <c r="H1115" s="133" t="s">
        <v>327</v>
      </c>
      <c r="I1115" s="134" t="s">
        <v>108</v>
      </c>
    </row>
    <row r="1116" spans="1:9" x14ac:dyDescent="0.35">
      <c r="A1116" s="144">
        <v>45737</v>
      </c>
      <c r="B1116" s="135">
        <v>500000</v>
      </c>
      <c r="C1116" s="134"/>
      <c r="D1116" s="135"/>
      <c r="E1116" s="134" t="s">
        <v>521</v>
      </c>
      <c r="F1116" s="135">
        <f t="shared" si="17"/>
        <v>3610000</v>
      </c>
      <c r="G1116" s="136" t="s">
        <v>302</v>
      </c>
      <c r="H1116" s="133" t="s">
        <v>323</v>
      </c>
      <c r="I1116" s="134" t="s">
        <v>108</v>
      </c>
    </row>
    <row r="1117" spans="1:9" x14ac:dyDescent="0.35">
      <c r="A1117" s="144">
        <v>45737</v>
      </c>
      <c r="B1117" s="135">
        <v>250000</v>
      </c>
      <c r="C1117" s="134"/>
      <c r="D1117" s="135"/>
      <c r="E1117" s="134" t="s">
        <v>521</v>
      </c>
      <c r="F1117" s="135">
        <f t="shared" si="17"/>
        <v>3360000</v>
      </c>
      <c r="G1117" s="136" t="s">
        <v>462</v>
      </c>
      <c r="H1117" s="133" t="s">
        <v>203</v>
      </c>
      <c r="I1117" s="134" t="s">
        <v>108</v>
      </c>
    </row>
    <row r="1118" spans="1:9" x14ac:dyDescent="0.35">
      <c r="A1118" s="144">
        <v>45738</v>
      </c>
      <c r="B1118" s="135">
        <v>250000</v>
      </c>
      <c r="C1118" s="134"/>
      <c r="D1118" s="135"/>
      <c r="E1118" s="134" t="s">
        <v>521</v>
      </c>
      <c r="F1118" s="135">
        <f t="shared" si="17"/>
        <v>3110000</v>
      </c>
      <c r="G1118" s="136" t="s">
        <v>463</v>
      </c>
      <c r="H1118" s="133" t="s">
        <v>322</v>
      </c>
      <c r="I1118" s="134" t="s">
        <v>108</v>
      </c>
    </row>
    <row r="1119" spans="1:9" x14ac:dyDescent="0.35">
      <c r="A1119" s="144">
        <v>45739</v>
      </c>
      <c r="B1119" s="135"/>
      <c r="C1119" s="134"/>
      <c r="D1119" s="135">
        <v>2000000</v>
      </c>
      <c r="E1119" s="134" t="s">
        <v>521</v>
      </c>
      <c r="F1119" s="135">
        <f t="shared" si="17"/>
        <v>5110000</v>
      </c>
      <c r="G1119" s="136" t="s">
        <v>414</v>
      </c>
      <c r="H1119" s="133" t="s">
        <v>109</v>
      </c>
      <c r="I1119" s="134" t="s">
        <v>108</v>
      </c>
    </row>
    <row r="1120" spans="1:9" x14ac:dyDescent="0.35">
      <c r="A1120" s="144">
        <v>45739</v>
      </c>
      <c r="B1120" s="135">
        <v>120000</v>
      </c>
      <c r="C1120" s="134"/>
      <c r="D1120" s="135"/>
      <c r="E1120" s="134" t="s">
        <v>521</v>
      </c>
      <c r="F1120" s="135">
        <f t="shared" si="17"/>
        <v>4990000</v>
      </c>
      <c r="G1120" s="136" t="s">
        <v>464</v>
      </c>
      <c r="H1120" s="133" t="s">
        <v>322</v>
      </c>
      <c r="I1120" s="134" t="s">
        <v>108</v>
      </c>
    </row>
    <row r="1121" spans="1:9" x14ac:dyDescent="0.35">
      <c r="A1121" s="144">
        <v>45744</v>
      </c>
      <c r="B1121" s="135">
        <v>500000</v>
      </c>
      <c r="C1121" s="134"/>
      <c r="D1121" s="135"/>
      <c r="E1121" s="134" t="s">
        <v>521</v>
      </c>
      <c r="F1121" s="135">
        <f t="shared" si="17"/>
        <v>4490000</v>
      </c>
      <c r="G1121" s="136" t="s">
        <v>191</v>
      </c>
      <c r="H1121" s="133" t="s">
        <v>323</v>
      </c>
      <c r="I1121" s="134" t="s">
        <v>108</v>
      </c>
    </row>
    <row r="1122" spans="1:9" x14ac:dyDescent="0.35">
      <c r="A1122" s="144">
        <v>45745</v>
      </c>
      <c r="B1122" s="135">
        <v>400000</v>
      </c>
      <c r="C1122" s="134"/>
      <c r="D1122" s="135"/>
      <c r="E1122" s="134" t="s">
        <v>521</v>
      </c>
      <c r="F1122" s="135">
        <f t="shared" si="17"/>
        <v>4090000</v>
      </c>
      <c r="G1122" s="136" t="s">
        <v>188</v>
      </c>
      <c r="H1122" s="133" t="s">
        <v>323</v>
      </c>
      <c r="I1122" s="134" t="s">
        <v>108</v>
      </c>
    </row>
    <row r="1123" spans="1:9" x14ac:dyDescent="0.35">
      <c r="A1123" s="144">
        <v>45745</v>
      </c>
      <c r="B1123" s="135">
        <v>1005000</v>
      </c>
      <c r="C1123" s="134"/>
      <c r="D1123" s="135"/>
      <c r="E1123" s="134" t="s">
        <v>521</v>
      </c>
      <c r="F1123" s="135">
        <f t="shared" si="17"/>
        <v>3085000</v>
      </c>
      <c r="G1123" s="136" t="s">
        <v>296</v>
      </c>
      <c r="H1123" s="133" t="s">
        <v>321</v>
      </c>
      <c r="I1123" s="134" t="s">
        <v>108</v>
      </c>
    </row>
    <row r="1124" spans="1:9" x14ac:dyDescent="0.35">
      <c r="A1124" s="144">
        <v>45745</v>
      </c>
      <c r="B1124" s="135">
        <v>250000</v>
      </c>
      <c r="C1124" s="134"/>
      <c r="D1124" s="135"/>
      <c r="E1124" s="134" t="s">
        <v>521</v>
      </c>
      <c r="F1124" s="135">
        <f t="shared" si="17"/>
        <v>2835000</v>
      </c>
      <c r="G1124" s="136" t="s">
        <v>493</v>
      </c>
      <c r="H1124" s="133" t="s">
        <v>499</v>
      </c>
      <c r="I1124" s="134" t="s">
        <v>108</v>
      </c>
    </row>
    <row r="1125" spans="1:9" x14ac:dyDescent="0.35">
      <c r="A1125" s="144">
        <v>45746</v>
      </c>
      <c r="B1125" s="135">
        <v>500000</v>
      </c>
      <c r="C1125" s="134"/>
      <c r="D1125" s="135"/>
      <c r="E1125" s="134" t="s">
        <v>521</v>
      </c>
      <c r="F1125" s="135">
        <f t="shared" si="17"/>
        <v>2335000</v>
      </c>
      <c r="G1125" s="136" t="s">
        <v>494</v>
      </c>
      <c r="H1125" s="133" t="s">
        <v>499</v>
      </c>
      <c r="I1125" s="134" t="s">
        <v>108</v>
      </c>
    </row>
    <row r="1126" spans="1:9" x14ac:dyDescent="0.35">
      <c r="A1126" s="144">
        <v>45747</v>
      </c>
      <c r="B1126" s="135"/>
      <c r="C1126" s="187">
        <v>2000000</v>
      </c>
      <c r="D1126" s="135"/>
      <c r="E1126" s="189"/>
      <c r="F1126" s="186">
        <f t="shared" ref="F1126:F1191" si="18">+F1125+D1126-B1126</f>
        <v>2335000</v>
      </c>
      <c r="G1126" s="190" t="s">
        <v>495</v>
      </c>
      <c r="H1126" s="133"/>
      <c r="I1126" s="134"/>
    </row>
    <row r="1127" spans="1:9" x14ac:dyDescent="0.35">
      <c r="A1127" s="144">
        <v>45747</v>
      </c>
      <c r="B1127" s="135"/>
      <c r="C1127" s="187">
        <v>1500000</v>
      </c>
      <c r="D1127" s="135"/>
      <c r="E1127" s="189"/>
      <c r="F1127" s="186">
        <f t="shared" si="18"/>
        <v>2335000</v>
      </c>
      <c r="G1127" s="190" t="s">
        <v>496</v>
      </c>
      <c r="H1127" s="133"/>
      <c r="I1127" s="134"/>
    </row>
    <row r="1128" spans="1:9" x14ac:dyDescent="0.35">
      <c r="A1128" s="144">
        <v>45745</v>
      </c>
      <c r="B1128" s="135">
        <v>130000</v>
      </c>
      <c r="C1128" s="188"/>
      <c r="D1128" s="135"/>
      <c r="E1128" s="134" t="s">
        <v>521</v>
      </c>
      <c r="F1128" s="135">
        <f t="shared" si="18"/>
        <v>2205000</v>
      </c>
      <c r="G1128" s="136" t="s">
        <v>497</v>
      </c>
      <c r="H1128" s="133" t="s">
        <v>322</v>
      </c>
      <c r="I1128" s="134" t="s">
        <v>108</v>
      </c>
    </row>
    <row r="1129" spans="1:9" x14ac:dyDescent="0.35">
      <c r="A1129" s="144">
        <v>45745</v>
      </c>
      <c r="B1129" s="135"/>
      <c r="C1129" s="187">
        <v>7000000</v>
      </c>
      <c r="D1129" s="135"/>
      <c r="E1129" s="189"/>
      <c r="F1129" s="186">
        <f t="shared" si="18"/>
        <v>2205000</v>
      </c>
      <c r="G1129" s="190" t="s">
        <v>498</v>
      </c>
      <c r="H1129" s="133"/>
      <c r="I1129" s="134"/>
    </row>
    <row r="1130" spans="1:9" x14ac:dyDescent="0.35">
      <c r="A1130" s="144">
        <v>45720</v>
      </c>
      <c r="B1130" s="135">
        <v>500000</v>
      </c>
      <c r="C1130" s="134"/>
      <c r="D1130" s="135"/>
      <c r="E1130" s="134" t="s">
        <v>521</v>
      </c>
      <c r="F1130" s="135">
        <f t="shared" si="18"/>
        <v>1705000</v>
      </c>
      <c r="G1130" s="136" t="s">
        <v>191</v>
      </c>
      <c r="H1130" s="133" t="s">
        <v>323</v>
      </c>
      <c r="I1130" s="134" t="s">
        <v>108</v>
      </c>
    </row>
    <row r="1131" spans="1:9" x14ac:dyDescent="0.35">
      <c r="A1131" s="144">
        <v>45753</v>
      </c>
      <c r="B1131" s="135">
        <v>400000</v>
      </c>
      <c r="C1131" s="134"/>
      <c r="D1131" s="135"/>
      <c r="E1131" s="134" t="s">
        <v>559</v>
      </c>
      <c r="F1131" s="135">
        <f t="shared" si="18"/>
        <v>1305000</v>
      </c>
      <c r="G1131" s="136" t="s">
        <v>511</v>
      </c>
      <c r="H1131" s="133" t="s">
        <v>322</v>
      </c>
      <c r="I1131" s="134" t="s">
        <v>108</v>
      </c>
    </row>
    <row r="1132" spans="1:9" x14ac:dyDescent="0.35">
      <c r="A1132" s="144">
        <v>45753</v>
      </c>
      <c r="B1132" s="135">
        <v>130000</v>
      </c>
      <c r="C1132" s="134"/>
      <c r="D1132" s="135"/>
      <c r="E1132" s="134" t="s">
        <v>559</v>
      </c>
      <c r="F1132" s="135">
        <f t="shared" si="18"/>
        <v>1175000</v>
      </c>
      <c r="G1132" s="136" t="s">
        <v>112</v>
      </c>
      <c r="H1132" s="133" t="s">
        <v>322</v>
      </c>
      <c r="I1132" s="134" t="s">
        <v>108</v>
      </c>
    </row>
    <row r="1133" spans="1:9" x14ac:dyDescent="0.35">
      <c r="A1133" s="144">
        <v>45753</v>
      </c>
      <c r="B1133" s="135">
        <v>1400000</v>
      </c>
      <c r="C1133" s="134"/>
      <c r="D1133" s="135"/>
      <c r="E1133" s="134" t="s">
        <v>559</v>
      </c>
      <c r="F1133" s="135">
        <f t="shared" si="18"/>
        <v>-225000</v>
      </c>
      <c r="G1133" s="136" t="s">
        <v>512</v>
      </c>
      <c r="H1133" s="133" t="s">
        <v>322</v>
      </c>
      <c r="I1133" s="134" t="s">
        <v>108</v>
      </c>
    </row>
    <row r="1134" spans="1:9" x14ac:dyDescent="0.35">
      <c r="A1134" s="144">
        <v>45754</v>
      </c>
      <c r="B1134" s="135"/>
      <c r="C1134" s="134"/>
      <c r="D1134" s="135">
        <v>3000000</v>
      </c>
      <c r="E1134" s="134" t="s">
        <v>559</v>
      </c>
      <c r="F1134" s="135">
        <f t="shared" si="18"/>
        <v>2775000</v>
      </c>
      <c r="G1134" s="136" t="s">
        <v>414</v>
      </c>
      <c r="H1134" s="133" t="s">
        <v>109</v>
      </c>
      <c r="I1134" s="134" t="s">
        <v>108</v>
      </c>
    </row>
    <row r="1135" spans="1:9" x14ac:dyDescent="0.35">
      <c r="A1135" s="144">
        <v>45756</v>
      </c>
      <c r="B1135" s="135">
        <v>1500000</v>
      </c>
      <c r="C1135" s="134"/>
      <c r="D1135" s="135"/>
      <c r="E1135" s="134" t="s">
        <v>559</v>
      </c>
      <c r="F1135" s="135">
        <f t="shared" si="18"/>
        <v>1275000</v>
      </c>
      <c r="G1135" s="136" t="s">
        <v>513</v>
      </c>
      <c r="H1135" s="133" t="s">
        <v>322</v>
      </c>
      <c r="I1135" s="134" t="s">
        <v>108</v>
      </c>
    </row>
    <row r="1136" spans="1:9" x14ac:dyDescent="0.35">
      <c r="A1136" s="144">
        <v>45756</v>
      </c>
      <c r="B1136" s="135">
        <v>300000</v>
      </c>
      <c r="C1136" s="134"/>
      <c r="D1136" s="135"/>
      <c r="E1136" s="134" t="s">
        <v>559</v>
      </c>
      <c r="F1136" s="135">
        <f t="shared" si="18"/>
        <v>975000</v>
      </c>
      <c r="G1136" s="136" t="s">
        <v>514</v>
      </c>
      <c r="H1136" s="133" t="s">
        <v>322</v>
      </c>
      <c r="I1136" s="134" t="s">
        <v>108</v>
      </c>
    </row>
    <row r="1137" spans="1:9" x14ac:dyDescent="0.35">
      <c r="A1137" s="144">
        <v>45758</v>
      </c>
      <c r="B1137" s="135">
        <v>500000</v>
      </c>
      <c r="C1137" s="134"/>
      <c r="D1137" s="135"/>
      <c r="E1137" s="134" t="s">
        <v>559</v>
      </c>
      <c r="F1137" s="135">
        <f t="shared" si="18"/>
        <v>475000</v>
      </c>
      <c r="G1137" s="136" t="s">
        <v>191</v>
      </c>
      <c r="H1137" s="133" t="s">
        <v>323</v>
      </c>
      <c r="I1137" s="134" t="s">
        <v>108</v>
      </c>
    </row>
    <row r="1138" spans="1:9" x14ac:dyDescent="0.35">
      <c r="A1138" s="144">
        <v>45759</v>
      </c>
      <c r="B1138" s="135"/>
      <c r="C1138" s="134"/>
      <c r="D1138" s="135">
        <v>2000000</v>
      </c>
      <c r="E1138" s="134" t="s">
        <v>559</v>
      </c>
      <c r="F1138" s="135">
        <f t="shared" si="18"/>
        <v>2475000</v>
      </c>
      <c r="G1138" s="136" t="s">
        <v>414</v>
      </c>
      <c r="H1138" s="133" t="s">
        <v>109</v>
      </c>
      <c r="I1138" s="134" t="s">
        <v>108</v>
      </c>
    </row>
    <row r="1139" spans="1:9" x14ac:dyDescent="0.35">
      <c r="A1139" s="144">
        <v>45759</v>
      </c>
      <c r="B1139" s="135">
        <v>100000</v>
      </c>
      <c r="C1139" s="134"/>
      <c r="D1139" s="135"/>
      <c r="E1139" s="134" t="s">
        <v>559</v>
      </c>
      <c r="F1139" s="135">
        <f t="shared" si="18"/>
        <v>2375000</v>
      </c>
      <c r="G1139" s="136" t="s">
        <v>537</v>
      </c>
      <c r="H1139" s="133" t="s">
        <v>322</v>
      </c>
      <c r="I1139" s="134" t="s">
        <v>108</v>
      </c>
    </row>
    <row r="1140" spans="1:9" x14ac:dyDescent="0.35">
      <c r="A1140" s="144">
        <v>45761</v>
      </c>
      <c r="B1140" s="135">
        <v>200000</v>
      </c>
      <c r="C1140" s="134"/>
      <c r="D1140" s="135"/>
      <c r="E1140" s="134" t="s">
        <v>559</v>
      </c>
      <c r="F1140" s="135">
        <f t="shared" si="18"/>
        <v>2175000</v>
      </c>
      <c r="G1140" s="136" t="s">
        <v>538</v>
      </c>
      <c r="H1140" s="133" t="s">
        <v>322</v>
      </c>
      <c r="I1140" s="134" t="s">
        <v>108</v>
      </c>
    </row>
    <row r="1141" spans="1:9" x14ac:dyDescent="0.35">
      <c r="A1141" s="144">
        <v>45763</v>
      </c>
      <c r="B1141" s="135">
        <v>380000</v>
      </c>
      <c r="C1141" s="134"/>
      <c r="D1141" s="135"/>
      <c r="E1141" s="134" t="s">
        <v>559</v>
      </c>
      <c r="F1141" s="135">
        <f t="shared" si="18"/>
        <v>1795000</v>
      </c>
      <c r="G1141" s="136" t="s">
        <v>539</v>
      </c>
      <c r="H1141" s="133" t="s">
        <v>322</v>
      </c>
      <c r="I1141" s="134" t="s">
        <v>108</v>
      </c>
    </row>
    <row r="1142" spans="1:9" x14ac:dyDescent="0.35">
      <c r="A1142" s="144">
        <v>45763</v>
      </c>
      <c r="B1142" s="135">
        <v>300000</v>
      </c>
      <c r="C1142" s="134"/>
      <c r="D1142" s="135"/>
      <c r="E1142" s="134" t="s">
        <v>559</v>
      </c>
      <c r="F1142" s="135">
        <f t="shared" si="18"/>
        <v>1495000</v>
      </c>
      <c r="G1142" s="136" t="s">
        <v>297</v>
      </c>
      <c r="H1142" s="133" t="s">
        <v>322</v>
      </c>
      <c r="I1142" s="134" t="s">
        <v>108</v>
      </c>
    </row>
    <row r="1143" spans="1:9" x14ac:dyDescent="0.35">
      <c r="A1143" s="144">
        <v>45763</v>
      </c>
      <c r="B1143" s="135">
        <v>200000</v>
      </c>
      <c r="C1143" s="134"/>
      <c r="D1143" s="135"/>
      <c r="E1143" s="134" t="s">
        <v>559</v>
      </c>
      <c r="F1143" s="135">
        <f t="shared" si="18"/>
        <v>1295000</v>
      </c>
      <c r="G1143" s="136" t="s">
        <v>540</v>
      </c>
      <c r="H1143" s="133" t="s">
        <v>322</v>
      </c>
      <c r="I1143" s="134" t="s">
        <v>108</v>
      </c>
    </row>
    <row r="1144" spans="1:9" x14ac:dyDescent="0.35">
      <c r="A1144" s="144">
        <v>45764</v>
      </c>
      <c r="B1144" s="135">
        <v>500000</v>
      </c>
      <c r="C1144" s="134"/>
      <c r="D1144" s="135"/>
      <c r="E1144" s="134" t="s">
        <v>559</v>
      </c>
      <c r="F1144" s="135">
        <f t="shared" si="18"/>
        <v>795000</v>
      </c>
      <c r="G1144" s="136" t="s">
        <v>191</v>
      </c>
      <c r="H1144" s="133" t="s">
        <v>323</v>
      </c>
      <c r="I1144" s="134" t="s">
        <v>108</v>
      </c>
    </row>
    <row r="1145" spans="1:9" x14ac:dyDescent="0.35">
      <c r="A1145" s="144">
        <v>45766</v>
      </c>
      <c r="B1145" s="135">
        <v>110000</v>
      </c>
      <c r="C1145" s="134"/>
      <c r="D1145" s="135"/>
      <c r="E1145" s="134" t="s">
        <v>559</v>
      </c>
      <c r="F1145" s="135">
        <f t="shared" si="18"/>
        <v>685000</v>
      </c>
      <c r="G1145" s="136" t="s">
        <v>553</v>
      </c>
      <c r="H1145" s="133" t="s">
        <v>322</v>
      </c>
      <c r="I1145" s="134" t="s">
        <v>108</v>
      </c>
    </row>
    <row r="1146" spans="1:9" x14ac:dyDescent="0.35">
      <c r="A1146" s="144">
        <v>45767</v>
      </c>
      <c r="B1146" s="135">
        <v>92000</v>
      </c>
      <c r="C1146" s="134"/>
      <c r="D1146" s="135"/>
      <c r="E1146" s="134" t="s">
        <v>559</v>
      </c>
      <c r="F1146" s="135">
        <f t="shared" si="18"/>
        <v>593000</v>
      </c>
      <c r="G1146" s="136" t="s">
        <v>554</v>
      </c>
      <c r="H1146" s="133" t="s">
        <v>327</v>
      </c>
      <c r="I1146" s="134" t="s">
        <v>108</v>
      </c>
    </row>
    <row r="1147" spans="1:9" x14ac:dyDescent="0.35">
      <c r="A1147" s="144">
        <v>45768</v>
      </c>
      <c r="B1147" s="135">
        <v>100000</v>
      </c>
      <c r="C1147" s="134"/>
      <c r="D1147" s="135"/>
      <c r="E1147" s="134" t="s">
        <v>559</v>
      </c>
      <c r="F1147" s="135">
        <f t="shared" si="18"/>
        <v>493000</v>
      </c>
      <c r="G1147" s="136" t="s">
        <v>493</v>
      </c>
      <c r="H1147" s="133" t="s">
        <v>322</v>
      </c>
      <c r="I1147" s="134" t="s">
        <v>108</v>
      </c>
    </row>
    <row r="1148" spans="1:9" x14ac:dyDescent="0.35">
      <c r="A1148" s="144">
        <v>45771</v>
      </c>
      <c r="B1148" s="135">
        <v>300000</v>
      </c>
      <c r="C1148" s="134"/>
      <c r="D1148" s="135"/>
      <c r="E1148" s="134" t="s">
        <v>559</v>
      </c>
      <c r="F1148" s="135">
        <f t="shared" si="18"/>
        <v>193000</v>
      </c>
      <c r="G1148" s="136" t="s">
        <v>555</v>
      </c>
      <c r="H1148" s="133" t="s">
        <v>322</v>
      </c>
      <c r="I1148" s="134" t="s">
        <v>108</v>
      </c>
    </row>
    <row r="1149" spans="1:9" x14ac:dyDescent="0.35">
      <c r="A1149" s="144">
        <v>45767</v>
      </c>
      <c r="B1149" s="135"/>
      <c r="C1149" s="134"/>
      <c r="D1149" s="135">
        <v>3000000</v>
      </c>
      <c r="E1149" s="134" t="s">
        <v>559</v>
      </c>
      <c r="F1149" s="135">
        <f t="shared" si="18"/>
        <v>3193000</v>
      </c>
      <c r="G1149" s="136" t="s">
        <v>556</v>
      </c>
      <c r="H1149" s="133" t="s">
        <v>109</v>
      </c>
      <c r="I1149" s="134" t="s">
        <v>108</v>
      </c>
    </row>
    <row r="1150" spans="1:9" x14ac:dyDescent="0.35">
      <c r="A1150" s="144">
        <v>45772</v>
      </c>
      <c r="B1150" s="135">
        <v>500000</v>
      </c>
      <c r="C1150" s="134"/>
      <c r="D1150" s="135"/>
      <c r="E1150" s="134" t="s">
        <v>559</v>
      </c>
      <c r="F1150" s="135">
        <f t="shared" si="18"/>
        <v>2693000</v>
      </c>
      <c r="G1150" s="136" t="s">
        <v>191</v>
      </c>
      <c r="H1150" s="133" t="s">
        <v>323</v>
      </c>
      <c r="I1150" s="134" t="s">
        <v>108</v>
      </c>
    </row>
    <row r="1151" spans="1:9" x14ac:dyDescent="0.35">
      <c r="A1151" s="144">
        <v>45772</v>
      </c>
      <c r="B1151" s="135">
        <v>1002000</v>
      </c>
      <c r="C1151" s="134"/>
      <c r="D1151" s="135"/>
      <c r="E1151" s="134" t="s">
        <v>559</v>
      </c>
      <c r="F1151" s="135">
        <f t="shared" si="18"/>
        <v>1691000</v>
      </c>
      <c r="G1151" s="136" t="s">
        <v>296</v>
      </c>
      <c r="H1151" s="133" t="s">
        <v>321</v>
      </c>
      <c r="I1151" s="134" t="s">
        <v>108</v>
      </c>
    </row>
    <row r="1152" spans="1:9" x14ac:dyDescent="0.35">
      <c r="A1152" s="144">
        <v>45773</v>
      </c>
      <c r="B1152" s="135">
        <v>150000</v>
      </c>
      <c r="C1152" s="134"/>
      <c r="D1152" s="135"/>
      <c r="E1152" s="134" t="s">
        <v>559</v>
      </c>
      <c r="F1152" s="135">
        <f t="shared" si="18"/>
        <v>1541000</v>
      </c>
      <c r="G1152" s="136" t="s">
        <v>583</v>
      </c>
      <c r="H1152" s="133" t="s">
        <v>322</v>
      </c>
      <c r="I1152" s="134" t="s">
        <v>108</v>
      </c>
    </row>
    <row r="1153" spans="1:12" x14ac:dyDescent="0.35">
      <c r="A1153" s="144">
        <v>45774</v>
      </c>
      <c r="B1153" s="135">
        <v>120000</v>
      </c>
      <c r="C1153" s="134"/>
      <c r="D1153" s="135"/>
      <c r="E1153" s="134" t="s">
        <v>559</v>
      </c>
      <c r="F1153" s="135">
        <f t="shared" si="18"/>
        <v>1421000</v>
      </c>
      <c r="G1153" s="136" t="s">
        <v>298</v>
      </c>
      <c r="H1153" s="133" t="s">
        <v>327</v>
      </c>
      <c r="I1153" s="134" t="s">
        <v>108</v>
      </c>
    </row>
    <row r="1154" spans="1:12" x14ac:dyDescent="0.35">
      <c r="A1154" s="144">
        <v>45777</v>
      </c>
      <c r="B1154" s="135">
        <v>400000</v>
      </c>
      <c r="C1154" s="134"/>
      <c r="D1154" s="135"/>
      <c r="E1154" s="134" t="s">
        <v>559</v>
      </c>
      <c r="F1154" s="135">
        <f t="shared" si="18"/>
        <v>1021000</v>
      </c>
      <c r="G1154" s="136" t="s">
        <v>188</v>
      </c>
      <c r="H1154" s="133" t="s">
        <v>323</v>
      </c>
      <c r="I1154" s="134" t="s">
        <v>108</v>
      </c>
    </row>
    <row r="1155" spans="1:12" x14ac:dyDescent="0.35">
      <c r="A1155" s="144">
        <v>45778</v>
      </c>
      <c r="B1155" s="135">
        <v>500000</v>
      </c>
      <c r="C1155" s="134"/>
      <c r="D1155" s="135"/>
      <c r="E1155" s="134" t="s">
        <v>588</v>
      </c>
      <c r="F1155" s="135">
        <f t="shared" si="18"/>
        <v>521000</v>
      </c>
      <c r="G1155" s="136" t="s">
        <v>191</v>
      </c>
      <c r="H1155" s="133" t="s">
        <v>323</v>
      </c>
      <c r="I1155" s="134" t="s">
        <v>108</v>
      </c>
    </row>
    <row r="1156" spans="1:12" x14ac:dyDescent="0.35">
      <c r="A1156" s="144">
        <v>45778</v>
      </c>
      <c r="B1156" s="135"/>
      <c r="C1156" s="134"/>
      <c r="D1156" s="135">
        <v>3000000</v>
      </c>
      <c r="E1156" s="134" t="s">
        <v>588</v>
      </c>
      <c r="F1156" s="135">
        <f t="shared" si="18"/>
        <v>3521000</v>
      </c>
      <c r="G1156" s="136" t="s">
        <v>556</v>
      </c>
      <c r="H1156" s="133" t="s">
        <v>109</v>
      </c>
      <c r="I1156" s="134" t="s">
        <v>108</v>
      </c>
    </row>
    <row r="1157" spans="1:12" x14ac:dyDescent="0.35">
      <c r="A1157" s="144">
        <v>45779</v>
      </c>
      <c r="B1157" s="135">
        <v>130000</v>
      </c>
      <c r="C1157" s="134"/>
      <c r="D1157" s="135"/>
      <c r="E1157" s="134" t="s">
        <v>588</v>
      </c>
      <c r="F1157" s="135">
        <f t="shared" si="18"/>
        <v>3391000</v>
      </c>
      <c r="G1157" s="136" t="s">
        <v>497</v>
      </c>
      <c r="H1157" s="133" t="s">
        <v>322</v>
      </c>
      <c r="I1157" s="134" t="s">
        <v>108</v>
      </c>
    </row>
    <row r="1158" spans="1:12" x14ac:dyDescent="0.35">
      <c r="A1158" s="144">
        <v>45778</v>
      </c>
      <c r="B1158" s="135">
        <v>446000</v>
      </c>
      <c r="C1158" s="134"/>
      <c r="D1158" s="135"/>
      <c r="E1158" s="134" t="s">
        <v>588</v>
      </c>
      <c r="F1158" s="135">
        <f t="shared" si="18"/>
        <v>2945000</v>
      </c>
      <c r="G1158" s="136" t="s">
        <v>615</v>
      </c>
      <c r="H1158" s="133" t="s">
        <v>320</v>
      </c>
      <c r="I1158" s="134" t="s">
        <v>108</v>
      </c>
    </row>
    <row r="1159" spans="1:12" x14ac:dyDescent="0.35">
      <c r="A1159" s="144">
        <v>45781</v>
      </c>
      <c r="B1159" s="135">
        <v>165000</v>
      </c>
      <c r="C1159" s="134"/>
      <c r="D1159" s="135"/>
      <c r="E1159" s="134" t="s">
        <v>588</v>
      </c>
      <c r="F1159" s="135">
        <f t="shared" si="18"/>
        <v>2780000</v>
      </c>
      <c r="G1159" s="136" t="s">
        <v>615</v>
      </c>
      <c r="H1159" s="133" t="s">
        <v>320</v>
      </c>
      <c r="I1159" s="134" t="s">
        <v>108</v>
      </c>
    </row>
    <row r="1160" spans="1:12" x14ac:dyDescent="0.35">
      <c r="A1160" s="144">
        <v>45781</v>
      </c>
      <c r="B1160" s="135">
        <v>110000</v>
      </c>
      <c r="C1160" s="134"/>
      <c r="D1160" s="135"/>
      <c r="E1160" s="134" t="s">
        <v>588</v>
      </c>
      <c r="F1160" s="135">
        <f t="shared" si="18"/>
        <v>2670000</v>
      </c>
      <c r="G1160" s="136" t="s">
        <v>298</v>
      </c>
      <c r="H1160" s="133" t="s">
        <v>327</v>
      </c>
      <c r="I1160" s="134" t="s">
        <v>108</v>
      </c>
    </row>
    <row r="1161" spans="1:12" x14ac:dyDescent="0.35">
      <c r="A1161" s="144">
        <v>45783</v>
      </c>
      <c r="B1161" s="135">
        <v>300000</v>
      </c>
      <c r="C1161" s="134"/>
      <c r="D1161" s="135"/>
      <c r="E1161" s="134" t="s">
        <v>588</v>
      </c>
      <c r="F1161" s="135">
        <f t="shared" si="18"/>
        <v>2370000</v>
      </c>
      <c r="G1161" s="136" t="s">
        <v>616</v>
      </c>
      <c r="H1161" s="133" t="s">
        <v>322</v>
      </c>
      <c r="I1161" s="134" t="s">
        <v>108</v>
      </c>
    </row>
    <row r="1162" spans="1:12" x14ac:dyDescent="0.35">
      <c r="A1162" s="144">
        <v>45785</v>
      </c>
      <c r="B1162" s="135">
        <v>500000</v>
      </c>
      <c r="C1162" s="134"/>
      <c r="D1162" s="135"/>
      <c r="E1162" s="134" t="s">
        <v>588</v>
      </c>
      <c r="F1162" s="135">
        <f t="shared" si="18"/>
        <v>1870000</v>
      </c>
      <c r="G1162" s="136" t="s">
        <v>302</v>
      </c>
      <c r="H1162" s="133" t="s">
        <v>323</v>
      </c>
      <c r="I1162" s="134" t="s">
        <v>108</v>
      </c>
    </row>
    <row r="1163" spans="1:12" x14ac:dyDescent="0.35">
      <c r="A1163" s="144">
        <v>45785</v>
      </c>
      <c r="B1163" s="135">
        <v>293000</v>
      </c>
      <c r="C1163" s="134"/>
      <c r="D1163" s="135"/>
      <c r="E1163" s="134" t="s">
        <v>588</v>
      </c>
      <c r="F1163" s="135">
        <f t="shared" si="18"/>
        <v>1577000</v>
      </c>
      <c r="G1163" s="136" t="s">
        <v>313</v>
      </c>
      <c r="H1163" s="133" t="s">
        <v>320</v>
      </c>
      <c r="I1163" s="134" t="s">
        <v>108</v>
      </c>
    </row>
    <row r="1164" spans="1:12" x14ac:dyDescent="0.35">
      <c r="A1164" s="144">
        <v>45787</v>
      </c>
      <c r="B1164" s="135"/>
      <c r="C1164" s="134"/>
      <c r="D1164" s="135">
        <v>3000000</v>
      </c>
      <c r="E1164" s="134" t="s">
        <v>617</v>
      </c>
      <c r="F1164" s="135">
        <f t="shared" si="18"/>
        <v>4577000</v>
      </c>
      <c r="G1164" s="136" t="s">
        <v>556</v>
      </c>
      <c r="H1164" s="133" t="s">
        <v>109</v>
      </c>
      <c r="I1164" s="134" t="s">
        <v>108</v>
      </c>
      <c r="K1164" s="181"/>
      <c r="L1164" s="181"/>
    </row>
    <row r="1165" spans="1:12" x14ac:dyDescent="0.35">
      <c r="A1165" s="144">
        <v>45787</v>
      </c>
      <c r="B1165" s="135">
        <v>300000</v>
      </c>
      <c r="C1165" s="134"/>
      <c r="D1165" s="135"/>
      <c r="E1165" s="134" t="s">
        <v>617</v>
      </c>
      <c r="F1165" s="135">
        <f t="shared" si="18"/>
        <v>4277000</v>
      </c>
      <c r="G1165" s="136" t="s">
        <v>637</v>
      </c>
      <c r="H1165" s="133" t="s">
        <v>327</v>
      </c>
      <c r="I1165" s="134" t="s">
        <v>108</v>
      </c>
      <c r="K1165" s="181"/>
      <c r="L1165" s="181"/>
    </row>
    <row r="1166" spans="1:12" x14ac:dyDescent="0.35">
      <c r="A1166" s="144">
        <v>45787</v>
      </c>
      <c r="B1166" s="135">
        <v>130000</v>
      </c>
      <c r="C1166" s="134"/>
      <c r="D1166" s="135"/>
      <c r="E1166" s="134" t="s">
        <v>617</v>
      </c>
      <c r="F1166" s="135">
        <f t="shared" si="18"/>
        <v>4147000</v>
      </c>
      <c r="G1166" s="136" t="s">
        <v>497</v>
      </c>
      <c r="H1166" s="133" t="s">
        <v>322</v>
      </c>
      <c r="I1166" s="134" t="s">
        <v>108</v>
      </c>
      <c r="K1166" s="181"/>
      <c r="L1166" s="181"/>
    </row>
    <row r="1167" spans="1:12" x14ac:dyDescent="0.35">
      <c r="A1167" s="144">
        <v>45787</v>
      </c>
      <c r="B1167" s="135">
        <v>500000</v>
      </c>
      <c r="C1167" s="134"/>
      <c r="D1167" s="135"/>
      <c r="E1167" s="134" t="s">
        <v>617</v>
      </c>
      <c r="F1167" s="135">
        <f t="shared" si="18"/>
        <v>3647000</v>
      </c>
      <c r="G1167" s="136" t="s">
        <v>638</v>
      </c>
      <c r="H1167" s="133" t="s">
        <v>323</v>
      </c>
      <c r="I1167" s="134" t="s">
        <v>108</v>
      </c>
      <c r="K1167" s="181"/>
      <c r="L1167" s="181"/>
    </row>
    <row r="1168" spans="1:12" x14ac:dyDescent="0.35">
      <c r="A1168" s="144">
        <v>45787</v>
      </c>
      <c r="B1168" s="135">
        <v>110000</v>
      </c>
      <c r="C1168" s="134"/>
      <c r="D1168" s="135"/>
      <c r="E1168" s="134" t="s">
        <v>617</v>
      </c>
      <c r="F1168" s="135">
        <f t="shared" si="18"/>
        <v>3537000</v>
      </c>
      <c r="G1168" s="136" t="s">
        <v>639</v>
      </c>
      <c r="H1168" s="133" t="s">
        <v>327</v>
      </c>
      <c r="I1168" s="134" t="s">
        <v>108</v>
      </c>
      <c r="K1168" s="181"/>
      <c r="L1168" s="181"/>
    </row>
    <row r="1169" spans="1:12" x14ac:dyDescent="0.35">
      <c r="A1169" s="144">
        <v>45787</v>
      </c>
      <c r="B1169" s="135">
        <v>366000</v>
      </c>
      <c r="C1169" s="134"/>
      <c r="D1169" s="135"/>
      <c r="E1169" s="134" t="s">
        <v>617</v>
      </c>
      <c r="F1169" s="135">
        <f t="shared" si="18"/>
        <v>3171000</v>
      </c>
      <c r="G1169" s="136" t="s">
        <v>640</v>
      </c>
      <c r="H1169" s="133" t="s">
        <v>614</v>
      </c>
      <c r="I1169" s="134" t="s">
        <v>108</v>
      </c>
      <c r="K1169" s="181"/>
      <c r="L1169" s="181"/>
    </row>
    <row r="1170" spans="1:12" x14ac:dyDescent="0.35">
      <c r="A1170" s="144">
        <v>45787</v>
      </c>
      <c r="B1170" s="135">
        <v>500000</v>
      </c>
      <c r="C1170" s="134"/>
      <c r="D1170" s="135"/>
      <c r="E1170" s="134" t="s">
        <v>617</v>
      </c>
      <c r="F1170" s="135">
        <f t="shared" si="18"/>
        <v>2671000</v>
      </c>
      <c r="G1170" s="136" t="s">
        <v>641</v>
      </c>
      <c r="H1170" s="133" t="s">
        <v>323</v>
      </c>
      <c r="I1170" s="134" t="s">
        <v>108</v>
      </c>
      <c r="K1170" s="181"/>
      <c r="L1170" s="181"/>
    </row>
    <row r="1171" spans="1:12" x14ac:dyDescent="0.35">
      <c r="A1171" s="144">
        <v>45793</v>
      </c>
      <c r="B1171" s="135">
        <v>250000</v>
      </c>
      <c r="C1171" s="134"/>
      <c r="D1171" s="135"/>
      <c r="E1171" s="134" t="s">
        <v>626</v>
      </c>
      <c r="F1171" s="135">
        <f t="shared" si="18"/>
        <v>2421000</v>
      </c>
      <c r="G1171" s="136" t="s">
        <v>642</v>
      </c>
      <c r="H1171" s="133" t="s">
        <v>323</v>
      </c>
      <c r="I1171" s="134" t="s">
        <v>108</v>
      </c>
      <c r="K1171" s="181"/>
      <c r="L1171" s="181"/>
    </row>
    <row r="1172" spans="1:12" x14ac:dyDescent="0.35">
      <c r="A1172" s="144">
        <v>45793</v>
      </c>
      <c r="B1172" s="135">
        <v>200000</v>
      </c>
      <c r="C1172" s="134"/>
      <c r="D1172" s="135"/>
      <c r="E1172" s="134" t="s">
        <v>626</v>
      </c>
      <c r="F1172" s="135">
        <f t="shared" si="18"/>
        <v>2221000</v>
      </c>
      <c r="G1172" s="136" t="s">
        <v>643</v>
      </c>
      <c r="H1172" s="133" t="s">
        <v>322</v>
      </c>
      <c r="I1172" s="134" t="s">
        <v>108</v>
      </c>
      <c r="K1172" s="181"/>
      <c r="L1172" s="181"/>
    </row>
    <row r="1173" spans="1:12" x14ac:dyDescent="0.35">
      <c r="A1173" s="144">
        <v>45795</v>
      </c>
      <c r="B1173" s="135">
        <v>120000</v>
      </c>
      <c r="C1173" s="134"/>
      <c r="D1173" s="135"/>
      <c r="E1173" s="134" t="s">
        <v>626</v>
      </c>
      <c r="F1173" s="135">
        <f t="shared" si="18"/>
        <v>2101000</v>
      </c>
      <c r="G1173" s="136" t="s">
        <v>644</v>
      </c>
      <c r="H1173" s="133" t="s">
        <v>327</v>
      </c>
      <c r="I1173" s="134" t="s">
        <v>108</v>
      </c>
      <c r="K1173" s="181"/>
      <c r="L1173" s="181"/>
    </row>
    <row r="1174" spans="1:12" x14ac:dyDescent="0.35">
      <c r="A1174" s="144">
        <v>45795</v>
      </c>
      <c r="B1174" s="135">
        <v>75000</v>
      </c>
      <c r="C1174" s="134"/>
      <c r="D1174" s="135"/>
      <c r="E1174" s="134" t="s">
        <v>626</v>
      </c>
      <c r="F1174" s="135">
        <f t="shared" si="18"/>
        <v>2026000</v>
      </c>
      <c r="G1174" s="136" t="s">
        <v>644</v>
      </c>
      <c r="H1174" s="133" t="s">
        <v>327</v>
      </c>
      <c r="I1174" s="134" t="s">
        <v>108</v>
      </c>
      <c r="K1174" s="181"/>
      <c r="L1174" s="181"/>
    </row>
    <row r="1175" spans="1:12" x14ac:dyDescent="0.35">
      <c r="A1175" s="144">
        <v>45800</v>
      </c>
      <c r="B1175" s="135">
        <v>500000</v>
      </c>
      <c r="C1175" s="134"/>
      <c r="D1175" s="135"/>
      <c r="E1175" s="134" t="s">
        <v>626</v>
      </c>
      <c r="F1175" s="135">
        <f t="shared" si="18"/>
        <v>1526000</v>
      </c>
      <c r="G1175" s="136" t="s">
        <v>641</v>
      </c>
      <c r="H1175" s="133" t="s">
        <v>323</v>
      </c>
      <c r="I1175" s="134" t="s">
        <v>108</v>
      </c>
      <c r="K1175" s="181"/>
      <c r="L1175" s="181"/>
    </row>
    <row r="1176" spans="1:12" x14ac:dyDescent="0.35">
      <c r="A1176" s="6"/>
      <c r="B1176" s="6"/>
      <c r="C1176" s="6"/>
      <c r="D1176" s="6"/>
      <c r="E1176" s="6"/>
      <c r="F1176" s="6"/>
      <c r="G1176" s="6"/>
      <c r="H1176" s="34"/>
      <c r="I1176" s="34"/>
    </row>
    <row r="1177" spans="1:12" x14ac:dyDescent="0.35">
      <c r="A1177" s="177"/>
      <c r="B1177" s="177"/>
      <c r="C1177" s="177"/>
      <c r="D1177" s="177"/>
      <c r="E1177" s="177"/>
      <c r="F1177" s="177"/>
      <c r="G1177" s="177"/>
      <c r="H1177" s="178"/>
      <c r="I1177" s="178"/>
    </row>
    <row r="1178" spans="1:12" x14ac:dyDescent="0.35">
      <c r="A1178" s="100">
        <v>45716</v>
      </c>
      <c r="B1178" s="101"/>
      <c r="C1178" s="102"/>
      <c r="D1178" s="101">
        <v>250000</v>
      </c>
      <c r="E1178" s="102" t="s">
        <v>329</v>
      </c>
      <c r="F1178" s="101">
        <f>+F1121+D1178-B1178</f>
        <v>4740000</v>
      </c>
      <c r="G1178" s="103" t="s">
        <v>377</v>
      </c>
      <c r="H1178" s="104" t="s">
        <v>109</v>
      </c>
      <c r="I1178" s="109" t="s">
        <v>374</v>
      </c>
    </row>
    <row r="1179" spans="1:12" x14ac:dyDescent="0.35">
      <c r="A1179" s="100">
        <v>45717</v>
      </c>
      <c r="B1179" s="101"/>
      <c r="C1179" s="102"/>
      <c r="D1179" s="101">
        <v>2015000</v>
      </c>
      <c r="E1179" s="102" t="s">
        <v>329</v>
      </c>
      <c r="F1179" s="101">
        <f t="shared" si="18"/>
        <v>6755000</v>
      </c>
      <c r="G1179" s="103" t="s">
        <v>377</v>
      </c>
      <c r="H1179" s="104" t="s">
        <v>109</v>
      </c>
      <c r="I1179" s="109" t="s">
        <v>374</v>
      </c>
    </row>
    <row r="1180" spans="1:12" x14ac:dyDescent="0.35">
      <c r="A1180" s="100">
        <v>45718</v>
      </c>
      <c r="B1180" s="101"/>
      <c r="C1180" s="102"/>
      <c r="D1180" s="101">
        <v>1100000</v>
      </c>
      <c r="E1180" s="102" t="s">
        <v>329</v>
      </c>
      <c r="F1180" s="101">
        <f t="shared" si="18"/>
        <v>7855000</v>
      </c>
      <c r="G1180" s="103" t="s">
        <v>377</v>
      </c>
      <c r="H1180" s="104" t="s">
        <v>109</v>
      </c>
      <c r="I1180" s="109" t="s">
        <v>374</v>
      </c>
    </row>
    <row r="1181" spans="1:12" x14ac:dyDescent="0.35">
      <c r="A1181" s="100">
        <v>45719</v>
      </c>
      <c r="B1181" s="101"/>
      <c r="C1181" s="102"/>
      <c r="D1181" s="101">
        <v>1920000</v>
      </c>
      <c r="E1181" s="102" t="s">
        <v>329</v>
      </c>
      <c r="F1181" s="101">
        <f t="shared" si="18"/>
        <v>9775000</v>
      </c>
      <c r="G1181" s="103" t="s">
        <v>377</v>
      </c>
      <c r="H1181" s="104" t="s">
        <v>109</v>
      </c>
      <c r="I1181" s="109" t="s">
        <v>374</v>
      </c>
    </row>
    <row r="1182" spans="1:12" x14ac:dyDescent="0.35">
      <c r="A1182" s="100">
        <v>45720</v>
      </c>
      <c r="B1182" s="101"/>
      <c r="C1182" s="102"/>
      <c r="D1182" s="101">
        <v>836000</v>
      </c>
      <c r="E1182" s="102" t="s">
        <v>329</v>
      </c>
      <c r="F1182" s="101">
        <f t="shared" si="18"/>
        <v>10611000</v>
      </c>
      <c r="G1182" s="103" t="s">
        <v>377</v>
      </c>
      <c r="H1182" s="104" t="s">
        <v>109</v>
      </c>
      <c r="I1182" s="109" t="s">
        <v>374</v>
      </c>
    </row>
    <row r="1183" spans="1:12" x14ac:dyDescent="0.35">
      <c r="A1183" s="100">
        <v>45721</v>
      </c>
      <c r="B1183" s="101"/>
      <c r="C1183" s="102"/>
      <c r="D1183" s="101">
        <v>1450000</v>
      </c>
      <c r="E1183" s="102" t="s">
        <v>329</v>
      </c>
      <c r="F1183" s="101">
        <f t="shared" si="18"/>
        <v>12061000</v>
      </c>
      <c r="G1183" s="103" t="s">
        <v>377</v>
      </c>
      <c r="H1183" s="104" t="s">
        <v>109</v>
      </c>
      <c r="I1183" s="109" t="s">
        <v>374</v>
      </c>
    </row>
    <row r="1184" spans="1:12" x14ac:dyDescent="0.35">
      <c r="A1184" s="100">
        <v>45722</v>
      </c>
      <c r="B1184" s="101"/>
      <c r="C1184" s="102"/>
      <c r="D1184" s="101">
        <v>1507000</v>
      </c>
      <c r="E1184" s="102" t="s">
        <v>329</v>
      </c>
      <c r="F1184" s="101">
        <f t="shared" si="18"/>
        <v>13568000</v>
      </c>
      <c r="G1184" s="103" t="s">
        <v>377</v>
      </c>
      <c r="H1184" s="104" t="s">
        <v>109</v>
      </c>
      <c r="I1184" s="109" t="s">
        <v>374</v>
      </c>
    </row>
    <row r="1185" spans="1:9" x14ac:dyDescent="0.35">
      <c r="A1185" s="100">
        <v>45716</v>
      </c>
      <c r="B1185" s="101">
        <v>410000</v>
      </c>
      <c r="C1185" s="102"/>
      <c r="D1185" s="101"/>
      <c r="E1185" s="102" t="s">
        <v>329</v>
      </c>
      <c r="F1185" s="101">
        <f t="shared" si="18"/>
        <v>13158000</v>
      </c>
      <c r="G1185" s="103" t="s">
        <v>376</v>
      </c>
      <c r="H1185" s="104" t="s">
        <v>323</v>
      </c>
      <c r="I1185" s="109" t="s">
        <v>374</v>
      </c>
    </row>
    <row r="1186" spans="1:9" x14ac:dyDescent="0.35">
      <c r="A1186" s="100">
        <v>45717</v>
      </c>
      <c r="B1186" s="101">
        <v>860000</v>
      </c>
      <c r="C1186" s="102"/>
      <c r="D1186" s="101"/>
      <c r="E1186" s="102" t="s">
        <v>329</v>
      </c>
      <c r="F1186" s="101">
        <f t="shared" si="18"/>
        <v>12298000</v>
      </c>
      <c r="G1186" s="103" t="s">
        <v>378</v>
      </c>
      <c r="H1186" s="104" t="s">
        <v>323</v>
      </c>
      <c r="I1186" s="109" t="s">
        <v>374</v>
      </c>
    </row>
    <row r="1187" spans="1:9" x14ac:dyDescent="0.35">
      <c r="A1187" s="100">
        <v>45718</v>
      </c>
      <c r="B1187" s="101">
        <v>860000</v>
      </c>
      <c r="C1187" s="102"/>
      <c r="D1187" s="101"/>
      <c r="E1187" s="102" t="s">
        <v>329</v>
      </c>
      <c r="F1187" s="101">
        <f t="shared" si="18"/>
        <v>11438000</v>
      </c>
      <c r="G1187" s="103" t="s">
        <v>378</v>
      </c>
      <c r="H1187" s="104" t="s">
        <v>323</v>
      </c>
      <c r="I1187" s="109" t="s">
        <v>374</v>
      </c>
    </row>
    <row r="1188" spans="1:9" x14ac:dyDescent="0.35">
      <c r="A1188" s="100">
        <v>45719</v>
      </c>
      <c r="B1188" s="101">
        <v>510000</v>
      </c>
      <c r="C1188" s="102"/>
      <c r="D1188" s="101"/>
      <c r="E1188" s="102" t="s">
        <v>329</v>
      </c>
      <c r="F1188" s="101">
        <f t="shared" si="18"/>
        <v>10928000</v>
      </c>
      <c r="G1188" s="103" t="s">
        <v>375</v>
      </c>
      <c r="H1188" s="104" t="s">
        <v>323</v>
      </c>
      <c r="I1188" s="109" t="s">
        <v>374</v>
      </c>
    </row>
    <row r="1189" spans="1:9" x14ac:dyDescent="0.35">
      <c r="A1189" s="100">
        <v>45720</v>
      </c>
      <c r="B1189" s="101">
        <v>510000</v>
      </c>
      <c r="C1189" s="102"/>
      <c r="D1189" s="101"/>
      <c r="E1189" s="102" t="s">
        <v>329</v>
      </c>
      <c r="F1189" s="101">
        <f t="shared" si="18"/>
        <v>10418000</v>
      </c>
      <c r="G1189" s="103" t="s">
        <v>375</v>
      </c>
      <c r="H1189" s="104" t="s">
        <v>323</v>
      </c>
      <c r="I1189" s="109" t="s">
        <v>374</v>
      </c>
    </row>
    <row r="1190" spans="1:9" x14ac:dyDescent="0.35">
      <c r="A1190" s="100">
        <v>45721</v>
      </c>
      <c r="B1190" s="101">
        <v>510000</v>
      </c>
      <c r="C1190" s="102"/>
      <c r="D1190" s="101"/>
      <c r="E1190" s="102" t="s">
        <v>329</v>
      </c>
      <c r="F1190" s="101">
        <f t="shared" si="18"/>
        <v>9908000</v>
      </c>
      <c r="G1190" s="103" t="s">
        <v>375</v>
      </c>
      <c r="H1190" s="104" t="s">
        <v>323</v>
      </c>
      <c r="I1190" s="109" t="s">
        <v>374</v>
      </c>
    </row>
    <row r="1191" spans="1:9" x14ac:dyDescent="0.35">
      <c r="A1191" s="100">
        <v>45722</v>
      </c>
      <c r="B1191" s="101">
        <v>860000</v>
      </c>
      <c r="C1191" s="102"/>
      <c r="D1191" s="101"/>
      <c r="E1191" s="102" t="s">
        <v>329</v>
      </c>
      <c r="F1191" s="101">
        <f t="shared" si="18"/>
        <v>9048000</v>
      </c>
      <c r="G1191" s="103" t="s">
        <v>378</v>
      </c>
      <c r="H1191" s="104" t="s">
        <v>323</v>
      </c>
      <c r="I1191" s="109" t="s">
        <v>374</v>
      </c>
    </row>
    <row r="1192" spans="1:9" x14ac:dyDescent="0.35">
      <c r="A1192" s="100">
        <v>45723</v>
      </c>
      <c r="B1192" s="101"/>
      <c r="C1192" s="102"/>
      <c r="D1192" s="101">
        <v>1601000</v>
      </c>
      <c r="E1192" s="102" t="s">
        <v>367</v>
      </c>
      <c r="F1192" s="101">
        <f t="shared" ref="F1192:F1255" si="19">+F1191+D1192-B1192</f>
        <v>10649000</v>
      </c>
      <c r="G1192" s="103" t="s">
        <v>377</v>
      </c>
      <c r="H1192" s="104" t="s">
        <v>109</v>
      </c>
      <c r="I1192" s="109" t="s">
        <v>374</v>
      </c>
    </row>
    <row r="1193" spans="1:9" x14ac:dyDescent="0.35">
      <c r="A1193" s="100">
        <v>45724</v>
      </c>
      <c r="B1193" s="101"/>
      <c r="C1193" s="102"/>
      <c r="D1193" s="101">
        <v>1636000</v>
      </c>
      <c r="E1193" s="102" t="s">
        <v>367</v>
      </c>
      <c r="F1193" s="101">
        <f t="shared" si="19"/>
        <v>12285000</v>
      </c>
      <c r="G1193" s="103" t="s">
        <v>377</v>
      </c>
      <c r="H1193" s="104" t="s">
        <v>109</v>
      </c>
      <c r="I1193" s="109" t="s">
        <v>374</v>
      </c>
    </row>
    <row r="1194" spans="1:9" x14ac:dyDescent="0.35">
      <c r="A1194" s="100">
        <v>45725</v>
      </c>
      <c r="B1194" s="101"/>
      <c r="C1194" s="102"/>
      <c r="D1194" s="101">
        <v>1589000</v>
      </c>
      <c r="E1194" s="102" t="s">
        <v>367</v>
      </c>
      <c r="F1194" s="101">
        <f t="shared" si="19"/>
        <v>13874000</v>
      </c>
      <c r="G1194" s="103" t="s">
        <v>377</v>
      </c>
      <c r="H1194" s="104" t="s">
        <v>109</v>
      </c>
      <c r="I1194" s="109" t="s">
        <v>374</v>
      </c>
    </row>
    <row r="1195" spans="1:9" x14ac:dyDescent="0.35">
      <c r="A1195" s="100">
        <v>45726</v>
      </c>
      <c r="B1195" s="101"/>
      <c r="C1195" s="102"/>
      <c r="D1195" s="101">
        <v>1210000</v>
      </c>
      <c r="E1195" s="102" t="s">
        <v>367</v>
      </c>
      <c r="F1195" s="101">
        <f t="shared" si="19"/>
        <v>15084000</v>
      </c>
      <c r="G1195" s="103" t="s">
        <v>377</v>
      </c>
      <c r="H1195" s="104" t="s">
        <v>109</v>
      </c>
      <c r="I1195" s="109" t="s">
        <v>374</v>
      </c>
    </row>
    <row r="1196" spans="1:9" x14ac:dyDescent="0.35">
      <c r="A1196" s="100">
        <v>45726</v>
      </c>
      <c r="B1196" s="101">
        <v>4558000</v>
      </c>
      <c r="C1196" s="102"/>
      <c r="D1196" s="101"/>
      <c r="E1196" s="102" t="s">
        <v>367</v>
      </c>
      <c r="F1196" s="101">
        <f t="shared" si="19"/>
        <v>10526000</v>
      </c>
      <c r="G1196" s="103" t="s">
        <v>379</v>
      </c>
      <c r="H1196" s="104" t="s">
        <v>320</v>
      </c>
      <c r="I1196" s="109" t="s">
        <v>374</v>
      </c>
    </row>
    <row r="1197" spans="1:9" x14ac:dyDescent="0.35">
      <c r="A1197" s="100">
        <v>45723</v>
      </c>
      <c r="B1197" s="101">
        <v>510000</v>
      </c>
      <c r="C1197" s="102"/>
      <c r="D1197" s="101"/>
      <c r="E1197" s="102" t="s">
        <v>367</v>
      </c>
      <c r="F1197" s="101">
        <f t="shared" si="19"/>
        <v>10016000</v>
      </c>
      <c r="G1197" s="103" t="s">
        <v>375</v>
      </c>
      <c r="H1197" s="104" t="s">
        <v>323</v>
      </c>
      <c r="I1197" s="109" t="s">
        <v>374</v>
      </c>
    </row>
    <row r="1198" spans="1:9" x14ac:dyDescent="0.35">
      <c r="A1198" s="100">
        <v>45724</v>
      </c>
      <c r="B1198" s="101">
        <v>860000</v>
      </c>
      <c r="C1198" s="102"/>
      <c r="D1198" s="101"/>
      <c r="E1198" s="102" t="s">
        <v>367</v>
      </c>
      <c r="F1198" s="101">
        <f t="shared" si="19"/>
        <v>9156000</v>
      </c>
      <c r="G1198" s="103" t="s">
        <v>378</v>
      </c>
      <c r="H1198" s="104" t="s">
        <v>323</v>
      </c>
      <c r="I1198" s="109" t="s">
        <v>374</v>
      </c>
    </row>
    <row r="1199" spans="1:9" x14ac:dyDescent="0.35">
      <c r="A1199" s="100">
        <v>45725</v>
      </c>
      <c r="B1199" s="101">
        <v>860000</v>
      </c>
      <c r="C1199" s="102"/>
      <c r="D1199" s="101"/>
      <c r="E1199" s="102" t="s">
        <v>367</v>
      </c>
      <c r="F1199" s="101">
        <f t="shared" si="19"/>
        <v>8296000</v>
      </c>
      <c r="G1199" s="103" t="s">
        <v>378</v>
      </c>
      <c r="H1199" s="104" t="s">
        <v>323</v>
      </c>
      <c r="I1199" s="109" t="s">
        <v>374</v>
      </c>
    </row>
    <row r="1200" spans="1:9" x14ac:dyDescent="0.35">
      <c r="A1200" s="100">
        <v>45726</v>
      </c>
      <c r="B1200" s="101">
        <v>510000</v>
      </c>
      <c r="C1200" s="102"/>
      <c r="D1200" s="101"/>
      <c r="E1200" s="102" t="s">
        <v>367</v>
      </c>
      <c r="F1200" s="101">
        <f t="shared" si="19"/>
        <v>7786000</v>
      </c>
      <c r="G1200" s="103" t="s">
        <v>375</v>
      </c>
      <c r="H1200" s="104" t="s">
        <v>323</v>
      </c>
      <c r="I1200" s="109" t="s">
        <v>374</v>
      </c>
    </row>
    <row r="1201" spans="1:9" x14ac:dyDescent="0.35">
      <c r="A1201" s="100">
        <v>45727</v>
      </c>
      <c r="B1201" s="101"/>
      <c r="C1201" s="102"/>
      <c r="D1201" s="101">
        <v>1608000</v>
      </c>
      <c r="E1201" s="102" t="s">
        <v>367</v>
      </c>
      <c r="F1201" s="101">
        <f t="shared" si="19"/>
        <v>9394000</v>
      </c>
      <c r="G1201" s="103" t="s">
        <v>377</v>
      </c>
      <c r="H1201" s="104" t="s">
        <v>109</v>
      </c>
      <c r="I1201" s="109" t="s">
        <v>374</v>
      </c>
    </row>
    <row r="1202" spans="1:9" x14ac:dyDescent="0.35">
      <c r="A1202" s="100">
        <v>45728</v>
      </c>
      <c r="B1202" s="101"/>
      <c r="C1202" s="102"/>
      <c r="D1202" s="101">
        <v>1404000</v>
      </c>
      <c r="E1202" s="102" t="s">
        <v>367</v>
      </c>
      <c r="F1202" s="101">
        <f t="shared" si="19"/>
        <v>10798000</v>
      </c>
      <c r="G1202" s="103" t="s">
        <v>377</v>
      </c>
      <c r="H1202" s="104" t="s">
        <v>109</v>
      </c>
      <c r="I1202" s="109" t="s">
        <v>374</v>
      </c>
    </row>
    <row r="1203" spans="1:9" x14ac:dyDescent="0.35">
      <c r="A1203" s="100">
        <v>45729</v>
      </c>
      <c r="B1203" s="101"/>
      <c r="C1203" s="102"/>
      <c r="D1203" s="101">
        <v>1150000</v>
      </c>
      <c r="E1203" s="102" t="s">
        <v>367</v>
      </c>
      <c r="F1203" s="101">
        <f t="shared" si="19"/>
        <v>11948000</v>
      </c>
      <c r="G1203" s="103" t="s">
        <v>377</v>
      </c>
      <c r="H1203" s="104" t="s">
        <v>109</v>
      </c>
      <c r="I1203" s="109" t="s">
        <v>374</v>
      </c>
    </row>
    <row r="1204" spans="1:9" x14ac:dyDescent="0.35">
      <c r="A1204" s="100">
        <v>45727</v>
      </c>
      <c r="B1204" s="101">
        <v>510000</v>
      </c>
      <c r="C1204" s="102"/>
      <c r="D1204" s="101"/>
      <c r="E1204" s="102" t="s">
        <v>367</v>
      </c>
      <c r="F1204" s="101">
        <f t="shared" si="19"/>
        <v>11438000</v>
      </c>
      <c r="G1204" s="103" t="s">
        <v>375</v>
      </c>
      <c r="H1204" s="104" t="s">
        <v>323</v>
      </c>
      <c r="I1204" s="109" t="s">
        <v>374</v>
      </c>
    </row>
    <row r="1205" spans="1:9" x14ac:dyDescent="0.35">
      <c r="A1205" s="100">
        <v>45728</v>
      </c>
      <c r="B1205" s="101">
        <v>510000</v>
      </c>
      <c r="C1205" s="102"/>
      <c r="D1205" s="101"/>
      <c r="E1205" s="102" t="s">
        <v>367</v>
      </c>
      <c r="F1205" s="101">
        <f t="shared" si="19"/>
        <v>10928000</v>
      </c>
      <c r="G1205" s="103" t="s">
        <v>375</v>
      </c>
      <c r="H1205" s="104" t="s">
        <v>323</v>
      </c>
      <c r="I1205" s="109" t="s">
        <v>374</v>
      </c>
    </row>
    <row r="1206" spans="1:9" x14ac:dyDescent="0.35">
      <c r="A1206" s="100">
        <v>45729</v>
      </c>
      <c r="B1206" s="101">
        <v>860000</v>
      </c>
      <c r="C1206" s="102"/>
      <c r="D1206" s="101"/>
      <c r="E1206" s="102" t="s">
        <v>367</v>
      </c>
      <c r="F1206" s="101">
        <f t="shared" si="19"/>
        <v>10068000</v>
      </c>
      <c r="G1206" s="103" t="s">
        <v>378</v>
      </c>
      <c r="H1206" s="104" t="s">
        <v>323</v>
      </c>
      <c r="I1206" s="109" t="s">
        <v>374</v>
      </c>
    </row>
    <row r="1207" spans="1:9" x14ac:dyDescent="0.35">
      <c r="A1207" s="100">
        <v>45730</v>
      </c>
      <c r="B1207" s="101"/>
      <c r="C1207" s="102"/>
      <c r="D1207" s="101">
        <v>1120000</v>
      </c>
      <c r="E1207" s="102" t="s">
        <v>398</v>
      </c>
      <c r="F1207" s="101">
        <f t="shared" si="19"/>
        <v>11188000</v>
      </c>
      <c r="G1207" s="103" t="s">
        <v>377</v>
      </c>
      <c r="H1207" s="104" t="s">
        <v>109</v>
      </c>
      <c r="I1207" s="109" t="s">
        <v>374</v>
      </c>
    </row>
    <row r="1208" spans="1:9" x14ac:dyDescent="0.35">
      <c r="A1208" s="100">
        <v>45731</v>
      </c>
      <c r="B1208" s="101"/>
      <c r="C1208" s="102"/>
      <c r="D1208" s="101">
        <v>1147000</v>
      </c>
      <c r="E1208" s="102" t="s">
        <v>398</v>
      </c>
      <c r="F1208" s="101">
        <f t="shared" si="19"/>
        <v>12335000</v>
      </c>
      <c r="G1208" s="103" t="s">
        <v>377</v>
      </c>
      <c r="H1208" s="104" t="s">
        <v>109</v>
      </c>
      <c r="I1208" s="109" t="s">
        <v>374</v>
      </c>
    </row>
    <row r="1209" spans="1:9" x14ac:dyDescent="0.35">
      <c r="A1209" s="100">
        <v>45732</v>
      </c>
      <c r="B1209" s="101"/>
      <c r="C1209" s="102"/>
      <c r="D1209" s="101">
        <v>1107000</v>
      </c>
      <c r="E1209" s="102" t="s">
        <v>398</v>
      </c>
      <c r="F1209" s="101">
        <f t="shared" si="19"/>
        <v>13442000</v>
      </c>
      <c r="G1209" s="103" t="s">
        <v>377</v>
      </c>
      <c r="H1209" s="104" t="s">
        <v>109</v>
      </c>
      <c r="I1209" s="109" t="s">
        <v>374</v>
      </c>
    </row>
    <row r="1210" spans="1:9" x14ac:dyDescent="0.35">
      <c r="A1210" s="100">
        <v>45733</v>
      </c>
      <c r="B1210" s="101"/>
      <c r="C1210" s="102"/>
      <c r="D1210" s="101">
        <v>1140000</v>
      </c>
      <c r="E1210" s="102" t="s">
        <v>398</v>
      </c>
      <c r="F1210" s="101">
        <f t="shared" si="19"/>
        <v>14582000</v>
      </c>
      <c r="G1210" s="103" t="s">
        <v>377</v>
      </c>
      <c r="H1210" s="104" t="s">
        <v>109</v>
      </c>
      <c r="I1210" s="109" t="s">
        <v>374</v>
      </c>
    </row>
    <row r="1211" spans="1:9" x14ac:dyDescent="0.35">
      <c r="A1211" s="100">
        <v>45734</v>
      </c>
      <c r="B1211" s="101"/>
      <c r="C1211" s="102"/>
      <c r="D1211" s="101">
        <v>1086000</v>
      </c>
      <c r="E1211" s="102" t="s">
        <v>398</v>
      </c>
      <c r="F1211" s="101">
        <f t="shared" si="19"/>
        <v>15668000</v>
      </c>
      <c r="G1211" s="103" t="s">
        <v>377</v>
      </c>
      <c r="H1211" s="104" t="s">
        <v>109</v>
      </c>
      <c r="I1211" s="109" t="s">
        <v>374</v>
      </c>
    </row>
    <row r="1212" spans="1:9" x14ac:dyDescent="0.35">
      <c r="A1212" s="100">
        <v>45735</v>
      </c>
      <c r="B1212" s="101"/>
      <c r="C1212" s="102"/>
      <c r="D1212" s="101">
        <v>1217000</v>
      </c>
      <c r="E1212" s="102" t="s">
        <v>398</v>
      </c>
      <c r="F1212" s="101">
        <f t="shared" si="19"/>
        <v>16885000</v>
      </c>
      <c r="G1212" s="103" t="s">
        <v>377</v>
      </c>
      <c r="H1212" s="104" t="s">
        <v>109</v>
      </c>
      <c r="I1212" s="109" t="s">
        <v>374</v>
      </c>
    </row>
    <row r="1213" spans="1:9" x14ac:dyDescent="0.35">
      <c r="A1213" s="100">
        <v>45736</v>
      </c>
      <c r="B1213" s="101"/>
      <c r="C1213" s="102"/>
      <c r="D1213" s="101">
        <v>1650000</v>
      </c>
      <c r="E1213" s="102" t="s">
        <v>398</v>
      </c>
      <c r="F1213" s="101">
        <f t="shared" si="19"/>
        <v>18535000</v>
      </c>
      <c r="G1213" s="103" t="s">
        <v>377</v>
      </c>
      <c r="H1213" s="104" t="s">
        <v>109</v>
      </c>
      <c r="I1213" s="109" t="s">
        <v>374</v>
      </c>
    </row>
    <row r="1214" spans="1:9" x14ac:dyDescent="0.35">
      <c r="A1214" s="100">
        <v>45737</v>
      </c>
      <c r="B1214" s="101"/>
      <c r="C1214" s="102"/>
      <c r="D1214" s="101">
        <v>1104000</v>
      </c>
      <c r="E1214" s="102" t="s">
        <v>422</v>
      </c>
      <c r="F1214" s="101">
        <f t="shared" si="19"/>
        <v>19639000</v>
      </c>
      <c r="G1214" s="103" t="s">
        <v>377</v>
      </c>
      <c r="H1214" s="104" t="s">
        <v>109</v>
      </c>
      <c r="I1214" s="109" t="s">
        <v>374</v>
      </c>
    </row>
    <row r="1215" spans="1:9" x14ac:dyDescent="0.35">
      <c r="A1215" s="100">
        <v>45738</v>
      </c>
      <c r="B1215" s="101"/>
      <c r="C1215" s="102"/>
      <c r="D1215" s="101">
        <v>1750000</v>
      </c>
      <c r="E1215" s="102" t="s">
        <v>422</v>
      </c>
      <c r="F1215" s="101">
        <f t="shared" si="19"/>
        <v>21389000</v>
      </c>
      <c r="G1215" s="103" t="s">
        <v>377</v>
      </c>
      <c r="H1215" s="104" t="s">
        <v>109</v>
      </c>
      <c r="I1215" s="109" t="s">
        <v>374</v>
      </c>
    </row>
    <row r="1216" spans="1:9" x14ac:dyDescent="0.35">
      <c r="A1216" s="100">
        <v>45739</v>
      </c>
      <c r="B1216" s="101"/>
      <c r="C1216" s="102"/>
      <c r="D1216" s="101">
        <v>1602000</v>
      </c>
      <c r="E1216" s="102" t="s">
        <v>422</v>
      </c>
      <c r="F1216" s="101">
        <f t="shared" si="19"/>
        <v>22991000</v>
      </c>
      <c r="G1216" s="103" t="s">
        <v>377</v>
      </c>
      <c r="H1216" s="104" t="s">
        <v>109</v>
      </c>
      <c r="I1216" s="109" t="s">
        <v>374</v>
      </c>
    </row>
    <row r="1217" spans="1:9" x14ac:dyDescent="0.35">
      <c r="A1217" s="100">
        <v>45740</v>
      </c>
      <c r="B1217" s="101"/>
      <c r="C1217" s="102"/>
      <c r="D1217" s="101">
        <v>1564000</v>
      </c>
      <c r="E1217" s="102" t="s">
        <v>422</v>
      </c>
      <c r="F1217" s="101">
        <f t="shared" si="19"/>
        <v>24555000</v>
      </c>
      <c r="G1217" s="103" t="s">
        <v>377</v>
      </c>
      <c r="H1217" s="104" t="s">
        <v>109</v>
      </c>
      <c r="I1217" s="109" t="s">
        <v>374</v>
      </c>
    </row>
    <row r="1218" spans="1:9" x14ac:dyDescent="0.35">
      <c r="A1218" s="100">
        <v>45741</v>
      </c>
      <c r="B1218" s="101"/>
      <c r="C1218" s="102"/>
      <c r="D1218" s="101">
        <v>1338000</v>
      </c>
      <c r="E1218" s="102" t="s">
        <v>422</v>
      </c>
      <c r="F1218" s="101">
        <f t="shared" si="19"/>
        <v>25893000</v>
      </c>
      <c r="G1218" s="103" t="s">
        <v>377</v>
      </c>
      <c r="H1218" s="104" t="s">
        <v>109</v>
      </c>
      <c r="I1218" s="109" t="s">
        <v>374</v>
      </c>
    </row>
    <row r="1219" spans="1:9" x14ac:dyDescent="0.35">
      <c r="A1219" s="100">
        <v>45742</v>
      </c>
      <c r="B1219" s="101"/>
      <c r="C1219" s="102"/>
      <c r="D1219" s="101">
        <v>2380000</v>
      </c>
      <c r="E1219" s="102" t="s">
        <v>422</v>
      </c>
      <c r="F1219" s="101">
        <f t="shared" si="19"/>
        <v>28273000</v>
      </c>
      <c r="G1219" s="103" t="s">
        <v>377</v>
      </c>
      <c r="H1219" s="104" t="s">
        <v>109</v>
      </c>
      <c r="I1219" s="109" t="s">
        <v>374</v>
      </c>
    </row>
    <row r="1220" spans="1:9" x14ac:dyDescent="0.35">
      <c r="A1220" s="100">
        <v>45743</v>
      </c>
      <c r="B1220" s="101"/>
      <c r="C1220" s="102"/>
      <c r="D1220" s="101">
        <v>1784000</v>
      </c>
      <c r="E1220" s="102" t="s">
        <v>422</v>
      </c>
      <c r="F1220" s="101">
        <f t="shared" si="19"/>
        <v>30057000</v>
      </c>
      <c r="G1220" s="103" t="s">
        <v>377</v>
      </c>
      <c r="H1220" s="104" t="s">
        <v>109</v>
      </c>
      <c r="I1220" s="109" t="s">
        <v>374</v>
      </c>
    </row>
    <row r="1221" spans="1:9" x14ac:dyDescent="0.35">
      <c r="A1221" s="100">
        <v>45744</v>
      </c>
      <c r="B1221" s="101"/>
      <c r="C1221" s="102"/>
      <c r="D1221" s="101">
        <v>1950000</v>
      </c>
      <c r="E1221" s="102" t="s">
        <v>474</v>
      </c>
      <c r="F1221" s="101">
        <f t="shared" si="19"/>
        <v>32007000</v>
      </c>
      <c r="G1221" s="103" t="s">
        <v>377</v>
      </c>
      <c r="H1221" s="104" t="s">
        <v>109</v>
      </c>
      <c r="I1221" s="109" t="s">
        <v>374</v>
      </c>
    </row>
    <row r="1222" spans="1:9" x14ac:dyDescent="0.35">
      <c r="A1222" s="100">
        <v>45745</v>
      </c>
      <c r="B1222" s="101"/>
      <c r="C1222" s="102"/>
      <c r="D1222" s="101">
        <v>1740000</v>
      </c>
      <c r="E1222" s="102" t="s">
        <v>474</v>
      </c>
      <c r="F1222" s="101">
        <f t="shared" si="19"/>
        <v>33747000</v>
      </c>
      <c r="G1222" s="103" t="s">
        <v>377</v>
      </c>
      <c r="H1222" s="104" t="s">
        <v>109</v>
      </c>
      <c r="I1222" s="109" t="s">
        <v>374</v>
      </c>
    </row>
    <row r="1223" spans="1:9" x14ac:dyDescent="0.35">
      <c r="A1223" s="100">
        <v>45730</v>
      </c>
      <c r="B1223" s="101">
        <v>510000</v>
      </c>
      <c r="C1223" s="102"/>
      <c r="D1223" s="101"/>
      <c r="E1223" s="102" t="s">
        <v>398</v>
      </c>
      <c r="F1223" s="101">
        <f t="shared" si="19"/>
        <v>33237000</v>
      </c>
      <c r="G1223" s="103" t="s">
        <v>375</v>
      </c>
      <c r="H1223" s="104" t="s">
        <v>323</v>
      </c>
      <c r="I1223" s="109" t="s">
        <v>374</v>
      </c>
    </row>
    <row r="1224" spans="1:9" x14ac:dyDescent="0.35">
      <c r="A1224" s="100">
        <v>45731</v>
      </c>
      <c r="B1224" s="101">
        <v>510000</v>
      </c>
      <c r="C1224" s="102"/>
      <c r="D1224" s="101"/>
      <c r="E1224" s="102" t="s">
        <v>398</v>
      </c>
      <c r="F1224" s="101">
        <f t="shared" si="19"/>
        <v>32727000</v>
      </c>
      <c r="G1224" s="103" t="s">
        <v>375</v>
      </c>
      <c r="H1224" s="104" t="s">
        <v>323</v>
      </c>
      <c r="I1224" s="109" t="s">
        <v>374</v>
      </c>
    </row>
    <row r="1225" spans="1:9" x14ac:dyDescent="0.35">
      <c r="A1225" s="100">
        <v>45732</v>
      </c>
      <c r="B1225" s="101">
        <v>700000</v>
      </c>
      <c r="C1225" s="102"/>
      <c r="D1225" s="101"/>
      <c r="E1225" s="102" t="s">
        <v>398</v>
      </c>
      <c r="F1225" s="101">
        <f t="shared" si="19"/>
        <v>32027000</v>
      </c>
      <c r="G1225" s="103" t="s">
        <v>418</v>
      </c>
      <c r="H1225" s="104" t="s">
        <v>323</v>
      </c>
      <c r="I1225" s="109" t="s">
        <v>374</v>
      </c>
    </row>
    <row r="1226" spans="1:9" x14ac:dyDescent="0.35">
      <c r="A1226" s="100">
        <v>45733</v>
      </c>
      <c r="B1226" s="101">
        <v>350000</v>
      </c>
      <c r="C1226" s="102"/>
      <c r="D1226" s="101"/>
      <c r="E1226" s="102" t="s">
        <v>398</v>
      </c>
      <c r="F1226" s="101">
        <f t="shared" si="19"/>
        <v>31677000</v>
      </c>
      <c r="G1226" s="103" t="s">
        <v>419</v>
      </c>
      <c r="H1226" s="104" t="s">
        <v>323</v>
      </c>
      <c r="I1226" s="109" t="s">
        <v>374</v>
      </c>
    </row>
    <row r="1227" spans="1:9" x14ac:dyDescent="0.35">
      <c r="A1227" s="100">
        <v>45734</v>
      </c>
      <c r="B1227" s="101">
        <v>350000</v>
      </c>
      <c r="C1227" s="102"/>
      <c r="D1227" s="101"/>
      <c r="E1227" s="102" t="s">
        <v>398</v>
      </c>
      <c r="F1227" s="101">
        <f>+F1226+D1227-B1227</f>
        <v>31327000</v>
      </c>
      <c r="G1227" s="103" t="s">
        <v>419</v>
      </c>
      <c r="H1227" s="104" t="s">
        <v>323</v>
      </c>
      <c r="I1227" s="109" t="s">
        <v>374</v>
      </c>
    </row>
    <row r="1228" spans="1:9" x14ac:dyDescent="0.35">
      <c r="A1228" s="100">
        <v>45735</v>
      </c>
      <c r="B1228" s="101">
        <v>350000</v>
      </c>
      <c r="C1228" s="102"/>
      <c r="D1228" s="101"/>
      <c r="E1228" s="102" t="s">
        <v>398</v>
      </c>
      <c r="F1228" s="101">
        <f t="shared" si="19"/>
        <v>30977000</v>
      </c>
      <c r="G1228" s="103" t="s">
        <v>419</v>
      </c>
      <c r="H1228" s="104" t="s">
        <v>323</v>
      </c>
      <c r="I1228" s="109" t="s">
        <v>374</v>
      </c>
    </row>
    <row r="1229" spans="1:9" x14ac:dyDescent="0.35">
      <c r="A1229" s="100">
        <v>45736</v>
      </c>
      <c r="B1229" s="101">
        <v>700000</v>
      </c>
      <c r="C1229" s="102"/>
      <c r="D1229" s="101"/>
      <c r="E1229" s="102" t="s">
        <v>398</v>
      </c>
      <c r="F1229" s="101">
        <f t="shared" si="19"/>
        <v>30277000</v>
      </c>
      <c r="G1229" s="103" t="s">
        <v>418</v>
      </c>
      <c r="H1229" s="104" t="s">
        <v>323</v>
      </c>
      <c r="I1229" s="109" t="s">
        <v>374</v>
      </c>
    </row>
    <row r="1230" spans="1:9" x14ac:dyDescent="0.35">
      <c r="A1230" s="100">
        <v>45733</v>
      </c>
      <c r="B1230" s="101">
        <v>5578000</v>
      </c>
      <c r="C1230" s="102"/>
      <c r="D1230" s="101"/>
      <c r="E1230" s="102" t="s">
        <v>398</v>
      </c>
      <c r="F1230" s="101">
        <f t="shared" si="19"/>
        <v>24699000</v>
      </c>
      <c r="G1230" s="103" t="s">
        <v>379</v>
      </c>
      <c r="H1230" s="104" t="s">
        <v>320</v>
      </c>
      <c r="I1230" s="109" t="s">
        <v>374</v>
      </c>
    </row>
    <row r="1231" spans="1:9" x14ac:dyDescent="0.35">
      <c r="A1231" s="100">
        <v>45737</v>
      </c>
      <c r="B1231" s="101">
        <v>350000</v>
      </c>
      <c r="C1231" s="102"/>
      <c r="D1231" s="101"/>
      <c r="E1231" s="102" t="s">
        <v>422</v>
      </c>
      <c r="F1231" s="101">
        <f t="shared" si="19"/>
        <v>24349000</v>
      </c>
      <c r="G1231" s="103" t="s">
        <v>419</v>
      </c>
      <c r="H1231" s="104" t="s">
        <v>323</v>
      </c>
      <c r="I1231" s="109" t="s">
        <v>374</v>
      </c>
    </row>
    <row r="1232" spans="1:9" x14ac:dyDescent="0.35">
      <c r="A1232" s="100">
        <v>45738</v>
      </c>
      <c r="B1232" s="101">
        <v>700000</v>
      </c>
      <c r="C1232" s="102"/>
      <c r="D1232" s="101"/>
      <c r="E1232" s="102" t="s">
        <v>422</v>
      </c>
      <c r="F1232" s="101">
        <f t="shared" si="19"/>
        <v>23649000</v>
      </c>
      <c r="G1232" s="103" t="s">
        <v>418</v>
      </c>
      <c r="H1232" s="104" t="s">
        <v>323</v>
      </c>
      <c r="I1232" s="109" t="s">
        <v>374</v>
      </c>
    </row>
    <row r="1233" spans="1:9" x14ac:dyDescent="0.35">
      <c r="A1233" s="100">
        <v>45739</v>
      </c>
      <c r="B1233" s="101">
        <v>700000</v>
      </c>
      <c r="C1233" s="102"/>
      <c r="D1233" s="101"/>
      <c r="E1233" s="102" t="s">
        <v>422</v>
      </c>
      <c r="F1233" s="101">
        <f t="shared" si="19"/>
        <v>22949000</v>
      </c>
      <c r="G1233" s="103" t="s">
        <v>418</v>
      </c>
      <c r="H1233" s="104" t="s">
        <v>323</v>
      </c>
      <c r="I1233" s="109" t="s">
        <v>374</v>
      </c>
    </row>
    <row r="1234" spans="1:9" x14ac:dyDescent="0.35">
      <c r="A1234" s="100">
        <v>45740</v>
      </c>
      <c r="B1234" s="101">
        <v>350000</v>
      </c>
      <c r="C1234" s="102"/>
      <c r="D1234" s="101"/>
      <c r="E1234" s="102" t="s">
        <v>422</v>
      </c>
      <c r="F1234" s="101">
        <f t="shared" si="19"/>
        <v>22599000</v>
      </c>
      <c r="G1234" s="103" t="s">
        <v>419</v>
      </c>
      <c r="H1234" s="104" t="s">
        <v>323</v>
      </c>
      <c r="I1234" s="109" t="s">
        <v>374</v>
      </c>
    </row>
    <row r="1235" spans="1:9" x14ac:dyDescent="0.35">
      <c r="A1235" s="100">
        <v>45741</v>
      </c>
      <c r="B1235" s="101">
        <v>350000</v>
      </c>
      <c r="C1235" s="102"/>
      <c r="D1235" s="101"/>
      <c r="E1235" s="102" t="s">
        <v>422</v>
      </c>
      <c r="F1235" s="101">
        <f t="shared" si="19"/>
        <v>22249000</v>
      </c>
      <c r="G1235" s="103" t="s">
        <v>419</v>
      </c>
      <c r="H1235" s="104" t="s">
        <v>323</v>
      </c>
      <c r="I1235" s="109" t="s">
        <v>374</v>
      </c>
    </row>
    <row r="1236" spans="1:9" x14ac:dyDescent="0.35">
      <c r="A1236" s="100">
        <v>45742</v>
      </c>
      <c r="B1236" s="101">
        <v>350000</v>
      </c>
      <c r="C1236" s="102"/>
      <c r="D1236" s="101"/>
      <c r="E1236" s="102" t="s">
        <v>422</v>
      </c>
      <c r="F1236" s="101">
        <f t="shared" si="19"/>
        <v>21899000</v>
      </c>
      <c r="G1236" s="103" t="s">
        <v>419</v>
      </c>
      <c r="H1236" s="104" t="s">
        <v>323</v>
      </c>
      <c r="I1236" s="109" t="s">
        <v>374</v>
      </c>
    </row>
    <row r="1237" spans="1:9" x14ac:dyDescent="0.35">
      <c r="A1237" s="100">
        <v>45743</v>
      </c>
      <c r="B1237" s="101">
        <v>700000</v>
      </c>
      <c r="C1237" s="102"/>
      <c r="D1237" s="101"/>
      <c r="E1237" s="102" t="s">
        <v>422</v>
      </c>
      <c r="F1237" s="101">
        <f t="shared" si="19"/>
        <v>21199000</v>
      </c>
      <c r="G1237" s="103" t="s">
        <v>418</v>
      </c>
      <c r="H1237" s="104" t="s">
        <v>323</v>
      </c>
      <c r="I1237" s="109" t="s">
        <v>374</v>
      </c>
    </row>
    <row r="1238" spans="1:9" x14ac:dyDescent="0.35">
      <c r="A1238" s="100">
        <v>45741</v>
      </c>
      <c r="B1238" s="101">
        <v>5026000</v>
      </c>
      <c r="C1238" s="102"/>
      <c r="D1238" s="101"/>
      <c r="E1238" s="102" t="s">
        <v>422</v>
      </c>
      <c r="F1238" s="101">
        <f t="shared" si="19"/>
        <v>16173000</v>
      </c>
      <c r="G1238" s="103" t="s">
        <v>379</v>
      </c>
      <c r="H1238" s="104" t="s">
        <v>320</v>
      </c>
      <c r="I1238" s="109" t="s">
        <v>374</v>
      </c>
    </row>
    <row r="1239" spans="1:9" x14ac:dyDescent="0.35">
      <c r="A1239" s="100">
        <v>45744</v>
      </c>
      <c r="B1239" s="101">
        <v>350000</v>
      </c>
      <c r="C1239" s="102"/>
      <c r="D1239" s="101"/>
      <c r="E1239" s="102" t="s">
        <v>474</v>
      </c>
      <c r="F1239" s="101">
        <f t="shared" si="19"/>
        <v>15823000</v>
      </c>
      <c r="G1239" s="103" t="s">
        <v>419</v>
      </c>
      <c r="H1239" s="104" t="s">
        <v>323</v>
      </c>
      <c r="I1239" s="109" t="s">
        <v>374</v>
      </c>
    </row>
    <row r="1240" spans="1:9" x14ac:dyDescent="0.35">
      <c r="A1240" s="100">
        <v>45745</v>
      </c>
      <c r="B1240" s="101">
        <v>700000</v>
      </c>
      <c r="C1240" s="102"/>
      <c r="D1240" s="101"/>
      <c r="E1240" s="102" t="s">
        <v>474</v>
      </c>
      <c r="F1240" s="101">
        <f t="shared" si="19"/>
        <v>15123000</v>
      </c>
      <c r="G1240" s="103" t="s">
        <v>419</v>
      </c>
      <c r="H1240" s="104" t="s">
        <v>323</v>
      </c>
      <c r="I1240" s="109" t="s">
        <v>374</v>
      </c>
    </row>
    <row r="1241" spans="1:9" x14ac:dyDescent="0.35">
      <c r="A1241" s="19"/>
      <c r="B1241" s="38"/>
      <c r="C1241" s="32"/>
      <c r="D1241" s="38"/>
      <c r="E1241" s="32"/>
      <c r="F1241" s="38"/>
      <c r="G1241" s="10"/>
      <c r="H1241" s="24"/>
      <c r="I1241" s="175"/>
    </row>
    <row r="1242" spans="1:9" x14ac:dyDescent="0.35">
      <c r="A1242" s="173"/>
      <c r="B1242" s="173"/>
      <c r="C1242" s="173"/>
      <c r="D1242" s="173"/>
      <c r="E1242" s="173"/>
      <c r="F1242" s="173"/>
      <c r="G1242" s="173"/>
      <c r="H1242" s="174"/>
      <c r="I1242" s="174"/>
    </row>
    <row r="1243" spans="1:9" x14ac:dyDescent="0.35">
      <c r="A1243" s="145">
        <v>45733</v>
      </c>
      <c r="B1243" s="146"/>
      <c r="C1243" s="147"/>
      <c r="D1243" s="146">
        <v>1000000</v>
      </c>
      <c r="E1243" s="147" t="s">
        <v>422</v>
      </c>
      <c r="F1243" s="146">
        <f>+F1238+D1243-B1243</f>
        <v>17173000</v>
      </c>
      <c r="G1243" s="148" t="s">
        <v>432</v>
      </c>
      <c r="H1243" s="150" t="s">
        <v>105</v>
      </c>
      <c r="I1243" s="149" t="s">
        <v>431</v>
      </c>
    </row>
    <row r="1244" spans="1:9" x14ac:dyDescent="0.35">
      <c r="A1244" s="145">
        <v>45736</v>
      </c>
      <c r="B1244" s="146"/>
      <c r="C1244" s="147"/>
      <c r="D1244" s="146">
        <v>1000000</v>
      </c>
      <c r="E1244" s="147" t="s">
        <v>422</v>
      </c>
      <c r="F1244" s="146">
        <f t="shared" si="19"/>
        <v>18173000</v>
      </c>
      <c r="G1244" s="148" t="s">
        <v>433</v>
      </c>
      <c r="H1244" s="150" t="s">
        <v>107</v>
      </c>
      <c r="I1244" s="149" t="s">
        <v>431</v>
      </c>
    </row>
    <row r="1245" spans="1:9" x14ac:dyDescent="0.35">
      <c r="A1245" s="145">
        <v>45738</v>
      </c>
      <c r="B1245" s="146"/>
      <c r="C1245" s="147"/>
      <c r="D1245" s="146">
        <v>1000000</v>
      </c>
      <c r="E1245" s="147" t="s">
        <v>422</v>
      </c>
      <c r="F1245" s="146">
        <f t="shared" si="19"/>
        <v>19173000</v>
      </c>
      <c r="G1245" s="148" t="s">
        <v>434</v>
      </c>
      <c r="H1245" s="150" t="s">
        <v>105</v>
      </c>
      <c r="I1245" s="149" t="s">
        <v>431</v>
      </c>
    </row>
    <row r="1246" spans="1:9" x14ac:dyDescent="0.35">
      <c r="A1246" s="145">
        <v>45738</v>
      </c>
      <c r="B1246" s="146"/>
      <c r="C1246" s="147"/>
      <c r="D1246" s="146">
        <v>4000000</v>
      </c>
      <c r="E1246" s="147" t="s">
        <v>422</v>
      </c>
      <c r="F1246" s="146">
        <f t="shared" si="19"/>
        <v>23173000</v>
      </c>
      <c r="G1246" s="148" t="s">
        <v>435</v>
      </c>
      <c r="H1246" s="150" t="s">
        <v>105</v>
      </c>
      <c r="I1246" s="149" t="s">
        <v>431</v>
      </c>
    </row>
    <row r="1247" spans="1:9" x14ac:dyDescent="0.35">
      <c r="A1247" s="145">
        <v>45738</v>
      </c>
      <c r="B1247" s="146"/>
      <c r="C1247" s="147"/>
      <c r="D1247" s="146">
        <v>5000000</v>
      </c>
      <c r="E1247" s="147" t="s">
        <v>422</v>
      </c>
      <c r="F1247" s="146">
        <f t="shared" si="19"/>
        <v>28173000</v>
      </c>
      <c r="G1247" s="148" t="s">
        <v>436</v>
      </c>
      <c r="H1247" s="150" t="s">
        <v>105</v>
      </c>
      <c r="I1247" s="149" t="s">
        <v>431</v>
      </c>
    </row>
    <row r="1248" spans="1:9" x14ac:dyDescent="0.35">
      <c r="A1248" s="145">
        <v>45738</v>
      </c>
      <c r="B1248" s="146"/>
      <c r="C1248" s="147"/>
      <c r="D1248" s="146">
        <v>500000</v>
      </c>
      <c r="E1248" s="147" t="s">
        <v>422</v>
      </c>
      <c r="F1248" s="146">
        <f t="shared" si="19"/>
        <v>28673000</v>
      </c>
      <c r="G1248" s="148" t="s">
        <v>437</v>
      </c>
      <c r="H1248" s="150" t="s">
        <v>105</v>
      </c>
      <c r="I1248" s="149" t="s">
        <v>431</v>
      </c>
    </row>
    <row r="1249" spans="1:9" x14ac:dyDescent="0.35">
      <c r="A1249" s="145">
        <v>45738</v>
      </c>
      <c r="B1249" s="146"/>
      <c r="C1249" s="147"/>
      <c r="D1249" s="146">
        <v>300000</v>
      </c>
      <c r="E1249" s="147" t="s">
        <v>422</v>
      </c>
      <c r="F1249" s="146">
        <f t="shared" si="19"/>
        <v>28973000</v>
      </c>
      <c r="G1249" s="148" t="s">
        <v>438</v>
      </c>
      <c r="H1249" s="150" t="s">
        <v>109</v>
      </c>
      <c r="I1249" s="149" t="s">
        <v>431</v>
      </c>
    </row>
    <row r="1250" spans="1:9" x14ac:dyDescent="0.35">
      <c r="A1250" s="145">
        <v>45740</v>
      </c>
      <c r="B1250" s="146"/>
      <c r="C1250" s="147"/>
      <c r="D1250" s="146">
        <v>4000000</v>
      </c>
      <c r="E1250" s="147" t="s">
        <v>422</v>
      </c>
      <c r="F1250" s="146">
        <f t="shared" si="19"/>
        <v>32973000</v>
      </c>
      <c r="G1250" s="148" t="s">
        <v>450</v>
      </c>
      <c r="H1250" s="150" t="s">
        <v>105</v>
      </c>
      <c r="I1250" s="149" t="s">
        <v>431</v>
      </c>
    </row>
    <row r="1251" spans="1:9" x14ac:dyDescent="0.35">
      <c r="A1251" s="145">
        <v>45740</v>
      </c>
      <c r="B1251" s="146"/>
      <c r="C1251" s="147"/>
      <c r="D1251" s="146">
        <v>2500000</v>
      </c>
      <c r="E1251" s="147" t="s">
        <v>422</v>
      </c>
      <c r="F1251" s="146">
        <f t="shared" si="19"/>
        <v>35473000</v>
      </c>
      <c r="G1251" s="148" t="s">
        <v>451</v>
      </c>
      <c r="H1251" s="150" t="s">
        <v>105</v>
      </c>
      <c r="I1251" s="149" t="s">
        <v>431</v>
      </c>
    </row>
    <row r="1252" spans="1:9" x14ac:dyDescent="0.35">
      <c r="A1252" s="145">
        <v>45740</v>
      </c>
      <c r="B1252" s="146"/>
      <c r="C1252" s="147"/>
      <c r="D1252" s="146">
        <v>2000000</v>
      </c>
      <c r="E1252" s="147" t="s">
        <v>422</v>
      </c>
      <c r="F1252" s="146">
        <f t="shared" si="19"/>
        <v>37473000</v>
      </c>
      <c r="G1252" s="148" t="s">
        <v>452</v>
      </c>
      <c r="H1252" s="150" t="s">
        <v>105</v>
      </c>
      <c r="I1252" s="149" t="s">
        <v>431</v>
      </c>
    </row>
    <row r="1253" spans="1:9" x14ac:dyDescent="0.35">
      <c r="A1253" s="145">
        <v>45741</v>
      </c>
      <c r="B1253" s="146"/>
      <c r="C1253" s="147"/>
      <c r="D1253" s="146">
        <v>2400000</v>
      </c>
      <c r="E1253" s="147" t="s">
        <v>422</v>
      </c>
      <c r="F1253" s="146">
        <f t="shared" si="19"/>
        <v>39873000</v>
      </c>
      <c r="G1253" s="148" t="s">
        <v>465</v>
      </c>
      <c r="H1253" s="150" t="s">
        <v>105</v>
      </c>
      <c r="I1253" s="149" t="s">
        <v>431</v>
      </c>
    </row>
    <row r="1254" spans="1:9" x14ac:dyDescent="0.35">
      <c r="A1254" s="145">
        <v>45742</v>
      </c>
      <c r="B1254" s="146"/>
      <c r="C1254" s="147"/>
      <c r="D1254" s="146">
        <v>50000</v>
      </c>
      <c r="E1254" s="147" t="s">
        <v>422</v>
      </c>
      <c r="F1254" s="146">
        <f t="shared" si="19"/>
        <v>39923000</v>
      </c>
      <c r="G1254" s="148" t="s">
        <v>467</v>
      </c>
      <c r="H1254" s="150" t="s">
        <v>109</v>
      </c>
      <c r="I1254" s="149" t="s">
        <v>431</v>
      </c>
    </row>
    <row r="1255" spans="1:9" x14ac:dyDescent="0.35">
      <c r="A1255" s="145">
        <v>45742</v>
      </c>
      <c r="B1255" s="146"/>
      <c r="C1255" s="147"/>
      <c r="D1255" s="146">
        <v>150000</v>
      </c>
      <c r="E1255" s="147" t="s">
        <v>422</v>
      </c>
      <c r="F1255" s="146">
        <f t="shared" si="19"/>
        <v>40073000</v>
      </c>
      <c r="G1255" s="148" t="s">
        <v>468</v>
      </c>
      <c r="H1255" s="150" t="s">
        <v>109</v>
      </c>
      <c r="I1255" s="149" t="s">
        <v>431</v>
      </c>
    </row>
    <row r="1256" spans="1:9" x14ac:dyDescent="0.35">
      <c r="A1256" s="145">
        <v>45742</v>
      </c>
      <c r="B1256" s="146"/>
      <c r="C1256" s="147"/>
      <c r="D1256" s="146">
        <v>150000</v>
      </c>
      <c r="E1256" s="147" t="s">
        <v>422</v>
      </c>
      <c r="F1256" s="146">
        <f t="shared" ref="F1256:F1267" si="20">+F1255+D1256-B1256</f>
        <v>40223000</v>
      </c>
      <c r="G1256" s="148" t="s">
        <v>469</v>
      </c>
      <c r="H1256" s="150" t="s">
        <v>109</v>
      </c>
      <c r="I1256" s="149" t="s">
        <v>431</v>
      </c>
    </row>
    <row r="1257" spans="1:9" x14ac:dyDescent="0.35">
      <c r="A1257" s="145">
        <v>45742</v>
      </c>
      <c r="B1257" s="146"/>
      <c r="C1257" s="147"/>
      <c r="D1257" s="146">
        <v>500000</v>
      </c>
      <c r="E1257" s="147" t="s">
        <v>422</v>
      </c>
      <c r="F1257" s="146">
        <f t="shared" si="20"/>
        <v>40723000</v>
      </c>
      <c r="G1257" s="148" t="s">
        <v>466</v>
      </c>
      <c r="H1257" s="150" t="s">
        <v>105</v>
      </c>
      <c r="I1257" s="149" t="s">
        <v>431</v>
      </c>
    </row>
    <row r="1258" spans="1:9" x14ac:dyDescent="0.35">
      <c r="A1258" s="145">
        <v>45742</v>
      </c>
      <c r="B1258" s="146"/>
      <c r="C1258" s="147"/>
      <c r="D1258" s="146">
        <v>5000000</v>
      </c>
      <c r="E1258" s="147" t="s">
        <v>422</v>
      </c>
      <c r="F1258" s="146">
        <f t="shared" si="20"/>
        <v>45723000</v>
      </c>
      <c r="G1258" s="148" t="s">
        <v>470</v>
      </c>
      <c r="H1258" s="150" t="s">
        <v>105</v>
      </c>
      <c r="I1258" s="149" t="s">
        <v>431</v>
      </c>
    </row>
    <row r="1259" spans="1:9" x14ac:dyDescent="0.35">
      <c r="A1259" s="145">
        <v>45743</v>
      </c>
      <c r="B1259" s="146"/>
      <c r="C1259" s="147"/>
      <c r="D1259" s="146">
        <v>500000</v>
      </c>
      <c r="E1259" s="147" t="s">
        <v>422</v>
      </c>
      <c r="F1259" s="146">
        <f t="shared" si="20"/>
        <v>46223000</v>
      </c>
      <c r="G1259" s="148" t="s">
        <v>471</v>
      </c>
      <c r="H1259" s="150" t="s">
        <v>105</v>
      </c>
      <c r="I1259" s="149" t="s">
        <v>431</v>
      </c>
    </row>
    <row r="1260" spans="1:9" x14ac:dyDescent="0.35">
      <c r="A1260" s="145">
        <v>45743</v>
      </c>
      <c r="B1260" s="146"/>
      <c r="C1260" s="147"/>
      <c r="D1260" s="146">
        <v>80000</v>
      </c>
      <c r="E1260" s="147" t="s">
        <v>422</v>
      </c>
      <c r="F1260" s="146">
        <f t="shared" si="20"/>
        <v>46303000</v>
      </c>
      <c r="G1260" s="148" t="s">
        <v>469</v>
      </c>
      <c r="H1260" s="150" t="s">
        <v>109</v>
      </c>
      <c r="I1260" s="149" t="s">
        <v>431</v>
      </c>
    </row>
    <row r="1261" spans="1:9" x14ac:dyDescent="0.35">
      <c r="A1261" s="145">
        <v>45743</v>
      </c>
      <c r="B1261" s="146"/>
      <c r="C1261" s="147"/>
      <c r="D1261" s="146">
        <v>400000</v>
      </c>
      <c r="E1261" s="147" t="s">
        <v>422</v>
      </c>
      <c r="F1261" s="146">
        <f t="shared" si="20"/>
        <v>46703000</v>
      </c>
      <c r="G1261" s="148" t="s">
        <v>472</v>
      </c>
      <c r="H1261" s="150" t="s">
        <v>105</v>
      </c>
      <c r="I1261" s="149" t="s">
        <v>431</v>
      </c>
    </row>
    <row r="1262" spans="1:9" x14ac:dyDescent="0.35">
      <c r="A1262" s="145">
        <v>45743</v>
      </c>
      <c r="B1262" s="146"/>
      <c r="C1262" s="147"/>
      <c r="D1262" s="146">
        <v>2000000</v>
      </c>
      <c r="E1262" s="147" t="s">
        <v>422</v>
      </c>
      <c r="F1262" s="146">
        <f t="shared" si="20"/>
        <v>48703000</v>
      </c>
      <c r="G1262" s="148" t="s">
        <v>473</v>
      </c>
      <c r="H1262" s="150" t="s">
        <v>105</v>
      </c>
      <c r="I1262" s="149" t="s">
        <v>431</v>
      </c>
    </row>
    <row r="1263" spans="1:9" x14ac:dyDescent="0.35">
      <c r="A1263" s="145">
        <v>45744</v>
      </c>
      <c r="B1263" s="146"/>
      <c r="C1263" s="147"/>
      <c r="D1263" s="146">
        <v>5000000</v>
      </c>
      <c r="E1263" s="147" t="s">
        <v>474</v>
      </c>
      <c r="F1263" s="146">
        <f t="shared" si="20"/>
        <v>53703000</v>
      </c>
      <c r="G1263" s="148" t="s">
        <v>475</v>
      </c>
      <c r="H1263" s="150" t="s">
        <v>105</v>
      </c>
      <c r="I1263" s="149" t="s">
        <v>431</v>
      </c>
    </row>
    <row r="1264" spans="1:9" x14ac:dyDescent="0.35">
      <c r="A1264" s="145">
        <v>45744</v>
      </c>
      <c r="B1264" s="146"/>
      <c r="C1264" s="147"/>
      <c r="D1264" s="146">
        <v>100000</v>
      </c>
      <c r="E1264" s="147" t="s">
        <v>474</v>
      </c>
      <c r="F1264" s="146">
        <f t="shared" si="20"/>
        <v>53803000</v>
      </c>
      <c r="G1264" s="148" t="s">
        <v>477</v>
      </c>
      <c r="H1264" s="150" t="s">
        <v>109</v>
      </c>
      <c r="I1264" s="149" t="s">
        <v>431</v>
      </c>
    </row>
    <row r="1265" spans="1:9" x14ac:dyDescent="0.35">
      <c r="A1265" s="145">
        <v>45744</v>
      </c>
      <c r="B1265" s="146"/>
      <c r="C1265" s="147"/>
      <c r="D1265" s="146">
        <v>100000</v>
      </c>
      <c r="E1265" s="147" t="s">
        <v>474</v>
      </c>
      <c r="F1265" s="146">
        <f t="shared" si="20"/>
        <v>53903000</v>
      </c>
      <c r="G1265" s="148" t="s">
        <v>478</v>
      </c>
      <c r="H1265" s="150" t="s">
        <v>109</v>
      </c>
      <c r="I1265" s="149" t="s">
        <v>431</v>
      </c>
    </row>
    <row r="1266" spans="1:9" x14ac:dyDescent="0.35">
      <c r="A1266" s="145">
        <v>45744</v>
      </c>
      <c r="B1266" s="146"/>
      <c r="C1266" s="147"/>
      <c r="D1266" s="146">
        <v>2000000</v>
      </c>
      <c r="E1266" s="147" t="s">
        <v>474</v>
      </c>
      <c r="F1266" s="146">
        <f t="shared" si="20"/>
        <v>55903000</v>
      </c>
      <c r="G1266" s="148" t="s">
        <v>479</v>
      </c>
      <c r="H1266" s="150" t="s">
        <v>109</v>
      </c>
      <c r="I1266" s="149" t="s">
        <v>431</v>
      </c>
    </row>
    <row r="1267" spans="1:9" x14ac:dyDescent="0.35">
      <c r="A1267" s="145">
        <v>45745</v>
      </c>
      <c r="B1267" s="146"/>
      <c r="C1267" s="147"/>
      <c r="D1267" s="146">
        <v>5000000</v>
      </c>
      <c r="E1267" s="147" t="s">
        <v>474</v>
      </c>
      <c r="F1267" s="146">
        <f t="shared" si="20"/>
        <v>60903000</v>
      </c>
      <c r="G1267" s="148" t="s">
        <v>476</v>
      </c>
      <c r="H1267" s="150" t="s">
        <v>105</v>
      </c>
      <c r="I1267" s="149" t="s">
        <v>431</v>
      </c>
    </row>
    <row r="1268" spans="1:9" x14ac:dyDescent="0.35">
      <c r="A1268" s="145">
        <v>45745</v>
      </c>
      <c r="B1268" s="146"/>
      <c r="C1268" s="147"/>
      <c r="D1268" s="146">
        <v>500000</v>
      </c>
      <c r="E1268" s="147" t="s">
        <v>508</v>
      </c>
      <c r="F1268" s="146"/>
      <c r="G1268" s="148" t="s">
        <v>509</v>
      </c>
      <c r="H1268" s="150" t="s">
        <v>109</v>
      </c>
      <c r="I1268" s="149" t="s">
        <v>431</v>
      </c>
    </row>
    <row r="1269" spans="1:9" x14ac:dyDescent="0.35">
      <c r="A1269" s="145">
        <v>45745</v>
      </c>
      <c r="B1269" s="146"/>
      <c r="C1269" s="147"/>
      <c r="D1269" s="146">
        <v>450000</v>
      </c>
      <c r="E1269" s="147" t="s">
        <v>508</v>
      </c>
      <c r="F1269" s="146"/>
      <c r="G1269" s="148" t="s">
        <v>510</v>
      </c>
      <c r="H1269" s="150" t="s">
        <v>109</v>
      </c>
      <c r="I1269" s="149" t="s">
        <v>431</v>
      </c>
    </row>
    <row r="1270" spans="1:9" x14ac:dyDescent="0.35">
      <c r="A1270" s="145">
        <v>45745</v>
      </c>
      <c r="B1270" s="146"/>
      <c r="C1270" s="147"/>
      <c r="D1270" s="146">
        <v>1000000</v>
      </c>
      <c r="E1270" s="147" t="s">
        <v>508</v>
      </c>
      <c r="F1270" s="146"/>
      <c r="G1270" s="148"/>
      <c r="H1270" s="150" t="s">
        <v>105</v>
      </c>
      <c r="I1270" s="149" t="s">
        <v>431</v>
      </c>
    </row>
    <row r="1271" spans="1:9" x14ac:dyDescent="0.35">
      <c r="A1271" s="145">
        <v>45745</v>
      </c>
      <c r="B1271" s="146"/>
      <c r="C1271" s="147"/>
      <c r="D1271" s="146">
        <v>200000</v>
      </c>
      <c r="E1271" s="147" t="s">
        <v>508</v>
      </c>
      <c r="F1271" s="146"/>
      <c r="G1271" s="148"/>
      <c r="H1271" s="150" t="s">
        <v>109</v>
      </c>
      <c r="I1271" s="149" t="s">
        <v>431</v>
      </c>
    </row>
  </sheetData>
  <mergeCells count="1">
    <mergeCell ref="A1:G1"/>
  </mergeCell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00000000-0002-0000-0600-000000000000}">
          <x14:formula1>
            <xm:f>Akun!$A$1:$A$27</xm:f>
          </x14:formula1>
          <xm:sqref>H1243:H1271</xm:sqref>
        </x14:dataValidation>
        <x14:dataValidation type="list" allowBlank="1" showInputMessage="1" showErrorMessage="1" xr:uid="{00000000-0002-0000-0600-000001000000}">
          <x14:formula1>
            <xm:f>'D:\ALJABAR\[RK Masjid AL Jabbar Upgrade.xlsx]Akun'!#REF!</xm:f>
          </x14:formula1>
          <xm:sqref>H1178:H1241</xm:sqref>
        </x14:dataValidation>
        <x14:dataValidation type="list" allowBlank="1" showInputMessage="1" showErrorMessage="1" xr:uid="{00000000-0002-0000-0600-000002000000}">
          <x14:formula1>
            <xm:f>Akun!$A$1:$A$34</xm:f>
          </x14:formula1>
          <xm:sqref>H1039 H8:H919 H1041:H1163</xm:sqref>
        </x14:dataValidation>
        <x14:dataValidation type="list" allowBlank="1" showInputMessage="1" showErrorMessage="1" xr:uid="{00000000-0002-0000-0600-000003000000}">
          <x14:formula1>
            <xm:f>'D:\Users\rivendra\Downloads\[RK Masjid AL Jabbar Forecast.xlsx]Akun'!#REF!</xm:f>
          </x14:formula1>
          <xm:sqref>H920:H1038 H1164:H1175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085"/>
  <sheetViews>
    <sheetView zoomScale="85" zoomScaleNormal="85" workbookViewId="0">
      <pane xSplit="1" ySplit="7" topLeftCell="B864" activePane="bottomRight" state="frozen"/>
      <selection pane="topRight" activeCell="C1" sqref="C1"/>
      <selection pane="bottomLeft" activeCell="A8" sqref="A8"/>
      <selection pane="bottomRight" activeCell="G861" sqref="G861"/>
    </sheetView>
  </sheetViews>
  <sheetFormatPr defaultRowHeight="14.5" x14ac:dyDescent="0.35"/>
  <cols>
    <col min="1" max="1" width="12.1796875" style="18" bestFit="1" customWidth="1"/>
    <col min="2" max="4" width="11.81640625" style="18" bestFit="1" customWidth="1"/>
    <col min="5" max="5" width="11.54296875" style="18" customWidth="1"/>
    <col min="6" max="6" width="12.81640625" style="18" bestFit="1" customWidth="1"/>
    <col min="7" max="7" width="45.26953125" style="18" customWidth="1"/>
    <col min="8" max="8" width="29.1796875" style="18" customWidth="1"/>
    <col min="9" max="9" width="30.81640625" style="18" bestFit="1" customWidth="1"/>
    <col min="10" max="10" width="27" bestFit="1" customWidth="1"/>
    <col min="11" max="11" width="11.81640625" bestFit="1" customWidth="1"/>
    <col min="12" max="12" width="12.453125" bestFit="1" customWidth="1"/>
  </cols>
  <sheetData>
    <row r="1" spans="1:12" x14ac:dyDescent="0.35">
      <c r="A1" s="244" t="s">
        <v>104</v>
      </c>
      <c r="B1" s="244"/>
      <c r="C1" s="244"/>
      <c r="D1" s="244"/>
      <c r="E1" s="244"/>
      <c r="F1" s="244"/>
      <c r="G1" s="244"/>
      <c r="H1" s="37"/>
      <c r="I1" s="25"/>
    </row>
    <row r="2" spans="1:12" x14ac:dyDescent="0.35">
      <c r="A2" s="2"/>
      <c r="B2" s="2"/>
      <c r="C2" s="2"/>
      <c r="D2" s="2"/>
      <c r="E2" s="2"/>
      <c r="F2" s="2"/>
      <c r="G2" s="2"/>
      <c r="I2" s="25"/>
    </row>
    <row r="3" spans="1:12" x14ac:dyDescent="0.35">
      <c r="A3" s="22" t="s">
        <v>49</v>
      </c>
      <c r="H3" s="26"/>
    </row>
    <row r="4" spans="1:12" x14ac:dyDescent="0.35">
      <c r="A4" s="22" t="s">
        <v>50</v>
      </c>
      <c r="F4" s="25"/>
      <c r="I4" s="2"/>
    </row>
    <row r="5" spans="1:12" x14ac:dyDescent="0.35">
      <c r="A5" s="22" t="s">
        <v>265</v>
      </c>
      <c r="F5" s="25"/>
      <c r="J5" s="36" t="s">
        <v>192</v>
      </c>
      <c r="K5" t="s">
        <v>560</v>
      </c>
    </row>
    <row r="7" spans="1:12" x14ac:dyDescent="0.35">
      <c r="A7" s="6" t="s">
        <v>2</v>
      </c>
      <c r="B7" s="6" t="s">
        <v>3</v>
      </c>
      <c r="C7" s="6" t="s">
        <v>138</v>
      </c>
      <c r="D7" s="6" t="s">
        <v>4</v>
      </c>
      <c r="E7" s="6" t="s">
        <v>192</v>
      </c>
      <c r="F7" s="6" t="s">
        <v>5</v>
      </c>
      <c r="G7" s="6" t="s">
        <v>6</v>
      </c>
      <c r="H7" s="34" t="s">
        <v>141</v>
      </c>
      <c r="I7" s="34" t="s">
        <v>359</v>
      </c>
      <c r="J7" s="36" t="s">
        <v>149</v>
      </c>
      <c r="K7" t="s">
        <v>151</v>
      </c>
      <c r="L7" t="s">
        <v>148</v>
      </c>
    </row>
    <row r="8" spans="1:12" x14ac:dyDescent="0.35">
      <c r="A8" s="19">
        <v>45650</v>
      </c>
      <c r="B8" s="20"/>
      <c r="C8" s="20"/>
      <c r="D8" s="20">
        <v>5000000</v>
      </c>
      <c r="E8" s="43" t="s">
        <v>357</v>
      </c>
      <c r="F8" s="20">
        <v>5000000</v>
      </c>
      <c r="G8" s="10" t="s">
        <v>57</v>
      </c>
      <c r="H8" s="59" t="s">
        <v>204</v>
      </c>
      <c r="I8" s="32" t="s">
        <v>152</v>
      </c>
      <c r="J8" s="13" t="s">
        <v>107</v>
      </c>
      <c r="K8" s="160"/>
      <c r="L8" s="160">
        <v>3667000</v>
      </c>
    </row>
    <row r="9" spans="1:12" x14ac:dyDescent="0.35">
      <c r="A9" s="19">
        <v>45659</v>
      </c>
      <c r="B9" s="43">
        <v>200000</v>
      </c>
      <c r="C9" s="20"/>
      <c r="D9" s="20"/>
      <c r="E9" s="43" t="s">
        <v>357</v>
      </c>
      <c r="F9" s="20">
        <f>+F8+D9-B9</f>
        <v>4800000</v>
      </c>
      <c r="G9" s="10" t="s">
        <v>102</v>
      </c>
      <c r="H9" s="59" t="s">
        <v>320</v>
      </c>
      <c r="I9" s="32" t="s">
        <v>152</v>
      </c>
      <c r="J9" s="13" t="s">
        <v>201</v>
      </c>
      <c r="K9" s="160">
        <v>6713000</v>
      </c>
      <c r="L9" s="160"/>
    </row>
    <row r="10" spans="1:12" x14ac:dyDescent="0.35">
      <c r="A10" s="19">
        <v>45660</v>
      </c>
      <c r="B10" s="43"/>
      <c r="C10" s="20"/>
      <c r="D10" s="43">
        <v>500000</v>
      </c>
      <c r="E10" s="43" t="s">
        <v>357</v>
      </c>
      <c r="F10" s="20">
        <f t="shared" ref="F10:F73" si="0">+F9+D10-B10</f>
        <v>5300000</v>
      </c>
      <c r="G10" s="10" t="s">
        <v>53</v>
      </c>
      <c r="H10" s="59" t="s">
        <v>109</v>
      </c>
      <c r="I10" s="32" t="s">
        <v>152</v>
      </c>
      <c r="J10" s="13" t="s">
        <v>323</v>
      </c>
      <c r="K10" s="160">
        <v>1756500</v>
      </c>
      <c r="L10" s="160"/>
    </row>
    <row r="11" spans="1:12" x14ac:dyDescent="0.35">
      <c r="A11" s="19">
        <v>45660</v>
      </c>
      <c r="B11" s="43"/>
      <c r="C11" s="20"/>
      <c r="D11" s="43">
        <v>1800000</v>
      </c>
      <c r="E11" s="43" t="s">
        <v>357</v>
      </c>
      <c r="F11" s="20">
        <f t="shared" si="0"/>
        <v>7100000</v>
      </c>
      <c r="G11" s="10" t="s">
        <v>84</v>
      </c>
      <c r="H11" s="59" t="s">
        <v>109</v>
      </c>
      <c r="I11" s="32" t="s">
        <v>152</v>
      </c>
      <c r="J11" s="13" t="s">
        <v>325</v>
      </c>
      <c r="K11" s="160">
        <v>11276000</v>
      </c>
      <c r="L11" s="160"/>
    </row>
    <row r="12" spans="1:12" x14ac:dyDescent="0.35">
      <c r="A12" s="19">
        <v>45660</v>
      </c>
      <c r="B12" s="43"/>
      <c r="C12" s="20"/>
      <c r="D12" s="43">
        <v>2000000</v>
      </c>
      <c r="E12" s="43" t="s">
        <v>357</v>
      </c>
      <c r="F12" s="20">
        <f t="shared" si="0"/>
        <v>9100000</v>
      </c>
      <c r="G12" s="10" t="s">
        <v>55</v>
      </c>
      <c r="H12" s="59" t="s">
        <v>109</v>
      </c>
      <c r="I12" s="32" t="s">
        <v>152</v>
      </c>
      <c r="J12" s="13" t="s">
        <v>109</v>
      </c>
      <c r="K12" s="160"/>
      <c r="L12" s="160">
        <v>9087000</v>
      </c>
    </row>
    <row r="13" spans="1:12" x14ac:dyDescent="0.35">
      <c r="A13" s="19">
        <v>45663</v>
      </c>
      <c r="B13" s="43"/>
      <c r="C13" s="20"/>
      <c r="D13" s="43">
        <v>400000</v>
      </c>
      <c r="E13" s="43" t="s">
        <v>357</v>
      </c>
      <c r="F13" s="20">
        <f t="shared" si="0"/>
        <v>9500000</v>
      </c>
      <c r="G13" s="10" t="s">
        <v>56</v>
      </c>
      <c r="H13" s="59" t="s">
        <v>109</v>
      </c>
      <c r="I13" s="32" t="s">
        <v>152</v>
      </c>
      <c r="J13" s="13" t="s">
        <v>580</v>
      </c>
      <c r="K13" s="160"/>
      <c r="L13" s="160">
        <v>2477000</v>
      </c>
    </row>
    <row r="14" spans="1:12" x14ac:dyDescent="0.35">
      <c r="A14" s="19">
        <v>45663</v>
      </c>
      <c r="B14" s="43"/>
      <c r="C14" s="23"/>
      <c r="D14" s="23">
        <v>44196050</v>
      </c>
      <c r="E14" s="43" t="s">
        <v>357</v>
      </c>
      <c r="F14" s="20">
        <f t="shared" si="0"/>
        <v>53696050</v>
      </c>
      <c r="G14" s="24" t="s">
        <v>105</v>
      </c>
      <c r="H14" s="59" t="s">
        <v>204</v>
      </c>
      <c r="I14" s="32" t="s">
        <v>152</v>
      </c>
      <c r="J14" s="13" t="s">
        <v>150</v>
      </c>
      <c r="K14" s="160">
        <v>19745500</v>
      </c>
      <c r="L14" s="160">
        <v>15231000</v>
      </c>
    </row>
    <row r="15" spans="1:12" x14ac:dyDescent="0.35">
      <c r="A15" s="19">
        <v>45663</v>
      </c>
      <c r="B15" s="43"/>
      <c r="C15" s="23"/>
      <c r="D15" s="23">
        <v>33983823</v>
      </c>
      <c r="E15" s="43" t="s">
        <v>357</v>
      </c>
      <c r="F15" s="20">
        <f t="shared" si="0"/>
        <v>87679873</v>
      </c>
      <c r="G15" s="24" t="s">
        <v>106</v>
      </c>
      <c r="H15" s="59" t="s">
        <v>205</v>
      </c>
      <c r="I15" s="32" t="s">
        <v>152</v>
      </c>
    </row>
    <row r="16" spans="1:12" x14ac:dyDescent="0.35">
      <c r="A16" s="19"/>
      <c r="B16" s="43"/>
      <c r="C16" s="20">
        <v>78179873</v>
      </c>
      <c r="D16" s="20"/>
      <c r="E16" s="20"/>
      <c r="F16" s="20">
        <f t="shared" si="0"/>
        <v>87679873</v>
      </c>
      <c r="G16" s="10" t="s">
        <v>57</v>
      </c>
      <c r="H16" s="59"/>
      <c r="I16" s="32"/>
    </row>
    <row r="17" spans="1:9" x14ac:dyDescent="0.35">
      <c r="A17" s="19">
        <v>45663</v>
      </c>
      <c r="B17" s="43"/>
      <c r="C17" s="23"/>
      <c r="D17" s="23">
        <v>5594227</v>
      </c>
      <c r="E17" s="43" t="s">
        <v>357</v>
      </c>
      <c r="F17" s="20">
        <f t="shared" si="0"/>
        <v>93274100</v>
      </c>
      <c r="G17" s="24" t="s">
        <v>106</v>
      </c>
      <c r="H17" s="59" t="s">
        <v>205</v>
      </c>
      <c r="I17" s="32" t="s">
        <v>152</v>
      </c>
    </row>
    <row r="18" spans="1:9" x14ac:dyDescent="0.35">
      <c r="A18" s="19">
        <v>45663</v>
      </c>
      <c r="B18" s="43"/>
      <c r="C18" s="23"/>
      <c r="D18" s="23">
        <v>39840773</v>
      </c>
      <c r="E18" s="43" t="s">
        <v>357</v>
      </c>
      <c r="F18" s="20">
        <f t="shared" si="0"/>
        <v>133114873</v>
      </c>
      <c r="G18" s="24" t="s">
        <v>107</v>
      </c>
      <c r="H18" s="59" t="s">
        <v>206</v>
      </c>
      <c r="I18" s="32" t="s">
        <v>152</v>
      </c>
    </row>
    <row r="19" spans="1:9" x14ac:dyDescent="0.35">
      <c r="A19" s="19">
        <v>45663</v>
      </c>
      <c r="B19" s="43"/>
      <c r="C19" s="20">
        <v>45435000</v>
      </c>
      <c r="D19" s="20"/>
      <c r="E19" s="20"/>
      <c r="F19" s="20">
        <f t="shared" si="0"/>
        <v>133114873</v>
      </c>
      <c r="G19" s="10" t="s">
        <v>58</v>
      </c>
      <c r="H19" s="59"/>
      <c r="I19" s="32"/>
    </row>
    <row r="20" spans="1:9" x14ac:dyDescent="0.35">
      <c r="A20" s="19">
        <v>45664</v>
      </c>
      <c r="B20" s="43"/>
      <c r="C20" s="20"/>
      <c r="D20" s="43">
        <v>1000000</v>
      </c>
      <c r="E20" s="43" t="s">
        <v>357</v>
      </c>
      <c r="F20" s="20">
        <f t="shared" si="0"/>
        <v>134114873</v>
      </c>
      <c r="G20" s="10" t="s">
        <v>83</v>
      </c>
      <c r="H20" s="59" t="s">
        <v>139</v>
      </c>
      <c r="I20" s="32" t="s">
        <v>152</v>
      </c>
    </row>
    <row r="21" spans="1:9" x14ac:dyDescent="0.35">
      <c r="A21" s="19">
        <v>45664</v>
      </c>
      <c r="B21" s="43"/>
      <c r="C21" s="20"/>
      <c r="D21" s="43">
        <v>300000</v>
      </c>
      <c r="E21" s="43" t="s">
        <v>357</v>
      </c>
      <c r="F21" s="20">
        <f t="shared" si="0"/>
        <v>134414873</v>
      </c>
      <c r="G21" s="10" t="s">
        <v>60</v>
      </c>
      <c r="H21" s="59" t="s">
        <v>139</v>
      </c>
      <c r="I21" s="32" t="s">
        <v>152</v>
      </c>
    </row>
    <row r="22" spans="1:9" x14ac:dyDescent="0.35">
      <c r="A22" s="19">
        <v>45664</v>
      </c>
      <c r="B22" s="43"/>
      <c r="C22" s="20"/>
      <c r="D22" s="43">
        <v>600000</v>
      </c>
      <c r="E22" s="43" t="s">
        <v>357</v>
      </c>
      <c r="F22" s="20">
        <f t="shared" si="0"/>
        <v>135014873</v>
      </c>
      <c r="G22" s="10" t="s">
        <v>61</v>
      </c>
      <c r="H22" s="59" t="s">
        <v>139</v>
      </c>
      <c r="I22" s="32" t="s">
        <v>152</v>
      </c>
    </row>
    <row r="23" spans="1:9" x14ac:dyDescent="0.35">
      <c r="A23" s="19">
        <v>45664</v>
      </c>
      <c r="B23" s="43">
        <v>1250000</v>
      </c>
      <c r="C23" s="20"/>
      <c r="D23" s="43"/>
      <c r="E23" s="43" t="s">
        <v>357</v>
      </c>
      <c r="F23" s="20">
        <f t="shared" si="0"/>
        <v>133764873</v>
      </c>
      <c r="G23" s="10" t="s">
        <v>62</v>
      </c>
      <c r="H23" s="59" t="s">
        <v>321</v>
      </c>
      <c r="I23" s="32" t="s">
        <v>152</v>
      </c>
    </row>
    <row r="24" spans="1:9" x14ac:dyDescent="0.35">
      <c r="A24" s="19">
        <v>45664</v>
      </c>
      <c r="B24" s="43">
        <v>2500</v>
      </c>
      <c r="C24" s="20"/>
      <c r="D24" s="43"/>
      <c r="E24" s="43" t="s">
        <v>357</v>
      </c>
      <c r="F24" s="20">
        <f t="shared" si="0"/>
        <v>133762373</v>
      </c>
      <c r="G24" s="10" t="s">
        <v>63</v>
      </c>
      <c r="H24" s="59" t="s">
        <v>321</v>
      </c>
      <c r="I24" s="32" t="s">
        <v>152</v>
      </c>
    </row>
    <row r="25" spans="1:9" x14ac:dyDescent="0.35">
      <c r="A25" s="19">
        <v>45664</v>
      </c>
      <c r="B25" s="43"/>
      <c r="C25" s="20"/>
      <c r="D25" s="43">
        <v>600000</v>
      </c>
      <c r="E25" s="43" t="s">
        <v>357</v>
      </c>
      <c r="F25" s="20">
        <f t="shared" si="0"/>
        <v>134362373</v>
      </c>
      <c r="G25" s="10" t="s">
        <v>64</v>
      </c>
      <c r="H25" s="59" t="s">
        <v>139</v>
      </c>
      <c r="I25" s="32" t="s">
        <v>152</v>
      </c>
    </row>
    <row r="26" spans="1:9" x14ac:dyDescent="0.35">
      <c r="A26" s="19">
        <v>45665</v>
      </c>
      <c r="B26" s="43"/>
      <c r="C26" s="20"/>
      <c r="D26" s="43">
        <v>300000</v>
      </c>
      <c r="E26" s="43" t="s">
        <v>357</v>
      </c>
      <c r="F26" s="20">
        <f t="shared" si="0"/>
        <v>134662373</v>
      </c>
      <c r="G26" s="10" t="s">
        <v>65</v>
      </c>
      <c r="H26" s="59" t="s">
        <v>139</v>
      </c>
      <c r="I26" s="32" t="s">
        <v>152</v>
      </c>
    </row>
    <row r="27" spans="1:9" x14ac:dyDescent="0.35">
      <c r="A27" s="19">
        <v>45665</v>
      </c>
      <c r="B27" s="43"/>
      <c r="C27" s="20"/>
      <c r="D27" s="43">
        <v>300000</v>
      </c>
      <c r="E27" s="43" t="s">
        <v>357</v>
      </c>
      <c r="F27" s="20">
        <f t="shared" si="0"/>
        <v>134962373</v>
      </c>
      <c r="G27" s="10" t="s">
        <v>66</v>
      </c>
      <c r="H27" s="59" t="s">
        <v>139</v>
      </c>
      <c r="I27" s="32" t="s">
        <v>152</v>
      </c>
    </row>
    <row r="28" spans="1:9" x14ac:dyDescent="0.35">
      <c r="A28" s="19">
        <v>45665</v>
      </c>
      <c r="B28" s="43"/>
      <c r="C28" s="20"/>
      <c r="D28" s="43">
        <v>300000</v>
      </c>
      <c r="E28" s="43" t="s">
        <v>357</v>
      </c>
      <c r="F28" s="20">
        <f t="shared" si="0"/>
        <v>135262373</v>
      </c>
      <c r="G28" s="10" t="s">
        <v>67</v>
      </c>
      <c r="H28" s="59" t="s">
        <v>139</v>
      </c>
      <c r="I28" s="32" t="s">
        <v>152</v>
      </c>
    </row>
    <row r="29" spans="1:9" x14ac:dyDescent="0.35">
      <c r="A29" s="19">
        <v>45665</v>
      </c>
      <c r="B29" s="43"/>
      <c r="C29" s="20"/>
      <c r="D29" s="43">
        <v>300000</v>
      </c>
      <c r="E29" s="43" t="s">
        <v>357</v>
      </c>
      <c r="F29" s="20">
        <f t="shared" si="0"/>
        <v>135562373</v>
      </c>
      <c r="G29" s="10" t="s">
        <v>68</v>
      </c>
      <c r="H29" s="59" t="s">
        <v>139</v>
      </c>
      <c r="I29" s="32" t="s">
        <v>152</v>
      </c>
    </row>
    <row r="30" spans="1:9" x14ac:dyDescent="0.35">
      <c r="A30" s="19">
        <v>45665</v>
      </c>
      <c r="B30" s="43">
        <v>500000</v>
      </c>
      <c r="C30" s="20"/>
      <c r="D30" s="43"/>
      <c r="E30" s="43" t="s">
        <v>357</v>
      </c>
      <c r="F30" s="20">
        <f t="shared" si="0"/>
        <v>135062373</v>
      </c>
      <c r="G30" s="10" t="s">
        <v>85</v>
      </c>
      <c r="H30" s="59" t="s">
        <v>322</v>
      </c>
      <c r="I30" s="32" t="s">
        <v>152</v>
      </c>
    </row>
    <row r="31" spans="1:9" x14ac:dyDescent="0.35">
      <c r="A31" s="19">
        <v>45665</v>
      </c>
      <c r="B31" s="43">
        <v>2000000</v>
      </c>
      <c r="C31" s="20"/>
      <c r="D31" s="43"/>
      <c r="E31" s="43" t="s">
        <v>357</v>
      </c>
      <c r="F31" s="20">
        <f t="shared" si="0"/>
        <v>133062373</v>
      </c>
      <c r="G31" s="10" t="s">
        <v>69</v>
      </c>
      <c r="H31" s="59" t="s">
        <v>143</v>
      </c>
      <c r="I31" s="32" t="s">
        <v>152</v>
      </c>
    </row>
    <row r="32" spans="1:9" x14ac:dyDescent="0.35">
      <c r="A32" s="19">
        <v>45665</v>
      </c>
      <c r="B32" s="43">
        <v>2500</v>
      </c>
      <c r="C32" s="20"/>
      <c r="D32" s="43"/>
      <c r="E32" s="43" t="s">
        <v>357</v>
      </c>
      <c r="F32" s="20">
        <f t="shared" si="0"/>
        <v>133059873</v>
      </c>
      <c r="G32" s="10" t="s">
        <v>70</v>
      </c>
      <c r="H32" s="59" t="s">
        <v>143</v>
      </c>
      <c r="I32" s="32" t="s">
        <v>152</v>
      </c>
    </row>
    <row r="33" spans="1:9" x14ac:dyDescent="0.35">
      <c r="A33" s="19">
        <v>45665</v>
      </c>
      <c r="B33" s="43"/>
      <c r="C33" s="20"/>
      <c r="D33" s="43">
        <v>504000</v>
      </c>
      <c r="E33" s="43" t="s">
        <v>357</v>
      </c>
      <c r="F33" s="20">
        <f t="shared" si="0"/>
        <v>133563873</v>
      </c>
      <c r="G33" s="10" t="s">
        <v>71</v>
      </c>
      <c r="H33" s="59" t="s">
        <v>139</v>
      </c>
      <c r="I33" s="32" t="s">
        <v>152</v>
      </c>
    </row>
    <row r="34" spans="1:9" x14ac:dyDescent="0.35">
      <c r="A34" s="19">
        <v>45665</v>
      </c>
      <c r="B34" s="43"/>
      <c r="C34" s="20"/>
      <c r="D34" s="43">
        <v>100000</v>
      </c>
      <c r="E34" s="43" t="s">
        <v>357</v>
      </c>
      <c r="F34" s="20">
        <f t="shared" si="0"/>
        <v>133663873</v>
      </c>
      <c r="G34" s="10" t="s">
        <v>72</v>
      </c>
      <c r="H34" s="59" t="s">
        <v>139</v>
      </c>
      <c r="I34" s="32" t="s">
        <v>152</v>
      </c>
    </row>
    <row r="35" spans="1:9" x14ac:dyDescent="0.35">
      <c r="A35" s="17">
        <v>45666</v>
      </c>
      <c r="B35" s="44"/>
      <c r="C35" s="21"/>
      <c r="D35" s="44">
        <v>400000</v>
      </c>
      <c r="E35" s="43" t="s">
        <v>357</v>
      </c>
      <c r="F35" s="20">
        <f t="shared" si="0"/>
        <v>134063873</v>
      </c>
      <c r="G35" s="10" t="s">
        <v>86</v>
      </c>
      <c r="H35" s="59" t="s">
        <v>140</v>
      </c>
      <c r="I35" s="32" t="s">
        <v>152</v>
      </c>
    </row>
    <row r="36" spans="1:9" x14ac:dyDescent="0.35">
      <c r="A36" s="17">
        <v>45666</v>
      </c>
      <c r="B36" s="44"/>
      <c r="C36" s="21"/>
      <c r="D36" s="44">
        <v>300000</v>
      </c>
      <c r="E36" s="43" t="s">
        <v>357</v>
      </c>
      <c r="F36" s="20">
        <f t="shared" si="0"/>
        <v>134363873</v>
      </c>
      <c r="G36" s="10" t="s">
        <v>87</v>
      </c>
      <c r="H36" s="59" t="s">
        <v>139</v>
      </c>
      <c r="I36" s="32" t="s">
        <v>152</v>
      </c>
    </row>
    <row r="37" spans="1:9" x14ac:dyDescent="0.35">
      <c r="A37" s="17">
        <v>45666</v>
      </c>
      <c r="B37" s="44"/>
      <c r="C37" s="21"/>
      <c r="D37" s="44">
        <v>300000</v>
      </c>
      <c r="E37" s="43" t="s">
        <v>357</v>
      </c>
      <c r="F37" s="20">
        <f t="shared" si="0"/>
        <v>134663873</v>
      </c>
      <c r="G37" s="10" t="s">
        <v>88</v>
      </c>
      <c r="H37" s="59" t="s">
        <v>139</v>
      </c>
      <c r="I37" s="32" t="s">
        <v>152</v>
      </c>
    </row>
    <row r="38" spans="1:9" x14ac:dyDescent="0.35">
      <c r="A38" s="17">
        <v>45667</v>
      </c>
      <c r="B38" s="44"/>
      <c r="C38" s="21"/>
      <c r="D38" s="44">
        <v>600000</v>
      </c>
      <c r="E38" s="43" t="s">
        <v>357</v>
      </c>
      <c r="F38" s="20">
        <f t="shared" si="0"/>
        <v>135263873</v>
      </c>
      <c r="G38" s="10" t="s">
        <v>89</v>
      </c>
      <c r="H38" s="59" t="s">
        <v>139</v>
      </c>
      <c r="I38" s="32" t="s">
        <v>152</v>
      </c>
    </row>
    <row r="39" spans="1:9" x14ac:dyDescent="0.35">
      <c r="A39" s="17">
        <v>45667</v>
      </c>
      <c r="B39" s="44"/>
      <c r="C39" s="21"/>
      <c r="D39" s="44">
        <v>350000</v>
      </c>
      <c r="E39" s="43" t="s">
        <v>357</v>
      </c>
      <c r="F39" s="20">
        <f t="shared" si="0"/>
        <v>135613873</v>
      </c>
      <c r="G39" s="10" t="s">
        <v>90</v>
      </c>
      <c r="H39" s="59" t="s">
        <v>139</v>
      </c>
      <c r="I39" s="32" t="s">
        <v>152</v>
      </c>
    </row>
    <row r="40" spans="1:9" x14ac:dyDescent="0.35">
      <c r="A40" s="17">
        <v>45667</v>
      </c>
      <c r="B40" s="44">
        <v>1600000</v>
      </c>
      <c r="C40" s="21"/>
      <c r="D40" s="21"/>
      <c r="E40" s="43" t="s">
        <v>357</v>
      </c>
      <c r="F40" s="20">
        <f t="shared" si="0"/>
        <v>134013873</v>
      </c>
      <c r="G40" s="10" t="s">
        <v>91</v>
      </c>
      <c r="H40" s="59" t="s">
        <v>143</v>
      </c>
      <c r="I40" s="32" t="s">
        <v>152</v>
      </c>
    </row>
    <row r="41" spans="1:9" x14ac:dyDescent="0.35">
      <c r="A41" s="17">
        <v>45667</v>
      </c>
      <c r="B41" s="44">
        <v>2500</v>
      </c>
      <c r="C41" s="21"/>
      <c r="D41" s="21"/>
      <c r="E41" s="43" t="s">
        <v>357</v>
      </c>
      <c r="F41" s="20">
        <f t="shared" si="0"/>
        <v>134011373</v>
      </c>
      <c r="G41" s="10" t="s">
        <v>92</v>
      </c>
      <c r="H41" s="59" t="s">
        <v>143</v>
      </c>
      <c r="I41" s="32" t="s">
        <v>152</v>
      </c>
    </row>
    <row r="42" spans="1:9" x14ac:dyDescent="0.35">
      <c r="A42" s="17">
        <v>45670</v>
      </c>
      <c r="B42" s="39">
        <v>750000</v>
      </c>
      <c r="C42" s="21"/>
      <c r="D42" s="21"/>
      <c r="E42" s="43" t="s">
        <v>357</v>
      </c>
      <c r="F42" s="20">
        <f t="shared" si="0"/>
        <v>133261373</v>
      </c>
      <c r="G42" s="10" t="s">
        <v>93</v>
      </c>
      <c r="H42" s="59" t="s">
        <v>323</v>
      </c>
      <c r="I42" s="32" t="s">
        <v>152</v>
      </c>
    </row>
    <row r="43" spans="1:9" x14ac:dyDescent="0.35">
      <c r="A43" s="17">
        <v>45670</v>
      </c>
      <c r="B43" s="39">
        <v>2500</v>
      </c>
      <c r="C43" s="21"/>
      <c r="D43" s="21"/>
      <c r="E43" s="43" t="s">
        <v>357</v>
      </c>
      <c r="F43" s="20">
        <f t="shared" si="0"/>
        <v>133258873</v>
      </c>
      <c r="G43" s="10" t="s">
        <v>94</v>
      </c>
      <c r="H43" s="59" t="s">
        <v>323</v>
      </c>
      <c r="I43" s="32" t="s">
        <v>152</v>
      </c>
    </row>
    <row r="44" spans="1:9" x14ac:dyDescent="0.35">
      <c r="A44" s="17">
        <v>45670</v>
      </c>
      <c r="B44" s="21"/>
      <c r="C44" s="21"/>
      <c r="D44" s="39">
        <v>300000</v>
      </c>
      <c r="E44" s="43" t="s">
        <v>357</v>
      </c>
      <c r="F44" s="20">
        <f t="shared" si="0"/>
        <v>133558873</v>
      </c>
      <c r="G44" s="10" t="s">
        <v>95</v>
      </c>
      <c r="H44" s="59" t="s">
        <v>109</v>
      </c>
      <c r="I44" s="32" t="s">
        <v>152</v>
      </c>
    </row>
    <row r="45" spans="1:9" x14ac:dyDescent="0.35">
      <c r="A45" s="17">
        <v>45670</v>
      </c>
      <c r="B45" s="21"/>
      <c r="C45" s="21"/>
      <c r="D45" s="39">
        <v>50000</v>
      </c>
      <c r="E45" s="43" t="s">
        <v>357</v>
      </c>
      <c r="F45" s="20">
        <f t="shared" si="0"/>
        <v>133608873</v>
      </c>
      <c r="G45" s="10" t="s">
        <v>56</v>
      </c>
      <c r="H45" s="59" t="s">
        <v>109</v>
      </c>
      <c r="I45" s="32" t="s">
        <v>152</v>
      </c>
    </row>
    <row r="46" spans="1:9" x14ac:dyDescent="0.35">
      <c r="A46" s="17">
        <v>45670</v>
      </c>
      <c r="B46" s="21"/>
      <c r="C46" s="21"/>
      <c r="D46" s="39">
        <v>100000</v>
      </c>
      <c r="E46" s="43" t="s">
        <v>357</v>
      </c>
      <c r="F46" s="20">
        <f t="shared" si="0"/>
        <v>133708873</v>
      </c>
      <c r="G46" s="10" t="s">
        <v>244</v>
      </c>
      <c r="H46" s="59" t="s">
        <v>109</v>
      </c>
      <c r="I46" s="32" t="s">
        <v>152</v>
      </c>
    </row>
    <row r="47" spans="1:9" x14ac:dyDescent="0.35">
      <c r="A47" s="17">
        <v>45670</v>
      </c>
      <c r="B47" s="21"/>
      <c r="C47" s="21"/>
      <c r="D47" s="39">
        <v>3000000</v>
      </c>
      <c r="E47" s="43" t="s">
        <v>357</v>
      </c>
      <c r="F47" s="20">
        <f t="shared" si="0"/>
        <v>136708873</v>
      </c>
      <c r="G47" s="10" t="s">
        <v>245</v>
      </c>
      <c r="H47" s="59" t="s">
        <v>109</v>
      </c>
      <c r="I47" s="32" t="s">
        <v>152</v>
      </c>
    </row>
    <row r="48" spans="1:9" x14ac:dyDescent="0.35">
      <c r="A48" s="17">
        <v>45670</v>
      </c>
      <c r="B48" s="21"/>
      <c r="C48" s="23"/>
      <c r="D48" s="23">
        <v>2773000</v>
      </c>
      <c r="E48" s="43" t="s">
        <v>357</v>
      </c>
      <c r="F48" s="20">
        <f t="shared" si="0"/>
        <v>139481873</v>
      </c>
      <c r="G48" s="24" t="s">
        <v>107</v>
      </c>
      <c r="H48" s="59" t="s">
        <v>107</v>
      </c>
      <c r="I48" s="32" t="s">
        <v>152</v>
      </c>
    </row>
    <row r="49" spans="1:9" x14ac:dyDescent="0.35">
      <c r="A49" s="17">
        <v>45670</v>
      </c>
      <c r="B49" s="21"/>
      <c r="C49" s="23"/>
      <c r="D49" s="23">
        <v>3977000</v>
      </c>
      <c r="E49" s="43" t="s">
        <v>357</v>
      </c>
      <c r="F49" s="20">
        <f t="shared" si="0"/>
        <v>143458873</v>
      </c>
      <c r="G49" s="24" t="s">
        <v>109</v>
      </c>
      <c r="H49" s="59" t="s">
        <v>109</v>
      </c>
      <c r="I49" s="32" t="s">
        <v>152</v>
      </c>
    </row>
    <row r="50" spans="1:9" x14ac:dyDescent="0.35">
      <c r="A50" s="17">
        <v>45670</v>
      </c>
      <c r="B50" s="27">
        <v>2000000</v>
      </c>
      <c r="C50" s="27"/>
      <c r="D50" s="39"/>
      <c r="E50" s="43" t="s">
        <v>357</v>
      </c>
      <c r="F50" s="20">
        <f t="shared" si="0"/>
        <v>141458873</v>
      </c>
      <c r="G50" s="28" t="s">
        <v>114</v>
      </c>
      <c r="H50" s="59" t="s">
        <v>320</v>
      </c>
      <c r="I50" s="32" t="s">
        <v>152</v>
      </c>
    </row>
    <row r="51" spans="1:9" x14ac:dyDescent="0.35">
      <c r="A51" s="17">
        <v>45670</v>
      </c>
      <c r="B51" s="27">
        <v>200000</v>
      </c>
      <c r="C51" s="27"/>
      <c r="D51" s="39"/>
      <c r="E51" s="43" t="s">
        <v>357</v>
      </c>
      <c r="F51" s="20">
        <f t="shared" si="0"/>
        <v>141258873</v>
      </c>
      <c r="G51" s="28" t="s">
        <v>115</v>
      </c>
      <c r="H51" s="59" t="s">
        <v>320</v>
      </c>
      <c r="I51" s="32" t="s">
        <v>152</v>
      </c>
    </row>
    <row r="52" spans="1:9" x14ac:dyDescent="0.35">
      <c r="A52" s="17"/>
      <c r="B52" s="21"/>
      <c r="C52" s="39">
        <v>4550000</v>
      </c>
      <c r="D52" s="39"/>
      <c r="E52" s="39"/>
      <c r="F52" s="20">
        <f t="shared" si="0"/>
        <v>141258873</v>
      </c>
      <c r="G52" s="10" t="s">
        <v>98</v>
      </c>
      <c r="H52" s="59"/>
      <c r="I52" s="32"/>
    </row>
    <row r="53" spans="1:9" x14ac:dyDescent="0.35">
      <c r="A53" s="17">
        <v>45671</v>
      </c>
      <c r="B53" s="21"/>
      <c r="C53" s="21"/>
      <c r="D53" s="39">
        <v>100000</v>
      </c>
      <c r="E53" s="43" t="s">
        <v>357</v>
      </c>
      <c r="F53" s="20">
        <f t="shared" si="0"/>
        <v>141358873</v>
      </c>
      <c r="G53" s="10" t="s">
        <v>246</v>
      </c>
      <c r="H53" s="59" t="s">
        <v>109</v>
      </c>
      <c r="I53" s="32" t="s">
        <v>152</v>
      </c>
    </row>
    <row r="54" spans="1:9" x14ac:dyDescent="0.35">
      <c r="A54" s="17">
        <v>45671</v>
      </c>
      <c r="B54" s="21"/>
      <c r="C54" s="21"/>
      <c r="D54" s="39">
        <v>7000</v>
      </c>
      <c r="E54" s="43" t="s">
        <v>357</v>
      </c>
      <c r="F54" s="20">
        <f t="shared" si="0"/>
        <v>141365873</v>
      </c>
      <c r="G54" s="10" t="s">
        <v>247</v>
      </c>
      <c r="H54" s="59" t="s">
        <v>109</v>
      </c>
      <c r="I54" s="32" t="s">
        <v>152</v>
      </c>
    </row>
    <row r="55" spans="1:9" x14ac:dyDescent="0.35">
      <c r="A55" s="17">
        <v>45671</v>
      </c>
      <c r="B55" s="21"/>
      <c r="C55" s="21"/>
      <c r="D55" s="39">
        <v>1000000</v>
      </c>
      <c r="E55" s="43" t="s">
        <v>357</v>
      </c>
      <c r="F55" s="20">
        <f t="shared" si="0"/>
        <v>142365873</v>
      </c>
      <c r="G55" s="10" t="s">
        <v>248</v>
      </c>
      <c r="H55" s="59" t="s">
        <v>109</v>
      </c>
      <c r="I55" s="32" t="s">
        <v>152</v>
      </c>
    </row>
    <row r="56" spans="1:9" x14ac:dyDescent="0.35">
      <c r="A56" s="17">
        <v>45672</v>
      </c>
      <c r="B56" s="21"/>
      <c r="C56" s="21"/>
      <c r="D56" s="39">
        <v>600000</v>
      </c>
      <c r="E56" s="43" t="s">
        <v>357</v>
      </c>
      <c r="F56" s="20">
        <f t="shared" si="0"/>
        <v>142965873</v>
      </c>
      <c r="G56" s="10" t="s">
        <v>249</v>
      </c>
      <c r="H56" s="59" t="s">
        <v>140</v>
      </c>
      <c r="I56" s="32" t="s">
        <v>152</v>
      </c>
    </row>
    <row r="57" spans="1:9" x14ac:dyDescent="0.35">
      <c r="A57" s="19">
        <v>45673</v>
      </c>
      <c r="B57" s="9"/>
      <c r="C57" s="9"/>
      <c r="D57" s="40">
        <v>250000</v>
      </c>
      <c r="E57" s="43" t="s">
        <v>357</v>
      </c>
      <c r="F57" s="20">
        <f t="shared" si="0"/>
        <v>143215873</v>
      </c>
      <c r="G57" s="10" t="s">
        <v>61</v>
      </c>
      <c r="H57" s="59" t="s">
        <v>139</v>
      </c>
      <c r="I57" s="32" t="s">
        <v>152</v>
      </c>
    </row>
    <row r="58" spans="1:9" x14ac:dyDescent="0.35">
      <c r="A58" s="19">
        <v>45674</v>
      </c>
      <c r="B58" s="40">
        <v>2500000</v>
      </c>
      <c r="C58" s="9"/>
      <c r="D58" s="9"/>
      <c r="E58" s="43" t="s">
        <v>357</v>
      </c>
      <c r="F58" s="20">
        <f t="shared" si="0"/>
        <v>140715873</v>
      </c>
      <c r="G58" s="10" t="s">
        <v>103</v>
      </c>
      <c r="H58" s="59" t="s">
        <v>143</v>
      </c>
      <c r="I58" s="32" t="s">
        <v>152</v>
      </c>
    </row>
    <row r="59" spans="1:9" x14ac:dyDescent="0.35">
      <c r="A59" s="17">
        <v>45677</v>
      </c>
      <c r="B59" s="9"/>
      <c r="C59" s="32"/>
      <c r="D59" s="47">
        <v>50000</v>
      </c>
      <c r="E59" s="43" t="s">
        <v>357</v>
      </c>
      <c r="F59" s="20">
        <f t="shared" si="0"/>
        <v>140765873</v>
      </c>
      <c r="G59" s="10" t="s">
        <v>250</v>
      </c>
      <c r="H59" s="59" t="s">
        <v>109</v>
      </c>
      <c r="I59" s="32" t="s">
        <v>152</v>
      </c>
    </row>
    <row r="60" spans="1:9" x14ac:dyDescent="0.35">
      <c r="A60" s="17">
        <v>45677</v>
      </c>
      <c r="B60" s="9"/>
      <c r="C60" s="32"/>
      <c r="D60" s="47">
        <v>5000</v>
      </c>
      <c r="E60" s="43" t="s">
        <v>357</v>
      </c>
      <c r="F60" s="20">
        <f t="shared" si="0"/>
        <v>140770873</v>
      </c>
      <c r="G60" s="10" t="s">
        <v>251</v>
      </c>
      <c r="H60" s="59" t="s">
        <v>109</v>
      </c>
      <c r="I60" s="32" t="s">
        <v>152</v>
      </c>
    </row>
    <row r="61" spans="1:9" x14ac:dyDescent="0.35">
      <c r="A61" s="17">
        <v>45677</v>
      </c>
      <c r="B61" s="9"/>
      <c r="C61" s="23"/>
      <c r="D61" s="23">
        <v>4044000</v>
      </c>
      <c r="E61" s="43" t="s">
        <v>357</v>
      </c>
      <c r="F61" s="20">
        <f t="shared" si="0"/>
        <v>144814873</v>
      </c>
      <c r="G61" s="24" t="s">
        <v>107</v>
      </c>
      <c r="H61" s="59" t="s">
        <v>107</v>
      </c>
      <c r="I61" s="32" t="s">
        <v>152</v>
      </c>
    </row>
    <row r="62" spans="1:9" x14ac:dyDescent="0.35">
      <c r="A62" s="17">
        <v>45677</v>
      </c>
      <c r="B62" s="96"/>
      <c r="C62" s="23"/>
      <c r="D62" s="23">
        <v>2967000</v>
      </c>
      <c r="E62" s="43" t="s">
        <v>357</v>
      </c>
      <c r="F62" s="20">
        <f t="shared" si="0"/>
        <v>147781873</v>
      </c>
      <c r="G62" s="24" t="s">
        <v>109</v>
      </c>
      <c r="H62" s="59" t="s">
        <v>109</v>
      </c>
      <c r="I62" s="32" t="s">
        <v>152</v>
      </c>
    </row>
    <row r="63" spans="1:9" x14ac:dyDescent="0.35">
      <c r="A63" s="17">
        <v>45677</v>
      </c>
      <c r="B63" s="23">
        <v>3000000</v>
      </c>
      <c r="C63" s="23"/>
      <c r="D63" s="96"/>
      <c r="E63" s="43" t="s">
        <v>357</v>
      </c>
      <c r="F63" s="20">
        <f t="shared" si="0"/>
        <v>144781873</v>
      </c>
      <c r="G63" s="28" t="s">
        <v>114</v>
      </c>
      <c r="H63" s="59" t="s">
        <v>320</v>
      </c>
      <c r="I63" s="32" t="s">
        <v>152</v>
      </c>
    </row>
    <row r="64" spans="1:9" x14ac:dyDescent="0.35">
      <c r="A64" s="17">
        <v>45677</v>
      </c>
      <c r="B64" s="23">
        <v>20000</v>
      </c>
      <c r="C64" s="23"/>
      <c r="D64" s="96"/>
      <c r="E64" s="43" t="s">
        <v>357</v>
      </c>
      <c r="F64" s="20">
        <f t="shared" si="0"/>
        <v>144761873</v>
      </c>
      <c r="G64" s="28" t="s">
        <v>115</v>
      </c>
      <c r="H64" s="59" t="s">
        <v>320</v>
      </c>
      <c r="I64" s="32" t="s">
        <v>152</v>
      </c>
    </row>
    <row r="65" spans="1:9" x14ac:dyDescent="0.35">
      <c r="A65" s="17">
        <v>45677</v>
      </c>
      <c r="B65" s="96"/>
      <c r="C65" s="96">
        <v>3991000</v>
      </c>
      <c r="D65" s="96"/>
      <c r="E65" s="9"/>
      <c r="F65" s="20">
        <f t="shared" si="0"/>
        <v>144761873</v>
      </c>
      <c r="G65" s="10" t="s">
        <v>98</v>
      </c>
      <c r="H65" s="59"/>
      <c r="I65" s="32"/>
    </row>
    <row r="66" spans="1:9" x14ac:dyDescent="0.35">
      <c r="A66" s="17"/>
      <c r="B66" s="9"/>
      <c r="C66" s="23">
        <v>6850000</v>
      </c>
      <c r="D66" s="23"/>
      <c r="E66" s="9"/>
      <c r="F66" s="20">
        <f t="shared" si="0"/>
        <v>144761873</v>
      </c>
      <c r="G66" s="24" t="s">
        <v>134</v>
      </c>
      <c r="H66" s="59"/>
      <c r="I66" s="32"/>
    </row>
    <row r="67" spans="1:9" x14ac:dyDescent="0.35">
      <c r="A67" s="17"/>
      <c r="B67" s="27"/>
      <c r="C67" s="27">
        <v>-1000000</v>
      </c>
      <c r="D67" s="9"/>
      <c r="E67" s="9"/>
      <c r="F67" s="20">
        <f t="shared" si="0"/>
        <v>144761873</v>
      </c>
      <c r="G67" s="28" t="s">
        <v>136</v>
      </c>
      <c r="H67" s="59"/>
      <c r="I67" s="32"/>
    </row>
    <row r="68" spans="1:9" x14ac:dyDescent="0.35">
      <c r="A68" s="17"/>
      <c r="B68" s="27"/>
      <c r="C68" s="27">
        <v>-685000</v>
      </c>
      <c r="D68" s="9"/>
      <c r="E68" s="9"/>
      <c r="F68" s="20">
        <f t="shared" si="0"/>
        <v>144761873</v>
      </c>
      <c r="G68" s="28" t="s">
        <v>135</v>
      </c>
      <c r="H68" s="59"/>
      <c r="I68" s="32"/>
    </row>
    <row r="69" spans="1:9" x14ac:dyDescent="0.35">
      <c r="A69" s="17">
        <v>45677</v>
      </c>
      <c r="B69" s="9"/>
      <c r="C69" s="32"/>
      <c r="D69" s="47">
        <v>5165000</v>
      </c>
      <c r="E69" s="43" t="s">
        <v>357</v>
      </c>
      <c r="F69" s="20">
        <f t="shared" si="0"/>
        <v>149926873</v>
      </c>
      <c r="G69" s="10" t="s">
        <v>98</v>
      </c>
      <c r="H69" s="59" t="s">
        <v>109</v>
      </c>
      <c r="I69" s="32" t="s">
        <v>152</v>
      </c>
    </row>
    <row r="70" spans="1:9" x14ac:dyDescent="0.35">
      <c r="A70" s="17">
        <v>45678</v>
      </c>
      <c r="B70" s="9"/>
      <c r="C70" s="32"/>
      <c r="D70" s="47">
        <v>10000</v>
      </c>
      <c r="E70" s="43" t="s">
        <v>357</v>
      </c>
      <c r="F70" s="20">
        <f t="shared" si="0"/>
        <v>149936873</v>
      </c>
      <c r="G70" s="10" t="s">
        <v>251</v>
      </c>
      <c r="H70" s="59" t="s">
        <v>109</v>
      </c>
      <c r="I70" s="32" t="s">
        <v>152</v>
      </c>
    </row>
    <row r="71" spans="1:9" x14ac:dyDescent="0.35">
      <c r="A71" s="17">
        <v>45678</v>
      </c>
      <c r="B71" s="9"/>
      <c r="C71" s="32"/>
      <c r="D71" s="47">
        <v>10000</v>
      </c>
      <c r="E71" s="43" t="s">
        <v>357</v>
      </c>
      <c r="F71" s="20">
        <f t="shared" si="0"/>
        <v>149946873</v>
      </c>
      <c r="G71" s="10" t="s">
        <v>252</v>
      </c>
      <c r="H71" s="59" t="s">
        <v>109</v>
      </c>
      <c r="I71" s="32" t="s">
        <v>152</v>
      </c>
    </row>
    <row r="72" spans="1:9" x14ac:dyDescent="0.35">
      <c r="A72" s="17">
        <v>45678</v>
      </c>
      <c r="B72" s="9">
        <v>750000</v>
      </c>
      <c r="C72" s="32"/>
      <c r="D72" s="47"/>
      <c r="E72" s="43" t="s">
        <v>357</v>
      </c>
      <c r="F72" s="20">
        <f t="shared" si="0"/>
        <v>149196873</v>
      </c>
      <c r="G72" s="7" t="s">
        <v>131</v>
      </c>
      <c r="H72" s="59" t="s">
        <v>323</v>
      </c>
      <c r="I72" s="32" t="s">
        <v>152</v>
      </c>
    </row>
    <row r="73" spans="1:9" x14ac:dyDescent="0.35">
      <c r="A73" s="17">
        <v>45678</v>
      </c>
      <c r="B73" s="9">
        <v>2500</v>
      </c>
      <c r="C73" s="32"/>
      <c r="D73" s="47"/>
      <c r="E73" s="43" t="s">
        <v>357</v>
      </c>
      <c r="F73" s="20">
        <f t="shared" si="0"/>
        <v>149194373</v>
      </c>
      <c r="G73" s="7" t="s">
        <v>130</v>
      </c>
      <c r="H73" s="59" t="s">
        <v>323</v>
      </c>
      <c r="I73" s="32" t="s">
        <v>152</v>
      </c>
    </row>
    <row r="74" spans="1:9" x14ac:dyDescent="0.35">
      <c r="A74" s="17">
        <v>45678</v>
      </c>
      <c r="B74" s="9">
        <v>756500</v>
      </c>
      <c r="C74" s="32"/>
      <c r="D74" s="47"/>
      <c r="E74" s="43" t="s">
        <v>357</v>
      </c>
      <c r="F74" s="20">
        <f t="shared" ref="F74:F137" si="1">+F73+D74-B74</f>
        <v>148437873</v>
      </c>
      <c r="G74" s="7" t="s">
        <v>132</v>
      </c>
      <c r="H74" s="59" t="s">
        <v>323</v>
      </c>
      <c r="I74" s="32" t="s">
        <v>152</v>
      </c>
    </row>
    <row r="75" spans="1:9" x14ac:dyDescent="0.35">
      <c r="A75" s="17">
        <v>45678</v>
      </c>
      <c r="B75" s="9">
        <v>2500</v>
      </c>
      <c r="C75" s="32"/>
      <c r="D75" s="47"/>
      <c r="E75" s="43" t="s">
        <v>357</v>
      </c>
      <c r="F75" s="20">
        <f t="shared" si="1"/>
        <v>148435373</v>
      </c>
      <c r="G75" s="7" t="s">
        <v>133</v>
      </c>
      <c r="H75" s="59" t="s">
        <v>323</v>
      </c>
      <c r="I75" s="32" t="s">
        <v>152</v>
      </c>
    </row>
    <row r="76" spans="1:9" x14ac:dyDescent="0.35">
      <c r="A76" s="17">
        <v>45679</v>
      </c>
      <c r="B76" s="9"/>
      <c r="C76" s="32"/>
      <c r="D76" s="47">
        <v>10000</v>
      </c>
      <c r="E76" s="43" t="s">
        <v>357</v>
      </c>
      <c r="F76" s="20">
        <f t="shared" si="1"/>
        <v>148445373</v>
      </c>
      <c r="G76" s="10" t="s">
        <v>252</v>
      </c>
      <c r="H76" s="59" t="s">
        <v>109</v>
      </c>
      <c r="I76" s="32" t="s">
        <v>152</v>
      </c>
    </row>
    <row r="77" spans="1:9" x14ac:dyDescent="0.35">
      <c r="A77" s="17">
        <v>45679</v>
      </c>
      <c r="B77" s="9"/>
      <c r="C77" s="32"/>
      <c r="D77" s="47">
        <v>1200000</v>
      </c>
      <c r="E77" s="43" t="s">
        <v>357</v>
      </c>
      <c r="F77" s="20">
        <f t="shared" si="1"/>
        <v>149645373</v>
      </c>
      <c r="G77" s="10" t="s">
        <v>253</v>
      </c>
      <c r="H77" s="59" t="s">
        <v>109</v>
      </c>
      <c r="I77" s="32" t="s">
        <v>152</v>
      </c>
    </row>
    <row r="78" spans="1:9" x14ac:dyDescent="0.35">
      <c r="A78" s="17">
        <v>45679</v>
      </c>
      <c r="B78" s="9"/>
      <c r="C78" s="32"/>
      <c r="D78" s="47">
        <v>500000</v>
      </c>
      <c r="E78" s="43" t="s">
        <v>357</v>
      </c>
      <c r="F78" s="20">
        <f t="shared" si="1"/>
        <v>150145373</v>
      </c>
      <c r="G78" s="10" t="s">
        <v>145</v>
      </c>
      <c r="H78" s="59" t="s">
        <v>139</v>
      </c>
      <c r="I78" s="32" t="s">
        <v>152</v>
      </c>
    </row>
    <row r="79" spans="1:9" x14ac:dyDescent="0.35">
      <c r="A79" s="17">
        <v>45680</v>
      </c>
      <c r="B79" s="9"/>
      <c r="C79" s="32"/>
      <c r="D79" s="47">
        <v>10000</v>
      </c>
      <c r="E79" s="43" t="s">
        <v>357</v>
      </c>
      <c r="F79" s="20">
        <f t="shared" si="1"/>
        <v>150155373</v>
      </c>
      <c r="G79" s="10" t="s">
        <v>254</v>
      </c>
      <c r="H79" s="59" t="s">
        <v>109</v>
      </c>
      <c r="I79" s="32" t="s">
        <v>152</v>
      </c>
    </row>
    <row r="80" spans="1:9" x14ac:dyDescent="0.35">
      <c r="A80" s="17">
        <v>45680</v>
      </c>
      <c r="B80" s="9"/>
      <c r="C80" s="32"/>
      <c r="D80" s="47">
        <v>300000</v>
      </c>
      <c r="E80" s="43" t="s">
        <v>357</v>
      </c>
      <c r="F80" s="20">
        <f t="shared" si="1"/>
        <v>150455373</v>
      </c>
      <c r="G80" s="10" t="s">
        <v>147</v>
      </c>
      <c r="H80" s="59" t="s">
        <v>139</v>
      </c>
      <c r="I80" s="32" t="s">
        <v>152</v>
      </c>
    </row>
    <row r="81" spans="1:9" x14ac:dyDescent="0.35">
      <c r="A81" s="17">
        <v>45681</v>
      </c>
      <c r="B81" s="9"/>
      <c r="C81" s="32"/>
      <c r="D81" s="47">
        <v>300000</v>
      </c>
      <c r="E81" s="43" t="s">
        <v>357</v>
      </c>
      <c r="F81" s="20">
        <f t="shared" si="1"/>
        <v>150755373</v>
      </c>
      <c r="G81" s="10" t="s">
        <v>61</v>
      </c>
      <c r="H81" s="59" t="s">
        <v>139</v>
      </c>
      <c r="I81" s="32" t="s">
        <v>152</v>
      </c>
    </row>
    <row r="82" spans="1:9" x14ac:dyDescent="0.35">
      <c r="A82" s="17">
        <v>45681</v>
      </c>
      <c r="B82" s="9"/>
      <c r="C82" s="32"/>
      <c r="D82" s="47">
        <v>150000</v>
      </c>
      <c r="E82" s="43" t="s">
        <v>357</v>
      </c>
      <c r="F82" s="20">
        <f t="shared" si="1"/>
        <v>150905373</v>
      </c>
      <c r="G82" s="10" t="s">
        <v>255</v>
      </c>
      <c r="H82" s="59" t="s">
        <v>109</v>
      </c>
      <c r="I82" s="32" t="s">
        <v>152</v>
      </c>
    </row>
    <row r="83" spans="1:9" x14ac:dyDescent="0.35">
      <c r="A83" s="17">
        <v>45681</v>
      </c>
      <c r="B83" s="9"/>
      <c r="C83" s="32"/>
      <c r="D83" s="47">
        <v>10000</v>
      </c>
      <c r="E83" s="43" t="s">
        <v>357</v>
      </c>
      <c r="F83" s="20">
        <f t="shared" si="1"/>
        <v>150915373</v>
      </c>
      <c r="G83" s="10" t="s">
        <v>256</v>
      </c>
      <c r="H83" s="59" t="s">
        <v>109</v>
      </c>
      <c r="I83" s="32" t="s">
        <v>152</v>
      </c>
    </row>
    <row r="84" spans="1:9" x14ac:dyDescent="0.35">
      <c r="A84" s="17">
        <v>45681</v>
      </c>
      <c r="B84" s="9"/>
      <c r="C84" s="32"/>
      <c r="D84" s="47">
        <v>300000</v>
      </c>
      <c r="E84" s="43" t="s">
        <v>357</v>
      </c>
      <c r="F84" s="20">
        <f t="shared" si="1"/>
        <v>151215373</v>
      </c>
      <c r="G84" s="10" t="s">
        <v>87</v>
      </c>
      <c r="H84" s="59" t="s">
        <v>139</v>
      </c>
      <c r="I84" s="32" t="s">
        <v>152</v>
      </c>
    </row>
    <row r="85" spans="1:9" x14ac:dyDescent="0.35">
      <c r="A85" s="17">
        <v>45681</v>
      </c>
      <c r="B85" s="9"/>
      <c r="C85" s="32"/>
      <c r="D85" s="47">
        <v>300000</v>
      </c>
      <c r="E85" s="43" t="s">
        <v>357</v>
      </c>
      <c r="F85" s="20">
        <f t="shared" si="1"/>
        <v>151515373</v>
      </c>
      <c r="G85" s="10" t="s">
        <v>256</v>
      </c>
      <c r="H85" s="59" t="s">
        <v>109</v>
      </c>
      <c r="I85" s="32" t="s">
        <v>152</v>
      </c>
    </row>
    <row r="86" spans="1:9" x14ac:dyDescent="0.35">
      <c r="A86" s="48">
        <v>45681</v>
      </c>
      <c r="B86" s="49">
        <v>1400000</v>
      </c>
      <c r="C86" s="50"/>
      <c r="D86" s="51"/>
      <c r="E86" s="52" t="s">
        <v>357</v>
      </c>
      <c r="F86" s="53">
        <f t="shared" si="1"/>
        <v>150115373</v>
      </c>
      <c r="G86" s="54" t="s">
        <v>158</v>
      </c>
      <c r="H86" s="105" t="s">
        <v>143</v>
      </c>
      <c r="I86" s="32" t="s">
        <v>152</v>
      </c>
    </row>
    <row r="87" spans="1:9" x14ac:dyDescent="0.35">
      <c r="A87" s="17">
        <v>45687</v>
      </c>
      <c r="B87" s="9"/>
      <c r="C87" s="32"/>
      <c r="D87" s="57">
        <v>100000</v>
      </c>
      <c r="E87" s="43" t="s">
        <v>357</v>
      </c>
      <c r="F87" s="20">
        <f t="shared" si="1"/>
        <v>150215373</v>
      </c>
      <c r="G87" s="10" t="s">
        <v>256</v>
      </c>
      <c r="H87" s="59" t="s">
        <v>109</v>
      </c>
      <c r="I87" s="32" t="s">
        <v>152</v>
      </c>
    </row>
    <row r="88" spans="1:9" x14ac:dyDescent="0.35">
      <c r="A88" s="17">
        <v>45687</v>
      </c>
      <c r="B88" s="9"/>
      <c r="C88" s="32"/>
      <c r="D88" s="57">
        <v>10000</v>
      </c>
      <c r="E88" s="43" t="s">
        <v>357</v>
      </c>
      <c r="F88" s="20">
        <f t="shared" si="1"/>
        <v>150225373</v>
      </c>
      <c r="G88" s="10" t="s">
        <v>256</v>
      </c>
      <c r="H88" s="59" t="s">
        <v>109</v>
      </c>
      <c r="I88" s="32" t="s">
        <v>152</v>
      </c>
    </row>
    <row r="89" spans="1:9" x14ac:dyDescent="0.35">
      <c r="A89" s="17">
        <v>45687</v>
      </c>
      <c r="B89" s="9">
        <v>750000</v>
      </c>
      <c r="C89" s="32"/>
      <c r="D89" s="57"/>
      <c r="E89" s="43" t="s">
        <v>357</v>
      </c>
      <c r="F89" s="20">
        <f t="shared" si="1"/>
        <v>149475373</v>
      </c>
      <c r="G89" s="10" t="s">
        <v>160</v>
      </c>
      <c r="H89" s="59" t="s">
        <v>323</v>
      </c>
      <c r="I89" s="32" t="s">
        <v>152</v>
      </c>
    </row>
    <row r="90" spans="1:9" x14ac:dyDescent="0.35">
      <c r="A90" s="17">
        <v>45687</v>
      </c>
      <c r="B90" s="9">
        <v>2500</v>
      </c>
      <c r="C90" s="32"/>
      <c r="D90" s="57"/>
      <c r="E90" s="43" t="s">
        <v>357</v>
      </c>
      <c r="F90" s="20">
        <f t="shared" si="1"/>
        <v>149472873</v>
      </c>
      <c r="G90" s="10" t="s">
        <v>161</v>
      </c>
      <c r="H90" s="59" t="s">
        <v>323</v>
      </c>
      <c r="I90" s="32" t="s">
        <v>152</v>
      </c>
    </row>
    <row r="91" spans="1:9" x14ac:dyDescent="0.35">
      <c r="A91" s="17">
        <v>45687</v>
      </c>
      <c r="B91" s="9"/>
      <c r="C91" s="32"/>
      <c r="D91" s="57">
        <v>100000</v>
      </c>
      <c r="E91" s="43" t="s">
        <v>357</v>
      </c>
      <c r="F91" s="20">
        <f t="shared" si="1"/>
        <v>149572873</v>
      </c>
      <c r="G91" s="10" t="s">
        <v>257</v>
      </c>
      <c r="H91" s="59" t="s">
        <v>109</v>
      </c>
      <c r="I91" s="32" t="s">
        <v>152</v>
      </c>
    </row>
    <row r="92" spans="1:9" x14ac:dyDescent="0.35">
      <c r="A92" s="17">
        <v>45687</v>
      </c>
      <c r="B92" s="9"/>
      <c r="C92" s="32"/>
      <c r="D92" s="57">
        <v>200000</v>
      </c>
      <c r="E92" s="43" t="s">
        <v>357</v>
      </c>
      <c r="F92" s="20">
        <f t="shared" si="1"/>
        <v>149772873</v>
      </c>
      <c r="G92" s="10" t="s">
        <v>258</v>
      </c>
      <c r="H92" s="59" t="s">
        <v>140</v>
      </c>
      <c r="I92" s="32" t="s">
        <v>152</v>
      </c>
    </row>
    <row r="93" spans="1:9" x14ac:dyDescent="0.35">
      <c r="A93" s="17">
        <v>45687</v>
      </c>
      <c r="B93" s="9"/>
      <c r="C93" s="32"/>
      <c r="D93" s="57">
        <v>300000</v>
      </c>
      <c r="E93" s="43" t="s">
        <v>357</v>
      </c>
      <c r="F93" s="20">
        <f t="shared" si="1"/>
        <v>150072873</v>
      </c>
      <c r="G93" s="10" t="s">
        <v>259</v>
      </c>
      <c r="H93" s="59" t="s">
        <v>109</v>
      </c>
      <c r="I93" s="32" t="s">
        <v>152</v>
      </c>
    </row>
    <row r="94" spans="1:9" x14ac:dyDescent="0.35">
      <c r="A94" s="17">
        <v>45687</v>
      </c>
      <c r="B94" s="9">
        <v>1000000</v>
      </c>
      <c r="C94" s="32"/>
      <c r="D94" s="57"/>
      <c r="E94" s="43" t="s">
        <v>357</v>
      </c>
      <c r="F94" s="20">
        <f t="shared" si="1"/>
        <v>149072873</v>
      </c>
      <c r="G94" s="10" t="s">
        <v>165</v>
      </c>
      <c r="H94" s="59" t="s">
        <v>323</v>
      </c>
      <c r="I94" s="32" t="s">
        <v>152</v>
      </c>
    </row>
    <row r="95" spans="1:9" x14ac:dyDescent="0.35">
      <c r="A95" s="17">
        <v>45687</v>
      </c>
      <c r="B95" s="9">
        <v>2500</v>
      </c>
      <c r="C95" s="32"/>
      <c r="D95" s="57"/>
      <c r="E95" s="43" t="s">
        <v>357</v>
      </c>
      <c r="F95" s="20">
        <f t="shared" si="1"/>
        <v>149070373</v>
      </c>
      <c r="G95" s="10" t="s">
        <v>166</v>
      </c>
      <c r="H95" s="59" t="s">
        <v>323</v>
      </c>
      <c r="I95" s="32" t="s">
        <v>152</v>
      </c>
    </row>
    <row r="96" spans="1:9" x14ac:dyDescent="0.35">
      <c r="A96" s="17">
        <v>45687</v>
      </c>
      <c r="B96" s="9"/>
      <c r="C96" s="32"/>
      <c r="D96" s="57">
        <v>10000</v>
      </c>
      <c r="E96" s="43" t="s">
        <v>357</v>
      </c>
      <c r="F96" s="20">
        <f t="shared" si="1"/>
        <v>149080373</v>
      </c>
      <c r="G96" s="10" t="s">
        <v>256</v>
      </c>
      <c r="H96" s="59" t="s">
        <v>109</v>
      </c>
      <c r="I96" s="32" t="s">
        <v>152</v>
      </c>
    </row>
    <row r="97" spans="1:9" x14ac:dyDescent="0.35">
      <c r="A97" s="17">
        <v>45687</v>
      </c>
      <c r="B97" s="9"/>
      <c r="C97" s="32"/>
      <c r="D97" s="57">
        <v>5000</v>
      </c>
      <c r="E97" s="43" t="s">
        <v>357</v>
      </c>
      <c r="F97" s="20">
        <f t="shared" si="1"/>
        <v>149085373</v>
      </c>
      <c r="G97" s="10" t="s">
        <v>256</v>
      </c>
      <c r="H97" s="59" t="s">
        <v>109</v>
      </c>
      <c r="I97" s="32" t="s">
        <v>152</v>
      </c>
    </row>
    <row r="98" spans="1:9" x14ac:dyDescent="0.35">
      <c r="A98" s="17">
        <v>45687</v>
      </c>
      <c r="B98" s="9"/>
      <c r="C98" s="32"/>
      <c r="D98" s="57">
        <v>200000</v>
      </c>
      <c r="E98" s="43" t="s">
        <v>357</v>
      </c>
      <c r="F98" s="20">
        <f t="shared" si="1"/>
        <v>149285373</v>
      </c>
      <c r="G98" t="s">
        <v>240</v>
      </c>
      <c r="H98" s="59" t="s">
        <v>109</v>
      </c>
      <c r="I98" s="32" t="s">
        <v>152</v>
      </c>
    </row>
    <row r="99" spans="1:9" x14ac:dyDescent="0.35">
      <c r="A99" s="17">
        <v>45687</v>
      </c>
      <c r="B99" s="9"/>
      <c r="C99" s="32"/>
      <c r="D99" s="57">
        <v>10000</v>
      </c>
      <c r="E99" s="43" t="s">
        <v>357</v>
      </c>
      <c r="F99" s="20">
        <f t="shared" si="1"/>
        <v>149295373</v>
      </c>
      <c r="G99" s="10" t="s">
        <v>256</v>
      </c>
      <c r="H99" s="59" t="s">
        <v>109</v>
      </c>
      <c r="I99" s="32" t="s">
        <v>152</v>
      </c>
    </row>
    <row r="100" spans="1:9" x14ac:dyDescent="0.35">
      <c r="A100" s="17">
        <v>45687</v>
      </c>
      <c r="B100" s="9">
        <v>3250000</v>
      </c>
      <c r="C100" s="32"/>
      <c r="D100" s="57"/>
      <c r="E100" s="43" t="s">
        <v>357</v>
      </c>
      <c r="F100" s="20">
        <f t="shared" si="1"/>
        <v>146045373</v>
      </c>
      <c r="G100" s="10" t="s">
        <v>169</v>
      </c>
      <c r="H100" s="59" t="s">
        <v>325</v>
      </c>
      <c r="I100" s="32" t="s">
        <v>152</v>
      </c>
    </row>
    <row r="101" spans="1:9" x14ac:dyDescent="0.35">
      <c r="A101" s="17">
        <v>45687</v>
      </c>
      <c r="B101" s="9">
        <v>6500</v>
      </c>
      <c r="C101" s="32"/>
      <c r="D101" s="57"/>
      <c r="E101" s="43" t="s">
        <v>357</v>
      </c>
      <c r="F101" s="20">
        <f t="shared" si="1"/>
        <v>146038873</v>
      </c>
      <c r="G101" s="10" t="s">
        <v>170</v>
      </c>
      <c r="H101" s="59" t="s">
        <v>325</v>
      </c>
      <c r="I101" s="32" t="s">
        <v>152</v>
      </c>
    </row>
    <row r="102" spans="1:9" x14ac:dyDescent="0.35">
      <c r="A102" s="17">
        <v>45687</v>
      </c>
      <c r="B102" s="9">
        <v>2000000</v>
      </c>
      <c r="C102" s="32"/>
      <c r="D102" s="57"/>
      <c r="E102" s="43" t="s">
        <v>357</v>
      </c>
      <c r="F102" s="20">
        <f t="shared" si="1"/>
        <v>144038873</v>
      </c>
      <c r="G102" s="10" t="s">
        <v>171</v>
      </c>
      <c r="H102" s="59" t="s">
        <v>325</v>
      </c>
      <c r="I102" s="32" t="s">
        <v>152</v>
      </c>
    </row>
    <row r="103" spans="1:9" x14ac:dyDescent="0.35">
      <c r="A103" s="17">
        <v>45687</v>
      </c>
      <c r="B103" s="9">
        <v>6500</v>
      </c>
      <c r="C103" s="32"/>
      <c r="D103" s="57"/>
      <c r="E103" s="43" t="s">
        <v>357</v>
      </c>
      <c r="F103" s="20">
        <f t="shared" si="1"/>
        <v>144032373</v>
      </c>
      <c r="G103" s="10" t="s">
        <v>172</v>
      </c>
      <c r="H103" s="59" t="s">
        <v>325</v>
      </c>
      <c r="I103" s="32" t="s">
        <v>152</v>
      </c>
    </row>
    <row r="104" spans="1:9" x14ac:dyDescent="0.35">
      <c r="A104" s="17">
        <v>45687</v>
      </c>
      <c r="B104" s="9">
        <v>2500000</v>
      </c>
      <c r="C104" s="32"/>
      <c r="D104" s="57"/>
      <c r="E104" s="43" t="s">
        <v>357</v>
      </c>
      <c r="F104" s="20">
        <f t="shared" si="1"/>
        <v>141532373</v>
      </c>
      <c r="G104" s="10" t="s">
        <v>173</v>
      </c>
      <c r="H104" s="59" t="s">
        <v>325</v>
      </c>
      <c r="I104" s="32" t="s">
        <v>152</v>
      </c>
    </row>
    <row r="105" spans="1:9" x14ac:dyDescent="0.35">
      <c r="A105" s="17">
        <v>45687</v>
      </c>
      <c r="B105" s="9">
        <v>6500</v>
      </c>
      <c r="C105" s="32"/>
      <c r="D105" s="57"/>
      <c r="E105" s="43" t="s">
        <v>357</v>
      </c>
      <c r="F105" s="20">
        <f t="shared" si="1"/>
        <v>141525873</v>
      </c>
      <c r="G105" s="10" t="s">
        <v>174</v>
      </c>
      <c r="H105" s="59" t="s">
        <v>325</v>
      </c>
      <c r="I105" s="32" t="s">
        <v>152</v>
      </c>
    </row>
    <row r="106" spans="1:9" x14ac:dyDescent="0.35">
      <c r="A106" s="17">
        <v>45687</v>
      </c>
      <c r="B106" s="9">
        <f>2700000</f>
        <v>2700000</v>
      </c>
      <c r="C106" s="32"/>
      <c r="D106" s="57"/>
      <c r="E106" s="43" t="s">
        <v>357</v>
      </c>
      <c r="F106" s="20">
        <f t="shared" si="1"/>
        <v>138825873</v>
      </c>
      <c r="G106" s="10" t="s">
        <v>175</v>
      </c>
      <c r="H106" s="59" t="s">
        <v>201</v>
      </c>
      <c r="I106" s="32" t="s">
        <v>152</v>
      </c>
    </row>
    <row r="107" spans="1:9" x14ac:dyDescent="0.35">
      <c r="A107" s="17">
        <v>45687</v>
      </c>
      <c r="B107" s="9">
        <v>6500</v>
      </c>
      <c r="C107" s="32"/>
      <c r="D107" s="57"/>
      <c r="E107" s="43" t="s">
        <v>357</v>
      </c>
      <c r="F107" s="20">
        <f t="shared" si="1"/>
        <v>138819373</v>
      </c>
      <c r="G107" s="10" t="s">
        <v>176</v>
      </c>
      <c r="H107" s="59" t="s">
        <v>201</v>
      </c>
      <c r="I107" s="32" t="s">
        <v>152</v>
      </c>
    </row>
    <row r="108" spans="1:9" x14ac:dyDescent="0.35">
      <c r="A108" s="17">
        <v>45687</v>
      </c>
      <c r="B108" s="9">
        <v>2000000</v>
      </c>
      <c r="C108" s="32"/>
      <c r="D108" s="57"/>
      <c r="E108" s="43" t="s">
        <v>357</v>
      </c>
      <c r="F108" s="20">
        <f t="shared" si="1"/>
        <v>136819373</v>
      </c>
      <c r="G108" s="10" t="s">
        <v>180</v>
      </c>
      <c r="H108" s="59" t="s">
        <v>325</v>
      </c>
      <c r="I108" s="32" t="s">
        <v>152</v>
      </c>
    </row>
    <row r="109" spans="1:9" x14ac:dyDescent="0.35">
      <c r="A109" s="17">
        <v>45687</v>
      </c>
      <c r="B109" s="9">
        <v>6500</v>
      </c>
      <c r="C109" s="32"/>
      <c r="D109" s="57"/>
      <c r="E109" s="43" t="s">
        <v>357</v>
      </c>
      <c r="F109" s="20">
        <f t="shared" si="1"/>
        <v>136812873</v>
      </c>
      <c r="G109" s="10" t="s">
        <v>177</v>
      </c>
      <c r="H109" s="59" t="s">
        <v>325</v>
      </c>
      <c r="I109" s="32" t="s">
        <v>152</v>
      </c>
    </row>
    <row r="110" spans="1:9" x14ac:dyDescent="0.35">
      <c r="A110" s="17">
        <v>45687</v>
      </c>
      <c r="B110" s="9">
        <v>1500000</v>
      </c>
      <c r="C110" s="32"/>
      <c r="D110" s="57"/>
      <c r="E110" s="43" t="s">
        <v>357</v>
      </c>
      <c r="F110" s="20">
        <f t="shared" si="1"/>
        <v>135312873</v>
      </c>
      <c r="G110" s="10" t="s">
        <v>178</v>
      </c>
      <c r="H110" s="59" t="s">
        <v>325</v>
      </c>
      <c r="I110" s="32" t="s">
        <v>152</v>
      </c>
    </row>
    <row r="111" spans="1:9" x14ac:dyDescent="0.35">
      <c r="A111" s="17">
        <v>45687</v>
      </c>
      <c r="B111" s="9">
        <v>6500</v>
      </c>
      <c r="C111" s="32"/>
      <c r="D111" s="57"/>
      <c r="E111" s="43" t="s">
        <v>357</v>
      </c>
      <c r="F111" s="20">
        <f t="shared" si="1"/>
        <v>135306373</v>
      </c>
      <c r="G111" s="10" t="s">
        <v>179</v>
      </c>
      <c r="H111" s="59" t="s">
        <v>325</v>
      </c>
      <c r="I111" s="32" t="s">
        <v>152</v>
      </c>
    </row>
    <row r="112" spans="1:9" x14ac:dyDescent="0.35">
      <c r="A112" s="17">
        <v>45687</v>
      </c>
      <c r="B112" s="9">
        <v>2500000</v>
      </c>
      <c r="C112" s="32"/>
      <c r="D112" s="57"/>
      <c r="E112" s="43" t="s">
        <v>357</v>
      </c>
      <c r="F112" s="20">
        <f t="shared" si="1"/>
        <v>132806373</v>
      </c>
      <c r="G112" s="10" t="s">
        <v>181</v>
      </c>
      <c r="H112" s="59" t="s">
        <v>325</v>
      </c>
      <c r="I112" s="32" t="s">
        <v>152</v>
      </c>
    </row>
    <row r="113" spans="1:9" x14ac:dyDescent="0.35">
      <c r="A113" s="17">
        <v>45687</v>
      </c>
      <c r="B113" s="9"/>
      <c r="C113" s="32"/>
      <c r="D113" s="9">
        <v>6000000</v>
      </c>
      <c r="E113" s="43" t="s">
        <v>357</v>
      </c>
      <c r="F113" s="20">
        <f t="shared" si="1"/>
        <v>138806373</v>
      </c>
      <c r="G113" s="10" t="s">
        <v>260</v>
      </c>
      <c r="H113" s="59" t="s">
        <v>109</v>
      </c>
      <c r="I113" s="32" t="s">
        <v>152</v>
      </c>
    </row>
    <row r="114" spans="1:9" x14ac:dyDescent="0.35">
      <c r="A114" s="17">
        <v>45687</v>
      </c>
      <c r="B114" s="9"/>
      <c r="C114" s="32"/>
      <c r="D114" s="57">
        <v>10000</v>
      </c>
      <c r="E114" s="43" t="s">
        <v>357</v>
      </c>
      <c r="F114" s="20">
        <f t="shared" si="1"/>
        <v>138816373</v>
      </c>
      <c r="G114" s="10" t="s">
        <v>256</v>
      </c>
      <c r="H114" s="59" t="s">
        <v>109</v>
      </c>
      <c r="I114" s="32" t="s">
        <v>152</v>
      </c>
    </row>
    <row r="115" spans="1:9" x14ac:dyDescent="0.35">
      <c r="A115" s="17">
        <v>45687</v>
      </c>
      <c r="B115" s="9">
        <v>3000000</v>
      </c>
      <c r="C115" s="32"/>
      <c r="D115" s="57"/>
      <c r="E115" s="43" t="s">
        <v>357</v>
      </c>
      <c r="F115" s="20">
        <f t="shared" si="1"/>
        <v>135816373</v>
      </c>
      <c r="G115" s="10" t="s">
        <v>183</v>
      </c>
      <c r="H115" s="59" t="s">
        <v>203</v>
      </c>
      <c r="I115" s="32" t="s">
        <v>152</v>
      </c>
    </row>
    <row r="116" spans="1:9" x14ac:dyDescent="0.35">
      <c r="A116" s="17">
        <v>45687</v>
      </c>
      <c r="B116" s="9">
        <v>2000000</v>
      </c>
      <c r="C116" s="32"/>
      <c r="D116" s="57"/>
      <c r="E116" s="43" t="s">
        <v>357</v>
      </c>
      <c r="F116" s="20">
        <f t="shared" si="1"/>
        <v>133816373</v>
      </c>
      <c r="G116" s="10" t="s">
        <v>184</v>
      </c>
      <c r="H116" s="59" t="s">
        <v>323</v>
      </c>
      <c r="I116" s="32" t="s">
        <v>152</v>
      </c>
    </row>
    <row r="117" spans="1:9" x14ac:dyDescent="0.35">
      <c r="A117" s="17">
        <v>45687</v>
      </c>
      <c r="B117" s="9">
        <v>2500</v>
      </c>
      <c r="C117" s="32"/>
      <c r="D117" s="57"/>
      <c r="E117" s="43" t="s">
        <v>357</v>
      </c>
      <c r="F117" s="20">
        <f t="shared" si="1"/>
        <v>133813873</v>
      </c>
      <c r="G117" s="10" t="s">
        <v>185</v>
      </c>
      <c r="H117" s="59" t="s">
        <v>323</v>
      </c>
      <c r="I117" s="32" t="s">
        <v>152</v>
      </c>
    </row>
    <row r="118" spans="1:9" x14ac:dyDescent="0.35">
      <c r="A118" s="17">
        <v>45687</v>
      </c>
      <c r="B118" s="9"/>
      <c r="C118" s="32"/>
      <c r="D118" s="57">
        <v>1000</v>
      </c>
      <c r="E118" s="43" t="s">
        <v>357</v>
      </c>
      <c r="F118" s="20">
        <f t="shared" si="1"/>
        <v>133814873</v>
      </c>
      <c r="G118" s="10" t="s">
        <v>168</v>
      </c>
      <c r="H118" s="59" t="s">
        <v>139</v>
      </c>
      <c r="I118" s="32" t="s">
        <v>152</v>
      </c>
    </row>
    <row r="119" spans="1:9" x14ac:dyDescent="0.35">
      <c r="A119" s="17">
        <v>45687</v>
      </c>
      <c r="B119" s="9"/>
      <c r="C119" s="32"/>
      <c r="D119" s="57">
        <v>750000</v>
      </c>
      <c r="E119" s="43" t="s">
        <v>357</v>
      </c>
      <c r="F119" s="20">
        <f t="shared" si="1"/>
        <v>134564873</v>
      </c>
      <c r="G119" s="10" t="s">
        <v>261</v>
      </c>
      <c r="H119" s="59" t="s">
        <v>109</v>
      </c>
      <c r="I119" s="32" t="s">
        <v>152</v>
      </c>
    </row>
    <row r="120" spans="1:9" x14ac:dyDescent="0.35">
      <c r="A120" s="17">
        <v>45687</v>
      </c>
      <c r="B120" s="9"/>
      <c r="C120" s="32"/>
      <c r="D120" s="57">
        <v>10000</v>
      </c>
      <c r="E120" s="43" t="s">
        <v>357</v>
      </c>
      <c r="F120" s="20">
        <f t="shared" si="1"/>
        <v>134574873</v>
      </c>
      <c r="G120" s="10" t="s">
        <v>256</v>
      </c>
      <c r="H120" s="59" t="s">
        <v>109</v>
      </c>
      <c r="I120" s="32" t="s">
        <v>152</v>
      </c>
    </row>
    <row r="121" spans="1:9" x14ac:dyDescent="0.35">
      <c r="A121" s="17">
        <v>45687</v>
      </c>
      <c r="B121" s="9"/>
      <c r="C121" s="32"/>
      <c r="D121" s="57"/>
      <c r="E121" s="43" t="s">
        <v>357</v>
      </c>
      <c r="F121" s="20">
        <f t="shared" si="1"/>
        <v>134574873</v>
      </c>
      <c r="G121" s="10" t="s">
        <v>256</v>
      </c>
      <c r="H121" s="59" t="s">
        <v>109</v>
      </c>
      <c r="I121" s="32" t="s">
        <v>152</v>
      </c>
    </row>
    <row r="122" spans="1:9" x14ac:dyDescent="0.35">
      <c r="A122" s="17">
        <v>45687</v>
      </c>
      <c r="B122" s="9"/>
      <c r="C122" s="32"/>
      <c r="D122" s="57"/>
      <c r="E122" s="43" t="s">
        <v>357</v>
      </c>
      <c r="F122" s="20">
        <f t="shared" si="1"/>
        <v>134574873</v>
      </c>
      <c r="G122" s="10" t="s">
        <v>256</v>
      </c>
      <c r="H122" s="59" t="s">
        <v>109</v>
      </c>
      <c r="I122" s="32" t="s">
        <v>152</v>
      </c>
    </row>
    <row r="123" spans="1:9" x14ac:dyDescent="0.35">
      <c r="A123" s="17">
        <v>45687</v>
      </c>
      <c r="B123" s="32"/>
      <c r="C123" s="23"/>
      <c r="D123" s="23">
        <v>2643000</v>
      </c>
      <c r="E123" s="43" t="s">
        <v>357</v>
      </c>
      <c r="F123" s="20">
        <f t="shared" si="1"/>
        <v>137217873</v>
      </c>
      <c r="G123" s="24" t="s">
        <v>107</v>
      </c>
      <c r="H123" s="59" t="s">
        <v>107</v>
      </c>
      <c r="I123" s="32" t="s">
        <v>152</v>
      </c>
    </row>
    <row r="124" spans="1:9" x14ac:dyDescent="0.35">
      <c r="A124" s="17">
        <v>45687</v>
      </c>
      <c r="B124" s="32"/>
      <c r="C124" s="23"/>
      <c r="D124" s="23">
        <v>4823000</v>
      </c>
      <c r="E124" s="43" t="s">
        <v>357</v>
      </c>
      <c r="F124" s="20">
        <f t="shared" si="1"/>
        <v>142040873</v>
      </c>
      <c r="G124" s="24" t="s">
        <v>109</v>
      </c>
      <c r="H124" s="59" t="s">
        <v>109</v>
      </c>
      <c r="I124" s="32" t="s">
        <v>152</v>
      </c>
    </row>
    <row r="125" spans="1:9" x14ac:dyDescent="0.35">
      <c r="A125" s="17">
        <v>45687</v>
      </c>
      <c r="B125" s="27">
        <v>2000000</v>
      </c>
      <c r="C125" s="27"/>
      <c r="D125" s="20"/>
      <c r="E125" s="43" t="s">
        <v>357</v>
      </c>
      <c r="F125" s="20">
        <f t="shared" si="1"/>
        <v>140040873</v>
      </c>
      <c r="G125" s="28" t="s">
        <v>114</v>
      </c>
      <c r="H125" s="59" t="s">
        <v>320</v>
      </c>
      <c r="I125" s="32" t="s">
        <v>152</v>
      </c>
    </row>
    <row r="126" spans="1:9" x14ac:dyDescent="0.35">
      <c r="A126" s="17">
        <v>45687</v>
      </c>
      <c r="B126" s="27">
        <v>50000</v>
      </c>
      <c r="C126" s="27"/>
      <c r="D126" s="20"/>
      <c r="E126" s="43" t="s">
        <v>357</v>
      </c>
      <c r="F126" s="20">
        <f t="shared" si="1"/>
        <v>139990873</v>
      </c>
      <c r="G126" s="28" t="s">
        <v>115</v>
      </c>
      <c r="H126" s="59" t="s">
        <v>320</v>
      </c>
      <c r="I126" s="32" t="s">
        <v>152</v>
      </c>
    </row>
    <row r="127" spans="1:9" x14ac:dyDescent="0.35">
      <c r="A127" s="17"/>
      <c r="B127" s="32"/>
      <c r="C127" s="20">
        <v>5416000</v>
      </c>
      <c r="D127" s="20"/>
      <c r="E127" s="56"/>
      <c r="F127" s="20">
        <f t="shared" si="1"/>
        <v>139990873</v>
      </c>
      <c r="G127" s="10" t="s">
        <v>98</v>
      </c>
      <c r="H127" s="59"/>
      <c r="I127" s="32"/>
    </row>
    <row r="128" spans="1:9" x14ac:dyDescent="0.35">
      <c r="A128" s="17">
        <v>45687</v>
      </c>
      <c r="B128" s="9">
        <v>4613000</v>
      </c>
      <c r="C128" s="32"/>
      <c r="D128" s="57"/>
      <c r="E128" s="43" t="s">
        <v>357</v>
      </c>
      <c r="F128" s="20">
        <f t="shared" si="1"/>
        <v>135377873</v>
      </c>
      <c r="G128" s="10" t="s">
        <v>195</v>
      </c>
      <c r="H128" s="59" t="s">
        <v>203</v>
      </c>
      <c r="I128" s="32" t="s">
        <v>152</v>
      </c>
    </row>
    <row r="129" spans="1:9" x14ac:dyDescent="0.35">
      <c r="A129" s="17">
        <v>45687</v>
      </c>
      <c r="B129" s="9">
        <v>2500</v>
      </c>
      <c r="C129" s="32"/>
      <c r="D129" s="57"/>
      <c r="E129" s="43" t="s">
        <v>357</v>
      </c>
      <c r="F129" s="20">
        <f t="shared" si="1"/>
        <v>135375373</v>
      </c>
      <c r="G129" s="10" t="s">
        <v>194</v>
      </c>
      <c r="H129" s="59" t="s">
        <v>203</v>
      </c>
      <c r="I129" s="32" t="s">
        <v>152</v>
      </c>
    </row>
    <row r="130" spans="1:9" x14ac:dyDescent="0.35">
      <c r="A130" s="17">
        <v>45687</v>
      </c>
      <c r="B130" s="9">
        <v>4000000</v>
      </c>
      <c r="C130" s="32"/>
      <c r="D130" s="57"/>
      <c r="E130" s="43" t="s">
        <v>357</v>
      </c>
      <c r="F130" s="20">
        <f t="shared" si="1"/>
        <v>131375373</v>
      </c>
      <c r="G130" s="10" t="s">
        <v>196</v>
      </c>
      <c r="H130" s="59" t="s">
        <v>201</v>
      </c>
      <c r="I130" s="32" t="s">
        <v>152</v>
      </c>
    </row>
    <row r="131" spans="1:9" x14ac:dyDescent="0.35">
      <c r="A131" s="17">
        <v>45687</v>
      </c>
      <c r="B131" s="9">
        <v>2500</v>
      </c>
      <c r="C131" s="32"/>
      <c r="D131" s="57"/>
      <c r="E131" s="43" t="s">
        <v>357</v>
      </c>
      <c r="F131" s="20">
        <f t="shared" si="1"/>
        <v>131372873</v>
      </c>
      <c r="G131" s="10" t="s">
        <v>197</v>
      </c>
      <c r="H131" s="59" t="s">
        <v>201</v>
      </c>
      <c r="I131" s="32" t="s">
        <v>152</v>
      </c>
    </row>
    <row r="132" spans="1:9" x14ac:dyDescent="0.35">
      <c r="A132" s="17">
        <v>45687</v>
      </c>
      <c r="B132" s="155">
        <v>4950000</v>
      </c>
      <c r="C132" s="32"/>
      <c r="D132" s="156"/>
      <c r="E132" s="157" t="s">
        <v>357</v>
      </c>
      <c r="F132" s="38">
        <f t="shared" si="1"/>
        <v>126422873</v>
      </c>
      <c r="G132" s="10" t="s">
        <v>216</v>
      </c>
      <c r="H132" s="59" t="s">
        <v>322</v>
      </c>
      <c r="I132" s="32" t="s">
        <v>152</v>
      </c>
    </row>
    <row r="133" spans="1:9" x14ac:dyDescent="0.35">
      <c r="A133" s="17">
        <v>45688</v>
      </c>
      <c r="B133" s="9"/>
      <c r="C133" s="32"/>
      <c r="D133" s="57">
        <v>100000</v>
      </c>
      <c r="E133" s="43" t="s">
        <v>357</v>
      </c>
      <c r="F133" s="20">
        <f t="shared" si="1"/>
        <v>126522873</v>
      </c>
      <c r="G133" s="10" t="s">
        <v>219</v>
      </c>
      <c r="H133" s="59" t="s">
        <v>105</v>
      </c>
      <c r="I133" s="32" t="s">
        <v>152</v>
      </c>
    </row>
    <row r="134" spans="1:9" x14ac:dyDescent="0.35">
      <c r="A134" s="19">
        <v>45691</v>
      </c>
      <c r="B134" s="20">
        <v>1000000</v>
      </c>
      <c r="C134" s="32"/>
      <c r="D134" s="20"/>
      <c r="E134" s="56" t="s">
        <v>358</v>
      </c>
      <c r="F134" s="20">
        <f t="shared" si="1"/>
        <v>125522873</v>
      </c>
      <c r="G134" s="10" t="s">
        <v>230</v>
      </c>
      <c r="H134" s="59" t="s">
        <v>323</v>
      </c>
      <c r="I134" s="32" t="s">
        <v>152</v>
      </c>
    </row>
    <row r="135" spans="1:9" x14ac:dyDescent="0.35">
      <c r="A135" s="19">
        <v>45691</v>
      </c>
      <c r="B135" s="20">
        <v>2500</v>
      </c>
      <c r="C135" s="32"/>
      <c r="D135" s="20"/>
      <c r="E135" s="56" t="s">
        <v>358</v>
      </c>
      <c r="F135" s="20">
        <f t="shared" si="1"/>
        <v>125520373</v>
      </c>
      <c r="G135" s="10" t="s">
        <v>231</v>
      </c>
      <c r="H135" s="59" t="s">
        <v>323</v>
      </c>
      <c r="I135" s="32" t="s">
        <v>152</v>
      </c>
    </row>
    <row r="136" spans="1:9" x14ac:dyDescent="0.35">
      <c r="A136" s="19">
        <v>45691</v>
      </c>
      <c r="B136" s="20"/>
      <c r="C136" s="32"/>
      <c r="D136" s="20">
        <v>1000</v>
      </c>
      <c r="E136" s="56" t="s">
        <v>358</v>
      </c>
      <c r="F136" s="20">
        <f t="shared" si="1"/>
        <v>125521373</v>
      </c>
      <c r="G136" s="7" t="s">
        <v>252</v>
      </c>
      <c r="H136" s="59" t="s">
        <v>109</v>
      </c>
      <c r="I136" s="32" t="s">
        <v>152</v>
      </c>
    </row>
    <row r="137" spans="1:9" x14ac:dyDescent="0.35">
      <c r="A137" s="19">
        <v>45691</v>
      </c>
      <c r="B137" s="20"/>
      <c r="C137" s="32"/>
      <c r="D137" s="20">
        <v>75000</v>
      </c>
      <c r="E137" s="56" t="s">
        <v>358</v>
      </c>
      <c r="F137" s="20">
        <f t="shared" si="1"/>
        <v>125596373</v>
      </c>
      <c r="G137" s="7" t="s">
        <v>264</v>
      </c>
      <c r="H137" s="59" t="s">
        <v>109</v>
      </c>
      <c r="I137" s="32" t="s">
        <v>152</v>
      </c>
    </row>
    <row r="138" spans="1:9" x14ac:dyDescent="0.35">
      <c r="A138" s="19">
        <v>45691</v>
      </c>
      <c r="B138" s="20"/>
      <c r="C138" s="32"/>
      <c r="D138" s="20">
        <v>500000</v>
      </c>
      <c r="E138" s="56" t="s">
        <v>358</v>
      </c>
      <c r="F138" s="20">
        <f t="shared" ref="F138:F201" si="2">+F137+D138-B138</f>
        <v>126096373</v>
      </c>
      <c r="G138" s="7" t="s">
        <v>233</v>
      </c>
      <c r="H138" s="59" t="s">
        <v>109</v>
      </c>
      <c r="I138" s="32" t="s">
        <v>152</v>
      </c>
    </row>
    <row r="139" spans="1:9" x14ac:dyDescent="0.35">
      <c r="A139" s="19">
        <v>45691</v>
      </c>
      <c r="B139" s="20"/>
      <c r="C139" s="32"/>
      <c r="D139" s="20">
        <v>200000</v>
      </c>
      <c r="E139" s="56" t="s">
        <v>358</v>
      </c>
      <c r="F139" s="20">
        <f t="shared" si="2"/>
        <v>126296373</v>
      </c>
      <c r="G139" s="7" t="s">
        <v>232</v>
      </c>
      <c r="H139" s="59" t="s">
        <v>109</v>
      </c>
      <c r="I139" s="32" t="s">
        <v>152</v>
      </c>
    </row>
    <row r="140" spans="1:9" x14ac:dyDescent="0.35">
      <c r="A140" s="19">
        <v>45691</v>
      </c>
      <c r="B140" s="20"/>
      <c r="C140" s="32"/>
      <c r="D140" s="20">
        <v>15000</v>
      </c>
      <c r="E140" s="56" t="s">
        <v>358</v>
      </c>
      <c r="F140" s="20">
        <f t="shared" si="2"/>
        <v>126311373</v>
      </c>
      <c r="G140" s="7" t="s">
        <v>263</v>
      </c>
      <c r="H140" s="59" t="s">
        <v>109</v>
      </c>
      <c r="I140" s="32" t="s">
        <v>152</v>
      </c>
    </row>
    <row r="141" spans="1:9" x14ac:dyDescent="0.35">
      <c r="A141" s="19">
        <v>45691</v>
      </c>
      <c r="B141" s="20"/>
      <c r="C141" s="32"/>
      <c r="D141" s="20">
        <v>300000</v>
      </c>
      <c r="E141" s="56" t="s">
        <v>358</v>
      </c>
      <c r="F141" s="20">
        <f t="shared" si="2"/>
        <v>126611373</v>
      </c>
      <c r="G141" s="7" t="s">
        <v>243</v>
      </c>
      <c r="H141" s="59" t="s">
        <v>109</v>
      </c>
      <c r="I141" s="32" t="s">
        <v>152</v>
      </c>
    </row>
    <row r="142" spans="1:9" x14ac:dyDescent="0.35">
      <c r="A142" s="19">
        <v>45691</v>
      </c>
      <c r="B142" s="20"/>
      <c r="C142" s="32"/>
      <c r="D142" s="20">
        <v>200000</v>
      </c>
      <c r="E142" s="56" t="s">
        <v>358</v>
      </c>
      <c r="F142" s="20">
        <f t="shared" si="2"/>
        <v>126811373</v>
      </c>
      <c r="G142" s="7" t="s">
        <v>262</v>
      </c>
      <c r="H142" s="59" t="s">
        <v>109</v>
      </c>
      <c r="I142" s="32" t="s">
        <v>152</v>
      </c>
    </row>
    <row r="143" spans="1:9" x14ac:dyDescent="0.35">
      <c r="A143" s="19">
        <v>45691</v>
      </c>
      <c r="B143" s="20"/>
      <c r="C143" s="32"/>
      <c r="D143" s="20">
        <v>300000</v>
      </c>
      <c r="E143" s="56" t="s">
        <v>358</v>
      </c>
      <c r="F143" s="20">
        <f t="shared" si="2"/>
        <v>127111373</v>
      </c>
      <c r="G143" s="7" t="s">
        <v>234</v>
      </c>
      <c r="H143" s="59" t="s">
        <v>109</v>
      </c>
      <c r="I143" s="32" t="s">
        <v>152</v>
      </c>
    </row>
    <row r="144" spans="1:9" x14ac:dyDescent="0.35">
      <c r="A144" s="19">
        <v>45691</v>
      </c>
      <c r="B144" s="20">
        <v>750000</v>
      </c>
      <c r="C144" s="32"/>
      <c r="D144" s="20"/>
      <c r="E144" s="56" t="s">
        <v>358</v>
      </c>
      <c r="F144" s="20">
        <f t="shared" si="2"/>
        <v>126361373</v>
      </c>
      <c r="G144" s="10" t="s">
        <v>235</v>
      </c>
      <c r="H144" s="59" t="s">
        <v>323</v>
      </c>
      <c r="I144" s="32" t="s">
        <v>152</v>
      </c>
    </row>
    <row r="145" spans="1:9" x14ac:dyDescent="0.35">
      <c r="A145" s="19">
        <v>45691</v>
      </c>
      <c r="B145" s="20">
        <v>2500</v>
      </c>
      <c r="C145" s="32"/>
      <c r="D145" s="20"/>
      <c r="E145" s="56" t="s">
        <v>358</v>
      </c>
      <c r="F145" s="20">
        <f t="shared" si="2"/>
        <v>126358873</v>
      </c>
      <c r="G145" s="10" t="s">
        <v>236</v>
      </c>
      <c r="H145" s="59" t="s">
        <v>323</v>
      </c>
      <c r="I145" s="32" t="s">
        <v>152</v>
      </c>
    </row>
    <row r="146" spans="1:9" x14ac:dyDescent="0.35">
      <c r="A146" s="19">
        <v>45691</v>
      </c>
      <c r="B146" s="20"/>
      <c r="C146" s="32"/>
      <c r="D146" s="20">
        <v>500000</v>
      </c>
      <c r="E146" s="56" t="s">
        <v>358</v>
      </c>
      <c r="F146" s="20">
        <f t="shared" si="2"/>
        <v>126858873</v>
      </c>
      <c r="G146" s="7" t="s">
        <v>242</v>
      </c>
      <c r="H146" s="59" t="s">
        <v>109</v>
      </c>
      <c r="I146" s="32" t="s">
        <v>152</v>
      </c>
    </row>
    <row r="147" spans="1:9" x14ac:dyDescent="0.35">
      <c r="A147" s="19">
        <v>45691</v>
      </c>
      <c r="B147" s="20"/>
      <c r="C147" s="32"/>
      <c r="D147" s="20">
        <v>200000</v>
      </c>
      <c r="E147" s="56" t="s">
        <v>358</v>
      </c>
      <c r="F147" s="20">
        <f t="shared" si="2"/>
        <v>127058873</v>
      </c>
      <c r="G147" s="7" t="s">
        <v>237</v>
      </c>
      <c r="H147" s="59" t="s">
        <v>109</v>
      </c>
      <c r="I147" s="32" t="s">
        <v>152</v>
      </c>
    </row>
    <row r="148" spans="1:9" x14ac:dyDescent="0.35">
      <c r="A148" s="19">
        <v>45691</v>
      </c>
      <c r="B148" s="20"/>
      <c r="C148" s="32"/>
      <c r="D148" s="20">
        <v>400000</v>
      </c>
      <c r="E148" s="56" t="s">
        <v>358</v>
      </c>
      <c r="F148" s="20">
        <f t="shared" si="2"/>
        <v>127458873</v>
      </c>
      <c r="G148" s="7" t="s">
        <v>238</v>
      </c>
      <c r="H148" s="59" t="s">
        <v>109</v>
      </c>
      <c r="I148" s="32" t="s">
        <v>152</v>
      </c>
    </row>
    <row r="149" spans="1:9" x14ac:dyDescent="0.35">
      <c r="A149" s="19">
        <v>45691</v>
      </c>
      <c r="B149" s="20"/>
      <c r="C149" s="32"/>
      <c r="D149" s="20">
        <v>200000</v>
      </c>
      <c r="E149" s="56" t="s">
        <v>358</v>
      </c>
      <c r="F149" s="20">
        <f t="shared" si="2"/>
        <v>127658873</v>
      </c>
      <c r="G149" s="7" t="s">
        <v>232</v>
      </c>
      <c r="H149" s="59" t="s">
        <v>109</v>
      </c>
      <c r="I149" s="32" t="s">
        <v>152</v>
      </c>
    </row>
    <row r="150" spans="1:9" x14ac:dyDescent="0.35">
      <c r="A150" s="19">
        <v>45691</v>
      </c>
      <c r="B150" s="20"/>
      <c r="C150" s="32"/>
      <c r="D150" s="20">
        <v>500000</v>
      </c>
      <c r="E150" s="56" t="s">
        <v>358</v>
      </c>
      <c r="F150" s="20">
        <f t="shared" si="2"/>
        <v>128158873</v>
      </c>
      <c r="G150" s="7" t="s">
        <v>53</v>
      </c>
      <c r="H150" s="59" t="s">
        <v>109</v>
      </c>
      <c r="I150" s="32" t="s">
        <v>152</v>
      </c>
    </row>
    <row r="151" spans="1:9" x14ac:dyDescent="0.35">
      <c r="A151" s="19">
        <v>45691</v>
      </c>
      <c r="B151" s="20"/>
      <c r="C151" s="23"/>
      <c r="D151" s="23">
        <v>2412000</v>
      </c>
      <c r="E151" s="56" t="s">
        <v>358</v>
      </c>
      <c r="F151" s="20">
        <f t="shared" si="2"/>
        <v>130570873</v>
      </c>
      <c r="G151" s="24" t="s">
        <v>107</v>
      </c>
      <c r="H151" s="59" t="s">
        <v>107</v>
      </c>
      <c r="I151" s="32" t="s">
        <v>152</v>
      </c>
    </row>
    <row r="152" spans="1:9" x14ac:dyDescent="0.35">
      <c r="A152" s="19">
        <v>45691</v>
      </c>
      <c r="B152" s="20"/>
      <c r="C152" s="23"/>
      <c r="D152" s="23">
        <v>3924000</v>
      </c>
      <c r="E152" s="56" t="s">
        <v>358</v>
      </c>
      <c r="F152" s="20">
        <f t="shared" si="2"/>
        <v>134494873</v>
      </c>
      <c r="G152" s="24" t="s">
        <v>109</v>
      </c>
      <c r="H152" s="59" t="s">
        <v>109</v>
      </c>
      <c r="I152" s="32" t="s">
        <v>152</v>
      </c>
    </row>
    <row r="153" spans="1:9" x14ac:dyDescent="0.35">
      <c r="A153" s="19"/>
      <c r="B153" s="20"/>
      <c r="C153" s="23">
        <v>6336000</v>
      </c>
      <c r="D153" s="20"/>
      <c r="E153" s="56"/>
      <c r="F153" s="20">
        <f t="shared" si="2"/>
        <v>134494873</v>
      </c>
      <c r="G153" s="10" t="s">
        <v>98</v>
      </c>
      <c r="H153" s="59"/>
      <c r="I153" s="32"/>
    </row>
    <row r="154" spans="1:9" x14ac:dyDescent="0.35">
      <c r="A154" s="19">
        <v>45693</v>
      </c>
      <c r="B154" s="20"/>
      <c r="C154" s="32"/>
      <c r="D154" s="20">
        <v>1000000</v>
      </c>
      <c r="E154" s="56" t="s">
        <v>358</v>
      </c>
      <c r="F154" s="20">
        <f t="shared" si="2"/>
        <v>135494873</v>
      </c>
      <c r="G154" s="7" t="s">
        <v>241</v>
      </c>
      <c r="H154" s="59" t="s">
        <v>109</v>
      </c>
      <c r="I154" s="32" t="s">
        <v>152</v>
      </c>
    </row>
    <row r="155" spans="1:9" x14ac:dyDescent="0.35">
      <c r="A155" s="19">
        <v>45694</v>
      </c>
      <c r="B155" s="20"/>
      <c r="C155" s="32"/>
      <c r="D155" s="20">
        <v>200000</v>
      </c>
      <c r="E155" s="56" t="s">
        <v>358</v>
      </c>
      <c r="F155" s="20">
        <f t="shared" si="2"/>
        <v>135694873</v>
      </c>
      <c r="G155" s="7" t="s">
        <v>240</v>
      </c>
      <c r="H155" s="59" t="s">
        <v>109</v>
      </c>
      <c r="I155" s="32" t="s">
        <v>152</v>
      </c>
    </row>
    <row r="156" spans="1:9" x14ac:dyDescent="0.35">
      <c r="A156" s="19">
        <v>45694</v>
      </c>
      <c r="B156" s="20"/>
      <c r="C156" s="32"/>
      <c r="D156" s="20">
        <v>100000</v>
      </c>
      <c r="E156" s="56" t="s">
        <v>358</v>
      </c>
      <c r="F156" s="20">
        <f t="shared" si="2"/>
        <v>135794873</v>
      </c>
      <c r="G156" s="7" t="s">
        <v>239</v>
      </c>
      <c r="H156" s="59" t="s">
        <v>109</v>
      </c>
      <c r="I156" s="32" t="s">
        <v>152</v>
      </c>
    </row>
    <row r="157" spans="1:9" x14ac:dyDescent="0.35">
      <c r="A157" s="19">
        <v>45694</v>
      </c>
      <c r="B157" s="20">
        <v>2000000</v>
      </c>
      <c r="C157" s="20"/>
      <c r="D157" s="20"/>
      <c r="E157" s="56" t="s">
        <v>358</v>
      </c>
      <c r="F157" s="20">
        <f t="shared" si="2"/>
        <v>133794873</v>
      </c>
      <c r="G157" s="7" t="s">
        <v>269</v>
      </c>
      <c r="H157" s="59" t="s">
        <v>323</v>
      </c>
      <c r="I157" s="32" t="s">
        <v>152</v>
      </c>
    </row>
    <row r="158" spans="1:9" x14ac:dyDescent="0.35">
      <c r="A158" s="19">
        <v>45694</v>
      </c>
      <c r="B158" s="20">
        <v>2500</v>
      </c>
      <c r="C158" s="20"/>
      <c r="D158" s="20"/>
      <c r="E158" s="56" t="s">
        <v>358</v>
      </c>
      <c r="F158" s="20">
        <f t="shared" si="2"/>
        <v>133792373</v>
      </c>
      <c r="G158" s="7" t="s">
        <v>270</v>
      </c>
      <c r="H158" s="59" t="s">
        <v>323</v>
      </c>
      <c r="I158" s="32" t="s">
        <v>152</v>
      </c>
    </row>
    <row r="159" spans="1:9" x14ac:dyDescent="0.35">
      <c r="A159" s="19">
        <v>45695</v>
      </c>
      <c r="B159" s="20"/>
      <c r="C159" s="20"/>
      <c r="D159" s="20">
        <v>2000000</v>
      </c>
      <c r="E159" s="56" t="s">
        <v>358</v>
      </c>
      <c r="F159" s="20">
        <f t="shared" si="2"/>
        <v>135792373</v>
      </c>
      <c r="G159" s="7" t="s">
        <v>55</v>
      </c>
      <c r="H159" s="59" t="s">
        <v>109</v>
      </c>
      <c r="I159" s="32" t="s">
        <v>152</v>
      </c>
    </row>
    <row r="160" spans="1:9" x14ac:dyDescent="0.35">
      <c r="A160" s="19">
        <v>45695</v>
      </c>
      <c r="B160" s="20"/>
      <c r="C160" s="20"/>
      <c r="D160" s="20">
        <v>250000</v>
      </c>
      <c r="E160" s="56" t="s">
        <v>358</v>
      </c>
      <c r="F160" s="20">
        <f t="shared" si="2"/>
        <v>136042373</v>
      </c>
      <c r="G160" s="7" t="s">
        <v>271</v>
      </c>
      <c r="H160" s="59" t="s">
        <v>109</v>
      </c>
      <c r="I160" s="32" t="s">
        <v>152</v>
      </c>
    </row>
    <row r="161" spans="1:9" x14ac:dyDescent="0.35">
      <c r="A161" s="19">
        <v>45695</v>
      </c>
      <c r="B161" s="20"/>
      <c r="C161" s="20"/>
      <c r="D161" s="20">
        <v>66500</v>
      </c>
      <c r="E161" s="56" t="s">
        <v>358</v>
      </c>
      <c r="F161" s="20">
        <f t="shared" si="2"/>
        <v>136108873</v>
      </c>
      <c r="G161" s="7" t="s">
        <v>274</v>
      </c>
      <c r="H161" s="59" t="s">
        <v>109</v>
      </c>
      <c r="I161" s="32" t="s">
        <v>152</v>
      </c>
    </row>
    <row r="162" spans="1:9" x14ac:dyDescent="0.35">
      <c r="A162" s="19">
        <v>45696</v>
      </c>
      <c r="B162" s="20">
        <v>750000</v>
      </c>
      <c r="C162" s="20"/>
      <c r="D162" s="20"/>
      <c r="E162" s="56" t="s">
        <v>358</v>
      </c>
      <c r="F162" s="20">
        <f t="shared" si="2"/>
        <v>135358873</v>
      </c>
      <c r="G162" s="10" t="s">
        <v>93</v>
      </c>
      <c r="H162" s="59" t="s">
        <v>323</v>
      </c>
      <c r="I162" s="32" t="s">
        <v>152</v>
      </c>
    </row>
    <row r="163" spans="1:9" x14ac:dyDescent="0.35">
      <c r="A163" s="19">
        <v>45696</v>
      </c>
      <c r="B163" s="20">
        <v>2500</v>
      </c>
      <c r="C163" s="20"/>
      <c r="D163" s="20"/>
      <c r="E163" s="56" t="s">
        <v>358</v>
      </c>
      <c r="F163" s="20">
        <f t="shared" si="2"/>
        <v>135356373</v>
      </c>
      <c r="G163" s="10" t="s">
        <v>94</v>
      </c>
      <c r="H163" s="59" t="s">
        <v>323</v>
      </c>
      <c r="I163" s="32" t="s">
        <v>152</v>
      </c>
    </row>
    <row r="164" spans="1:9" x14ac:dyDescent="0.35">
      <c r="A164" s="19">
        <v>45696</v>
      </c>
      <c r="B164" s="20"/>
      <c r="C164" s="20"/>
      <c r="D164" s="20">
        <v>20000</v>
      </c>
      <c r="E164" s="56" t="s">
        <v>358</v>
      </c>
      <c r="F164" s="20">
        <f t="shared" si="2"/>
        <v>135376373</v>
      </c>
      <c r="G164" s="7" t="s">
        <v>252</v>
      </c>
      <c r="H164" s="59" t="s">
        <v>109</v>
      </c>
      <c r="I164" s="32" t="s">
        <v>152</v>
      </c>
    </row>
    <row r="165" spans="1:9" x14ac:dyDescent="0.35">
      <c r="A165" s="19">
        <v>45696</v>
      </c>
      <c r="B165" s="20"/>
      <c r="C165" s="20"/>
      <c r="D165" s="20">
        <v>75000</v>
      </c>
      <c r="E165" s="56" t="s">
        <v>358</v>
      </c>
      <c r="F165" s="20">
        <f t="shared" si="2"/>
        <v>135451373</v>
      </c>
      <c r="G165" s="7" t="s">
        <v>264</v>
      </c>
      <c r="H165" s="59" t="s">
        <v>109</v>
      </c>
      <c r="I165" s="32" t="s">
        <v>152</v>
      </c>
    </row>
    <row r="166" spans="1:9" x14ac:dyDescent="0.35">
      <c r="A166" s="19">
        <v>45696</v>
      </c>
      <c r="B166" s="20"/>
      <c r="C166" s="20"/>
      <c r="D166" s="20">
        <v>1500</v>
      </c>
      <c r="E166" s="56" t="s">
        <v>358</v>
      </c>
      <c r="F166" s="20">
        <f t="shared" si="2"/>
        <v>135452873</v>
      </c>
      <c r="G166" s="7" t="s">
        <v>251</v>
      </c>
      <c r="H166" s="59" t="s">
        <v>109</v>
      </c>
      <c r="I166" s="32" t="s">
        <v>152</v>
      </c>
    </row>
    <row r="167" spans="1:9" x14ac:dyDescent="0.35">
      <c r="A167" s="19">
        <v>45696</v>
      </c>
      <c r="B167" s="20"/>
      <c r="C167" s="20"/>
      <c r="D167" s="20">
        <v>1250000</v>
      </c>
      <c r="E167" s="56" t="s">
        <v>358</v>
      </c>
      <c r="F167" s="20">
        <f t="shared" si="2"/>
        <v>136702873</v>
      </c>
      <c r="G167" s="7" t="s">
        <v>275</v>
      </c>
      <c r="H167" s="59" t="s">
        <v>109</v>
      </c>
      <c r="I167" s="32" t="s">
        <v>152</v>
      </c>
    </row>
    <row r="168" spans="1:9" x14ac:dyDescent="0.35">
      <c r="A168" s="19">
        <v>45697</v>
      </c>
      <c r="B168" s="20">
        <v>750000</v>
      </c>
      <c r="C168" s="20"/>
      <c r="D168" s="20"/>
      <c r="E168" s="56" t="s">
        <v>358</v>
      </c>
      <c r="F168" s="20">
        <f t="shared" si="2"/>
        <v>135952873</v>
      </c>
      <c r="G168" s="10" t="s">
        <v>276</v>
      </c>
      <c r="H168" s="59" t="s">
        <v>323</v>
      </c>
      <c r="I168" s="32" t="s">
        <v>152</v>
      </c>
    </row>
    <row r="169" spans="1:9" x14ac:dyDescent="0.35">
      <c r="A169" s="19">
        <v>45697</v>
      </c>
      <c r="B169" s="20"/>
      <c r="C169" s="20"/>
      <c r="D169" s="20">
        <v>2000000</v>
      </c>
      <c r="E169" s="56" t="s">
        <v>358</v>
      </c>
      <c r="F169" s="20">
        <f t="shared" si="2"/>
        <v>137952873</v>
      </c>
      <c r="G169" s="7" t="s">
        <v>277</v>
      </c>
      <c r="H169" s="59" t="s">
        <v>109</v>
      </c>
      <c r="I169" s="32" t="s">
        <v>152</v>
      </c>
    </row>
    <row r="170" spans="1:9" x14ac:dyDescent="0.35">
      <c r="A170" s="19">
        <v>45698</v>
      </c>
      <c r="B170" s="20"/>
      <c r="C170" s="20"/>
      <c r="D170" s="20">
        <v>20000</v>
      </c>
      <c r="E170" s="56" t="s">
        <v>358</v>
      </c>
      <c r="F170" s="20">
        <f t="shared" si="2"/>
        <v>137972873</v>
      </c>
      <c r="G170" s="7" t="s">
        <v>279</v>
      </c>
      <c r="H170" s="59" t="s">
        <v>109</v>
      </c>
      <c r="I170" s="32" t="s">
        <v>152</v>
      </c>
    </row>
    <row r="171" spans="1:9" x14ac:dyDescent="0.35">
      <c r="A171" s="19">
        <v>45698</v>
      </c>
      <c r="B171" s="20"/>
      <c r="C171" s="23"/>
      <c r="D171" s="23">
        <v>3222000</v>
      </c>
      <c r="E171" s="56" t="s">
        <v>358</v>
      </c>
      <c r="F171" s="20">
        <f t="shared" si="2"/>
        <v>141194873</v>
      </c>
      <c r="G171" s="24" t="s">
        <v>107</v>
      </c>
      <c r="H171" s="59" t="s">
        <v>107</v>
      </c>
      <c r="I171" s="32" t="s">
        <v>152</v>
      </c>
    </row>
    <row r="172" spans="1:9" x14ac:dyDescent="0.35">
      <c r="A172" s="19">
        <v>45698</v>
      </c>
      <c r="B172" s="20"/>
      <c r="C172" s="23"/>
      <c r="D172" s="23">
        <v>4084000</v>
      </c>
      <c r="E172" s="56" t="s">
        <v>358</v>
      </c>
      <c r="F172" s="20">
        <f t="shared" si="2"/>
        <v>145278873</v>
      </c>
      <c r="G172" s="24" t="s">
        <v>109</v>
      </c>
      <c r="H172" s="59" t="s">
        <v>109</v>
      </c>
      <c r="I172" s="32" t="s">
        <v>152</v>
      </c>
    </row>
    <row r="173" spans="1:9" x14ac:dyDescent="0.35">
      <c r="A173" s="19"/>
      <c r="B173" s="20"/>
      <c r="C173" s="23">
        <v>7306000</v>
      </c>
      <c r="D173" s="20"/>
      <c r="E173" s="56"/>
      <c r="F173" s="20">
        <f t="shared" si="2"/>
        <v>145278873</v>
      </c>
      <c r="G173" s="7" t="s">
        <v>98</v>
      </c>
      <c r="H173" s="59"/>
      <c r="I173" s="32"/>
    </row>
    <row r="174" spans="1:9" x14ac:dyDescent="0.35">
      <c r="A174" s="19">
        <v>45698</v>
      </c>
      <c r="B174" s="20">
        <v>840000</v>
      </c>
      <c r="C174" s="20"/>
      <c r="D174" s="20"/>
      <c r="E174" s="56" t="s">
        <v>358</v>
      </c>
      <c r="F174" s="20">
        <f t="shared" si="2"/>
        <v>144438873</v>
      </c>
      <c r="G174" s="7" t="s">
        <v>272</v>
      </c>
      <c r="H174" s="59" t="s">
        <v>322</v>
      </c>
      <c r="I174" s="32" t="s">
        <v>152</v>
      </c>
    </row>
    <row r="175" spans="1:9" x14ac:dyDescent="0.35">
      <c r="A175" s="19">
        <v>45698</v>
      </c>
      <c r="B175" s="20">
        <v>2500</v>
      </c>
      <c r="C175" s="20"/>
      <c r="D175" s="20"/>
      <c r="E175" s="56" t="s">
        <v>358</v>
      </c>
      <c r="F175" s="20">
        <f t="shared" si="2"/>
        <v>144436373</v>
      </c>
      <c r="G175" s="7" t="s">
        <v>272</v>
      </c>
      <c r="H175" s="59" t="s">
        <v>322</v>
      </c>
      <c r="I175" s="32" t="s">
        <v>152</v>
      </c>
    </row>
    <row r="176" spans="1:9" x14ac:dyDescent="0.35">
      <c r="A176" s="19">
        <v>45699</v>
      </c>
      <c r="B176" s="20">
        <v>1000000</v>
      </c>
      <c r="C176" s="20"/>
      <c r="D176" s="20"/>
      <c r="E176" s="56" t="s">
        <v>358</v>
      </c>
      <c r="F176" s="20">
        <f t="shared" si="2"/>
        <v>143436373</v>
      </c>
      <c r="G176" s="7" t="s">
        <v>273</v>
      </c>
      <c r="H176" s="59" t="s">
        <v>322</v>
      </c>
      <c r="I176" s="32" t="s">
        <v>152</v>
      </c>
    </row>
    <row r="177" spans="1:9" x14ac:dyDescent="0.35">
      <c r="A177" s="19">
        <v>45699</v>
      </c>
      <c r="B177" s="20">
        <v>2500</v>
      </c>
      <c r="C177" s="20"/>
      <c r="D177" s="20"/>
      <c r="E177" s="56" t="s">
        <v>358</v>
      </c>
      <c r="F177" s="20">
        <f t="shared" si="2"/>
        <v>143433873</v>
      </c>
      <c r="G177" s="7" t="s">
        <v>273</v>
      </c>
      <c r="H177" s="59" t="s">
        <v>322</v>
      </c>
      <c r="I177" s="32" t="s">
        <v>152</v>
      </c>
    </row>
    <row r="178" spans="1:9" x14ac:dyDescent="0.35">
      <c r="A178" s="19">
        <v>45699</v>
      </c>
      <c r="B178" s="20"/>
      <c r="C178" s="20"/>
      <c r="D178" s="20">
        <v>1800000</v>
      </c>
      <c r="E178" s="56" t="s">
        <v>358</v>
      </c>
      <c r="F178" s="20">
        <f t="shared" si="2"/>
        <v>145233873</v>
      </c>
      <c r="G178" s="7" t="s">
        <v>278</v>
      </c>
      <c r="H178" s="59" t="s">
        <v>109</v>
      </c>
      <c r="I178" s="32" t="s">
        <v>152</v>
      </c>
    </row>
    <row r="179" spans="1:9" x14ac:dyDescent="0.35">
      <c r="A179" s="19">
        <v>45701</v>
      </c>
      <c r="B179" s="20"/>
      <c r="C179" s="20"/>
      <c r="D179" s="20">
        <v>10000</v>
      </c>
      <c r="E179" s="56" t="s">
        <v>358</v>
      </c>
      <c r="F179" s="20">
        <f t="shared" si="2"/>
        <v>145243873</v>
      </c>
      <c r="G179" s="7" t="s">
        <v>252</v>
      </c>
      <c r="H179" s="59" t="s">
        <v>109</v>
      </c>
      <c r="I179" s="32" t="s">
        <v>152</v>
      </c>
    </row>
    <row r="180" spans="1:9" x14ac:dyDescent="0.35">
      <c r="A180" s="19">
        <v>45702</v>
      </c>
      <c r="B180" s="20"/>
      <c r="C180" s="20"/>
      <c r="D180" s="9">
        <v>20000</v>
      </c>
      <c r="E180" s="56" t="s">
        <v>358</v>
      </c>
      <c r="F180" s="20">
        <f t="shared" si="2"/>
        <v>145263873</v>
      </c>
      <c r="G180" s="7" t="s">
        <v>282</v>
      </c>
      <c r="H180" s="59" t="s">
        <v>109</v>
      </c>
      <c r="I180" s="32" t="s">
        <v>152</v>
      </c>
    </row>
    <row r="181" spans="1:9" x14ac:dyDescent="0.35">
      <c r="A181" s="19">
        <v>45702</v>
      </c>
      <c r="B181" s="20"/>
      <c r="C181" s="20"/>
      <c r="D181" s="9">
        <v>10000</v>
      </c>
      <c r="E181" s="56" t="s">
        <v>358</v>
      </c>
      <c r="F181" s="20">
        <f t="shared" si="2"/>
        <v>145273873</v>
      </c>
      <c r="G181" s="7" t="s">
        <v>282</v>
      </c>
      <c r="H181" s="59" t="s">
        <v>109</v>
      </c>
      <c r="I181" s="32" t="s">
        <v>152</v>
      </c>
    </row>
    <row r="182" spans="1:9" x14ac:dyDescent="0.35">
      <c r="A182" s="19">
        <v>45702</v>
      </c>
      <c r="B182" s="20"/>
      <c r="C182" s="20"/>
      <c r="D182" s="9">
        <v>25000</v>
      </c>
      <c r="E182" s="56" t="s">
        <v>358</v>
      </c>
      <c r="F182" s="20">
        <f t="shared" si="2"/>
        <v>145298873</v>
      </c>
      <c r="G182" s="7" t="s">
        <v>282</v>
      </c>
      <c r="H182" s="59" t="s">
        <v>109</v>
      </c>
      <c r="I182" s="32" t="s">
        <v>152</v>
      </c>
    </row>
    <row r="183" spans="1:9" x14ac:dyDescent="0.35">
      <c r="A183" s="19">
        <v>45702</v>
      </c>
      <c r="B183" s="20"/>
      <c r="C183" s="20"/>
      <c r="D183" s="9">
        <v>400000</v>
      </c>
      <c r="E183" s="56" t="s">
        <v>358</v>
      </c>
      <c r="F183" s="20">
        <f t="shared" si="2"/>
        <v>145698873</v>
      </c>
      <c r="G183" s="7" t="s">
        <v>290</v>
      </c>
      <c r="H183" s="59" t="s">
        <v>140</v>
      </c>
      <c r="I183" s="32" t="s">
        <v>152</v>
      </c>
    </row>
    <row r="184" spans="1:9" x14ac:dyDescent="0.35">
      <c r="A184" s="19">
        <v>45705</v>
      </c>
      <c r="B184" s="20"/>
      <c r="C184" s="20"/>
      <c r="D184" s="9">
        <v>100000</v>
      </c>
      <c r="E184" s="56" t="s">
        <v>358</v>
      </c>
      <c r="F184" s="20">
        <f t="shared" si="2"/>
        <v>145798873</v>
      </c>
      <c r="G184" s="7" t="s">
        <v>282</v>
      </c>
      <c r="H184" s="59" t="s">
        <v>109</v>
      </c>
      <c r="I184" s="32" t="s">
        <v>152</v>
      </c>
    </row>
    <row r="185" spans="1:9" x14ac:dyDescent="0.35">
      <c r="A185" s="19">
        <v>45705</v>
      </c>
      <c r="B185" s="20"/>
      <c r="C185" s="20"/>
      <c r="D185" s="9">
        <v>10000</v>
      </c>
      <c r="E185" s="56" t="s">
        <v>358</v>
      </c>
      <c r="F185" s="20">
        <f t="shared" si="2"/>
        <v>145808873</v>
      </c>
      <c r="G185" s="7" t="s">
        <v>282</v>
      </c>
      <c r="H185" s="59" t="s">
        <v>109</v>
      </c>
      <c r="I185" s="32" t="s">
        <v>152</v>
      </c>
    </row>
    <row r="186" spans="1:9" x14ac:dyDescent="0.35">
      <c r="A186" s="19">
        <v>45705</v>
      </c>
      <c r="B186" s="20"/>
      <c r="C186" s="20"/>
      <c r="D186" s="9">
        <v>1700</v>
      </c>
      <c r="E186" s="56" t="s">
        <v>358</v>
      </c>
      <c r="F186" s="20">
        <f t="shared" si="2"/>
        <v>145810573</v>
      </c>
      <c r="G186" s="7" t="s">
        <v>282</v>
      </c>
      <c r="H186" s="59" t="s">
        <v>109</v>
      </c>
      <c r="I186" s="32" t="s">
        <v>152</v>
      </c>
    </row>
    <row r="187" spans="1:9" x14ac:dyDescent="0.35">
      <c r="A187" s="19">
        <v>45705</v>
      </c>
      <c r="B187" s="20">
        <v>750000</v>
      </c>
      <c r="C187" s="20"/>
      <c r="D187" s="9"/>
      <c r="E187" s="56" t="s">
        <v>358</v>
      </c>
      <c r="F187" s="20">
        <f t="shared" si="2"/>
        <v>145060573</v>
      </c>
      <c r="G187" s="7" t="s">
        <v>283</v>
      </c>
      <c r="H187" s="59" t="s">
        <v>323</v>
      </c>
      <c r="I187" s="32" t="s">
        <v>152</v>
      </c>
    </row>
    <row r="188" spans="1:9" x14ac:dyDescent="0.35">
      <c r="A188" s="19">
        <v>45705</v>
      </c>
      <c r="B188" s="20">
        <v>2500</v>
      </c>
      <c r="C188" s="20"/>
      <c r="D188" s="9"/>
      <c r="E188" s="56" t="s">
        <v>358</v>
      </c>
      <c r="F188" s="20">
        <f t="shared" si="2"/>
        <v>145058073</v>
      </c>
      <c r="G188" s="7" t="s">
        <v>284</v>
      </c>
      <c r="H188" s="59" t="s">
        <v>323</v>
      </c>
      <c r="I188" s="32" t="s">
        <v>152</v>
      </c>
    </row>
    <row r="189" spans="1:9" x14ac:dyDescent="0.35">
      <c r="A189" s="19">
        <v>45705</v>
      </c>
      <c r="B189" s="20">
        <v>750000</v>
      </c>
      <c r="C189" s="20"/>
      <c r="D189" s="9"/>
      <c r="E189" s="56" t="s">
        <v>358</v>
      </c>
      <c r="F189" s="20">
        <f t="shared" si="2"/>
        <v>144308073</v>
      </c>
      <c r="G189" s="7" t="s">
        <v>285</v>
      </c>
      <c r="H189" s="59" t="s">
        <v>323</v>
      </c>
      <c r="I189" s="32" t="s">
        <v>152</v>
      </c>
    </row>
    <row r="190" spans="1:9" x14ac:dyDescent="0.35">
      <c r="A190" s="19">
        <v>45705</v>
      </c>
      <c r="B190" s="20">
        <v>2500</v>
      </c>
      <c r="C190" s="20"/>
      <c r="D190" s="9"/>
      <c r="E190" s="56" t="s">
        <v>358</v>
      </c>
      <c r="F190" s="20">
        <f t="shared" si="2"/>
        <v>144305573</v>
      </c>
      <c r="G190" s="7" t="s">
        <v>284</v>
      </c>
      <c r="H190" s="59" t="s">
        <v>323</v>
      </c>
      <c r="I190" s="32" t="s">
        <v>152</v>
      </c>
    </row>
    <row r="191" spans="1:9" x14ac:dyDescent="0.35">
      <c r="A191" s="19">
        <v>45705</v>
      </c>
      <c r="B191" s="20"/>
      <c r="C191" s="20"/>
      <c r="D191" s="9">
        <v>10000</v>
      </c>
      <c r="E191" s="56" t="s">
        <v>358</v>
      </c>
      <c r="F191" s="20">
        <f t="shared" si="2"/>
        <v>144315573</v>
      </c>
      <c r="G191" s="7" t="s">
        <v>282</v>
      </c>
      <c r="H191" s="59" t="s">
        <v>109</v>
      </c>
      <c r="I191" s="32" t="s">
        <v>152</v>
      </c>
    </row>
    <row r="192" spans="1:9" x14ac:dyDescent="0.35">
      <c r="A192" s="19">
        <v>45705</v>
      </c>
      <c r="B192" s="20"/>
      <c r="C192" s="20"/>
      <c r="D192" s="9">
        <v>1550000</v>
      </c>
      <c r="E192" s="56" t="s">
        <v>358</v>
      </c>
      <c r="F192" s="20">
        <f t="shared" si="2"/>
        <v>145865573</v>
      </c>
      <c r="G192" s="7" t="s">
        <v>293</v>
      </c>
      <c r="H192" s="59" t="s">
        <v>109</v>
      </c>
      <c r="I192" s="32" t="s">
        <v>152</v>
      </c>
    </row>
    <row r="193" spans="1:9" x14ac:dyDescent="0.35">
      <c r="A193" s="19">
        <v>45705</v>
      </c>
      <c r="B193" s="20"/>
      <c r="C193" s="20"/>
      <c r="D193" s="9">
        <v>10000</v>
      </c>
      <c r="E193" s="56" t="s">
        <v>358</v>
      </c>
      <c r="F193" s="20">
        <f t="shared" si="2"/>
        <v>145875573</v>
      </c>
      <c r="G193" s="7" t="s">
        <v>282</v>
      </c>
      <c r="H193" s="59" t="s">
        <v>109</v>
      </c>
      <c r="I193" s="32" t="s">
        <v>152</v>
      </c>
    </row>
    <row r="194" spans="1:9" x14ac:dyDescent="0.35">
      <c r="A194" s="19">
        <v>45706</v>
      </c>
      <c r="B194" s="20"/>
      <c r="C194" s="20"/>
      <c r="D194" s="23">
        <v>3264000</v>
      </c>
      <c r="E194" s="56" t="s">
        <v>358</v>
      </c>
      <c r="F194" s="20">
        <f t="shared" si="2"/>
        <v>149139573</v>
      </c>
      <c r="G194" s="24" t="s">
        <v>107</v>
      </c>
      <c r="H194" s="59" t="s">
        <v>107</v>
      </c>
      <c r="I194" s="32" t="s">
        <v>152</v>
      </c>
    </row>
    <row r="195" spans="1:9" x14ac:dyDescent="0.35">
      <c r="A195" s="19">
        <v>45706</v>
      </c>
      <c r="B195" s="20"/>
      <c r="C195" s="20"/>
      <c r="D195" s="23">
        <v>3961000</v>
      </c>
      <c r="E195" s="56" t="s">
        <v>358</v>
      </c>
      <c r="F195" s="20">
        <f t="shared" si="2"/>
        <v>153100573</v>
      </c>
      <c r="G195" s="24" t="s">
        <v>109</v>
      </c>
      <c r="H195" s="59" t="s">
        <v>109</v>
      </c>
      <c r="I195" s="32" t="s">
        <v>152</v>
      </c>
    </row>
    <row r="196" spans="1:9" x14ac:dyDescent="0.35">
      <c r="A196" s="19">
        <v>45706</v>
      </c>
      <c r="B196" s="23">
        <v>2000000</v>
      </c>
      <c r="C196" s="20"/>
      <c r="D196" s="9"/>
      <c r="E196" s="56" t="s">
        <v>358</v>
      </c>
      <c r="F196" s="20">
        <f t="shared" si="2"/>
        <v>151100573</v>
      </c>
      <c r="G196" s="24" t="s">
        <v>110</v>
      </c>
      <c r="H196" s="59" t="s">
        <v>320</v>
      </c>
      <c r="I196" s="32" t="s">
        <v>152</v>
      </c>
    </row>
    <row r="197" spans="1:9" x14ac:dyDescent="0.35">
      <c r="A197" s="19"/>
      <c r="B197" s="20"/>
      <c r="C197" s="9">
        <v>5225000</v>
      </c>
      <c r="D197" s="9"/>
      <c r="E197" s="56"/>
      <c r="F197" s="20">
        <f t="shared" si="2"/>
        <v>151100573</v>
      </c>
      <c r="G197" s="7" t="s">
        <v>98</v>
      </c>
      <c r="H197" s="59"/>
      <c r="I197" s="32"/>
    </row>
    <row r="198" spans="1:9" x14ac:dyDescent="0.35">
      <c r="A198" s="19">
        <v>45706</v>
      </c>
      <c r="B198" s="20">
        <v>625000</v>
      </c>
      <c r="C198" s="20"/>
      <c r="D198" s="9"/>
      <c r="E198" s="56" t="s">
        <v>358</v>
      </c>
      <c r="F198" s="20">
        <f t="shared" si="2"/>
        <v>150475573</v>
      </c>
      <c r="G198" s="7" t="s">
        <v>286</v>
      </c>
      <c r="H198" s="59" t="s">
        <v>320</v>
      </c>
      <c r="I198" s="32" t="s">
        <v>152</v>
      </c>
    </row>
    <row r="199" spans="1:9" x14ac:dyDescent="0.35">
      <c r="A199" s="19">
        <v>45706</v>
      </c>
      <c r="B199" s="20">
        <v>2500</v>
      </c>
      <c r="C199" s="20"/>
      <c r="D199" s="9"/>
      <c r="E199" s="56" t="s">
        <v>358</v>
      </c>
      <c r="F199" s="20">
        <f t="shared" si="2"/>
        <v>150473073</v>
      </c>
      <c r="G199" s="7" t="s">
        <v>287</v>
      </c>
      <c r="H199" s="59" t="s">
        <v>320</v>
      </c>
      <c r="I199" s="32" t="s">
        <v>152</v>
      </c>
    </row>
    <row r="200" spans="1:9" x14ac:dyDescent="0.35">
      <c r="A200" s="19">
        <v>45706</v>
      </c>
      <c r="B200" s="20"/>
      <c r="C200" s="20"/>
      <c r="D200" s="9">
        <v>150000</v>
      </c>
      <c r="E200" s="56" t="s">
        <v>358</v>
      </c>
      <c r="F200" s="20">
        <f t="shared" si="2"/>
        <v>150623073</v>
      </c>
      <c r="G200" s="7" t="s">
        <v>291</v>
      </c>
      <c r="H200" s="59" t="s">
        <v>109</v>
      </c>
      <c r="I200" s="32" t="s">
        <v>152</v>
      </c>
    </row>
    <row r="201" spans="1:9" x14ac:dyDescent="0.35">
      <c r="A201" s="19">
        <v>45707</v>
      </c>
      <c r="B201" s="20"/>
      <c r="C201" s="20"/>
      <c r="D201" s="9">
        <v>20000</v>
      </c>
      <c r="E201" s="56" t="s">
        <v>358</v>
      </c>
      <c r="F201" s="20">
        <f t="shared" si="2"/>
        <v>150643073</v>
      </c>
      <c r="G201" s="7" t="s">
        <v>282</v>
      </c>
      <c r="H201" s="59" t="s">
        <v>109</v>
      </c>
      <c r="I201" s="32" t="s">
        <v>152</v>
      </c>
    </row>
    <row r="202" spans="1:9" x14ac:dyDescent="0.35">
      <c r="A202" s="19">
        <v>45707</v>
      </c>
      <c r="B202" s="20"/>
      <c r="C202" s="20"/>
      <c r="D202" s="9">
        <v>1000000</v>
      </c>
      <c r="E202" s="56" t="s">
        <v>358</v>
      </c>
      <c r="F202" s="20">
        <f t="shared" ref="F202:F265" si="3">+F201+D202-B202</f>
        <v>151643073</v>
      </c>
      <c r="G202" s="7" t="s">
        <v>292</v>
      </c>
      <c r="H202" s="59" t="s">
        <v>109</v>
      </c>
      <c r="I202" s="32" t="s">
        <v>152</v>
      </c>
    </row>
    <row r="203" spans="1:9" x14ac:dyDescent="0.35">
      <c r="A203" s="19">
        <v>45707</v>
      </c>
      <c r="B203" s="20"/>
      <c r="C203" s="20"/>
      <c r="D203" s="9">
        <v>400000</v>
      </c>
      <c r="E203" s="56" t="s">
        <v>358</v>
      </c>
      <c r="F203" s="20">
        <f t="shared" si="3"/>
        <v>152043073</v>
      </c>
      <c r="G203" s="7" t="s">
        <v>288</v>
      </c>
      <c r="H203" s="59" t="s">
        <v>140</v>
      </c>
      <c r="I203" s="32" t="s">
        <v>152</v>
      </c>
    </row>
    <row r="204" spans="1:9" x14ac:dyDescent="0.35">
      <c r="A204" s="19">
        <v>45708</v>
      </c>
      <c r="B204" s="20"/>
      <c r="C204" s="20"/>
      <c r="D204" s="9">
        <v>20000</v>
      </c>
      <c r="E204" s="56" t="s">
        <v>358</v>
      </c>
      <c r="F204" s="20">
        <f t="shared" si="3"/>
        <v>152063073</v>
      </c>
      <c r="G204" s="7" t="s">
        <v>282</v>
      </c>
      <c r="H204" s="59" t="s">
        <v>109</v>
      </c>
      <c r="I204" s="32" t="s">
        <v>152</v>
      </c>
    </row>
    <row r="205" spans="1:9" x14ac:dyDescent="0.35">
      <c r="A205" s="19"/>
      <c r="B205" s="20"/>
      <c r="C205" s="23">
        <v>2650000</v>
      </c>
      <c r="D205" s="9"/>
      <c r="E205" s="56"/>
      <c r="F205" s="20">
        <f t="shared" si="3"/>
        <v>152063073</v>
      </c>
      <c r="G205" s="7" t="s">
        <v>294</v>
      </c>
      <c r="H205" s="59"/>
      <c r="I205" s="32"/>
    </row>
    <row r="206" spans="1:9" x14ac:dyDescent="0.35">
      <c r="A206" s="19"/>
      <c r="B206" s="20"/>
      <c r="C206" s="27">
        <v>-265000</v>
      </c>
      <c r="D206" s="9"/>
      <c r="E206" s="56"/>
      <c r="F206" s="20">
        <f t="shared" si="3"/>
        <v>152063073</v>
      </c>
      <c r="G206" s="7" t="s">
        <v>295</v>
      </c>
      <c r="H206" s="59"/>
      <c r="I206" s="32"/>
    </row>
    <row r="207" spans="1:9" x14ac:dyDescent="0.35">
      <c r="A207" s="19">
        <v>45708</v>
      </c>
      <c r="B207" s="20"/>
      <c r="C207" s="20"/>
      <c r="D207" s="9">
        <v>2385000</v>
      </c>
      <c r="E207" s="56" t="s">
        <v>358</v>
      </c>
      <c r="F207" s="20">
        <f t="shared" si="3"/>
        <v>154448073</v>
      </c>
      <c r="G207" s="7" t="s">
        <v>289</v>
      </c>
      <c r="H207" s="59" t="s">
        <v>109</v>
      </c>
      <c r="I207" s="32" t="s">
        <v>152</v>
      </c>
    </row>
    <row r="208" spans="1:9" x14ac:dyDescent="0.35">
      <c r="A208" s="19">
        <v>45709</v>
      </c>
      <c r="B208" s="20"/>
      <c r="C208" s="20"/>
      <c r="D208" s="9">
        <v>100000</v>
      </c>
      <c r="E208" s="56" t="s">
        <v>358</v>
      </c>
      <c r="F208" s="20">
        <f t="shared" si="3"/>
        <v>154548073</v>
      </c>
      <c r="G208" s="7" t="s">
        <v>255</v>
      </c>
      <c r="H208" s="59" t="s">
        <v>109</v>
      </c>
      <c r="I208" s="32" t="s">
        <v>152</v>
      </c>
    </row>
    <row r="209" spans="1:9" x14ac:dyDescent="0.35">
      <c r="A209" s="19">
        <v>45712</v>
      </c>
      <c r="B209" s="20">
        <v>750000</v>
      </c>
      <c r="C209" s="20"/>
      <c r="D209" s="9"/>
      <c r="E209" s="56" t="s">
        <v>358</v>
      </c>
      <c r="F209" s="20">
        <f t="shared" si="3"/>
        <v>153798073</v>
      </c>
      <c r="G209" s="7" t="s">
        <v>160</v>
      </c>
      <c r="H209" s="59" t="s">
        <v>323</v>
      </c>
      <c r="I209" s="32" t="s">
        <v>152</v>
      </c>
    </row>
    <row r="210" spans="1:9" x14ac:dyDescent="0.35">
      <c r="A210" s="19">
        <v>45712</v>
      </c>
      <c r="B210" s="20">
        <v>2500</v>
      </c>
      <c r="C210" s="20"/>
      <c r="D210" s="9"/>
      <c r="E210" s="56" t="s">
        <v>358</v>
      </c>
      <c r="F210" s="20">
        <f t="shared" si="3"/>
        <v>153795573</v>
      </c>
      <c r="G210" s="7" t="s">
        <v>161</v>
      </c>
      <c r="H210" s="59" t="s">
        <v>323</v>
      </c>
      <c r="I210" s="32" t="s">
        <v>152</v>
      </c>
    </row>
    <row r="211" spans="1:9" x14ac:dyDescent="0.35">
      <c r="A211" s="19">
        <v>45712</v>
      </c>
      <c r="B211" s="20"/>
      <c r="C211" s="20"/>
      <c r="D211" s="9">
        <v>50000</v>
      </c>
      <c r="E211" s="56" t="s">
        <v>358</v>
      </c>
      <c r="F211" s="20">
        <f t="shared" si="3"/>
        <v>153845573</v>
      </c>
      <c r="G211" s="7" t="s">
        <v>282</v>
      </c>
      <c r="H211" s="59" t="s">
        <v>109</v>
      </c>
      <c r="I211" s="32" t="s">
        <v>152</v>
      </c>
    </row>
    <row r="212" spans="1:9" x14ac:dyDescent="0.35">
      <c r="A212" s="19">
        <v>45712</v>
      </c>
      <c r="B212" s="20"/>
      <c r="C212" s="20"/>
      <c r="D212" s="9">
        <v>20000</v>
      </c>
      <c r="E212" s="56" t="s">
        <v>358</v>
      </c>
      <c r="F212" s="20">
        <f t="shared" si="3"/>
        <v>153865573</v>
      </c>
      <c r="G212" s="7" t="s">
        <v>282</v>
      </c>
      <c r="H212" s="59" t="s">
        <v>109</v>
      </c>
      <c r="I212" s="32" t="s">
        <v>152</v>
      </c>
    </row>
    <row r="213" spans="1:9" x14ac:dyDescent="0.35">
      <c r="A213" s="19">
        <v>45712</v>
      </c>
      <c r="B213" s="20"/>
      <c r="C213" s="20"/>
      <c r="D213" s="9">
        <v>150000</v>
      </c>
      <c r="E213" s="56" t="s">
        <v>358</v>
      </c>
      <c r="F213" s="20">
        <f t="shared" si="3"/>
        <v>154015573</v>
      </c>
      <c r="G213" s="7" t="s">
        <v>282</v>
      </c>
      <c r="H213" s="59" t="s">
        <v>109</v>
      </c>
      <c r="I213" s="32" t="s">
        <v>152</v>
      </c>
    </row>
    <row r="214" spans="1:9" x14ac:dyDescent="0.35">
      <c r="A214" s="19">
        <v>45712</v>
      </c>
      <c r="B214" s="20"/>
      <c r="C214" s="20"/>
      <c r="D214" s="9">
        <v>1904</v>
      </c>
      <c r="E214" s="56" t="s">
        <v>358</v>
      </c>
      <c r="F214" s="20">
        <f t="shared" si="3"/>
        <v>154017477</v>
      </c>
      <c r="G214" s="7" t="s">
        <v>282</v>
      </c>
      <c r="H214" s="59" t="s">
        <v>109</v>
      </c>
      <c r="I214" s="32" t="s">
        <v>152</v>
      </c>
    </row>
    <row r="215" spans="1:9" x14ac:dyDescent="0.35">
      <c r="A215" s="19">
        <v>45712</v>
      </c>
      <c r="B215" s="20">
        <v>1000000</v>
      </c>
      <c r="C215" s="20"/>
      <c r="D215" s="9"/>
      <c r="E215" s="56" t="s">
        <v>358</v>
      </c>
      <c r="F215" s="20">
        <f t="shared" si="3"/>
        <v>153017477</v>
      </c>
      <c r="G215" s="7" t="s">
        <v>165</v>
      </c>
      <c r="H215" s="59" t="s">
        <v>323</v>
      </c>
      <c r="I215" s="32" t="s">
        <v>152</v>
      </c>
    </row>
    <row r="216" spans="1:9" x14ac:dyDescent="0.35">
      <c r="A216" s="19">
        <v>45712</v>
      </c>
      <c r="B216" s="20">
        <v>2500</v>
      </c>
      <c r="C216" s="20"/>
      <c r="D216" s="9"/>
      <c r="E216" s="56" t="s">
        <v>358</v>
      </c>
      <c r="F216" s="20">
        <f t="shared" si="3"/>
        <v>153014977</v>
      </c>
      <c r="G216" s="7" t="s">
        <v>166</v>
      </c>
      <c r="H216" s="59" t="s">
        <v>323</v>
      </c>
      <c r="I216" s="32" t="s">
        <v>152</v>
      </c>
    </row>
    <row r="217" spans="1:9" x14ac:dyDescent="0.35">
      <c r="A217" s="19">
        <v>45712</v>
      </c>
      <c r="B217" s="20">
        <v>1500000</v>
      </c>
      <c r="C217" s="20"/>
      <c r="D217" s="9"/>
      <c r="E217" s="56" t="s">
        <v>358</v>
      </c>
      <c r="F217" s="20">
        <f t="shared" si="3"/>
        <v>151514977</v>
      </c>
      <c r="G217" s="7" t="s">
        <v>303</v>
      </c>
      <c r="H217" s="59" t="s">
        <v>323</v>
      </c>
      <c r="I217" s="32" t="s">
        <v>152</v>
      </c>
    </row>
    <row r="218" spans="1:9" x14ac:dyDescent="0.35">
      <c r="A218" s="19">
        <v>45712</v>
      </c>
      <c r="B218" s="20">
        <v>6500</v>
      </c>
      <c r="C218" s="20"/>
      <c r="D218" s="9"/>
      <c r="E218" s="56" t="s">
        <v>358</v>
      </c>
      <c r="F218" s="20">
        <f t="shared" si="3"/>
        <v>151508477</v>
      </c>
      <c r="G218" s="7" t="s">
        <v>304</v>
      </c>
      <c r="H218" s="59" t="s">
        <v>323</v>
      </c>
      <c r="I218" s="32" t="s">
        <v>152</v>
      </c>
    </row>
    <row r="219" spans="1:9" x14ac:dyDescent="0.35">
      <c r="A219" s="19">
        <v>45712</v>
      </c>
      <c r="B219" s="20"/>
      <c r="C219" s="20"/>
      <c r="D219" s="9">
        <v>5000</v>
      </c>
      <c r="E219" s="56" t="s">
        <v>358</v>
      </c>
      <c r="F219" s="20">
        <f t="shared" si="3"/>
        <v>151513477</v>
      </c>
      <c r="G219" s="7" t="s">
        <v>282</v>
      </c>
      <c r="H219" s="59" t="s">
        <v>109</v>
      </c>
      <c r="I219" s="32" t="s">
        <v>152</v>
      </c>
    </row>
    <row r="220" spans="1:9" x14ac:dyDescent="0.35">
      <c r="A220" s="19">
        <v>45712</v>
      </c>
      <c r="B220" s="20"/>
      <c r="C220" s="20"/>
      <c r="D220" s="9">
        <v>1000</v>
      </c>
      <c r="E220" s="56" t="s">
        <v>358</v>
      </c>
      <c r="F220" s="20">
        <f t="shared" si="3"/>
        <v>151514477</v>
      </c>
      <c r="G220" s="7" t="s">
        <v>282</v>
      </c>
      <c r="H220" s="59" t="s">
        <v>109</v>
      </c>
      <c r="I220" s="32" t="s">
        <v>152</v>
      </c>
    </row>
    <row r="221" spans="1:9" x14ac:dyDescent="0.35">
      <c r="A221" s="19">
        <v>45712</v>
      </c>
      <c r="B221" s="20"/>
      <c r="C221" s="20"/>
      <c r="D221" s="23">
        <v>2641000</v>
      </c>
      <c r="E221" s="56" t="s">
        <v>358</v>
      </c>
      <c r="F221" s="20">
        <f t="shared" si="3"/>
        <v>154155477</v>
      </c>
      <c r="G221" s="24" t="s">
        <v>107</v>
      </c>
      <c r="H221" s="59" t="s">
        <v>107</v>
      </c>
      <c r="I221" s="32" t="s">
        <v>152</v>
      </c>
    </row>
    <row r="222" spans="1:9" x14ac:dyDescent="0.35">
      <c r="A222" s="19">
        <v>45712</v>
      </c>
      <c r="B222" s="20"/>
      <c r="C222" s="20"/>
      <c r="D222" s="23">
        <v>3441000</v>
      </c>
      <c r="E222" s="56" t="s">
        <v>358</v>
      </c>
      <c r="F222" s="20">
        <f t="shared" si="3"/>
        <v>157596477</v>
      </c>
      <c r="G222" s="24" t="s">
        <v>109</v>
      </c>
      <c r="H222" s="59" t="s">
        <v>109</v>
      </c>
      <c r="I222" s="32" t="s">
        <v>152</v>
      </c>
    </row>
    <row r="223" spans="1:9" x14ac:dyDescent="0.35">
      <c r="A223" s="19">
        <v>45712</v>
      </c>
      <c r="B223" s="23">
        <v>1000000</v>
      </c>
      <c r="C223" s="20"/>
      <c r="D223" s="23"/>
      <c r="E223" s="56" t="s">
        <v>358</v>
      </c>
      <c r="F223" s="20">
        <f t="shared" si="3"/>
        <v>156596477</v>
      </c>
      <c r="G223" s="24" t="s">
        <v>110</v>
      </c>
      <c r="H223" s="59" t="s">
        <v>320</v>
      </c>
      <c r="I223" s="32" t="s">
        <v>152</v>
      </c>
    </row>
    <row r="224" spans="1:9" x14ac:dyDescent="0.35">
      <c r="A224" s="19">
        <v>45712</v>
      </c>
      <c r="B224" s="23">
        <v>62000</v>
      </c>
      <c r="C224" s="20"/>
      <c r="D224" s="9"/>
      <c r="E224" s="56" t="s">
        <v>358</v>
      </c>
      <c r="F224" s="20">
        <f t="shared" si="3"/>
        <v>156534477</v>
      </c>
      <c r="G224" s="24" t="s">
        <v>115</v>
      </c>
      <c r="H224" s="59" t="s">
        <v>320</v>
      </c>
      <c r="I224" s="32" t="s">
        <v>152</v>
      </c>
    </row>
    <row r="225" spans="1:9" x14ac:dyDescent="0.35">
      <c r="A225" s="19"/>
      <c r="B225" s="20"/>
      <c r="C225" s="95">
        <v>5020000</v>
      </c>
      <c r="D225" s="9"/>
      <c r="E225" s="56"/>
      <c r="F225" s="20">
        <f t="shared" si="3"/>
        <v>156534477</v>
      </c>
      <c r="G225" s="7" t="s">
        <v>305</v>
      </c>
      <c r="H225" s="59"/>
      <c r="I225" s="32"/>
    </row>
    <row r="226" spans="1:9" x14ac:dyDescent="0.35">
      <c r="A226" s="19">
        <v>45713</v>
      </c>
      <c r="B226" s="20"/>
      <c r="C226" s="20"/>
      <c r="D226" s="9">
        <v>50000</v>
      </c>
      <c r="E226" s="56" t="s">
        <v>358</v>
      </c>
      <c r="F226" s="20">
        <f t="shared" si="3"/>
        <v>156584477</v>
      </c>
      <c r="G226" s="7" t="s">
        <v>282</v>
      </c>
      <c r="H226" s="59" t="s">
        <v>109</v>
      </c>
      <c r="I226" s="32" t="s">
        <v>152</v>
      </c>
    </row>
    <row r="227" spans="1:9" x14ac:dyDescent="0.35">
      <c r="A227" s="19">
        <v>45713</v>
      </c>
      <c r="B227" s="20"/>
      <c r="C227" s="20"/>
      <c r="D227" s="9">
        <v>10000</v>
      </c>
      <c r="E227" s="56" t="s">
        <v>358</v>
      </c>
      <c r="F227" s="20">
        <f t="shared" si="3"/>
        <v>156594477</v>
      </c>
      <c r="G227" s="7" t="s">
        <v>282</v>
      </c>
      <c r="H227" s="59" t="s">
        <v>109</v>
      </c>
      <c r="I227" s="32" t="s">
        <v>152</v>
      </c>
    </row>
    <row r="228" spans="1:9" x14ac:dyDescent="0.35">
      <c r="A228" s="19">
        <v>45713</v>
      </c>
      <c r="B228" s="20"/>
      <c r="C228" s="20"/>
      <c r="D228" s="9">
        <v>200000</v>
      </c>
      <c r="E228" s="56" t="s">
        <v>358</v>
      </c>
      <c r="F228" s="20">
        <f t="shared" si="3"/>
        <v>156794477</v>
      </c>
      <c r="G228" s="7" t="s">
        <v>306</v>
      </c>
      <c r="H228" s="59" t="s">
        <v>109</v>
      </c>
      <c r="I228" s="32" t="s">
        <v>152</v>
      </c>
    </row>
    <row r="229" spans="1:9" x14ac:dyDescent="0.35">
      <c r="A229" s="19">
        <v>45713</v>
      </c>
      <c r="B229" s="20">
        <v>15000</v>
      </c>
      <c r="C229" s="20"/>
      <c r="D229" s="9"/>
      <c r="E229" s="56" t="s">
        <v>358</v>
      </c>
      <c r="F229" s="20">
        <f t="shared" si="3"/>
        <v>156779477</v>
      </c>
      <c r="G229" s="7" t="s">
        <v>307</v>
      </c>
      <c r="H229" s="59" t="s">
        <v>320</v>
      </c>
      <c r="I229" s="32" t="s">
        <v>152</v>
      </c>
    </row>
    <row r="230" spans="1:9" x14ac:dyDescent="0.35">
      <c r="A230" s="19">
        <v>45713</v>
      </c>
      <c r="B230" s="20">
        <v>2500</v>
      </c>
      <c r="C230" s="20"/>
      <c r="D230" s="9"/>
      <c r="E230" s="56" t="s">
        <v>358</v>
      </c>
      <c r="F230" s="20">
        <f t="shared" si="3"/>
        <v>156776977</v>
      </c>
      <c r="G230" s="7" t="s">
        <v>308</v>
      </c>
      <c r="H230" s="59" t="s">
        <v>320</v>
      </c>
      <c r="I230" s="32" t="s">
        <v>152</v>
      </c>
    </row>
    <row r="231" spans="1:9" x14ac:dyDescent="0.35">
      <c r="A231" s="19">
        <v>45714</v>
      </c>
      <c r="B231" s="20"/>
      <c r="C231" s="20"/>
      <c r="D231" s="9">
        <v>10000</v>
      </c>
      <c r="E231" s="56" t="s">
        <v>358</v>
      </c>
      <c r="F231" s="20">
        <f t="shared" si="3"/>
        <v>156786977</v>
      </c>
      <c r="G231" s="7" t="s">
        <v>282</v>
      </c>
      <c r="H231" s="59" t="s">
        <v>109</v>
      </c>
      <c r="I231" s="32" t="s">
        <v>152</v>
      </c>
    </row>
    <row r="232" spans="1:9" x14ac:dyDescent="0.35">
      <c r="A232" s="19">
        <v>45715</v>
      </c>
      <c r="B232" s="20"/>
      <c r="C232" s="20"/>
      <c r="D232" s="9">
        <v>10000</v>
      </c>
      <c r="E232" s="56" t="s">
        <v>358</v>
      </c>
      <c r="F232" s="20">
        <f t="shared" si="3"/>
        <v>156796977</v>
      </c>
      <c r="G232" s="7" t="s">
        <v>282</v>
      </c>
      <c r="H232" s="59" t="s">
        <v>109</v>
      </c>
      <c r="I232" s="32" t="s">
        <v>152</v>
      </c>
    </row>
    <row r="233" spans="1:9" x14ac:dyDescent="0.35">
      <c r="A233" s="19">
        <v>45715</v>
      </c>
      <c r="B233" s="20"/>
      <c r="C233" s="20"/>
      <c r="D233" s="9">
        <v>20000</v>
      </c>
      <c r="E233" s="56" t="s">
        <v>358</v>
      </c>
      <c r="F233" s="20">
        <f t="shared" si="3"/>
        <v>156816977</v>
      </c>
      <c r="G233" s="7" t="s">
        <v>282</v>
      </c>
      <c r="H233" s="59" t="s">
        <v>109</v>
      </c>
      <c r="I233" s="32" t="s">
        <v>152</v>
      </c>
    </row>
    <row r="234" spans="1:9" x14ac:dyDescent="0.35">
      <c r="A234" s="19">
        <v>45715</v>
      </c>
      <c r="B234" s="20"/>
      <c r="C234" s="20"/>
      <c r="D234" s="9">
        <v>10000</v>
      </c>
      <c r="E234" s="56" t="s">
        <v>358</v>
      </c>
      <c r="F234" s="20">
        <f t="shared" si="3"/>
        <v>156826977</v>
      </c>
      <c r="G234" s="7" t="s">
        <v>282</v>
      </c>
      <c r="H234" s="59" t="s">
        <v>109</v>
      </c>
      <c r="I234" s="32" t="s">
        <v>152</v>
      </c>
    </row>
    <row r="235" spans="1:9" x14ac:dyDescent="0.35">
      <c r="A235" s="19">
        <v>45715</v>
      </c>
      <c r="B235" s="20"/>
      <c r="C235" s="20"/>
      <c r="D235" s="20">
        <v>1000000</v>
      </c>
      <c r="E235" s="56" t="s">
        <v>358</v>
      </c>
      <c r="F235" s="20">
        <f t="shared" si="3"/>
        <v>157826977</v>
      </c>
      <c r="G235" s="7" t="s">
        <v>314</v>
      </c>
      <c r="H235" s="59" t="s">
        <v>109</v>
      </c>
      <c r="I235" s="32" t="s">
        <v>152</v>
      </c>
    </row>
    <row r="236" spans="1:9" x14ac:dyDescent="0.35">
      <c r="A236" s="19">
        <v>45715</v>
      </c>
      <c r="B236" s="20">
        <v>2000000</v>
      </c>
      <c r="C236" s="20"/>
      <c r="D236" s="20"/>
      <c r="E236" s="56" t="s">
        <v>358</v>
      </c>
      <c r="F236" s="20">
        <f t="shared" si="3"/>
        <v>155826977</v>
      </c>
      <c r="G236" s="7" t="s">
        <v>171</v>
      </c>
      <c r="H236" s="59" t="s">
        <v>325</v>
      </c>
      <c r="I236" s="32" t="s">
        <v>152</v>
      </c>
    </row>
    <row r="237" spans="1:9" x14ac:dyDescent="0.35">
      <c r="A237" s="19">
        <v>45715</v>
      </c>
      <c r="B237" s="20">
        <v>6500</v>
      </c>
      <c r="C237" s="20"/>
      <c r="D237" s="20"/>
      <c r="E237" s="56" t="s">
        <v>358</v>
      </c>
      <c r="F237" s="20">
        <f t="shared" si="3"/>
        <v>155820477</v>
      </c>
      <c r="G237" s="7" t="s">
        <v>171</v>
      </c>
      <c r="H237" s="59" t="s">
        <v>325</v>
      </c>
      <c r="I237" s="32" t="s">
        <v>152</v>
      </c>
    </row>
    <row r="238" spans="1:9" x14ac:dyDescent="0.35">
      <c r="A238" s="19">
        <v>45715</v>
      </c>
      <c r="B238" s="20">
        <v>2000000</v>
      </c>
      <c r="C238" s="20"/>
      <c r="D238" s="20"/>
      <c r="E238" s="56" t="s">
        <v>358</v>
      </c>
      <c r="F238" s="20">
        <f t="shared" si="3"/>
        <v>153820477</v>
      </c>
      <c r="G238" s="7" t="s">
        <v>180</v>
      </c>
      <c r="H238" s="59" t="s">
        <v>325</v>
      </c>
      <c r="I238" s="32" t="s">
        <v>152</v>
      </c>
    </row>
    <row r="239" spans="1:9" x14ac:dyDescent="0.35">
      <c r="A239" s="19">
        <v>45715</v>
      </c>
      <c r="B239" s="20">
        <v>6500</v>
      </c>
      <c r="C239" s="20"/>
      <c r="D239" s="20"/>
      <c r="E239" s="56" t="s">
        <v>358</v>
      </c>
      <c r="F239" s="20">
        <f t="shared" si="3"/>
        <v>153813977</v>
      </c>
      <c r="G239" s="7" t="s">
        <v>180</v>
      </c>
      <c r="H239" s="59" t="s">
        <v>325</v>
      </c>
      <c r="I239" s="32" t="s">
        <v>152</v>
      </c>
    </row>
    <row r="240" spans="1:9" x14ac:dyDescent="0.35">
      <c r="A240" s="19">
        <v>45715</v>
      </c>
      <c r="B240" s="20">
        <v>2500000</v>
      </c>
      <c r="C240" s="20"/>
      <c r="D240" s="20"/>
      <c r="E240" s="56" t="s">
        <v>358</v>
      </c>
      <c r="F240" s="20">
        <f t="shared" si="3"/>
        <v>151313977</v>
      </c>
      <c r="G240" s="7" t="s">
        <v>315</v>
      </c>
      <c r="H240" s="59" t="s">
        <v>325</v>
      </c>
      <c r="I240" s="32" t="s">
        <v>152</v>
      </c>
    </row>
    <row r="241" spans="1:9" x14ac:dyDescent="0.35">
      <c r="A241" s="19">
        <v>45715</v>
      </c>
      <c r="B241" s="20">
        <v>6500</v>
      </c>
      <c r="C241" s="20"/>
      <c r="D241" s="20"/>
      <c r="E241" s="56" t="s">
        <v>358</v>
      </c>
      <c r="F241" s="20">
        <f t="shared" si="3"/>
        <v>151307477</v>
      </c>
      <c r="G241" s="7" t="s">
        <v>315</v>
      </c>
      <c r="H241" s="59" t="s">
        <v>325</v>
      </c>
      <c r="I241" s="32" t="s">
        <v>152</v>
      </c>
    </row>
    <row r="242" spans="1:9" x14ac:dyDescent="0.35">
      <c r="A242" s="19">
        <v>45715</v>
      </c>
      <c r="B242" s="20">
        <v>3250000</v>
      </c>
      <c r="C242" s="20"/>
      <c r="D242" s="20"/>
      <c r="E242" s="56" t="s">
        <v>358</v>
      </c>
      <c r="F242" s="20">
        <f t="shared" si="3"/>
        <v>148057477</v>
      </c>
      <c r="G242" s="7" t="s">
        <v>169</v>
      </c>
      <c r="H242" s="59" t="s">
        <v>325</v>
      </c>
      <c r="I242" s="32" t="s">
        <v>152</v>
      </c>
    </row>
    <row r="243" spans="1:9" x14ac:dyDescent="0.35">
      <c r="A243" s="19">
        <v>45715</v>
      </c>
      <c r="B243" s="20">
        <v>6500</v>
      </c>
      <c r="C243" s="20"/>
      <c r="D243" s="20"/>
      <c r="E243" s="56" t="s">
        <v>358</v>
      </c>
      <c r="F243" s="20">
        <f t="shared" si="3"/>
        <v>148050977</v>
      </c>
      <c r="G243" s="7" t="s">
        <v>169</v>
      </c>
      <c r="H243" s="59" t="s">
        <v>325</v>
      </c>
      <c r="I243" s="32" t="s">
        <v>152</v>
      </c>
    </row>
    <row r="244" spans="1:9" x14ac:dyDescent="0.35">
      <c r="A244" s="19">
        <v>45715</v>
      </c>
      <c r="B244" s="20">
        <v>2700000</v>
      </c>
      <c r="C244" s="20"/>
      <c r="D244" s="20"/>
      <c r="E244" s="56" t="s">
        <v>358</v>
      </c>
      <c r="F244" s="20">
        <f t="shared" si="3"/>
        <v>145350977</v>
      </c>
      <c r="G244" s="7" t="s">
        <v>175</v>
      </c>
      <c r="H244" s="59" t="s">
        <v>201</v>
      </c>
      <c r="I244" s="32" t="s">
        <v>152</v>
      </c>
    </row>
    <row r="245" spans="1:9" x14ac:dyDescent="0.35">
      <c r="A245" s="19">
        <v>45715</v>
      </c>
      <c r="B245" s="20">
        <v>6500</v>
      </c>
      <c r="C245" s="20"/>
      <c r="D245" s="20"/>
      <c r="E245" s="56" t="s">
        <v>358</v>
      </c>
      <c r="F245" s="20">
        <f t="shared" si="3"/>
        <v>145344477</v>
      </c>
      <c r="G245" s="7" t="s">
        <v>175</v>
      </c>
      <c r="H245" s="59" t="s">
        <v>201</v>
      </c>
      <c r="I245" s="32" t="s">
        <v>152</v>
      </c>
    </row>
    <row r="246" spans="1:9" x14ac:dyDescent="0.35">
      <c r="A246" s="19">
        <v>45715</v>
      </c>
      <c r="B246" s="20">
        <v>1500000</v>
      </c>
      <c r="C246" s="20"/>
      <c r="D246" s="20"/>
      <c r="E246" s="56" t="s">
        <v>358</v>
      </c>
      <c r="F246" s="20">
        <f t="shared" si="3"/>
        <v>143844477</v>
      </c>
      <c r="G246" s="7" t="s">
        <v>178</v>
      </c>
      <c r="H246" s="59" t="s">
        <v>325</v>
      </c>
      <c r="I246" s="32" t="s">
        <v>152</v>
      </c>
    </row>
    <row r="247" spans="1:9" x14ac:dyDescent="0.35">
      <c r="A247" s="19">
        <v>45715</v>
      </c>
      <c r="B247" s="20">
        <v>6500</v>
      </c>
      <c r="C247" s="20"/>
      <c r="D247" s="20"/>
      <c r="E247" s="56" t="s">
        <v>358</v>
      </c>
      <c r="F247" s="20">
        <f t="shared" si="3"/>
        <v>143837977</v>
      </c>
      <c r="G247" s="7" t="s">
        <v>178</v>
      </c>
      <c r="H247" s="59" t="s">
        <v>325</v>
      </c>
      <c r="I247" s="32" t="s">
        <v>152</v>
      </c>
    </row>
    <row r="248" spans="1:9" x14ac:dyDescent="0.35">
      <c r="A248" s="19">
        <v>45715</v>
      </c>
      <c r="B248" s="20">
        <v>2500000</v>
      </c>
      <c r="C248" s="20"/>
      <c r="D248" s="20"/>
      <c r="E248" s="56" t="s">
        <v>358</v>
      </c>
      <c r="F248" s="20">
        <f t="shared" si="3"/>
        <v>141337977</v>
      </c>
      <c r="G248" s="7" t="s">
        <v>181</v>
      </c>
      <c r="H248" s="59" t="s">
        <v>325</v>
      </c>
      <c r="I248" s="32" t="s">
        <v>152</v>
      </c>
    </row>
    <row r="249" spans="1:9" x14ac:dyDescent="0.35">
      <c r="A249" s="19">
        <v>45715</v>
      </c>
      <c r="B249" s="20"/>
      <c r="C249" s="20"/>
      <c r="D249" s="20">
        <v>1250000</v>
      </c>
      <c r="E249" s="56" t="s">
        <v>358</v>
      </c>
      <c r="F249" s="20">
        <f t="shared" si="3"/>
        <v>142587977</v>
      </c>
      <c r="G249" s="7" t="s">
        <v>316</v>
      </c>
      <c r="H249" s="59" t="s">
        <v>109</v>
      </c>
      <c r="I249" s="32" t="s">
        <v>152</v>
      </c>
    </row>
    <row r="250" spans="1:9" x14ac:dyDescent="0.35">
      <c r="A250" s="19">
        <v>45716</v>
      </c>
      <c r="B250" s="20"/>
      <c r="C250" s="20"/>
      <c r="D250" s="20">
        <v>10000</v>
      </c>
      <c r="E250" s="56" t="s">
        <v>358</v>
      </c>
      <c r="F250" s="20">
        <f t="shared" si="3"/>
        <v>142597977</v>
      </c>
      <c r="G250" s="7" t="s">
        <v>282</v>
      </c>
      <c r="H250" s="59" t="s">
        <v>109</v>
      </c>
      <c r="I250" s="32" t="s">
        <v>152</v>
      </c>
    </row>
    <row r="251" spans="1:9" x14ac:dyDescent="0.35">
      <c r="A251" s="19">
        <v>45716</v>
      </c>
      <c r="B251" s="20"/>
      <c r="C251" s="20"/>
      <c r="D251" s="20">
        <v>50000</v>
      </c>
      <c r="E251" s="56" t="s">
        <v>358</v>
      </c>
      <c r="F251" s="20">
        <f t="shared" si="3"/>
        <v>142647977</v>
      </c>
      <c r="G251" s="7" t="s">
        <v>282</v>
      </c>
      <c r="H251" s="59" t="s">
        <v>109</v>
      </c>
      <c r="I251" s="32" t="s">
        <v>152</v>
      </c>
    </row>
    <row r="252" spans="1:9" x14ac:dyDescent="0.35">
      <c r="A252" s="19">
        <v>45716</v>
      </c>
      <c r="B252" s="20">
        <v>4000000</v>
      </c>
      <c r="C252" s="20"/>
      <c r="D252" s="20"/>
      <c r="E252" s="56" t="s">
        <v>358</v>
      </c>
      <c r="F252" s="20">
        <f t="shared" si="3"/>
        <v>138647977</v>
      </c>
      <c r="G252" s="7" t="s">
        <v>317</v>
      </c>
      <c r="H252" s="59" t="s">
        <v>201</v>
      </c>
      <c r="I252" s="32" t="s">
        <v>152</v>
      </c>
    </row>
    <row r="253" spans="1:9" x14ac:dyDescent="0.35">
      <c r="A253" s="19">
        <v>45716</v>
      </c>
      <c r="B253" s="20">
        <v>2500</v>
      </c>
      <c r="C253" s="20"/>
      <c r="D253" s="20"/>
      <c r="E253" s="56" t="s">
        <v>358</v>
      </c>
      <c r="F253" s="20">
        <f t="shared" si="3"/>
        <v>138645477</v>
      </c>
      <c r="G253" s="7" t="s">
        <v>318</v>
      </c>
      <c r="H253" s="59" t="s">
        <v>201</v>
      </c>
      <c r="I253" s="32" t="s">
        <v>152</v>
      </c>
    </row>
    <row r="254" spans="1:9" x14ac:dyDescent="0.35">
      <c r="A254" s="19">
        <v>45716</v>
      </c>
      <c r="B254" s="20">
        <v>7000</v>
      </c>
      <c r="C254" s="20"/>
      <c r="D254" s="20"/>
      <c r="E254" s="56" t="s">
        <v>358</v>
      </c>
      <c r="F254" s="20">
        <f t="shared" si="3"/>
        <v>138638477</v>
      </c>
      <c r="G254" s="7" t="s">
        <v>319</v>
      </c>
      <c r="H254" s="59" t="s">
        <v>320</v>
      </c>
      <c r="I254" s="32" t="s">
        <v>152</v>
      </c>
    </row>
    <row r="255" spans="1:9" x14ac:dyDescent="0.35">
      <c r="A255" s="19">
        <v>45719</v>
      </c>
      <c r="B255" s="20"/>
      <c r="C255" s="20"/>
      <c r="D255" s="20">
        <v>50000</v>
      </c>
      <c r="E255" s="99" t="s">
        <v>521</v>
      </c>
      <c r="F255" s="20">
        <f t="shared" si="3"/>
        <v>138688477</v>
      </c>
      <c r="G255" s="7" t="s">
        <v>330</v>
      </c>
      <c r="H255" s="24" t="s">
        <v>109</v>
      </c>
      <c r="I255" s="32" t="s">
        <v>152</v>
      </c>
    </row>
    <row r="256" spans="1:9" x14ac:dyDescent="0.35">
      <c r="A256" s="19">
        <v>45719</v>
      </c>
      <c r="B256" s="20"/>
      <c r="C256" s="20"/>
      <c r="D256" s="20">
        <v>20000</v>
      </c>
      <c r="E256" s="99" t="s">
        <v>521</v>
      </c>
      <c r="F256" s="20">
        <f t="shared" si="3"/>
        <v>138708477</v>
      </c>
      <c r="G256" s="7" t="s">
        <v>330</v>
      </c>
      <c r="H256" s="24" t="s">
        <v>109</v>
      </c>
      <c r="I256" s="32" t="s">
        <v>152</v>
      </c>
    </row>
    <row r="257" spans="1:9" x14ac:dyDescent="0.35">
      <c r="A257" s="19">
        <v>45719</v>
      </c>
      <c r="B257" s="20"/>
      <c r="C257" s="20"/>
      <c r="D257" s="20">
        <v>10000</v>
      </c>
      <c r="E257" s="99" t="s">
        <v>521</v>
      </c>
      <c r="F257" s="20">
        <f t="shared" si="3"/>
        <v>138718477</v>
      </c>
      <c r="G257" s="7" t="s">
        <v>330</v>
      </c>
      <c r="H257" s="24" t="s">
        <v>109</v>
      </c>
      <c r="I257" s="32" t="s">
        <v>152</v>
      </c>
    </row>
    <row r="258" spans="1:9" x14ac:dyDescent="0.35">
      <c r="A258" s="19">
        <v>45719</v>
      </c>
      <c r="B258" s="20"/>
      <c r="C258" s="20"/>
      <c r="D258" s="20">
        <v>75000</v>
      </c>
      <c r="E258" s="99" t="s">
        <v>521</v>
      </c>
      <c r="F258" s="20">
        <f t="shared" si="3"/>
        <v>138793477</v>
      </c>
      <c r="G258" s="7" t="s">
        <v>330</v>
      </c>
      <c r="H258" s="24" t="s">
        <v>109</v>
      </c>
      <c r="I258" s="32" t="s">
        <v>152</v>
      </c>
    </row>
    <row r="259" spans="1:9" x14ac:dyDescent="0.35">
      <c r="A259" s="19">
        <v>45719</v>
      </c>
      <c r="B259" s="20"/>
      <c r="C259" s="20"/>
      <c r="D259" s="20">
        <v>10000</v>
      </c>
      <c r="E259" s="99" t="s">
        <v>521</v>
      </c>
      <c r="F259" s="20">
        <f t="shared" si="3"/>
        <v>138803477</v>
      </c>
      <c r="G259" s="7" t="s">
        <v>330</v>
      </c>
      <c r="H259" s="24" t="s">
        <v>109</v>
      </c>
      <c r="I259" s="32" t="s">
        <v>152</v>
      </c>
    </row>
    <row r="260" spans="1:9" x14ac:dyDescent="0.35">
      <c r="A260" s="19">
        <v>45719</v>
      </c>
      <c r="B260" s="20"/>
      <c r="C260" s="20"/>
      <c r="D260" s="20">
        <v>800</v>
      </c>
      <c r="E260" s="99" t="s">
        <v>521</v>
      </c>
      <c r="F260" s="20">
        <f t="shared" si="3"/>
        <v>138804277</v>
      </c>
      <c r="G260" s="7" t="s">
        <v>330</v>
      </c>
      <c r="H260" s="24" t="s">
        <v>109</v>
      </c>
      <c r="I260" s="32" t="s">
        <v>152</v>
      </c>
    </row>
    <row r="261" spans="1:9" x14ac:dyDescent="0.35">
      <c r="A261" s="19">
        <v>45719</v>
      </c>
      <c r="B261" s="20"/>
      <c r="C261" s="20"/>
      <c r="D261" s="20">
        <v>200000</v>
      </c>
      <c r="E261" s="99" t="s">
        <v>521</v>
      </c>
      <c r="F261" s="20">
        <f t="shared" si="3"/>
        <v>139004277</v>
      </c>
      <c r="G261" s="7" t="s">
        <v>331</v>
      </c>
      <c r="H261" s="24" t="s">
        <v>109</v>
      </c>
      <c r="I261" s="32" t="s">
        <v>152</v>
      </c>
    </row>
    <row r="262" spans="1:9" x14ac:dyDescent="0.35">
      <c r="A262" s="19">
        <v>45719</v>
      </c>
      <c r="B262" s="20">
        <v>4002500</v>
      </c>
      <c r="C262" s="20"/>
      <c r="D262" s="20"/>
      <c r="E262" s="99" t="s">
        <v>521</v>
      </c>
      <c r="F262" s="20">
        <f t="shared" si="3"/>
        <v>135001777</v>
      </c>
      <c r="G262" s="7" t="s">
        <v>332</v>
      </c>
      <c r="H262" s="24" t="s">
        <v>327</v>
      </c>
      <c r="I262" s="32" t="s">
        <v>152</v>
      </c>
    </row>
    <row r="263" spans="1:9" x14ac:dyDescent="0.35">
      <c r="A263" s="19">
        <v>45719</v>
      </c>
      <c r="B263" s="20"/>
      <c r="C263" s="20"/>
      <c r="D263" s="20">
        <v>10000</v>
      </c>
      <c r="E263" s="99" t="s">
        <v>521</v>
      </c>
      <c r="F263" s="20">
        <f t="shared" si="3"/>
        <v>135011777</v>
      </c>
      <c r="G263" s="7" t="s">
        <v>330</v>
      </c>
      <c r="H263" s="24" t="s">
        <v>109</v>
      </c>
      <c r="I263" s="32" t="s">
        <v>152</v>
      </c>
    </row>
    <row r="264" spans="1:9" x14ac:dyDescent="0.35">
      <c r="A264" s="19">
        <v>45719</v>
      </c>
      <c r="B264" s="20"/>
      <c r="C264" s="20"/>
      <c r="D264" s="20">
        <v>50000</v>
      </c>
      <c r="E264" s="99" t="s">
        <v>521</v>
      </c>
      <c r="F264" s="20">
        <f t="shared" si="3"/>
        <v>135061777</v>
      </c>
      <c r="G264" s="7" t="s">
        <v>330</v>
      </c>
      <c r="H264" s="24" t="s">
        <v>109</v>
      </c>
      <c r="I264" s="32" t="s">
        <v>152</v>
      </c>
    </row>
    <row r="265" spans="1:9" x14ac:dyDescent="0.35">
      <c r="A265" s="19">
        <v>45719</v>
      </c>
      <c r="B265" s="20"/>
      <c r="C265" s="20"/>
      <c r="D265" s="20">
        <v>5000</v>
      </c>
      <c r="E265" s="99" t="s">
        <v>521</v>
      </c>
      <c r="F265" s="20">
        <f t="shared" si="3"/>
        <v>135066777</v>
      </c>
      <c r="G265" s="7" t="s">
        <v>330</v>
      </c>
      <c r="H265" s="24" t="s">
        <v>109</v>
      </c>
      <c r="I265" s="32" t="s">
        <v>152</v>
      </c>
    </row>
    <row r="266" spans="1:9" x14ac:dyDescent="0.35">
      <c r="A266" s="19">
        <v>45719</v>
      </c>
      <c r="B266" s="20"/>
      <c r="C266" s="20"/>
      <c r="D266" s="20">
        <v>50000</v>
      </c>
      <c r="E266" s="99" t="s">
        <v>521</v>
      </c>
      <c r="F266" s="20">
        <f t="shared" ref="F266:F329" si="4">+F265+D266-B266</f>
        <v>135116777</v>
      </c>
      <c r="G266" s="7" t="s">
        <v>330</v>
      </c>
      <c r="H266" s="24" t="s">
        <v>109</v>
      </c>
      <c r="I266" s="32" t="s">
        <v>152</v>
      </c>
    </row>
    <row r="267" spans="1:9" x14ac:dyDescent="0.35">
      <c r="A267" s="19">
        <v>45719</v>
      </c>
      <c r="B267" s="20"/>
      <c r="C267" s="20"/>
      <c r="D267" s="20">
        <v>10000</v>
      </c>
      <c r="E267" s="99" t="s">
        <v>521</v>
      </c>
      <c r="F267" s="20">
        <f t="shared" si="4"/>
        <v>135126777</v>
      </c>
      <c r="G267" s="7" t="s">
        <v>330</v>
      </c>
      <c r="H267" s="24" t="s">
        <v>109</v>
      </c>
      <c r="I267" s="32" t="s">
        <v>152</v>
      </c>
    </row>
    <row r="268" spans="1:9" x14ac:dyDescent="0.35">
      <c r="A268" s="19">
        <v>45719</v>
      </c>
      <c r="B268" s="20"/>
      <c r="C268" s="20"/>
      <c r="D268" s="20">
        <v>20000</v>
      </c>
      <c r="E268" s="99" t="s">
        <v>521</v>
      </c>
      <c r="F268" s="20">
        <f t="shared" si="4"/>
        <v>135146777</v>
      </c>
      <c r="G268" s="7" t="s">
        <v>330</v>
      </c>
      <c r="H268" s="24" t="s">
        <v>109</v>
      </c>
      <c r="I268" s="32" t="s">
        <v>152</v>
      </c>
    </row>
    <row r="269" spans="1:9" x14ac:dyDescent="0.35">
      <c r="A269" s="19">
        <v>45719</v>
      </c>
      <c r="B269" s="20"/>
      <c r="C269" s="20"/>
      <c r="D269" s="20">
        <v>10000</v>
      </c>
      <c r="E269" s="99" t="s">
        <v>521</v>
      </c>
      <c r="F269" s="20">
        <f t="shared" si="4"/>
        <v>135156777</v>
      </c>
      <c r="G269" s="7" t="s">
        <v>330</v>
      </c>
      <c r="H269" s="24" t="s">
        <v>109</v>
      </c>
      <c r="I269" s="32" t="s">
        <v>152</v>
      </c>
    </row>
    <row r="270" spans="1:9" x14ac:dyDescent="0.35">
      <c r="A270" s="19">
        <v>45719</v>
      </c>
      <c r="B270" s="20"/>
      <c r="C270" s="20"/>
      <c r="D270" s="20">
        <v>5000</v>
      </c>
      <c r="E270" s="99" t="s">
        <v>521</v>
      </c>
      <c r="F270" s="20">
        <f t="shared" si="4"/>
        <v>135161777</v>
      </c>
      <c r="G270" s="7" t="s">
        <v>330</v>
      </c>
      <c r="H270" s="24" t="s">
        <v>109</v>
      </c>
      <c r="I270" s="32" t="s">
        <v>152</v>
      </c>
    </row>
    <row r="271" spans="1:9" x14ac:dyDescent="0.35">
      <c r="A271" s="19">
        <v>45719</v>
      </c>
      <c r="B271" s="20"/>
      <c r="C271" s="20"/>
      <c r="D271" s="20">
        <v>100000</v>
      </c>
      <c r="E271" s="99" t="s">
        <v>521</v>
      </c>
      <c r="F271" s="20">
        <f t="shared" si="4"/>
        <v>135261777</v>
      </c>
      <c r="G271" s="7" t="s">
        <v>330</v>
      </c>
      <c r="H271" s="24" t="s">
        <v>109</v>
      </c>
      <c r="I271" s="32" t="s">
        <v>152</v>
      </c>
    </row>
    <row r="272" spans="1:9" x14ac:dyDescent="0.35">
      <c r="A272" s="19">
        <v>45719</v>
      </c>
      <c r="B272" s="20"/>
      <c r="C272" s="20"/>
      <c r="D272" s="20">
        <v>20000</v>
      </c>
      <c r="E272" s="99" t="s">
        <v>521</v>
      </c>
      <c r="F272" s="20">
        <f t="shared" si="4"/>
        <v>135281777</v>
      </c>
      <c r="G272" s="7" t="s">
        <v>330</v>
      </c>
      <c r="H272" s="24" t="s">
        <v>109</v>
      </c>
      <c r="I272" s="32" t="s">
        <v>152</v>
      </c>
    </row>
    <row r="273" spans="1:9" x14ac:dyDescent="0.35">
      <c r="A273" s="19">
        <v>45719</v>
      </c>
      <c r="B273" s="20"/>
      <c r="C273" s="20"/>
      <c r="D273" s="20">
        <v>10000</v>
      </c>
      <c r="E273" s="99" t="s">
        <v>521</v>
      </c>
      <c r="F273" s="20">
        <f t="shared" si="4"/>
        <v>135291777</v>
      </c>
      <c r="G273" s="7" t="s">
        <v>330</v>
      </c>
      <c r="H273" s="24" t="s">
        <v>109</v>
      </c>
      <c r="I273" s="32" t="s">
        <v>152</v>
      </c>
    </row>
    <row r="274" spans="1:9" x14ac:dyDescent="0.35">
      <c r="A274" s="19">
        <v>45719</v>
      </c>
      <c r="B274" s="20"/>
      <c r="C274" s="20"/>
      <c r="D274" s="20">
        <v>5000</v>
      </c>
      <c r="E274" s="99" t="s">
        <v>521</v>
      </c>
      <c r="F274" s="20">
        <f t="shared" si="4"/>
        <v>135296777</v>
      </c>
      <c r="G274" s="7" t="s">
        <v>330</v>
      </c>
      <c r="H274" s="24" t="s">
        <v>109</v>
      </c>
      <c r="I274" s="32" t="s">
        <v>152</v>
      </c>
    </row>
    <row r="275" spans="1:9" x14ac:dyDescent="0.35">
      <c r="A275" s="19">
        <v>45719</v>
      </c>
      <c r="B275" s="20"/>
      <c r="C275" s="20"/>
      <c r="D275" s="20">
        <v>5000</v>
      </c>
      <c r="E275" s="99" t="s">
        <v>521</v>
      </c>
      <c r="F275" s="20">
        <f t="shared" si="4"/>
        <v>135301777</v>
      </c>
      <c r="G275" s="7" t="s">
        <v>330</v>
      </c>
      <c r="H275" s="24" t="s">
        <v>109</v>
      </c>
      <c r="I275" s="32" t="s">
        <v>152</v>
      </c>
    </row>
    <row r="276" spans="1:9" x14ac:dyDescent="0.35">
      <c r="A276" s="19">
        <v>45719</v>
      </c>
      <c r="B276" s="20"/>
      <c r="C276" s="20"/>
      <c r="D276" s="20">
        <v>200000</v>
      </c>
      <c r="E276" s="99" t="s">
        <v>521</v>
      </c>
      <c r="F276" s="20">
        <f t="shared" si="4"/>
        <v>135501777</v>
      </c>
      <c r="G276" s="7" t="s">
        <v>333</v>
      </c>
      <c r="H276" s="24" t="s">
        <v>109</v>
      </c>
      <c r="I276" s="32" t="s">
        <v>152</v>
      </c>
    </row>
    <row r="277" spans="1:9" x14ac:dyDescent="0.35">
      <c r="A277" s="19">
        <v>45719</v>
      </c>
      <c r="B277" s="20"/>
      <c r="C277" s="20"/>
      <c r="D277" s="20">
        <v>550000</v>
      </c>
      <c r="E277" s="99" t="s">
        <v>521</v>
      </c>
      <c r="F277" s="20">
        <f t="shared" si="4"/>
        <v>136051777</v>
      </c>
      <c r="G277" s="7" t="s">
        <v>330</v>
      </c>
      <c r="H277" s="24" t="s">
        <v>109</v>
      </c>
      <c r="I277" s="32" t="s">
        <v>152</v>
      </c>
    </row>
    <row r="278" spans="1:9" x14ac:dyDescent="0.35">
      <c r="A278" s="19">
        <v>45719</v>
      </c>
      <c r="B278" s="20"/>
      <c r="C278" s="20"/>
      <c r="D278" s="20">
        <v>50000</v>
      </c>
      <c r="E278" s="99" t="s">
        <v>521</v>
      </c>
      <c r="F278" s="20">
        <f t="shared" si="4"/>
        <v>136101777</v>
      </c>
      <c r="G278" s="7" t="s">
        <v>330</v>
      </c>
      <c r="H278" s="24" t="s">
        <v>109</v>
      </c>
      <c r="I278" s="32" t="s">
        <v>152</v>
      </c>
    </row>
    <row r="279" spans="1:9" x14ac:dyDescent="0.35">
      <c r="A279" s="19">
        <v>45719</v>
      </c>
      <c r="B279" s="20"/>
      <c r="C279" s="20"/>
      <c r="D279" s="20">
        <v>21439</v>
      </c>
      <c r="E279" s="99" t="s">
        <v>521</v>
      </c>
      <c r="F279" s="20">
        <f t="shared" si="4"/>
        <v>136123216</v>
      </c>
      <c r="G279" s="7" t="s">
        <v>330</v>
      </c>
      <c r="H279" s="24" t="s">
        <v>109</v>
      </c>
      <c r="I279" s="32" t="s">
        <v>152</v>
      </c>
    </row>
    <row r="280" spans="1:9" x14ac:dyDescent="0.35">
      <c r="A280" s="19">
        <v>45719</v>
      </c>
      <c r="B280" s="20"/>
      <c r="C280" s="20"/>
      <c r="D280" s="20">
        <v>50000</v>
      </c>
      <c r="E280" s="99" t="s">
        <v>521</v>
      </c>
      <c r="F280" s="20">
        <f t="shared" si="4"/>
        <v>136173216</v>
      </c>
      <c r="G280" s="7" t="s">
        <v>330</v>
      </c>
      <c r="H280" s="24" t="s">
        <v>109</v>
      </c>
      <c r="I280" s="32" t="s">
        <v>152</v>
      </c>
    </row>
    <row r="281" spans="1:9" x14ac:dyDescent="0.35">
      <c r="A281" s="19">
        <v>45719</v>
      </c>
      <c r="B281" s="20"/>
      <c r="C281" s="20"/>
      <c r="D281" s="20">
        <v>10000</v>
      </c>
      <c r="E281" s="99" t="s">
        <v>521</v>
      </c>
      <c r="F281" s="20">
        <f t="shared" si="4"/>
        <v>136183216</v>
      </c>
      <c r="G281" s="7" t="s">
        <v>330</v>
      </c>
      <c r="H281" s="24" t="s">
        <v>109</v>
      </c>
      <c r="I281" s="32" t="s">
        <v>152</v>
      </c>
    </row>
    <row r="282" spans="1:9" x14ac:dyDescent="0.35">
      <c r="A282" s="19">
        <v>45719</v>
      </c>
      <c r="B282" s="20"/>
      <c r="C282" s="20"/>
      <c r="D282" s="20">
        <v>10000</v>
      </c>
      <c r="E282" s="99" t="s">
        <v>521</v>
      </c>
      <c r="F282" s="20">
        <f t="shared" si="4"/>
        <v>136193216</v>
      </c>
      <c r="G282" s="7" t="s">
        <v>330</v>
      </c>
      <c r="H282" s="24" t="s">
        <v>109</v>
      </c>
      <c r="I282" s="32" t="s">
        <v>152</v>
      </c>
    </row>
    <row r="283" spans="1:9" x14ac:dyDescent="0.35">
      <c r="A283" s="19">
        <v>45719</v>
      </c>
      <c r="B283" s="20"/>
      <c r="C283" s="20"/>
      <c r="D283" s="20">
        <v>5000</v>
      </c>
      <c r="E283" s="99" t="s">
        <v>521</v>
      </c>
      <c r="F283" s="20">
        <f t="shared" si="4"/>
        <v>136198216</v>
      </c>
      <c r="G283" s="7" t="s">
        <v>330</v>
      </c>
      <c r="H283" s="24" t="s">
        <v>109</v>
      </c>
      <c r="I283" s="32" t="s">
        <v>152</v>
      </c>
    </row>
    <row r="284" spans="1:9" x14ac:dyDescent="0.35">
      <c r="A284" s="19">
        <v>45719</v>
      </c>
      <c r="B284" s="20"/>
      <c r="C284" s="20"/>
      <c r="D284" s="20">
        <v>20000</v>
      </c>
      <c r="E284" s="99" t="s">
        <v>521</v>
      </c>
      <c r="F284" s="20">
        <f t="shared" si="4"/>
        <v>136218216</v>
      </c>
      <c r="G284" s="7" t="s">
        <v>330</v>
      </c>
      <c r="H284" s="24" t="s">
        <v>109</v>
      </c>
      <c r="I284" s="32" t="s">
        <v>152</v>
      </c>
    </row>
    <row r="285" spans="1:9" x14ac:dyDescent="0.35">
      <c r="A285" s="19">
        <v>45719</v>
      </c>
      <c r="B285" s="20"/>
      <c r="C285" s="20"/>
      <c r="D285" s="20">
        <v>100000</v>
      </c>
      <c r="E285" s="99" t="s">
        <v>521</v>
      </c>
      <c r="F285" s="20">
        <f t="shared" si="4"/>
        <v>136318216</v>
      </c>
      <c r="G285" s="7" t="s">
        <v>330</v>
      </c>
      <c r="H285" s="24" t="s">
        <v>109</v>
      </c>
      <c r="I285" s="32" t="s">
        <v>152</v>
      </c>
    </row>
    <row r="286" spans="1:9" x14ac:dyDescent="0.35">
      <c r="A286" s="19">
        <v>45719</v>
      </c>
      <c r="B286" s="20"/>
      <c r="C286" s="20"/>
      <c r="D286" s="20">
        <v>100000</v>
      </c>
      <c r="E286" s="99" t="s">
        <v>521</v>
      </c>
      <c r="F286" s="20">
        <f t="shared" si="4"/>
        <v>136418216</v>
      </c>
      <c r="G286" s="7" t="s">
        <v>330</v>
      </c>
      <c r="H286" s="24" t="s">
        <v>109</v>
      </c>
      <c r="I286" s="32" t="s">
        <v>152</v>
      </c>
    </row>
    <row r="287" spans="1:9" x14ac:dyDescent="0.35">
      <c r="A287" s="19">
        <v>45719</v>
      </c>
      <c r="B287" s="20"/>
      <c r="C287" s="20"/>
      <c r="D287" s="20">
        <v>50000</v>
      </c>
      <c r="E287" s="99" t="s">
        <v>521</v>
      </c>
      <c r="F287" s="20">
        <f t="shared" si="4"/>
        <v>136468216</v>
      </c>
      <c r="G287" s="7" t="s">
        <v>330</v>
      </c>
      <c r="H287" s="24" t="s">
        <v>109</v>
      </c>
      <c r="I287" s="32" t="s">
        <v>152</v>
      </c>
    </row>
    <row r="288" spans="1:9" x14ac:dyDescent="0.35">
      <c r="A288" s="19">
        <v>45719</v>
      </c>
      <c r="B288" s="20"/>
      <c r="C288" s="20"/>
      <c r="D288" s="20">
        <v>25000</v>
      </c>
      <c r="E288" s="99" t="s">
        <v>521</v>
      </c>
      <c r="F288" s="20">
        <f t="shared" si="4"/>
        <v>136493216</v>
      </c>
      <c r="G288" s="7" t="s">
        <v>330</v>
      </c>
      <c r="H288" s="24" t="s">
        <v>109</v>
      </c>
      <c r="I288" s="32" t="s">
        <v>152</v>
      </c>
    </row>
    <row r="289" spans="1:9" x14ac:dyDescent="0.35">
      <c r="A289" s="19">
        <v>45719</v>
      </c>
      <c r="B289" s="20"/>
      <c r="C289" s="20"/>
      <c r="D289" s="20">
        <v>20000</v>
      </c>
      <c r="E289" s="99" t="s">
        <v>521</v>
      </c>
      <c r="F289" s="20">
        <f t="shared" si="4"/>
        <v>136513216</v>
      </c>
      <c r="G289" s="7" t="s">
        <v>330</v>
      </c>
      <c r="H289" s="24" t="s">
        <v>109</v>
      </c>
      <c r="I289" s="32" t="s">
        <v>152</v>
      </c>
    </row>
    <row r="290" spans="1:9" x14ac:dyDescent="0.35">
      <c r="A290" s="19">
        <v>45719</v>
      </c>
      <c r="B290" s="20"/>
      <c r="C290" s="20"/>
      <c r="D290" s="20">
        <v>10000</v>
      </c>
      <c r="E290" s="99" t="s">
        <v>521</v>
      </c>
      <c r="F290" s="20">
        <f t="shared" si="4"/>
        <v>136523216</v>
      </c>
      <c r="G290" s="7" t="s">
        <v>330</v>
      </c>
      <c r="H290" s="24" t="s">
        <v>109</v>
      </c>
      <c r="I290" s="32" t="s">
        <v>152</v>
      </c>
    </row>
    <row r="291" spans="1:9" x14ac:dyDescent="0.35">
      <c r="A291" s="19">
        <v>45719</v>
      </c>
      <c r="B291" s="20"/>
      <c r="C291" s="20"/>
      <c r="D291" s="20">
        <v>4000</v>
      </c>
      <c r="E291" s="99" t="s">
        <v>521</v>
      </c>
      <c r="F291" s="20">
        <f t="shared" si="4"/>
        <v>136527216</v>
      </c>
      <c r="G291" s="7" t="s">
        <v>330</v>
      </c>
      <c r="H291" s="24" t="s">
        <v>109</v>
      </c>
      <c r="I291" s="32" t="s">
        <v>152</v>
      </c>
    </row>
    <row r="292" spans="1:9" x14ac:dyDescent="0.35">
      <c r="A292" s="19">
        <v>45719</v>
      </c>
      <c r="B292" s="20"/>
      <c r="C292" s="20"/>
      <c r="D292" s="20">
        <v>500000</v>
      </c>
      <c r="E292" s="99" t="s">
        <v>521</v>
      </c>
      <c r="F292" s="20">
        <f t="shared" si="4"/>
        <v>137027216</v>
      </c>
      <c r="G292" s="7" t="s">
        <v>233</v>
      </c>
      <c r="H292" s="24" t="s">
        <v>109</v>
      </c>
      <c r="I292" s="32" t="s">
        <v>152</v>
      </c>
    </row>
    <row r="293" spans="1:9" x14ac:dyDescent="0.35">
      <c r="A293" s="19">
        <v>45719</v>
      </c>
      <c r="B293" s="20"/>
      <c r="C293" s="20"/>
      <c r="D293" s="23">
        <v>2885000</v>
      </c>
      <c r="E293" s="99" t="s">
        <v>521</v>
      </c>
      <c r="F293" s="20">
        <f t="shared" si="4"/>
        <v>139912216</v>
      </c>
      <c r="G293" s="24" t="s">
        <v>107</v>
      </c>
      <c r="H293" s="24" t="s">
        <v>107</v>
      </c>
      <c r="I293" s="32" t="s">
        <v>152</v>
      </c>
    </row>
    <row r="294" spans="1:9" x14ac:dyDescent="0.35">
      <c r="A294" s="19">
        <v>45719</v>
      </c>
      <c r="B294" s="20"/>
      <c r="C294" s="20"/>
      <c r="D294" s="23">
        <v>1322000</v>
      </c>
      <c r="E294" s="99" t="s">
        <v>521</v>
      </c>
      <c r="F294" s="20">
        <f t="shared" si="4"/>
        <v>141234216</v>
      </c>
      <c r="G294" s="24" t="s">
        <v>109</v>
      </c>
      <c r="H294" s="24" t="s">
        <v>109</v>
      </c>
      <c r="I294" s="32" t="s">
        <v>152</v>
      </c>
    </row>
    <row r="295" spans="1:9" x14ac:dyDescent="0.35">
      <c r="A295" s="19"/>
      <c r="B295" s="20"/>
      <c r="C295" s="20">
        <v>4207000</v>
      </c>
      <c r="D295" s="20"/>
      <c r="E295" s="99"/>
      <c r="F295" s="20">
        <f t="shared" si="4"/>
        <v>141234216</v>
      </c>
      <c r="G295" s="7" t="s">
        <v>305</v>
      </c>
      <c r="H295" s="24"/>
      <c r="I295" s="32"/>
    </row>
    <row r="296" spans="1:9" x14ac:dyDescent="0.35">
      <c r="A296" s="19">
        <v>45719</v>
      </c>
      <c r="B296" s="20"/>
      <c r="C296" s="20"/>
      <c r="D296" s="20">
        <v>200000</v>
      </c>
      <c r="E296" s="99" t="s">
        <v>521</v>
      </c>
      <c r="F296" s="20">
        <f t="shared" si="4"/>
        <v>141434216</v>
      </c>
      <c r="G296" s="7" t="s">
        <v>237</v>
      </c>
      <c r="H296" s="24" t="s">
        <v>109</v>
      </c>
      <c r="I296" s="32" t="s">
        <v>152</v>
      </c>
    </row>
    <row r="297" spans="1:9" x14ac:dyDescent="0.35">
      <c r="A297" s="19">
        <v>45720</v>
      </c>
      <c r="B297" s="20"/>
      <c r="C297" s="20"/>
      <c r="D297" s="20">
        <v>900000</v>
      </c>
      <c r="E297" s="99" t="s">
        <v>521</v>
      </c>
      <c r="F297" s="20">
        <f t="shared" si="4"/>
        <v>142334216</v>
      </c>
      <c r="G297" s="7" t="s">
        <v>334</v>
      </c>
      <c r="H297" s="24" t="s">
        <v>109</v>
      </c>
      <c r="I297" s="32" t="s">
        <v>152</v>
      </c>
    </row>
    <row r="298" spans="1:9" x14ac:dyDescent="0.35">
      <c r="A298" s="19">
        <v>45720</v>
      </c>
      <c r="B298" s="20"/>
      <c r="C298" s="20"/>
      <c r="D298" s="20">
        <v>300000</v>
      </c>
      <c r="E298" s="99" t="s">
        <v>521</v>
      </c>
      <c r="F298" s="20">
        <f t="shared" si="4"/>
        <v>142634216</v>
      </c>
      <c r="G298" s="7" t="s">
        <v>335</v>
      </c>
      <c r="H298" s="24" t="s">
        <v>109</v>
      </c>
      <c r="I298" s="32" t="s">
        <v>152</v>
      </c>
    </row>
    <row r="299" spans="1:9" x14ac:dyDescent="0.35">
      <c r="A299" s="19">
        <v>45720</v>
      </c>
      <c r="B299" s="20"/>
      <c r="C299" s="20"/>
      <c r="D299" s="20">
        <v>10000</v>
      </c>
      <c r="E299" s="99" t="s">
        <v>521</v>
      </c>
      <c r="F299" s="20">
        <f t="shared" si="4"/>
        <v>142644216</v>
      </c>
      <c r="G299" s="7" t="s">
        <v>330</v>
      </c>
      <c r="H299" s="24" t="s">
        <v>109</v>
      </c>
      <c r="I299" s="32" t="s">
        <v>152</v>
      </c>
    </row>
    <row r="300" spans="1:9" x14ac:dyDescent="0.35">
      <c r="A300" s="19">
        <v>45720</v>
      </c>
      <c r="B300" s="20"/>
      <c r="C300" s="20"/>
      <c r="D300" s="20">
        <v>5000</v>
      </c>
      <c r="E300" s="99" t="s">
        <v>521</v>
      </c>
      <c r="F300" s="20">
        <f t="shared" si="4"/>
        <v>142649216</v>
      </c>
      <c r="G300" s="7" t="s">
        <v>330</v>
      </c>
      <c r="H300" s="24" t="s">
        <v>109</v>
      </c>
      <c r="I300" s="32" t="s">
        <v>152</v>
      </c>
    </row>
    <row r="301" spans="1:9" x14ac:dyDescent="0.35">
      <c r="A301" s="19">
        <v>45720</v>
      </c>
      <c r="B301" s="20"/>
      <c r="C301" s="20"/>
      <c r="D301" s="20">
        <v>20000</v>
      </c>
      <c r="E301" s="99" t="s">
        <v>521</v>
      </c>
      <c r="F301" s="20">
        <f t="shared" si="4"/>
        <v>142669216</v>
      </c>
      <c r="G301" s="7" t="s">
        <v>330</v>
      </c>
      <c r="H301" s="24" t="s">
        <v>109</v>
      </c>
      <c r="I301" s="32" t="s">
        <v>152</v>
      </c>
    </row>
    <row r="302" spans="1:9" x14ac:dyDescent="0.35">
      <c r="A302" s="19">
        <v>45720</v>
      </c>
      <c r="B302" s="20"/>
      <c r="C302" s="20"/>
      <c r="D302" s="20">
        <v>50000</v>
      </c>
      <c r="E302" s="99" t="s">
        <v>521</v>
      </c>
      <c r="F302" s="20">
        <f t="shared" si="4"/>
        <v>142719216</v>
      </c>
      <c r="G302" s="7" t="s">
        <v>330</v>
      </c>
      <c r="H302" s="24" t="s">
        <v>109</v>
      </c>
      <c r="I302" s="32" t="s">
        <v>152</v>
      </c>
    </row>
    <row r="303" spans="1:9" x14ac:dyDescent="0.35">
      <c r="A303" s="19">
        <v>45720</v>
      </c>
      <c r="B303" s="20"/>
      <c r="C303" s="20"/>
      <c r="D303" s="20">
        <v>10000</v>
      </c>
      <c r="E303" s="99" t="s">
        <v>521</v>
      </c>
      <c r="F303" s="20">
        <f t="shared" si="4"/>
        <v>142729216</v>
      </c>
      <c r="G303" s="7" t="s">
        <v>330</v>
      </c>
      <c r="H303" s="24" t="s">
        <v>109</v>
      </c>
      <c r="I303" s="32" t="s">
        <v>152</v>
      </c>
    </row>
    <row r="304" spans="1:9" x14ac:dyDescent="0.35">
      <c r="A304" s="19">
        <v>45720</v>
      </c>
      <c r="B304" s="20"/>
      <c r="C304" s="20"/>
      <c r="D304" s="20">
        <v>10000</v>
      </c>
      <c r="E304" s="99" t="s">
        <v>521</v>
      </c>
      <c r="F304" s="20">
        <f t="shared" si="4"/>
        <v>142739216</v>
      </c>
      <c r="G304" s="7" t="s">
        <v>330</v>
      </c>
      <c r="H304" s="24" t="s">
        <v>109</v>
      </c>
      <c r="I304" s="32" t="s">
        <v>152</v>
      </c>
    </row>
    <row r="305" spans="1:9" x14ac:dyDescent="0.35">
      <c r="A305" s="19">
        <v>45720</v>
      </c>
      <c r="B305" s="20">
        <v>855000</v>
      </c>
      <c r="C305" s="20"/>
      <c r="D305" s="20"/>
      <c r="E305" s="99" t="s">
        <v>521</v>
      </c>
      <c r="F305" s="20">
        <f t="shared" si="4"/>
        <v>141884216</v>
      </c>
      <c r="G305" s="7" t="s">
        <v>336</v>
      </c>
      <c r="H305" s="24" t="s">
        <v>322</v>
      </c>
      <c r="I305" s="32" t="s">
        <v>152</v>
      </c>
    </row>
    <row r="306" spans="1:9" x14ac:dyDescent="0.35">
      <c r="A306" s="19">
        <v>45720</v>
      </c>
      <c r="B306" s="20">
        <v>2500</v>
      </c>
      <c r="C306" s="20"/>
      <c r="D306" s="20"/>
      <c r="E306" s="99" t="s">
        <v>521</v>
      </c>
      <c r="F306" s="20">
        <f t="shared" si="4"/>
        <v>141881716</v>
      </c>
      <c r="G306" s="7" t="s">
        <v>337</v>
      </c>
      <c r="H306" s="24" t="s">
        <v>322</v>
      </c>
      <c r="I306" s="32" t="s">
        <v>152</v>
      </c>
    </row>
    <row r="307" spans="1:9" x14ac:dyDescent="0.35">
      <c r="A307" s="19">
        <v>45720</v>
      </c>
      <c r="B307" s="20"/>
      <c r="C307" s="20"/>
      <c r="D307" s="20">
        <v>150000</v>
      </c>
      <c r="E307" s="99" t="s">
        <v>521</v>
      </c>
      <c r="F307" s="20">
        <f t="shared" si="4"/>
        <v>142031716</v>
      </c>
      <c r="G307" s="7" t="s">
        <v>338</v>
      </c>
      <c r="H307" s="24" t="s">
        <v>109</v>
      </c>
      <c r="I307" s="32" t="s">
        <v>152</v>
      </c>
    </row>
    <row r="308" spans="1:9" x14ac:dyDescent="0.35">
      <c r="A308" s="19">
        <v>45721</v>
      </c>
      <c r="B308" s="20"/>
      <c r="C308" s="20"/>
      <c r="D308" s="20">
        <v>1000000</v>
      </c>
      <c r="E308" s="99" t="s">
        <v>521</v>
      </c>
      <c r="F308" s="20">
        <f t="shared" si="4"/>
        <v>143031716</v>
      </c>
      <c r="G308" s="7" t="s">
        <v>339</v>
      </c>
      <c r="H308" s="24" t="s">
        <v>109</v>
      </c>
      <c r="I308" s="32" t="s">
        <v>152</v>
      </c>
    </row>
    <row r="309" spans="1:9" x14ac:dyDescent="0.35">
      <c r="A309" s="19">
        <v>45721</v>
      </c>
      <c r="B309" s="20">
        <v>1350000</v>
      </c>
      <c r="C309" s="20"/>
      <c r="D309" s="20"/>
      <c r="E309" s="99" t="s">
        <v>521</v>
      </c>
      <c r="F309" s="20">
        <f t="shared" si="4"/>
        <v>141681716</v>
      </c>
      <c r="G309" s="7" t="s">
        <v>340</v>
      </c>
      <c r="H309" s="24" t="s">
        <v>321</v>
      </c>
      <c r="I309" s="32" t="s">
        <v>152</v>
      </c>
    </row>
    <row r="310" spans="1:9" x14ac:dyDescent="0.35">
      <c r="A310" s="19">
        <v>45721</v>
      </c>
      <c r="B310" s="20">
        <v>2500</v>
      </c>
      <c r="C310" s="20"/>
      <c r="D310" s="20"/>
      <c r="E310" s="99" t="s">
        <v>521</v>
      </c>
      <c r="F310" s="20">
        <f t="shared" si="4"/>
        <v>141679216</v>
      </c>
      <c r="G310" s="7" t="s">
        <v>341</v>
      </c>
      <c r="H310" s="24" t="s">
        <v>321</v>
      </c>
      <c r="I310" s="32" t="s">
        <v>152</v>
      </c>
    </row>
    <row r="311" spans="1:9" x14ac:dyDescent="0.35">
      <c r="A311" s="19">
        <v>45721</v>
      </c>
      <c r="B311" s="20"/>
      <c r="C311" s="20"/>
      <c r="D311" s="20">
        <v>1000000</v>
      </c>
      <c r="E311" s="99" t="s">
        <v>521</v>
      </c>
      <c r="F311" s="20">
        <f t="shared" si="4"/>
        <v>142679216</v>
      </c>
      <c r="G311" s="7" t="s">
        <v>342</v>
      </c>
      <c r="H311" s="24" t="s">
        <v>109</v>
      </c>
      <c r="I311" s="32" t="s">
        <v>152</v>
      </c>
    </row>
    <row r="312" spans="1:9" x14ac:dyDescent="0.35">
      <c r="A312" s="19">
        <v>45721</v>
      </c>
      <c r="B312" s="20"/>
      <c r="C312" s="20"/>
      <c r="D312" s="20">
        <v>10000</v>
      </c>
      <c r="E312" s="99" t="s">
        <v>521</v>
      </c>
      <c r="F312" s="20">
        <f t="shared" si="4"/>
        <v>142689216</v>
      </c>
      <c r="G312" s="7" t="s">
        <v>330</v>
      </c>
      <c r="H312" s="24" t="s">
        <v>109</v>
      </c>
      <c r="I312" s="32" t="s">
        <v>152</v>
      </c>
    </row>
    <row r="313" spans="1:9" x14ac:dyDescent="0.35">
      <c r="A313" s="19">
        <v>45721</v>
      </c>
      <c r="B313" s="20"/>
      <c r="C313" s="20"/>
      <c r="D313" s="20">
        <v>100000</v>
      </c>
      <c r="E313" s="99" t="s">
        <v>521</v>
      </c>
      <c r="F313" s="20">
        <f t="shared" si="4"/>
        <v>142789216</v>
      </c>
      <c r="G313" s="7" t="s">
        <v>330</v>
      </c>
      <c r="H313" s="24" t="s">
        <v>109</v>
      </c>
      <c r="I313" s="32" t="s">
        <v>152</v>
      </c>
    </row>
    <row r="314" spans="1:9" x14ac:dyDescent="0.35">
      <c r="A314" s="19">
        <v>45721</v>
      </c>
      <c r="B314" s="20"/>
      <c r="C314" s="20"/>
      <c r="D314" s="20">
        <v>20000</v>
      </c>
      <c r="E314" s="99" t="s">
        <v>521</v>
      </c>
      <c r="F314" s="20">
        <f t="shared" si="4"/>
        <v>142809216</v>
      </c>
      <c r="G314" s="7" t="s">
        <v>330</v>
      </c>
      <c r="H314" s="24" t="s">
        <v>109</v>
      </c>
      <c r="I314" s="32" t="s">
        <v>152</v>
      </c>
    </row>
    <row r="315" spans="1:9" x14ac:dyDescent="0.35">
      <c r="A315" s="19">
        <v>45721</v>
      </c>
      <c r="B315" s="20"/>
      <c r="C315" s="20"/>
      <c r="D315" s="20">
        <v>25000</v>
      </c>
      <c r="E315" s="99" t="s">
        <v>521</v>
      </c>
      <c r="F315" s="20">
        <f t="shared" si="4"/>
        <v>142834216</v>
      </c>
      <c r="G315" s="7" t="s">
        <v>330</v>
      </c>
      <c r="H315" s="24" t="s">
        <v>109</v>
      </c>
      <c r="I315" s="32" t="s">
        <v>152</v>
      </c>
    </row>
    <row r="316" spans="1:9" x14ac:dyDescent="0.35">
      <c r="A316" s="19">
        <v>45721</v>
      </c>
      <c r="B316" s="20"/>
      <c r="C316" s="20"/>
      <c r="D316" s="20">
        <v>10000</v>
      </c>
      <c r="E316" s="99" t="s">
        <v>521</v>
      </c>
      <c r="F316" s="20">
        <f t="shared" si="4"/>
        <v>142844216</v>
      </c>
      <c r="G316" s="7" t="s">
        <v>330</v>
      </c>
      <c r="H316" s="24" t="s">
        <v>109</v>
      </c>
      <c r="I316" s="32" t="s">
        <v>152</v>
      </c>
    </row>
    <row r="317" spans="1:9" x14ac:dyDescent="0.35">
      <c r="A317" s="19">
        <v>45721</v>
      </c>
      <c r="B317" s="20"/>
      <c r="C317" s="20"/>
      <c r="D317" s="20">
        <v>50000</v>
      </c>
      <c r="E317" s="99" t="s">
        <v>521</v>
      </c>
      <c r="F317" s="20">
        <f t="shared" si="4"/>
        <v>142894216</v>
      </c>
      <c r="G317" s="7" t="s">
        <v>330</v>
      </c>
      <c r="H317" s="24" t="s">
        <v>109</v>
      </c>
      <c r="I317" s="32" t="s">
        <v>152</v>
      </c>
    </row>
    <row r="318" spans="1:9" x14ac:dyDescent="0.35">
      <c r="A318" s="19">
        <v>45721</v>
      </c>
      <c r="B318" s="20"/>
      <c r="C318" s="20"/>
      <c r="D318" s="20">
        <v>4341</v>
      </c>
      <c r="E318" s="99" t="s">
        <v>521</v>
      </c>
      <c r="F318" s="20">
        <f t="shared" si="4"/>
        <v>142898557</v>
      </c>
      <c r="G318" s="7" t="s">
        <v>330</v>
      </c>
      <c r="H318" s="24" t="s">
        <v>109</v>
      </c>
      <c r="I318" s="32" t="s">
        <v>152</v>
      </c>
    </row>
    <row r="319" spans="1:9" x14ac:dyDescent="0.35">
      <c r="A319" s="19">
        <v>45721</v>
      </c>
      <c r="B319" s="20"/>
      <c r="C319" s="20"/>
      <c r="D319" s="20">
        <v>16000</v>
      </c>
      <c r="E319" s="99" t="s">
        <v>521</v>
      </c>
      <c r="F319" s="20">
        <f t="shared" si="4"/>
        <v>142914557</v>
      </c>
      <c r="G319" s="7" t="s">
        <v>330</v>
      </c>
      <c r="H319" s="24" t="s">
        <v>109</v>
      </c>
      <c r="I319" s="32" t="s">
        <v>152</v>
      </c>
    </row>
    <row r="320" spans="1:9" x14ac:dyDescent="0.35">
      <c r="A320" s="19">
        <v>45721</v>
      </c>
      <c r="B320" s="20"/>
      <c r="C320" s="20"/>
      <c r="D320" s="20">
        <v>216</v>
      </c>
      <c r="E320" s="99" t="s">
        <v>521</v>
      </c>
      <c r="F320" s="20">
        <f t="shared" si="4"/>
        <v>142914773</v>
      </c>
      <c r="G320" s="7" t="s">
        <v>330</v>
      </c>
      <c r="H320" s="24" t="s">
        <v>109</v>
      </c>
      <c r="I320" s="32" t="s">
        <v>152</v>
      </c>
    </row>
    <row r="321" spans="1:9" x14ac:dyDescent="0.35">
      <c r="A321" s="19">
        <v>45721</v>
      </c>
      <c r="B321" s="20">
        <v>500000</v>
      </c>
      <c r="C321" s="20"/>
      <c r="D321" s="20"/>
      <c r="E321" s="99" t="s">
        <v>521</v>
      </c>
      <c r="F321" s="20">
        <f t="shared" si="4"/>
        <v>142414773</v>
      </c>
      <c r="G321" s="7" t="s">
        <v>343</v>
      </c>
      <c r="H321" s="24" t="s">
        <v>322</v>
      </c>
      <c r="I321" s="32" t="s">
        <v>152</v>
      </c>
    </row>
    <row r="322" spans="1:9" x14ac:dyDescent="0.35">
      <c r="A322" s="19">
        <v>45721</v>
      </c>
      <c r="B322" s="20">
        <v>2500</v>
      </c>
      <c r="C322" s="20"/>
      <c r="D322" s="20"/>
      <c r="E322" s="99" t="s">
        <v>521</v>
      </c>
      <c r="F322" s="20">
        <f t="shared" si="4"/>
        <v>142412273</v>
      </c>
      <c r="G322" s="7" t="s">
        <v>344</v>
      </c>
      <c r="H322" s="24" t="s">
        <v>322</v>
      </c>
      <c r="I322" s="32" t="s">
        <v>152</v>
      </c>
    </row>
    <row r="323" spans="1:9" x14ac:dyDescent="0.35">
      <c r="A323" s="19">
        <v>45721</v>
      </c>
      <c r="B323" s="20"/>
      <c r="C323" s="20"/>
      <c r="D323" s="20">
        <v>600000</v>
      </c>
      <c r="E323" s="99" t="s">
        <v>521</v>
      </c>
      <c r="F323" s="20">
        <f t="shared" si="4"/>
        <v>143012273</v>
      </c>
      <c r="G323" s="7" t="s">
        <v>345</v>
      </c>
      <c r="H323" s="24" t="s">
        <v>109</v>
      </c>
      <c r="I323" s="32" t="s">
        <v>152</v>
      </c>
    </row>
    <row r="324" spans="1:9" x14ac:dyDescent="0.35">
      <c r="A324" s="19">
        <v>45721</v>
      </c>
      <c r="B324" s="20"/>
      <c r="C324" s="20"/>
      <c r="D324" s="20">
        <v>78000</v>
      </c>
      <c r="E324" s="99" t="s">
        <v>521</v>
      </c>
      <c r="F324" s="20">
        <f t="shared" si="4"/>
        <v>143090273</v>
      </c>
      <c r="G324" s="7" t="s">
        <v>346</v>
      </c>
      <c r="H324" s="24" t="s">
        <v>109</v>
      </c>
      <c r="I324" s="32" t="s">
        <v>152</v>
      </c>
    </row>
    <row r="325" spans="1:9" x14ac:dyDescent="0.35">
      <c r="A325" s="19">
        <v>45722</v>
      </c>
      <c r="B325" s="20"/>
      <c r="C325" s="20"/>
      <c r="D325" s="20">
        <v>10000000</v>
      </c>
      <c r="E325" s="99" t="s">
        <v>521</v>
      </c>
      <c r="F325" s="20">
        <f t="shared" si="4"/>
        <v>153090273</v>
      </c>
      <c r="G325" s="7" t="s">
        <v>347</v>
      </c>
      <c r="H325" s="24" t="s">
        <v>105</v>
      </c>
      <c r="I325" s="32" t="s">
        <v>152</v>
      </c>
    </row>
    <row r="326" spans="1:9" x14ac:dyDescent="0.35">
      <c r="A326" s="19">
        <v>45722</v>
      </c>
      <c r="B326" s="20"/>
      <c r="C326" s="20"/>
      <c r="D326" s="20">
        <v>540000</v>
      </c>
      <c r="E326" s="99" t="s">
        <v>521</v>
      </c>
      <c r="F326" s="20">
        <f t="shared" si="4"/>
        <v>153630273</v>
      </c>
      <c r="G326" s="7" t="s">
        <v>330</v>
      </c>
      <c r="H326" s="24" t="s">
        <v>109</v>
      </c>
      <c r="I326" s="32" t="s">
        <v>152</v>
      </c>
    </row>
    <row r="327" spans="1:9" x14ac:dyDescent="0.35">
      <c r="A327" s="19">
        <v>45722</v>
      </c>
      <c r="B327" s="20"/>
      <c r="C327" s="20"/>
      <c r="D327" s="20">
        <v>100000</v>
      </c>
      <c r="E327" s="99" t="s">
        <v>521</v>
      </c>
      <c r="F327" s="20">
        <f t="shared" si="4"/>
        <v>153730273</v>
      </c>
      <c r="G327" s="7" t="s">
        <v>330</v>
      </c>
      <c r="H327" s="24" t="s">
        <v>109</v>
      </c>
      <c r="I327" s="32" t="s">
        <v>152</v>
      </c>
    </row>
    <row r="328" spans="1:9" x14ac:dyDescent="0.35">
      <c r="A328" s="19">
        <v>45722</v>
      </c>
      <c r="B328" s="20"/>
      <c r="C328" s="20"/>
      <c r="D328" s="20">
        <v>50000</v>
      </c>
      <c r="E328" s="99" t="s">
        <v>521</v>
      </c>
      <c r="F328" s="20">
        <f t="shared" si="4"/>
        <v>153780273</v>
      </c>
      <c r="G328" s="7" t="s">
        <v>330</v>
      </c>
      <c r="H328" s="24" t="s">
        <v>109</v>
      </c>
      <c r="I328" s="32" t="s">
        <v>152</v>
      </c>
    </row>
    <row r="329" spans="1:9" x14ac:dyDescent="0.35">
      <c r="A329" s="19">
        <v>45722</v>
      </c>
      <c r="B329" s="20"/>
      <c r="C329" s="20"/>
      <c r="D329" s="20">
        <v>10000</v>
      </c>
      <c r="E329" s="99" t="s">
        <v>521</v>
      </c>
      <c r="F329" s="20">
        <f t="shared" si="4"/>
        <v>153790273</v>
      </c>
      <c r="G329" s="7" t="s">
        <v>330</v>
      </c>
      <c r="H329" s="24" t="s">
        <v>109</v>
      </c>
      <c r="I329" s="32" t="s">
        <v>152</v>
      </c>
    </row>
    <row r="330" spans="1:9" x14ac:dyDescent="0.35">
      <c r="A330" s="19">
        <v>45722</v>
      </c>
      <c r="B330" s="20"/>
      <c r="C330" s="20"/>
      <c r="D330" s="20">
        <v>10000</v>
      </c>
      <c r="E330" s="99" t="s">
        <v>521</v>
      </c>
      <c r="F330" s="20">
        <f t="shared" ref="F330:F393" si="5">+F329+D330-B330</f>
        <v>153800273</v>
      </c>
      <c r="G330" s="7" t="s">
        <v>330</v>
      </c>
      <c r="H330" s="24" t="s">
        <v>109</v>
      </c>
      <c r="I330" s="32" t="s">
        <v>152</v>
      </c>
    </row>
    <row r="331" spans="1:9" x14ac:dyDescent="0.35">
      <c r="A331" s="19">
        <v>45722</v>
      </c>
      <c r="B331" s="20"/>
      <c r="C331" s="20"/>
      <c r="D331" s="20">
        <v>100000</v>
      </c>
      <c r="E331" s="99" t="s">
        <v>521</v>
      </c>
      <c r="F331" s="20">
        <f t="shared" si="5"/>
        <v>153900273</v>
      </c>
      <c r="G331" s="7" t="s">
        <v>330</v>
      </c>
      <c r="H331" s="24" t="s">
        <v>109</v>
      </c>
      <c r="I331" s="32" t="s">
        <v>152</v>
      </c>
    </row>
    <row r="332" spans="1:9" x14ac:dyDescent="0.35">
      <c r="A332" s="19">
        <v>45722</v>
      </c>
      <c r="B332" s="20"/>
      <c r="C332" s="20"/>
      <c r="D332" s="20">
        <v>5000</v>
      </c>
      <c r="E332" s="99" t="s">
        <v>521</v>
      </c>
      <c r="F332" s="20">
        <f t="shared" si="5"/>
        <v>153905273</v>
      </c>
      <c r="G332" s="7" t="s">
        <v>330</v>
      </c>
      <c r="H332" s="24" t="s">
        <v>109</v>
      </c>
      <c r="I332" s="32" t="s">
        <v>152</v>
      </c>
    </row>
    <row r="333" spans="1:9" x14ac:dyDescent="0.35">
      <c r="A333" s="19">
        <v>45722</v>
      </c>
      <c r="B333" s="20"/>
      <c r="C333" s="20"/>
      <c r="D333" s="20">
        <v>50000</v>
      </c>
      <c r="E333" s="99" t="s">
        <v>521</v>
      </c>
      <c r="F333" s="20">
        <f t="shared" si="5"/>
        <v>153955273</v>
      </c>
      <c r="G333" s="7" t="s">
        <v>330</v>
      </c>
      <c r="H333" s="24" t="s">
        <v>109</v>
      </c>
      <c r="I333" s="32" t="s">
        <v>152</v>
      </c>
    </row>
    <row r="334" spans="1:9" x14ac:dyDescent="0.35">
      <c r="A334" s="19">
        <v>45722</v>
      </c>
      <c r="B334" s="20"/>
      <c r="C334" s="20"/>
      <c r="D334" s="20">
        <v>100000</v>
      </c>
      <c r="E334" s="99" t="s">
        <v>521</v>
      </c>
      <c r="F334" s="20">
        <f t="shared" si="5"/>
        <v>154055273</v>
      </c>
      <c r="G334" s="7" t="s">
        <v>348</v>
      </c>
      <c r="H334" s="24" t="s">
        <v>109</v>
      </c>
      <c r="I334" s="32" t="s">
        <v>152</v>
      </c>
    </row>
    <row r="335" spans="1:9" x14ac:dyDescent="0.35">
      <c r="A335" s="19">
        <v>45722</v>
      </c>
      <c r="B335" s="20"/>
      <c r="C335" s="20"/>
      <c r="D335" s="20">
        <v>400000</v>
      </c>
      <c r="E335" s="99" t="s">
        <v>521</v>
      </c>
      <c r="F335" s="20">
        <f t="shared" si="5"/>
        <v>154455273</v>
      </c>
      <c r="G335" s="7" t="s">
        <v>238</v>
      </c>
      <c r="H335" s="24" t="s">
        <v>109</v>
      </c>
      <c r="I335" s="32" t="s">
        <v>152</v>
      </c>
    </row>
    <row r="336" spans="1:9" x14ac:dyDescent="0.35">
      <c r="A336" s="19">
        <v>45722</v>
      </c>
      <c r="B336" s="20"/>
      <c r="C336" s="20"/>
      <c r="D336" s="20">
        <v>50000</v>
      </c>
      <c r="E336" s="99" t="s">
        <v>521</v>
      </c>
      <c r="F336" s="20">
        <f t="shared" si="5"/>
        <v>154505273</v>
      </c>
      <c r="G336" s="7" t="s">
        <v>349</v>
      </c>
      <c r="H336" s="24" t="s">
        <v>109</v>
      </c>
      <c r="I336" s="32" t="s">
        <v>152</v>
      </c>
    </row>
    <row r="337" spans="1:9" x14ac:dyDescent="0.35">
      <c r="A337" s="19">
        <v>45723</v>
      </c>
      <c r="B337" s="20"/>
      <c r="C337" s="20"/>
      <c r="D337" s="20">
        <v>2000000</v>
      </c>
      <c r="E337" s="99" t="s">
        <v>521</v>
      </c>
      <c r="F337" s="20">
        <f t="shared" si="5"/>
        <v>156505273</v>
      </c>
      <c r="G337" s="7" t="s">
        <v>350</v>
      </c>
      <c r="H337" s="24" t="s">
        <v>109</v>
      </c>
      <c r="I337" s="32" t="s">
        <v>152</v>
      </c>
    </row>
    <row r="338" spans="1:9" x14ac:dyDescent="0.35">
      <c r="A338" s="19">
        <v>45723</v>
      </c>
      <c r="B338" s="20"/>
      <c r="C338" s="20"/>
      <c r="D338" s="20">
        <v>50000</v>
      </c>
      <c r="E338" s="99" t="s">
        <v>521</v>
      </c>
      <c r="F338" s="20">
        <f t="shared" si="5"/>
        <v>156555273</v>
      </c>
      <c r="G338" s="7" t="s">
        <v>330</v>
      </c>
      <c r="H338" s="24" t="s">
        <v>109</v>
      </c>
      <c r="I338" s="32" t="s">
        <v>152</v>
      </c>
    </row>
    <row r="339" spans="1:9" x14ac:dyDescent="0.35">
      <c r="A339" s="19">
        <v>45723</v>
      </c>
      <c r="B339" s="20"/>
      <c r="C339" s="20"/>
      <c r="D339" s="20">
        <v>50000</v>
      </c>
      <c r="E339" s="99" t="s">
        <v>521</v>
      </c>
      <c r="F339" s="20">
        <f t="shared" si="5"/>
        <v>156605273</v>
      </c>
      <c r="G339" s="7" t="s">
        <v>330</v>
      </c>
      <c r="H339" s="24" t="s">
        <v>109</v>
      </c>
      <c r="I339" s="32" t="s">
        <v>152</v>
      </c>
    </row>
    <row r="340" spans="1:9" x14ac:dyDescent="0.35">
      <c r="A340" s="19">
        <v>45723</v>
      </c>
      <c r="B340" s="20"/>
      <c r="C340" s="20"/>
      <c r="D340" s="20">
        <v>50000</v>
      </c>
      <c r="E340" s="99" t="s">
        <v>521</v>
      </c>
      <c r="F340" s="20">
        <f t="shared" si="5"/>
        <v>156655273</v>
      </c>
      <c r="G340" s="7" t="s">
        <v>330</v>
      </c>
      <c r="H340" s="24" t="s">
        <v>109</v>
      </c>
      <c r="I340" s="32" t="s">
        <v>152</v>
      </c>
    </row>
    <row r="341" spans="1:9" x14ac:dyDescent="0.35">
      <c r="A341" s="19">
        <v>45723</v>
      </c>
      <c r="B341" s="20"/>
      <c r="C341" s="20"/>
      <c r="D341" s="20">
        <v>100000</v>
      </c>
      <c r="E341" s="99" t="s">
        <v>521</v>
      </c>
      <c r="F341" s="20">
        <f t="shared" si="5"/>
        <v>156755273</v>
      </c>
      <c r="G341" s="7" t="s">
        <v>330</v>
      </c>
      <c r="H341" s="24" t="s">
        <v>109</v>
      </c>
      <c r="I341" s="32" t="s">
        <v>152</v>
      </c>
    </row>
    <row r="342" spans="1:9" x14ac:dyDescent="0.35">
      <c r="A342" s="19">
        <v>45723</v>
      </c>
      <c r="B342" s="20"/>
      <c r="C342" s="20"/>
      <c r="D342" s="20">
        <v>100000</v>
      </c>
      <c r="E342" s="99" t="s">
        <v>521</v>
      </c>
      <c r="F342" s="20">
        <f t="shared" si="5"/>
        <v>156855273</v>
      </c>
      <c r="G342" s="7" t="s">
        <v>330</v>
      </c>
      <c r="H342" s="24" t="s">
        <v>109</v>
      </c>
      <c r="I342" s="32" t="s">
        <v>152</v>
      </c>
    </row>
    <row r="343" spans="1:9" x14ac:dyDescent="0.35">
      <c r="A343" s="19">
        <v>45723</v>
      </c>
      <c r="B343" s="20"/>
      <c r="C343" s="20"/>
      <c r="D343" s="20">
        <v>100000</v>
      </c>
      <c r="E343" s="99" t="s">
        <v>521</v>
      </c>
      <c r="F343" s="20">
        <f t="shared" si="5"/>
        <v>156955273</v>
      </c>
      <c r="G343" s="7" t="s">
        <v>330</v>
      </c>
      <c r="H343" s="24" t="s">
        <v>109</v>
      </c>
      <c r="I343" s="32" t="s">
        <v>152</v>
      </c>
    </row>
    <row r="344" spans="1:9" x14ac:dyDescent="0.35">
      <c r="A344" s="19">
        <v>45723</v>
      </c>
      <c r="B344" s="20"/>
      <c r="C344" s="20"/>
      <c r="D344" s="20">
        <v>10000</v>
      </c>
      <c r="E344" s="99" t="s">
        <v>521</v>
      </c>
      <c r="F344" s="20">
        <f t="shared" si="5"/>
        <v>156965273</v>
      </c>
      <c r="G344" s="7" t="s">
        <v>330</v>
      </c>
      <c r="H344" s="24" t="s">
        <v>109</v>
      </c>
      <c r="I344" s="32" t="s">
        <v>152</v>
      </c>
    </row>
    <row r="345" spans="1:9" x14ac:dyDescent="0.35">
      <c r="A345" s="19">
        <v>45723</v>
      </c>
      <c r="B345" s="20"/>
      <c r="C345" s="20"/>
      <c r="D345" s="20">
        <v>50000</v>
      </c>
      <c r="E345" s="99" t="s">
        <v>521</v>
      </c>
      <c r="F345" s="20">
        <f t="shared" si="5"/>
        <v>157015273</v>
      </c>
      <c r="G345" s="7" t="s">
        <v>330</v>
      </c>
      <c r="H345" s="24" t="s">
        <v>109</v>
      </c>
      <c r="I345" s="32" t="s">
        <v>152</v>
      </c>
    </row>
    <row r="346" spans="1:9" x14ac:dyDescent="0.35">
      <c r="A346" s="19">
        <v>45723</v>
      </c>
      <c r="B346" s="20"/>
      <c r="C346" s="20"/>
      <c r="D346" s="20">
        <v>10000</v>
      </c>
      <c r="E346" s="99" t="s">
        <v>521</v>
      </c>
      <c r="F346" s="20">
        <f t="shared" si="5"/>
        <v>157025273</v>
      </c>
      <c r="G346" s="7" t="s">
        <v>330</v>
      </c>
      <c r="H346" s="24" t="s">
        <v>109</v>
      </c>
      <c r="I346" s="32" t="s">
        <v>152</v>
      </c>
    </row>
    <row r="347" spans="1:9" x14ac:dyDescent="0.35">
      <c r="A347" s="19">
        <v>45723</v>
      </c>
      <c r="B347" s="20"/>
      <c r="C347" s="20"/>
      <c r="D347" s="20">
        <v>100000</v>
      </c>
      <c r="E347" s="99" t="s">
        <v>521</v>
      </c>
      <c r="F347" s="20">
        <f t="shared" si="5"/>
        <v>157125273</v>
      </c>
      <c r="G347" s="7" t="s">
        <v>330</v>
      </c>
      <c r="H347" s="24" t="s">
        <v>109</v>
      </c>
      <c r="I347" s="32" t="s">
        <v>152</v>
      </c>
    </row>
    <row r="348" spans="1:9" x14ac:dyDescent="0.35">
      <c r="A348" s="19">
        <v>45723</v>
      </c>
      <c r="B348" s="20"/>
      <c r="C348" s="20"/>
      <c r="D348" s="20">
        <v>99359</v>
      </c>
      <c r="E348" s="99" t="s">
        <v>521</v>
      </c>
      <c r="F348" s="20">
        <f t="shared" si="5"/>
        <v>157224632</v>
      </c>
      <c r="G348" s="7" t="s">
        <v>330</v>
      </c>
      <c r="H348" s="24" t="s">
        <v>109</v>
      </c>
      <c r="I348" s="32" t="s">
        <v>152</v>
      </c>
    </row>
    <row r="349" spans="1:9" x14ac:dyDescent="0.35">
      <c r="A349" s="19">
        <v>45723</v>
      </c>
      <c r="B349" s="20"/>
      <c r="C349" s="20"/>
      <c r="D349" s="20">
        <v>25000</v>
      </c>
      <c r="E349" s="99" t="s">
        <v>521</v>
      </c>
      <c r="F349" s="20">
        <f t="shared" si="5"/>
        <v>157249632</v>
      </c>
      <c r="G349" s="7" t="s">
        <v>330</v>
      </c>
      <c r="H349" s="24" t="s">
        <v>109</v>
      </c>
      <c r="I349" s="32" t="s">
        <v>152</v>
      </c>
    </row>
    <row r="350" spans="1:9" x14ac:dyDescent="0.35">
      <c r="A350" s="19">
        <v>45723</v>
      </c>
      <c r="B350" s="20"/>
      <c r="C350" s="20"/>
      <c r="D350" s="20">
        <v>20000</v>
      </c>
      <c r="E350" s="99" t="s">
        <v>521</v>
      </c>
      <c r="F350" s="20">
        <f t="shared" si="5"/>
        <v>157269632</v>
      </c>
      <c r="G350" s="7" t="s">
        <v>330</v>
      </c>
      <c r="H350" s="24" t="s">
        <v>109</v>
      </c>
      <c r="I350" s="32" t="s">
        <v>152</v>
      </c>
    </row>
    <row r="351" spans="1:9" x14ac:dyDescent="0.35">
      <c r="A351" s="19">
        <v>45723</v>
      </c>
      <c r="B351" s="20"/>
      <c r="C351" s="20"/>
      <c r="D351" s="20">
        <v>4331</v>
      </c>
      <c r="E351" s="99" t="s">
        <v>521</v>
      </c>
      <c r="F351" s="20">
        <f t="shared" si="5"/>
        <v>157273963</v>
      </c>
      <c r="G351" s="7" t="s">
        <v>330</v>
      </c>
      <c r="H351" s="24" t="s">
        <v>109</v>
      </c>
      <c r="I351" s="32" t="s">
        <v>152</v>
      </c>
    </row>
    <row r="352" spans="1:9" x14ac:dyDescent="0.35">
      <c r="A352" s="19">
        <v>45723</v>
      </c>
      <c r="B352" s="20">
        <v>2000000</v>
      </c>
      <c r="C352" s="20"/>
      <c r="D352" s="20"/>
      <c r="E352" s="99" t="s">
        <v>521</v>
      </c>
      <c r="F352" s="20">
        <f t="shared" si="5"/>
        <v>155273963</v>
      </c>
      <c r="G352" s="7" t="s">
        <v>351</v>
      </c>
      <c r="H352" s="24" t="s">
        <v>323</v>
      </c>
      <c r="I352" s="32" t="s">
        <v>152</v>
      </c>
    </row>
    <row r="353" spans="1:9" x14ac:dyDescent="0.35">
      <c r="A353" s="19">
        <v>45723</v>
      </c>
      <c r="B353" s="20">
        <v>2500</v>
      </c>
      <c r="C353" s="20"/>
      <c r="D353" s="20"/>
      <c r="E353" s="99" t="s">
        <v>521</v>
      </c>
      <c r="F353" s="20">
        <f t="shared" si="5"/>
        <v>155271463</v>
      </c>
      <c r="G353" s="7" t="s">
        <v>352</v>
      </c>
      <c r="H353" s="24" t="s">
        <v>323</v>
      </c>
      <c r="I353" s="32" t="s">
        <v>152</v>
      </c>
    </row>
    <row r="354" spans="1:9" x14ac:dyDescent="0.35">
      <c r="A354" s="19">
        <v>45726</v>
      </c>
      <c r="B354" s="20">
        <v>1350000</v>
      </c>
      <c r="C354" s="20"/>
      <c r="D354" s="20"/>
      <c r="E354" s="99" t="s">
        <v>521</v>
      </c>
      <c r="F354" s="20">
        <f t="shared" si="5"/>
        <v>153921463</v>
      </c>
      <c r="G354" s="7" t="s">
        <v>368</v>
      </c>
      <c r="H354" s="24" t="s">
        <v>320</v>
      </c>
      <c r="I354" s="32" t="s">
        <v>152</v>
      </c>
    </row>
    <row r="355" spans="1:9" x14ac:dyDescent="0.35">
      <c r="A355" s="19">
        <v>45726</v>
      </c>
      <c r="B355" s="20"/>
      <c r="C355" s="20"/>
      <c r="D355" s="20">
        <v>250000</v>
      </c>
      <c r="E355" s="99" t="s">
        <v>521</v>
      </c>
      <c r="F355" s="20">
        <f t="shared" si="5"/>
        <v>154171463</v>
      </c>
      <c r="G355" s="7" t="s">
        <v>369</v>
      </c>
      <c r="H355" s="24" t="s">
        <v>109</v>
      </c>
      <c r="I355" s="32" t="s">
        <v>152</v>
      </c>
    </row>
    <row r="356" spans="1:9" x14ac:dyDescent="0.35">
      <c r="A356" s="19">
        <v>45726</v>
      </c>
      <c r="B356" s="20"/>
      <c r="C356" s="20"/>
      <c r="D356" s="20">
        <v>50000</v>
      </c>
      <c r="E356" s="99" t="s">
        <v>521</v>
      </c>
      <c r="F356" s="20">
        <f t="shared" si="5"/>
        <v>154221463</v>
      </c>
      <c r="G356" s="7" t="s">
        <v>369</v>
      </c>
      <c r="H356" s="24" t="s">
        <v>109</v>
      </c>
      <c r="I356" s="32" t="s">
        <v>152</v>
      </c>
    </row>
    <row r="357" spans="1:9" x14ac:dyDescent="0.35">
      <c r="A357" s="19">
        <v>45726</v>
      </c>
      <c r="B357" s="20"/>
      <c r="C357" s="20"/>
      <c r="D357" s="20">
        <v>50000</v>
      </c>
      <c r="E357" s="99" t="s">
        <v>521</v>
      </c>
      <c r="F357" s="20">
        <f t="shared" si="5"/>
        <v>154271463</v>
      </c>
      <c r="G357" s="7" t="s">
        <v>369</v>
      </c>
      <c r="H357" s="24" t="s">
        <v>109</v>
      </c>
      <c r="I357" s="32" t="s">
        <v>152</v>
      </c>
    </row>
    <row r="358" spans="1:9" x14ac:dyDescent="0.35">
      <c r="A358" s="19">
        <v>45726</v>
      </c>
      <c r="B358" s="20"/>
      <c r="C358" s="20"/>
      <c r="D358" s="20">
        <v>50000</v>
      </c>
      <c r="E358" s="99" t="s">
        <v>521</v>
      </c>
      <c r="F358" s="20">
        <f t="shared" si="5"/>
        <v>154321463</v>
      </c>
      <c r="G358" s="7" t="s">
        <v>369</v>
      </c>
      <c r="H358" s="24" t="s">
        <v>109</v>
      </c>
      <c r="I358" s="32" t="s">
        <v>152</v>
      </c>
    </row>
    <row r="359" spans="1:9" x14ac:dyDescent="0.35">
      <c r="A359" s="19">
        <v>45726</v>
      </c>
      <c r="B359" s="20"/>
      <c r="C359" s="20"/>
      <c r="D359" s="20">
        <v>100000</v>
      </c>
      <c r="E359" s="99" t="s">
        <v>521</v>
      </c>
      <c r="F359" s="20">
        <f t="shared" si="5"/>
        <v>154421463</v>
      </c>
      <c r="G359" s="7" t="s">
        <v>369</v>
      </c>
      <c r="H359" s="24" t="s">
        <v>109</v>
      </c>
      <c r="I359" s="32" t="s">
        <v>152</v>
      </c>
    </row>
    <row r="360" spans="1:9" x14ac:dyDescent="0.35">
      <c r="A360" s="19">
        <v>45726</v>
      </c>
      <c r="B360" s="20"/>
      <c r="C360" s="20"/>
      <c r="D360" s="20">
        <v>25000</v>
      </c>
      <c r="E360" s="99" t="s">
        <v>521</v>
      </c>
      <c r="F360" s="20">
        <f t="shared" si="5"/>
        <v>154446463</v>
      </c>
      <c r="G360" s="7" t="s">
        <v>369</v>
      </c>
      <c r="H360" s="24" t="s">
        <v>109</v>
      </c>
      <c r="I360" s="32" t="s">
        <v>152</v>
      </c>
    </row>
    <row r="361" spans="1:9" x14ac:dyDescent="0.35">
      <c r="A361" s="19">
        <v>45726</v>
      </c>
      <c r="B361" s="20"/>
      <c r="C361" s="20"/>
      <c r="D361" s="20">
        <v>10000</v>
      </c>
      <c r="E361" s="99" t="s">
        <v>521</v>
      </c>
      <c r="F361" s="20">
        <f t="shared" si="5"/>
        <v>154456463</v>
      </c>
      <c r="G361" s="7" t="s">
        <v>369</v>
      </c>
      <c r="H361" s="24" t="s">
        <v>109</v>
      </c>
      <c r="I361" s="32" t="s">
        <v>152</v>
      </c>
    </row>
    <row r="362" spans="1:9" x14ac:dyDescent="0.35">
      <c r="A362" s="19">
        <v>45726</v>
      </c>
      <c r="B362" s="20"/>
      <c r="C362" s="20"/>
      <c r="D362" s="20">
        <v>50000</v>
      </c>
      <c r="E362" s="99" t="s">
        <v>521</v>
      </c>
      <c r="F362" s="20">
        <f t="shared" si="5"/>
        <v>154506463</v>
      </c>
      <c r="G362" s="7" t="s">
        <v>369</v>
      </c>
      <c r="H362" s="24" t="s">
        <v>109</v>
      </c>
      <c r="I362" s="32" t="s">
        <v>152</v>
      </c>
    </row>
    <row r="363" spans="1:9" x14ac:dyDescent="0.35">
      <c r="A363" s="19">
        <v>45726</v>
      </c>
      <c r="B363" s="20"/>
      <c r="C363" s="20"/>
      <c r="D363" s="20">
        <v>10000</v>
      </c>
      <c r="E363" s="99" t="s">
        <v>521</v>
      </c>
      <c r="F363" s="20">
        <f t="shared" si="5"/>
        <v>154516463</v>
      </c>
      <c r="G363" s="7" t="s">
        <v>369</v>
      </c>
      <c r="H363" s="24" t="s">
        <v>109</v>
      </c>
      <c r="I363" s="32" t="s">
        <v>152</v>
      </c>
    </row>
    <row r="364" spans="1:9" x14ac:dyDescent="0.35">
      <c r="A364" s="19">
        <v>45726</v>
      </c>
      <c r="B364" s="20"/>
      <c r="C364" s="20"/>
      <c r="D364" s="20">
        <v>20000</v>
      </c>
      <c r="E364" s="99" t="s">
        <v>521</v>
      </c>
      <c r="F364" s="20">
        <f t="shared" si="5"/>
        <v>154536463</v>
      </c>
      <c r="G364" s="7" t="s">
        <v>369</v>
      </c>
      <c r="H364" s="24" t="s">
        <v>109</v>
      </c>
      <c r="I364" s="32" t="s">
        <v>152</v>
      </c>
    </row>
    <row r="365" spans="1:9" x14ac:dyDescent="0.35">
      <c r="A365" s="19">
        <v>45726</v>
      </c>
      <c r="B365" s="20"/>
      <c r="C365" s="20"/>
      <c r="D365" s="20">
        <v>3000</v>
      </c>
      <c r="E365" s="99" t="s">
        <v>521</v>
      </c>
      <c r="F365" s="20">
        <f t="shared" si="5"/>
        <v>154539463</v>
      </c>
      <c r="G365" s="7" t="s">
        <v>369</v>
      </c>
      <c r="H365" s="24" t="s">
        <v>109</v>
      </c>
      <c r="I365" s="32" t="s">
        <v>152</v>
      </c>
    </row>
    <row r="366" spans="1:9" x14ac:dyDescent="0.35">
      <c r="A366" s="19">
        <v>45726</v>
      </c>
      <c r="B366" s="20"/>
      <c r="C366" s="20"/>
      <c r="D366" s="20">
        <v>916</v>
      </c>
      <c r="E366" s="99" t="s">
        <v>521</v>
      </c>
      <c r="F366" s="20">
        <f t="shared" si="5"/>
        <v>154540379</v>
      </c>
      <c r="G366" s="7" t="s">
        <v>369</v>
      </c>
      <c r="H366" s="24" t="s">
        <v>109</v>
      </c>
      <c r="I366" s="32" t="s">
        <v>152</v>
      </c>
    </row>
    <row r="367" spans="1:9" x14ac:dyDescent="0.35">
      <c r="A367" s="19">
        <v>45726</v>
      </c>
      <c r="B367" s="20">
        <v>750000</v>
      </c>
      <c r="C367" s="20"/>
      <c r="D367" s="20"/>
      <c r="E367" s="99" t="s">
        <v>521</v>
      </c>
      <c r="F367" s="20">
        <f t="shared" si="5"/>
        <v>153790379</v>
      </c>
      <c r="G367" s="7" t="s">
        <v>370</v>
      </c>
      <c r="H367" s="24" t="s">
        <v>323</v>
      </c>
      <c r="I367" s="32" t="s">
        <v>152</v>
      </c>
    </row>
    <row r="368" spans="1:9" x14ac:dyDescent="0.35">
      <c r="A368" s="19">
        <v>45726</v>
      </c>
      <c r="B368" s="20">
        <v>2500</v>
      </c>
      <c r="C368" s="20"/>
      <c r="D368" s="20"/>
      <c r="E368" s="99" t="s">
        <v>521</v>
      </c>
      <c r="F368" s="20">
        <f t="shared" si="5"/>
        <v>153787879</v>
      </c>
      <c r="G368" s="7" t="s">
        <v>371</v>
      </c>
      <c r="H368" s="24" t="s">
        <v>323</v>
      </c>
      <c r="I368" s="32" t="s">
        <v>152</v>
      </c>
    </row>
    <row r="369" spans="1:9" x14ac:dyDescent="0.35">
      <c r="A369" s="19">
        <v>45726</v>
      </c>
      <c r="B369" s="20"/>
      <c r="C369" s="20"/>
      <c r="D369" s="20">
        <v>400000</v>
      </c>
      <c r="E369" s="99" t="s">
        <v>521</v>
      </c>
      <c r="F369" s="20">
        <f t="shared" si="5"/>
        <v>154187879</v>
      </c>
      <c r="G369" s="7" t="s">
        <v>372</v>
      </c>
      <c r="H369" s="24" t="s">
        <v>109</v>
      </c>
      <c r="I369" s="32" t="s">
        <v>152</v>
      </c>
    </row>
    <row r="370" spans="1:9" x14ac:dyDescent="0.35">
      <c r="A370" s="19">
        <v>45726</v>
      </c>
      <c r="B370" s="20"/>
      <c r="C370" s="20"/>
      <c r="D370" s="20">
        <v>20000</v>
      </c>
      <c r="E370" s="99" t="s">
        <v>521</v>
      </c>
      <c r="F370" s="20">
        <f t="shared" si="5"/>
        <v>154207879</v>
      </c>
      <c r="G370" s="7" t="s">
        <v>369</v>
      </c>
      <c r="H370" s="24" t="s">
        <v>109</v>
      </c>
      <c r="I370" s="32" t="s">
        <v>152</v>
      </c>
    </row>
    <row r="371" spans="1:9" x14ac:dyDescent="0.35">
      <c r="A371" s="19">
        <v>45726</v>
      </c>
      <c r="B371" s="20"/>
      <c r="C371" s="20"/>
      <c r="D371" s="20">
        <v>25000</v>
      </c>
      <c r="E371" s="99" t="s">
        <v>521</v>
      </c>
      <c r="F371" s="20">
        <f t="shared" si="5"/>
        <v>154232879</v>
      </c>
      <c r="G371" s="7" t="s">
        <v>369</v>
      </c>
      <c r="H371" s="24" t="s">
        <v>109</v>
      </c>
      <c r="I371" s="32" t="s">
        <v>152</v>
      </c>
    </row>
    <row r="372" spans="1:9" x14ac:dyDescent="0.35">
      <c r="A372" s="19">
        <v>45726</v>
      </c>
      <c r="B372" s="20"/>
      <c r="C372" s="20"/>
      <c r="D372" s="20">
        <v>100000</v>
      </c>
      <c r="E372" s="99" t="s">
        <v>521</v>
      </c>
      <c r="F372" s="20">
        <f t="shared" si="5"/>
        <v>154332879</v>
      </c>
      <c r="G372" s="7" t="s">
        <v>369</v>
      </c>
      <c r="H372" s="24" t="s">
        <v>109</v>
      </c>
      <c r="I372" s="32" t="s">
        <v>152</v>
      </c>
    </row>
    <row r="373" spans="1:9" x14ac:dyDescent="0.35">
      <c r="A373" s="19">
        <v>45726</v>
      </c>
      <c r="B373" s="20"/>
      <c r="C373" s="20"/>
      <c r="D373" s="20">
        <v>50000</v>
      </c>
      <c r="E373" s="99" t="s">
        <v>521</v>
      </c>
      <c r="F373" s="20">
        <f t="shared" si="5"/>
        <v>154382879</v>
      </c>
      <c r="G373" s="7" t="s">
        <v>369</v>
      </c>
      <c r="H373" s="24" t="s">
        <v>109</v>
      </c>
      <c r="I373" s="32" t="s">
        <v>152</v>
      </c>
    </row>
    <row r="374" spans="1:9" x14ac:dyDescent="0.35">
      <c r="A374" s="19">
        <v>45726</v>
      </c>
      <c r="B374" s="20"/>
      <c r="C374" s="20"/>
      <c r="D374" s="20">
        <v>100000</v>
      </c>
      <c r="E374" s="99" t="s">
        <v>521</v>
      </c>
      <c r="F374" s="20">
        <f t="shared" si="5"/>
        <v>154482879</v>
      </c>
      <c r="G374" s="7" t="s">
        <v>369</v>
      </c>
      <c r="H374" s="24" t="s">
        <v>109</v>
      </c>
      <c r="I374" s="32" t="s">
        <v>152</v>
      </c>
    </row>
    <row r="375" spans="1:9" x14ac:dyDescent="0.35">
      <c r="A375" s="19">
        <v>45726</v>
      </c>
      <c r="B375" s="20"/>
      <c r="C375" s="20"/>
      <c r="D375" s="20">
        <v>25000</v>
      </c>
      <c r="E375" s="99" t="s">
        <v>521</v>
      </c>
      <c r="F375" s="20">
        <f t="shared" si="5"/>
        <v>154507879</v>
      </c>
      <c r="G375" s="7" t="s">
        <v>369</v>
      </c>
      <c r="H375" s="24" t="s">
        <v>109</v>
      </c>
      <c r="I375" s="32" t="s">
        <v>152</v>
      </c>
    </row>
    <row r="376" spans="1:9" x14ac:dyDescent="0.35">
      <c r="A376" s="19">
        <v>45726</v>
      </c>
      <c r="B376" s="20"/>
      <c r="C376" s="20"/>
      <c r="D376" s="20">
        <v>25000</v>
      </c>
      <c r="E376" s="99" t="s">
        <v>521</v>
      </c>
      <c r="F376" s="20">
        <f t="shared" si="5"/>
        <v>154532879</v>
      </c>
      <c r="G376" s="7" t="s">
        <v>369</v>
      </c>
      <c r="H376" s="24" t="s">
        <v>109</v>
      </c>
      <c r="I376" s="32" t="s">
        <v>152</v>
      </c>
    </row>
    <row r="377" spans="1:9" x14ac:dyDescent="0.35">
      <c r="A377" s="19">
        <v>45726</v>
      </c>
      <c r="B377" s="20"/>
      <c r="C377" s="20"/>
      <c r="D377" s="20">
        <v>50000</v>
      </c>
      <c r="E377" s="99" t="s">
        <v>521</v>
      </c>
      <c r="F377" s="20">
        <f t="shared" si="5"/>
        <v>154582879</v>
      </c>
      <c r="G377" s="7" t="s">
        <v>369</v>
      </c>
      <c r="H377" s="24" t="s">
        <v>109</v>
      </c>
      <c r="I377" s="32" t="s">
        <v>152</v>
      </c>
    </row>
    <row r="378" spans="1:9" x14ac:dyDescent="0.35">
      <c r="A378" s="19">
        <v>45726</v>
      </c>
      <c r="B378" s="20"/>
      <c r="C378" s="20"/>
      <c r="D378" s="20">
        <v>10000</v>
      </c>
      <c r="E378" s="99" t="s">
        <v>521</v>
      </c>
      <c r="F378" s="20">
        <f t="shared" si="5"/>
        <v>154592879</v>
      </c>
      <c r="G378" s="7" t="s">
        <v>369</v>
      </c>
      <c r="H378" s="24" t="s">
        <v>109</v>
      </c>
      <c r="I378" s="32" t="s">
        <v>152</v>
      </c>
    </row>
    <row r="379" spans="1:9" x14ac:dyDescent="0.35">
      <c r="A379" s="19">
        <v>45726</v>
      </c>
      <c r="B379" s="20"/>
      <c r="C379" s="20"/>
      <c r="D379" s="20">
        <v>100000</v>
      </c>
      <c r="E379" s="99" t="s">
        <v>521</v>
      </c>
      <c r="F379" s="20">
        <f t="shared" si="5"/>
        <v>154692879</v>
      </c>
      <c r="G379" s="7" t="s">
        <v>369</v>
      </c>
      <c r="H379" s="24" t="s">
        <v>109</v>
      </c>
      <c r="I379" s="32" t="s">
        <v>152</v>
      </c>
    </row>
    <row r="380" spans="1:9" x14ac:dyDescent="0.35">
      <c r="A380" s="19">
        <v>45726</v>
      </c>
      <c r="B380" s="20"/>
      <c r="C380" s="20"/>
      <c r="D380" s="20">
        <v>50000</v>
      </c>
      <c r="E380" s="99" t="s">
        <v>521</v>
      </c>
      <c r="F380" s="20">
        <f t="shared" si="5"/>
        <v>154742879</v>
      </c>
      <c r="G380" s="7" t="s">
        <v>369</v>
      </c>
      <c r="H380" s="24" t="s">
        <v>109</v>
      </c>
      <c r="I380" s="32" t="s">
        <v>152</v>
      </c>
    </row>
    <row r="381" spans="1:9" x14ac:dyDescent="0.35">
      <c r="A381" s="19">
        <v>45726</v>
      </c>
      <c r="B381" s="20"/>
      <c r="C381" s="20"/>
      <c r="D381" s="20">
        <v>100000</v>
      </c>
      <c r="E381" s="99" t="s">
        <v>521</v>
      </c>
      <c r="F381" s="20">
        <f t="shared" si="5"/>
        <v>154842879</v>
      </c>
      <c r="G381" s="7" t="s">
        <v>369</v>
      </c>
      <c r="H381" s="24" t="s">
        <v>109</v>
      </c>
      <c r="I381" s="32" t="s">
        <v>152</v>
      </c>
    </row>
    <row r="382" spans="1:9" x14ac:dyDescent="0.35">
      <c r="A382" s="19">
        <v>45726</v>
      </c>
      <c r="B382" s="20"/>
      <c r="C382" s="20"/>
      <c r="D382" s="20">
        <v>25000</v>
      </c>
      <c r="E382" s="99" t="s">
        <v>521</v>
      </c>
      <c r="F382" s="20">
        <f t="shared" si="5"/>
        <v>154867879</v>
      </c>
      <c r="G382" s="7" t="s">
        <v>369</v>
      </c>
      <c r="H382" s="24" t="s">
        <v>109</v>
      </c>
      <c r="I382" s="32" t="s">
        <v>152</v>
      </c>
    </row>
    <row r="383" spans="1:9" x14ac:dyDescent="0.35">
      <c r="A383" s="19">
        <v>45726</v>
      </c>
      <c r="B383" s="20"/>
      <c r="C383" s="20"/>
      <c r="D383" s="20">
        <v>200000</v>
      </c>
      <c r="E383" s="99" t="s">
        <v>521</v>
      </c>
      <c r="F383" s="20">
        <f t="shared" si="5"/>
        <v>155067879</v>
      </c>
      <c r="G383" s="7" t="s">
        <v>380</v>
      </c>
      <c r="H383" s="24" t="s">
        <v>109</v>
      </c>
      <c r="I383" s="32" t="s">
        <v>152</v>
      </c>
    </row>
    <row r="384" spans="1:9" x14ac:dyDescent="0.35">
      <c r="A384" s="19">
        <v>45726</v>
      </c>
      <c r="B384" s="20"/>
      <c r="C384" s="20"/>
      <c r="D384" s="20">
        <v>20000</v>
      </c>
      <c r="E384" s="99" t="s">
        <v>521</v>
      </c>
      <c r="F384" s="20">
        <f t="shared" si="5"/>
        <v>155087879</v>
      </c>
      <c r="G384" s="7" t="s">
        <v>369</v>
      </c>
      <c r="H384" s="24" t="s">
        <v>109</v>
      </c>
      <c r="I384" s="32" t="s">
        <v>152</v>
      </c>
    </row>
    <row r="385" spans="1:9" x14ac:dyDescent="0.35">
      <c r="A385" s="19">
        <v>45726</v>
      </c>
      <c r="B385" s="20"/>
      <c r="C385" s="20"/>
      <c r="D385" s="20">
        <v>100000</v>
      </c>
      <c r="E385" s="99" t="s">
        <v>521</v>
      </c>
      <c r="F385" s="20">
        <f t="shared" si="5"/>
        <v>155187879</v>
      </c>
      <c r="G385" s="7" t="s">
        <v>369</v>
      </c>
      <c r="H385" s="24" t="s">
        <v>109</v>
      </c>
      <c r="I385" s="32" t="s">
        <v>152</v>
      </c>
    </row>
    <row r="386" spans="1:9" x14ac:dyDescent="0.35">
      <c r="A386" s="19">
        <v>45726</v>
      </c>
      <c r="B386" s="20"/>
      <c r="C386" s="20"/>
      <c r="D386" s="20">
        <v>25000</v>
      </c>
      <c r="E386" s="99" t="s">
        <v>521</v>
      </c>
      <c r="F386" s="20">
        <f t="shared" si="5"/>
        <v>155212879</v>
      </c>
      <c r="G386" s="7" t="s">
        <v>369</v>
      </c>
      <c r="H386" s="24" t="s">
        <v>109</v>
      </c>
      <c r="I386" s="32" t="s">
        <v>152</v>
      </c>
    </row>
    <row r="387" spans="1:9" x14ac:dyDescent="0.35">
      <c r="A387" s="19">
        <v>45726</v>
      </c>
      <c r="B387" s="20"/>
      <c r="C387" s="20"/>
      <c r="D387" s="20">
        <v>25000</v>
      </c>
      <c r="E387" s="99" t="s">
        <v>521</v>
      </c>
      <c r="F387" s="20">
        <f t="shared" si="5"/>
        <v>155237879</v>
      </c>
      <c r="G387" s="7" t="s">
        <v>369</v>
      </c>
      <c r="H387" s="24" t="s">
        <v>109</v>
      </c>
      <c r="I387" s="32" t="s">
        <v>152</v>
      </c>
    </row>
    <row r="388" spans="1:9" x14ac:dyDescent="0.35">
      <c r="A388" s="19">
        <v>45726</v>
      </c>
      <c r="B388" s="20"/>
      <c r="C388" s="20"/>
      <c r="D388" s="20">
        <v>100000</v>
      </c>
      <c r="E388" s="99" t="s">
        <v>521</v>
      </c>
      <c r="F388" s="20">
        <f t="shared" si="5"/>
        <v>155337879</v>
      </c>
      <c r="G388" s="7" t="s">
        <v>369</v>
      </c>
      <c r="H388" s="24" t="s">
        <v>109</v>
      </c>
      <c r="I388" s="32" t="s">
        <v>152</v>
      </c>
    </row>
    <row r="389" spans="1:9" x14ac:dyDescent="0.35">
      <c r="A389" s="19">
        <v>45726</v>
      </c>
      <c r="B389" s="20"/>
      <c r="C389" s="20"/>
      <c r="D389" s="20">
        <v>10000</v>
      </c>
      <c r="E389" s="99" t="s">
        <v>521</v>
      </c>
      <c r="F389" s="20">
        <f t="shared" si="5"/>
        <v>155347879</v>
      </c>
      <c r="G389" s="7" t="s">
        <v>369</v>
      </c>
      <c r="H389" s="24" t="s">
        <v>109</v>
      </c>
      <c r="I389" s="32" t="s">
        <v>152</v>
      </c>
    </row>
    <row r="390" spans="1:9" x14ac:dyDescent="0.35">
      <c r="A390" s="19">
        <v>45726</v>
      </c>
      <c r="B390" s="20"/>
      <c r="C390" s="20"/>
      <c r="D390" s="20">
        <v>10000</v>
      </c>
      <c r="E390" s="99" t="s">
        <v>521</v>
      </c>
      <c r="F390" s="20">
        <f t="shared" si="5"/>
        <v>155357879</v>
      </c>
      <c r="G390" s="7" t="s">
        <v>369</v>
      </c>
      <c r="H390" s="24" t="s">
        <v>109</v>
      </c>
      <c r="I390" s="32" t="s">
        <v>152</v>
      </c>
    </row>
    <row r="391" spans="1:9" x14ac:dyDescent="0.35">
      <c r="A391" s="19">
        <v>45726</v>
      </c>
      <c r="B391" s="20"/>
      <c r="C391" s="20"/>
      <c r="D391" s="20">
        <v>7000</v>
      </c>
      <c r="E391" s="99" t="s">
        <v>521</v>
      </c>
      <c r="F391" s="20">
        <f t="shared" si="5"/>
        <v>155364879</v>
      </c>
      <c r="G391" s="7" t="s">
        <v>369</v>
      </c>
      <c r="H391" s="24" t="s">
        <v>109</v>
      </c>
      <c r="I391" s="32" t="s">
        <v>152</v>
      </c>
    </row>
    <row r="392" spans="1:9" x14ac:dyDescent="0.35">
      <c r="A392" s="19">
        <v>45726</v>
      </c>
      <c r="B392" s="20"/>
      <c r="C392" s="20"/>
      <c r="D392" s="20">
        <v>25000</v>
      </c>
      <c r="E392" s="99" t="s">
        <v>521</v>
      </c>
      <c r="F392" s="20">
        <f>+F391+D392-B392</f>
        <v>155389879</v>
      </c>
      <c r="G392" s="7" t="s">
        <v>369</v>
      </c>
      <c r="H392" s="24" t="s">
        <v>109</v>
      </c>
      <c r="I392" s="32" t="s">
        <v>152</v>
      </c>
    </row>
    <row r="393" spans="1:9" x14ac:dyDescent="0.35">
      <c r="A393" s="19">
        <v>45726</v>
      </c>
      <c r="B393" s="20"/>
      <c r="C393" s="20"/>
      <c r="D393" s="20">
        <v>20000</v>
      </c>
      <c r="E393" s="99" t="s">
        <v>521</v>
      </c>
      <c r="F393" s="20">
        <f t="shared" si="5"/>
        <v>155409879</v>
      </c>
      <c r="G393" s="7" t="s">
        <v>369</v>
      </c>
      <c r="H393" s="24" t="s">
        <v>109</v>
      </c>
      <c r="I393" s="32" t="s">
        <v>152</v>
      </c>
    </row>
    <row r="394" spans="1:9" x14ac:dyDescent="0.35">
      <c r="A394" s="19">
        <v>45726</v>
      </c>
      <c r="B394" s="20"/>
      <c r="C394" s="20"/>
      <c r="D394" s="23">
        <v>5597000</v>
      </c>
      <c r="E394" s="99" t="s">
        <v>521</v>
      </c>
      <c r="F394" s="20">
        <f t="shared" ref="F394:F457" si="6">+F393+D394-B394</f>
        <v>161006879</v>
      </c>
      <c r="G394" s="24" t="s">
        <v>107</v>
      </c>
      <c r="H394" s="24" t="s">
        <v>107</v>
      </c>
      <c r="I394" s="32" t="s">
        <v>152</v>
      </c>
    </row>
    <row r="395" spans="1:9" x14ac:dyDescent="0.35">
      <c r="A395" s="19">
        <v>45726</v>
      </c>
      <c r="B395" s="20"/>
      <c r="C395" s="20"/>
      <c r="D395" s="23">
        <v>5680000</v>
      </c>
      <c r="E395" s="99" t="s">
        <v>521</v>
      </c>
      <c r="F395" s="20">
        <f t="shared" si="6"/>
        <v>166686879</v>
      </c>
      <c r="G395" s="24" t="s">
        <v>109</v>
      </c>
      <c r="H395" s="24" t="s">
        <v>109</v>
      </c>
      <c r="I395" s="32" t="s">
        <v>152</v>
      </c>
    </row>
    <row r="396" spans="1:9" x14ac:dyDescent="0.35">
      <c r="A396" s="19">
        <v>45726</v>
      </c>
      <c r="B396" s="20"/>
      <c r="C396" s="20"/>
      <c r="D396" s="23">
        <v>4558000</v>
      </c>
      <c r="E396" s="99" t="s">
        <v>521</v>
      </c>
      <c r="F396" s="20">
        <f t="shared" si="6"/>
        <v>171244879</v>
      </c>
      <c r="G396" s="24" t="s">
        <v>377</v>
      </c>
      <c r="H396" s="24" t="s">
        <v>109</v>
      </c>
      <c r="I396" s="32" t="s">
        <v>152</v>
      </c>
    </row>
    <row r="397" spans="1:9" x14ac:dyDescent="0.35">
      <c r="A397" s="19">
        <v>45726</v>
      </c>
      <c r="B397" s="23">
        <v>5000</v>
      </c>
      <c r="C397" s="20"/>
      <c r="D397" s="20"/>
      <c r="E397" s="99" t="s">
        <v>521</v>
      </c>
      <c r="F397" s="20">
        <f t="shared" si="6"/>
        <v>171239879</v>
      </c>
      <c r="G397" s="24" t="s">
        <v>115</v>
      </c>
      <c r="H397" s="59" t="s">
        <v>320</v>
      </c>
      <c r="I397" s="32" t="s">
        <v>152</v>
      </c>
    </row>
    <row r="398" spans="1:9" x14ac:dyDescent="0.35">
      <c r="A398" s="19"/>
      <c r="B398" s="20"/>
      <c r="C398" s="20">
        <v>15830000</v>
      </c>
      <c r="D398" s="20"/>
      <c r="E398" s="99"/>
      <c r="F398" s="20">
        <f t="shared" si="6"/>
        <v>171239879</v>
      </c>
      <c r="G398" s="7" t="s">
        <v>305</v>
      </c>
      <c r="H398" s="59"/>
      <c r="I398" s="32"/>
    </row>
    <row r="399" spans="1:9" x14ac:dyDescent="0.35">
      <c r="A399" s="19">
        <v>45727</v>
      </c>
      <c r="B399" s="20"/>
      <c r="C399" s="20"/>
      <c r="D399" s="20">
        <v>50000</v>
      </c>
      <c r="E399" s="99" t="s">
        <v>521</v>
      </c>
      <c r="F399" s="20">
        <f t="shared" si="6"/>
        <v>171289879</v>
      </c>
      <c r="G399" s="7" t="s">
        <v>369</v>
      </c>
      <c r="H399" s="24" t="s">
        <v>109</v>
      </c>
      <c r="I399" s="32" t="s">
        <v>152</v>
      </c>
    </row>
    <row r="400" spans="1:9" x14ac:dyDescent="0.35">
      <c r="A400" s="19">
        <v>45727</v>
      </c>
      <c r="B400" s="20"/>
      <c r="C400" s="20"/>
      <c r="D400" s="20">
        <v>100000</v>
      </c>
      <c r="E400" s="99" t="s">
        <v>521</v>
      </c>
      <c r="F400" s="20">
        <f t="shared" si="6"/>
        <v>171389879</v>
      </c>
      <c r="G400" s="7" t="s">
        <v>369</v>
      </c>
      <c r="H400" s="24" t="s">
        <v>109</v>
      </c>
      <c r="I400" s="32" t="s">
        <v>152</v>
      </c>
    </row>
    <row r="401" spans="1:9" x14ac:dyDescent="0.35">
      <c r="A401" s="19">
        <v>45727</v>
      </c>
      <c r="B401" s="20"/>
      <c r="C401" s="20"/>
      <c r="D401" s="20">
        <v>250000</v>
      </c>
      <c r="E401" s="99" t="s">
        <v>521</v>
      </c>
      <c r="F401" s="20">
        <f t="shared" si="6"/>
        <v>171639879</v>
      </c>
      <c r="G401" s="7" t="s">
        <v>369</v>
      </c>
      <c r="H401" s="24" t="s">
        <v>109</v>
      </c>
      <c r="I401" s="32" t="s">
        <v>152</v>
      </c>
    </row>
    <row r="402" spans="1:9" x14ac:dyDescent="0.35">
      <c r="A402" s="19">
        <v>45727</v>
      </c>
      <c r="B402" s="20"/>
      <c r="C402" s="20"/>
      <c r="D402" s="20">
        <v>50000</v>
      </c>
      <c r="E402" s="99" t="s">
        <v>521</v>
      </c>
      <c r="F402" s="20">
        <f t="shared" si="6"/>
        <v>171689879</v>
      </c>
      <c r="G402" s="7" t="s">
        <v>369</v>
      </c>
      <c r="H402" s="24" t="s">
        <v>109</v>
      </c>
      <c r="I402" s="32" t="s">
        <v>152</v>
      </c>
    </row>
    <row r="403" spans="1:9" x14ac:dyDescent="0.35">
      <c r="A403" s="19">
        <v>45727</v>
      </c>
      <c r="B403" s="20"/>
      <c r="C403" s="20"/>
      <c r="D403" s="20">
        <v>10000</v>
      </c>
      <c r="E403" s="99" t="s">
        <v>521</v>
      </c>
      <c r="F403" s="20">
        <f t="shared" si="6"/>
        <v>171699879</v>
      </c>
      <c r="G403" s="7" t="s">
        <v>369</v>
      </c>
      <c r="H403" s="24" t="s">
        <v>109</v>
      </c>
      <c r="I403" s="32" t="s">
        <v>152</v>
      </c>
    </row>
    <row r="404" spans="1:9" x14ac:dyDescent="0.35">
      <c r="A404" s="19">
        <v>45727</v>
      </c>
      <c r="B404" s="20"/>
      <c r="C404" s="20"/>
      <c r="D404" s="20">
        <v>25000</v>
      </c>
      <c r="E404" s="99" t="s">
        <v>521</v>
      </c>
      <c r="F404" s="20">
        <f t="shared" si="6"/>
        <v>171724879</v>
      </c>
      <c r="G404" s="7" t="s">
        <v>369</v>
      </c>
      <c r="H404" s="24" t="s">
        <v>109</v>
      </c>
      <c r="I404" s="32" t="s">
        <v>152</v>
      </c>
    </row>
    <row r="405" spans="1:9" x14ac:dyDescent="0.35">
      <c r="A405" s="19">
        <v>45727</v>
      </c>
      <c r="B405" s="20"/>
      <c r="C405" s="20"/>
      <c r="D405" s="20">
        <v>50000</v>
      </c>
      <c r="E405" s="99" t="s">
        <v>521</v>
      </c>
      <c r="F405" s="20">
        <f t="shared" si="6"/>
        <v>171774879</v>
      </c>
      <c r="G405" s="7" t="s">
        <v>369</v>
      </c>
      <c r="H405" s="24" t="s">
        <v>109</v>
      </c>
      <c r="I405" s="32" t="s">
        <v>152</v>
      </c>
    </row>
    <row r="406" spans="1:9" x14ac:dyDescent="0.35">
      <c r="A406" s="19">
        <v>45727</v>
      </c>
      <c r="B406" s="20"/>
      <c r="C406" s="20"/>
      <c r="D406" s="20">
        <v>20000</v>
      </c>
      <c r="E406" s="99" t="s">
        <v>521</v>
      </c>
      <c r="F406" s="20">
        <f t="shared" si="6"/>
        <v>171794879</v>
      </c>
      <c r="G406" s="7" t="s">
        <v>369</v>
      </c>
      <c r="H406" s="24" t="s">
        <v>109</v>
      </c>
      <c r="I406" s="32" t="s">
        <v>152</v>
      </c>
    </row>
    <row r="407" spans="1:9" x14ac:dyDescent="0.35">
      <c r="A407" s="19">
        <v>45727</v>
      </c>
      <c r="B407" s="20"/>
      <c r="C407" s="20"/>
      <c r="D407" s="20">
        <v>1010</v>
      </c>
      <c r="E407" s="99" t="s">
        <v>521</v>
      </c>
      <c r="F407" s="20">
        <f t="shared" si="6"/>
        <v>171795889</v>
      </c>
      <c r="G407" s="7" t="s">
        <v>369</v>
      </c>
      <c r="H407" s="24" t="s">
        <v>109</v>
      </c>
      <c r="I407" s="32" t="s">
        <v>152</v>
      </c>
    </row>
    <row r="408" spans="1:9" x14ac:dyDescent="0.35">
      <c r="A408" s="19">
        <v>45727</v>
      </c>
      <c r="B408" s="20"/>
      <c r="C408" s="20"/>
      <c r="D408" s="20">
        <v>5000</v>
      </c>
      <c r="E408" s="99" t="s">
        <v>521</v>
      </c>
      <c r="F408" s="20">
        <f t="shared" si="6"/>
        <v>171800889</v>
      </c>
      <c r="G408" s="7" t="s">
        <v>369</v>
      </c>
      <c r="H408" s="24" t="s">
        <v>109</v>
      </c>
      <c r="I408" s="32" t="s">
        <v>152</v>
      </c>
    </row>
    <row r="409" spans="1:9" x14ac:dyDescent="0.35">
      <c r="A409" s="19">
        <v>45727</v>
      </c>
      <c r="B409" s="20"/>
      <c r="C409" s="20"/>
      <c r="D409" s="20">
        <v>100000</v>
      </c>
      <c r="E409" s="99" t="s">
        <v>521</v>
      </c>
      <c r="F409" s="20">
        <f t="shared" si="6"/>
        <v>171900889</v>
      </c>
      <c r="G409" s="7" t="s">
        <v>373</v>
      </c>
      <c r="H409" s="24" t="s">
        <v>109</v>
      </c>
      <c r="I409" s="32" t="s">
        <v>152</v>
      </c>
    </row>
    <row r="410" spans="1:9" x14ac:dyDescent="0.35">
      <c r="A410" s="19">
        <v>45727</v>
      </c>
      <c r="B410" s="20"/>
      <c r="C410" s="20"/>
      <c r="D410" s="20">
        <v>250000</v>
      </c>
      <c r="E410" s="99" t="s">
        <v>521</v>
      </c>
      <c r="F410" s="20">
        <f t="shared" si="6"/>
        <v>172150889</v>
      </c>
      <c r="G410" s="7" t="s">
        <v>387</v>
      </c>
      <c r="H410" s="24" t="s">
        <v>109</v>
      </c>
      <c r="I410" s="32" t="s">
        <v>152</v>
      </c>
    </row>
    <row r="411" spans="1:9" x14ac:dyDescent="0.35">
      <c r="A411" s="19">
        <v>45728</v>
      </c>
      <c r="B411" s="20">
        <v>3500000</v>
      </c>
      <c r="C411" s="20"/>
      <c r="D411" s="20"/>
      <c r="E411" s="99" t="s">
        <v>521</v>
      </c>
      <c r="F411" s="20">
        <f t="shared" si="6"/>
        <v>168650889</v>
      </c>
      <c r="G411" s="7" t="s">
        <v>388</v>
      </c>
      <c r="H411" s="24" t="s">
        <v>320</v>
      </c>
      <c r="I411" s="32" t="s">
        <v>152</v>
      </c>
    </row>
    <row r="412" spans="1:9" x14ac:dyDescent="0.35">
      <c r="A412" s="19">
        <v>45728</v>
      </c>
      <c r="B412" s="20">
        <v>2500</v>
      </c>
      <c r="C412" s="20"/>
      <c r="D412" s="20"/>
      <c r="E412" s="99" t="s">
        <v>521</v>
      </c>
      <c r="F412" s="20">
        <f t="shared" si="6"/>
        <v>168648389</v>
      </c>
      <c r="G412" s="7" t="s">
        <v>389</v>
      </c>
      <c r="H412" s="24" t="s">
        <v>320</v>
      </c>
      <c r="I412" s="32" t="s">
        <v>152</v>
      </c>
    </row>
    <row r="413" spans="1:9" x14ac:dyDescent="0.35">
      <c r="A413" s="19">
        <v>45728</v>
      </c>
      <c r="B413" s="20"/>
      <c r="C413" s="20"/>
      <c r="D413" s="20">
        <v>50000</v>
      </c>
      <c r="E413" s="99" t="s">
        <v>521</v>
      </c>
      <c r="F413" s="20">
        <f t="shared" si="6"/>
        <v>168698389</v>
      </c>
      <c r="G413" s="7" t="s">
        <v>330</v>
      </c>
      <c r="H413" s="24" t="s">
        <v>109</v>
      </c>
      <c r="I413" s="32" t="s">
        <v>152</v>
      </c>
    </row>
    <row r="414" spans="1:9" x14ac:dyDescent="0.35">
      <c r="A414" s="19">
        <v>45728</v>
      </c>
      <c r="B414" s="20"/>
      <c r="C414" s="20"/>
      <c r="D414" s="20">
        <v>50000</v>
      </c>
      <c r="E414" s="99" t="s">
        <v>521</v>
      </c>
      <c r="F414" s="20">
        <f t="shared" si="6"/>
        <v>168748389</v>
      </c>
      <c r="G414" s="7" t="s">
        <v>330</v>
      </c>
      <c r="H414" s="24" t="s">
        <v>109</v>
      </c>
      <c r="I414" s="32" t="s">
        <v>152</v>
      </c>
    </row>
    <row r="415" spans="1:9" x14ac:dyDescent="0.35">
      <c r="A415" s="19">
        <v>45728</v>
      </c>
      <c r="B415" s="20"/>
      <c r="C415" s="20"/>
      <c r="D415" s="20">
        <v>10000</v>
      </c>
      <c r="E415" s="99" t="s">
        <v>521</v>
      </c>
      <c r="F415" s="20">
        <f t="shared" si="6"/>
        <v>168758389</v>
      </c>
      <c r="G415" s="7" t="s">
        <v>330</v>
      </c>
      <c r="H415" s="24" t="s">
        <v>109</v>
      </c>
      <c r="I415" s="32" t="s">
        <v>152</v>
      </c>
    </row>
    <row r="416" spans="1:9" x14ac:dyDescent="0.35">
      <c r="A416" s="19">
        <v>45728</v>
      </c>
      <c r="B416" s="20"/>
      <c r="C416" s="20"/>
      <c r="D416" s="20">
        <v>100000</v>
      </c>
      <c r="E416" s="99" t="s">
        <v>521</v>
      </c>
      <c r="F416" s="20">
        <f t="shared" si="6"/>
        <v>168858389</v>
      </c>
      <c r="G416" s="7" t="s">
        <v>330</v>
      </c>
      <c r="H416" s="24" t="s">
        <v>109</v>
      </c>
      <c r="I416" s="32" t="s">
        <v>152</v>
      </c>
    </row>
    <row r="417" spans="1:9" x14ac:dyDescent="0.35">
      <c r="A417" s="19">
        <v>45728</v>
      </c>
      <c r="B417" s="20"/>
      <c r="C417" s="20"/>
      <c r="D417" s="20">
        <v>5000</v>
      </c>
      <c r="E417" s="99" t="s">
        <v>521</v>
      </c>
      <c r="F417" s="20">
        <f t="shared" si="6"/>
        <v>168863389</v>
      </c>
      <c r="G417" s="7" t="s">
        <v>330</v>
      </c>
      <c r="H417" s="24" t="s">
        <v>109</v>
      </c>
      <c r="I417" s="32" t="s">
        <v>152</v>
      </c>
    </row>
    <row r="418" spans="1:9" x14ac:dyDescent="0.35">
      <c r="A418" s="19">
        <v>45728</v>
      </c>
      <c r="B418" s="20"/>
      <c r="C418" s="20"/>
      <c r="D418" s="20">
        <v>10000</v>
      </c>
      <c r="E418" s="99" t="s">
        <v>521</v>
      </c>
      <c r="F418" s="20">
        <f t="shared" si="6"/>
        <v>168873389</v>
      </c>
      <c r="G418" s="7" t="s">
        <v>330</v>
      </c>
      <c r="H418" s="24" t="s">
        <v>109</v>
      </c>
      <c r="I418" s="32" t="s">
        <v>152</v>
      </c>
    </row>
    <row r="419" spans="1:9" x14ac:dyDescent="0.35">
      <c r="A419" s="19">
        <v>45728</v>
      </c>
      <c r="B419" s="20"/>
      <c r="C419" s="20"/>
      <c r="D419" s="20">
        <v>10000</v>
      </c>
      <c r="E419" s="99" t="s">
        <v>521</v>
      </c>
      <c r="F419" s="20">
        <f t="shared" si="6"/>
        <v>168883389</v>
      </c>
      <c r="G419" s="7" t="s">
        <v>330</v>
      </c>
      <c r="H419" s="24" t="s">
        <v>109</v>
      </c>
      <c r="I419" s="32" t="s">
        <v>152</v>
      </c>
    </row>
    <row r="420" spans="1:9" x14ac:dyDescent="0.35">
      <c r="A420" s="19">
        <v>45728</v>
      </c>
      <c r="B420" s="20"/>
      <c r="C420" s="20"/>
      <c r="D420" s="20">
        <v>170000</v>
      </c>
      <c r="E420" s="99" t="s">
        <v>521</v>
      </c>
      <c r="F420" s="20">
        <f t="shared" si="6"/>
        <v>169053389</v>
      </c>
      <c r="G420" s="7" t="s">
        <v>241</v>
      </c>
      <c r="H420" s="24" t="s">
        <v>109</v>
      </c>
      <c r="I420" s="32" t="s">
        <v>152</v>
      </c>
    </row>
    <row r="421" spans="1:9" x14ac:dyDescent="0.35">
      <c r="A421" s="19">
        <v>45729</v>
      </c>
      <c r="B421" s="20"/>
      <c r="C421" s="20"/>
      <c r="D421" s="20">
        <v>100000</v>
      </c>
      <c r="E421" s="99" t="s">
        <v>521</v>
      </c>
      <c r="F421" s="20">
        <f t="shared" si="6"/>
        <v>169153389</v>
      </c>
      <c r="G421" s="7" t="s">
        <v>330</v>
      </c>
      <c r="H421" s="24" t="s">
        <v>109</v>
      </c>
      <c r="I421" s="32" t="s">
        <v>152</v>
      </c>
    </row>
    <row r="422" spans="1:9" x14ac:dyDescent="0.35">
      <c r="A422" s="19">
        <v>45729</v>
      </c>
      <c r="B422" s="20"/>
      <c r="C422" s="20"/>
      <c r="D422" s="20">
        <v>10000</v>
      </c>
      <c r="E422" s="99" t="s">
        <v>521</v>
      </c>
      <c r="F422" s="20">
        <f t="shared" si="6"/>
        <v>169163389</v>
      </c>
      <c r="G422" s="7" t="s">
        <v>330</v>
      </c>
      <c r="H422" s="24" t="s">
        <v>109</v>
      </c>
      <c r="I422" s="32" t="s">
        <v>152</v>
      </c>
    </row>
    <row r="423" spans="1:9" x14ac:dyDescent="0.35">
      <c r="A423" s="19">
        <v>45729</v>
      </c>
      <c r="B423" s="20"/>
      <c r="C423" s="20"/>
      <c r="D423" s="20">
        <v>50000</v>
      </c>
      <c r="E423" s="99" t="s">
        <v>521</v>
      </c>
      <c r="F423" s="20">
        <f t="shared" si="6"/>
        <v>169213389</v>
      </c>
      <c r="G423" s="7" t="s">
        <v>330</v>
      </c>
      <c r="H423" s="24" t="s">
        <v>109</v>
      </c>
      <c r="I423" s="32" t="s">
        <v>152</v>
      </c>
    </row>
    <row r="424" spans="1:9" x14ac:dyDescent="0.35">
      <c r="A424" s="19">
        <v>45729</v>
      </c>
      <c r="B424" s="20"/>
      <c r="C424" s="20"/>
      <c r="D424" s="20">
        <v>100000</v>
      </c>
      <c r="E424" s="99" t="s">
        <v>521</v>
      </c>
      <c r="F424" s="20">
        <f t="shared" si="6"/>
        <v>169313389</v>
      </c>
      <c r="G424" s="7" t="s">
        <v>330</v>
      </c>
      <c r="H424" s="24" t="s">
        <v>109</v>
      </c>
      <c r="I424" s="32" t="s">
        <v>152</v>
      </c>
    </row>
    <row r="425" spans="1:9" x14ac:dyDescent="0.35">
      <c r="A425" s="19">
        <v>45729</v>
      </c>
      <c r="B425" s="20">
        <v>1000000</v>
      </c>
      <c r="C425" s="20"/>
      <c r="D425" s="20"/>
      <c r="E425" s="99" t="s">
        <v>521</v>
      </c>
      <c r="F425" s="20">
        <f t="shared" si="6"/>
        <v>168313389</v>
      </c>
      <c r="G425" s="7" t="s">
        <v>390</v>
      </c>
      <c r="H425" s="24" t="s">
        <v>322</v>
      </c>
      <c r="I425" s="32" t="s">
        <v>152</v>
      </c>
    </row>
    <row r="426" spans="1:9" x14ac:dyDescent="0.35">
      <c r="A426" s="19">
        <v>45729</v>
      </c>
      <c r="B426" s="20">
        <v>2500</v>
      </c>
      <c r="C426" s="20"/>
      <c r="D426" s="20"/>
      <c r="E426" s="99" t="s">
        <v>521</v>
      </c>
      <c r="F426" s="20">
        <f t="shared" si="6"/>
        <v>168310889</v>
      </c>
      <c r="G426" s="7" t="s">
        <v>391</v>
      </c>
      <c r="H426" s="24" t="s">
        <v>322</v>
      </c>
      <c r="I426" s="32" t="s">
        <v>152</v>
      </c>
    </row>
    <row r="427" spans="1:9" x14ac:dyDescent="0.35">
      <c r="A427" s="19">
        <v>45730</v>
      </c>
      <c r="B427" s="20"/>
      <c r="C427" s="20"/>
      <c r="D427" s="20">
        <v>100000</v>
      </c>
      <c r="E427" s="99" t="s">
        <v>521</v>
      </c>
      <c r="F427" s="20">
        <f t="shared" si="6"/>
        <v>168410889</v>
      </c>
      <c r="G427" s="7" t="s">
        <v>330</v>
      </c>
      <c r="H427" s="24" t="s">
        <v>109</v>
      </c>
      <c r="I427" s="32" t="s">
        <v>152</v>
      </c>
    </row>
    <row r="428" spans="1:9" x14ac:dyDescent="0.35">
      <c r="A428" s="19">
        <v>45730</v>
      </c>
      <c r="B428" s="20"/>
      <c r="C428" s="20"/>
      <c r="D428" s="20">
        <v>200000</v>
      </c>
      <c r="E428" s="99" t="s">
        <v>521</v>
      </c>
      <c r="F428" s="20">
        <f t="shared" si="6"/>
        <v>168610889</v>
      </c>
      <c r="G428" s="7" t="s">
        <v>330</v>
      </c>
      <c r="H428" s="24" t="s">
        <v>109</v>
      </c>
      <c r="I428" s="32" t="s">
        <v>152</v>
      </c>
    </row>
    <row r="429" spans="1:9" x14ac:dyDescent="0.35">
      <c r="A429" s="19">
        <v>45730</v>
      </c>
      <c r="B429" s="20"/>
      <c r="C429" s="20"/>
      <c r="D429" s="20">
        <v>50000</v>
      </c>
      <c r="E429" s="99" t="s">
        <v>521</v>
      </c>
      <c r="F429" s="20">
        <f t="shared" si="6"/>
        <v>168660889</v>
      </c>
      <c r="G429" s="7" t="s">
        <v>330</v>
      </c>
      <c r="H429" s="24" t="s">
        <v>109</v>
      </c>
      <c r="I429" s="32" t="s">
        <v>152</v>
      </c>
    </row>
    <row r="430" spans="1:9" x14ac:dyDescent="0.35">
      <c r="A430" s="19">
        <v>45730</v>
      </c>
      <c r="B430" s="20"/>
      <c r="C430" s="20"/>
      <c r="D430" s="20">
        <v>50000</v>
      </c>
      <c r="E430" s="99" t="s">
        <v>521</v>
      </c>
      <c r="F430" s="20">
        <f t="shared" si="6"/>
        <v>168710889</v>
      </c>
      <c r="G430" s="7" t="s">
        <v>330</v>
      </c>
      <c r="H430" s="24" t="s">
        <v>109</v>
      </c>
      <c r="I430" s="32" t="s">
        <v>152</v>
      </c>
    </row>
    <row r="431" spans="1:9" x14ac:dyDescent="0.35">
      <c r="A431" s="19">
        <v>45730</v>
      </c>
      <c r="B431" s="20"/>
      <c r="C431" s="20"/>
      <c r="D431" s="20">
        <v>25000</v>
      </c>
      <c r="E431" s="99" t="s">
        <v>521</v>
      </c>
      <c r="F431" s="20">
        <f t="shared" si="6"/>
        <v>168735889</v>
      </c>
      <c r="G431" s="7" t="s">
        <v>330</v>
      </c>
      <c r="H431" s="24" t="s">
        <v>109</v>
      </c>
      <c r="I431" s="32" t="s">
        <v>152</v>
      </c>
    </row>
    <row r="432" spans="1:9" x14ac:dyDescent="0.35">
      <c r="A432" s="19">
        <v>45730</v>
      </c>
      <c r="B432" s="20"/>
      <c r="C432" s="20"/>
      <c r="D432" s="20">
        <v>50000</v>
      </c>
      <c r="E432" s="99" t="s">
        <v>521</v>
      </c>
      <c r="F432" s="20">
        <f t="shared" si="6"/>
        <v>168785889</v>
      </c>
      <c r="G432" s="7" t="s">
        <v>330</v>
      </c>
      <c r="H432" s="24" t="s">
        <v>109</v>
      </c>
      <c r="I432" s="32" t="s">
        <v>152</v>
      </c>
    </row>
    <row r="433" spans="1:9" x14ac:dyDescent="0.35">
      <c r="A433" s="19">
        <v>45730</v>
      </c>
      <c r="B433" s="20"/>
      <c r="C433" s="20"/>
      <c r="D433" s="20">
        <v>100000</v>
      </c>
      <c r="E433" s="99" t="s">
        <v>521</v>
      </c>
      <c r="F433" s="20">
        <f t="shared" si="6"/>
        <v>168885889</v>
      </c>
      <c r="G433" s="7" t="s">
        <v>330</v>
      </c>
      <c r="H433" s="24" t="s">
        <v>109</v>
      </c>
      <c r="I433" s="32" t="s">
        <v>152</v>
      </c>
    </row>
    <row r="434" spans="1:9" x14ac:dyDescent="0.35">
      <c r="A434" s="19">
        <v>45730</v>
      </c>
      <c r="B434" s="20"/>
      <c r="C434" s="20"/>
      <c r="D434" s="20">
        <v>10000</v>
      </c>
      <c r="E434" s="99" t="s">
        <v>521</v>
      </c>
      <c r="F434" s="20">
        <f t="shared" si="6"/>
        <v>168895889</v>
      </c>
      <c r="G434" s="7" t="s">
        <v>330</v>
      </c>
      <c r="H434" s="24" t="s">
        <v>109</v>
      </c>
      <c r="I434" s="32" t="s">
        <v>152</v>
      </c>
    </row>
    <row r="435" spans="1:9" x14ac:dyDescent="0.35">
      <c r="A435" s="19">
        <v>45730</v>
      </c>
      <c r="B435" s="20"/>
      <c r="C435" s="20"/>
      <c r="D435" s="20">
        <v>300000</v>
      </c>
      <c r="E435" s="99" t="s">
        <v>521</v>
      </c>
      <c r="F435" s="20">
        <f t="shared" si="6"/>
        <v>169195889</v>
      </c>
      <c r="G435" s="7" t="s">
        <v>399</v>
      </c>
      <c r="H435" s="24" t="s">
        <v>109</v>
      </c>
      <c r="I435" s="32" t="s">
        <v>152</v>
      </c>
    </row>
    <row r="436" spans="1:9" x14ac:dyDescent="0.35">
      <c r="A436" s="19">
        <v>45730</v>
      </c>
      <c r="B436" s="20">
        <v>400000</v>
      </c>
      <c r="C436" s="20"/>
      <c r="D436" s="20"/>
      <c r="E436" s="99" t="s">
        <v>521</v>
      </c>
      <c r="F436" s="20">
        <f t="shared" si="6"/>
        <v>168795889</v>
      </c>
      <c r="G436" s="7" t="s">
        <v>400</v>
      </c>
      <c r="H436" s="59" t="s">
        <v>201</v>
      </c>
      <c r="I436" s="32" t="s">
        <v>152</v>
      </c>
    </row>
    <row r="437" spans="1:9" x14ac:dyDescent="0.35">
      <c r="A437" s="19">
        <v>45733</v>
      </c>
      <c r="B437" s="20"/>
      <c r="C437" s="20"/>
      <c r="D437" s="20">
        <v>50000</v>
      </c>
      <c r="E437" s="99" t="s">
        <v>521</v>
      </c>
      <c r="F437" s="20">
        <f t="shared" si="6"/>
        <v>168845889</v>
      </c>
      <c r="G437" s="7" t="s">
        <v>330</v>
      </c>
      <c r="H437" s="24" t="s">
        <v>109</v>
      </c>
      <c r="I437" s="32" t="s">
        <v>152</v>
      </c>
    </row>
    <row r="438" spans="1:9" x14ac:dyDescent="0.35">
      <c r="A438" s="19">
        <v>45733</v>
      </c>
      <c r="B438" s="20"/>
      <c r="C438" s="20"/>
      <c r="D438" s="20">
        <v>50000</v>
      </c>
      <c r="E438" s="99" t="s">
        <v>521</v>
      </c>
      <c r="F438" s="20">
        <f t="shared" si="6"/>
        <v>168895889</v>
      </c>
      <c r="G438" s="7" t="s">
        <v>330</v>
      </c>
      <c r="H438" s="24" t="s">
        <v>109</v>
      </c>
      <c r="I438" s="32" t="s">
        <v>152</v>
      </c>
    </row>
    <row r="439" spans="1:9" x14ac:dyDescent="0.35">
      <c r="A439" s="19">
        <v>45733</v>
      </c>
      <c r="B439" s="20"/>
      <c r="C439" s="20"/>
      <c r="D439" s="20">
        <v>50000</v>
      </c>
      <c r="E439" s="99" t="s">
        <v>521</v>
      </c>
      <c r="F439" s="20">
        <f t="shared" si="6"/>
        <v>168945889</v>
      </c>
      <c r="G439" s="7" t="s">
        <v>330</v>
      </c>
      <c r="H439" s="24" t="s">
        <v>109</v>
      </c>
      <c r="I439" s="32" t="s">
        <v>152</v>
      </c>
    </row>
    <row r="440" spans="1:9" x14ac:dyDescent="0.35">
      <c r="A440" s="19">
        <v>45733</v>
      </c>
      <c r="B440" s="20"/>
      <c r="C440" s="20"/>
      <c r="D440" s="20">
        <v>25000</v>
      </c>
      <c r="E440" s="99" t="s">
        <v>521</v>
      </c>
      <c r="F440" s="20">
        <f t="shared" si="6"/>
        <v>168970889</v>
      </c>
      <c r="G440" s="7" t="s">
        <v>330</v>
      </c>
      <c r="H440" s="24" t="s">
        <v>109</v>
      </c>
      <c r="I440" s="32" t="s">
        <v>152</v>
      </c>
    </row>
    <row r="441" spans="1:9" x14ac:dyDescent="0.35">
      <c r="A441" s="19">
        <v>45733</v>
      </c>
      <c r="B441" s="20"/>
      <c r="C441" s="20"/>
      <c r="D441" s="20">
        <v>10000</v>
      </c>
      <c r="E441" s="99" t="s">
        <v>521</v>
      </c>
      <c r="F441" s="20">
        <f t="shared" si="6"/>
        <v>168980889</v>
      </c>
      <c r="G441" s="7" t="s">
        <v>330</v>
      </c>
      <c r="H441" s="24" t="s">
        <v>109</v>
      </c>
      <c r="I441" s="32" t="s">
        <v>152</v>
      </c>
    </row>
    <row r="442" spans="1:9" x14ac:dyDescent="0.35">
      <c r="A442" s="19">
        <v>45733</v>
      </c>
      <c r="B442" s="20"/>
      <c r="C442" s="20"/>
      <c r="D442" s="20">
        <v>50000</v>
      </c>
      <c r="E442" s="99" t="s">
        <v>521</v>
      </c>
      <c r="F442" s="20">
        <f t="shared" si="6"/>
        <v>169030889</v>
      </c>
      <c r="G442" s="7" t="s">
        <v>330</v>
      </c>
      <c r="H442" s="24" t="s">
        <v>109</v>
      </c>
      <c r="I442" s="32" t="s">
        <v>152</v>
      </c>
    </row>
    <row r="443" spans="1:9" x14ac:dyDescent="0.35">
      <c r="A443" s="19">
        <v>45733</v>
      </c>
      <c r="B443" s="20"/>
      <c r="C443" s="20"/>
      <c r="D443" s="20">
        <v>50000</v>
      </c>
      <c r="E443" s="99" t="s">
        <v>521</v>
      </c>
      <c r="F443" s="20">
        <f t="shared" si="6"/>
        <v>169080889</v>
      </c>
      <c r="G443" s="7" t="s">
        <v>330</v>
      </c>
      <c r="H443" s="24" t="s">
        <v>109</v>
      </c>
      <c r="I443" s="32" t="s">
        <v>152</v>
      </c>
    </row>
    <row r="444" spans="1:9" x14ac:dyDescent="0.35">
      <c r="A444" s="19">
        <v>45733</v>
      </c>
      <c r="B444" s="20"/>
      <c r="C444" s="20"/>
      <c r="D444" s="20">
        <v>100000</v>
      </c>
      <c r="E444" s="99" t="s">
        <v>521</v>
      </c>
      <c r="F444" s="20">
        <f t="shared" si="6"/>
        <v>169180889</v>
      </c>
      <c r="G444" s="7" t="s">
        <v>330</v>
      </c>
      <c r="H444" s="24" t="s">
        <v>109</v>
      </c>
      <c r="I444" s="32" t="s">
        <v>152</v>
      </c>
    </row>
    <row r="445" spans="1:9" x14ac:dyDescent="0.35">
      <c r="A445" s="19">
        <v>45733</v>
      </c>
      <c r="B445" s="20"/>
      <c r="C445" s="20"/>
      <c r="D445" s="20">
        <v>50000</v>
      </c>
      <c r="E445" s="99" t="s">
        <v>521</v>
      </c>
      <c r="F445" s="20">
        <f t="shared" si="6"/>
        <v>169230889</v>
      </c>
      <c r="G445" s="7" t="s">
        <v>330</v>
      </c>
      <c r="H445" s="24" t="s">
        <v>109</v>
      </c>
      <c r="I445" s="32" t="s">
        <v>152</v>
      </c>
    </row>
    <row r="446" spans="1:9" x14ac:dyDescent="0.35">
      <c r="A446" s="19">
        <v>45733</v>
      </c>
      <c r="B446" s="20"/>
      <c r="C446" s="20"/>
      <c r="D446" s="20">
        <v>20000</v>
      </c>
      <c r="E446" s="99" t="s">
        <v>521</v>
      </c>
      <c r="F446" s="20">
        <f t="shared" si="6"/>
        <v>169250889</v>
      </c>
      <c r="G446" s="7" t="s">
        <v>330</v>
      </c>
      <c r="H446" s="24" t="s">
        <v>109</v>
      </c>
      <c r="I446" s="32" t="s">
        <v>152</v>
      </c>
    </row>
    <row r="447" spans="1:9" x14ac:dyDescent="0.35">
      <c r="A447" s="19">
        <v>45733</v>
      </c>
      <c r="B447" s="20"/>
      <c r="C447" s="20"/>
      <c r="D447" s="20">
        <v>510</v>
      </c>
      <c r="E447" s="99" t="s">
        <v>521</v>
      </c>
      <c r="F447" s="20">
        <f t="shared" si="6"/>
        <v>169251399</v>
      </c>
      <c r="G447" s="7" t="s">
        <v>330</v>
      </c>
      <c r="H447" s="24" t="s">
        <v>109</v>
      </c>
      <c r="I447" s="32" t="s">
        <v>152</v>
      </c>
    </row>
    <row r="448" spans="1:9" x14ac:dyDescent="0.35">
      <c r="A448" s="19">
        <v>45733</v>
      </c>
      <c r="B448" s="20">
        <v>3000000</v>
      </c>
      <c r="C448" s="20"/>
      <c r="D448" s="20"/>
      <c r="E448" s="99" t="s">
        <v>521</v>
      </c>
      <c r="F448" s="20">
        <f t="shared" si="6"/>
        <v>166251399</v>
      </c>
      <c r="G448" s="7" t="s">
        <v>401</v>
      </c>
      <c r="H448" s="24" t="s">
        <v>327</v>
      </c>
      <c r="I448" s="32" t="s">
        <v>152</v>
      </c>
    </row>
    <row r="449" spans="1:9" x14ac:dyDescent="0.35">
      <c r="A449" s="19">
        <v>45733</v>
      </c>
      <c r="B449" s="20">
        <v>2500</v>
      </c>
      <c r="C449" s="20"/>
      <c r="D449" s="20"/>
      <c r="E449" s="99" t="s">
        <v>521</v>
      </c>
      <c r="F449" s="20">
        <f t="shared" si="6"/>
        <v>166248899</v>
      </c>
      <c r="G449" s="7" t="s">
        <v>402</v>
      </c>
      <c r="H449" s="24" t="s">
        <v>327</v>
      </c>
      <c r="I449" s="32" t="s">
        <v>152</v>
      </c>
    </row>
    <row r="450" spans="1:9" x14ac:dyDescent="0.35">
      <c r="A450" s="19">
        <v>45733</v>
      </c>
      <c r="B450" s="20"/>
      <c r="C450" s="20"/>
      <c r="D450" s="20">
        <v>100000</v>
      </c>
      <c r="E450" s="99" t="s">
        <v>521</v>
      </c>
      <c r="F450" s="20">
        <f t="shared" si="6"/>
        <v>166348899</v>
      </c>
      <c r="G450" s="7" t="s">
        <v>330</v>
      </c>
      <c r="H450" s="24" t="s">
        <v>109</v>
      </c>
      <c r="I450" s="32" t="s">
        <v>152</v>
      </c>
    </row>
    <row r="451" spans="1:9" x14ac:dyDescent="0.35">
      <c r="A451" s="19">
        <v>45733</v>
      </c>
      <c r="B451" s="20"/>
      <c r="C451" s="20"/>
      <c r="D451" s="20">
        <v>100000</v>
      </c>
      <c r="E451" s="99" t="s">
        <v>521</v>
      </c>
      <c r="F451" s="20">
        <f t="shared" si="6"/>
        <v>166448899</v>
      </c>
      <c r="G451" s="7" t="s">
        <v>330</v>
      </c>
      <c r="H451" s="24" t="s">
        <v>109</v>
      </c>
      <c r="I451" s="32" t="s">
        <v>152</v>
      </c>
    </row>
    <row r="452" spans="1:9" x14ac:dyDescent="0.35">
      <c r="A452" s="19">
        <v>45733</v>
      </c>
      <c r="B452" s="20"/>
      <c r="C452" s="20"/>
      <c r="D452" s="20">
        <v>25000</v>
      </c>
      <c r="E452" s="99" t="s">
        <v>521</v>
      </c>
      <c r="F452" s="20">
        <f t="shared" si="6"/>
        <v>166473899</v>
      </c>
      <c r="G452" s="7" t="s">
        <v>330</v>
      </c>
      <c r="H452" s="24" t="s">
        <v>109</v>
      </c>
      <c r="I452" s="32" t="s">
        <v>152</v>
      </c>
    </row>
    <row r="453" spans="1:9" x14ac:dyDescent="0.35">
      <c r="A453" s="19">
        <v>45733</v>
      </c>
      <c r="B453" s="20"/>
      <c r="C453" s="20"/>
      <c r="D453" s="20">
        <v>10000</v>
      </c>
      <c r="E453" s="99" t="s">
        <v>521</v>
      </c>
      <c r="F453" s="20">
        <f t="shared" si="6"/>
        <v>166483899</v>
      </c>
      <c r="G453" s="7" t="s">
        <v>330</v>
      </c>
      <c r="H453" s="24" t="s">
        <v>109</v>
      </c>
      <c r="I453" s="32" t="s">
        <v>152</v>
      </c>
    </row>
    <row r="454" spans="1:9" x14ac:dyDescent="0.35">
      <c r="A454" s="19">
        <v>45733</v>
      </c>
      <c r="B454" s="20"/>
      <c r="C454" s="20"/>
      <c r="D454" s="20">
        <v>10000</v>
      </c>
      <c r="E454" s="99" t="s">
        <v>521</v>
      </c>
      <c r="F454" s="20">
        <f t="shared" si="6"/>
        <v>166493899</v>
      </c>
      <c r="G454" s="7" t="s">
        <v>330</v>
      </c>
      <c r="H454" s="24" t="s">
        <v>109</v>
      </c>
      <c r="I454" s="32" t="s">
        <v>152</v>
      </c>
    </row>
    <row r="455" spans="1:9" x14ac:dyDescent="0.35">
      <c r="A455" s="19">
        <v>45733</v>
      </c>
      <c r="B455" s="20"/>
      <c r="C455" s="20"/>
      <c r="D455" s="20">
        <v>50000</v>
      </c>
      <c r="E455" s="99" t="s">
        <v>521</v>
      </c>
      <c r="F455" s="20">
        <f t="shared" si="6"/>
        <v>166543899</v>
      </c>
      <c r="G455" s="7" t="s">
        <v>330</v>
      </c>
      <c r="H455" s="24" t="s">
        <v>109</v>
      </c>
      <c r="I455" s="32" t="s">
        <v>152</v>
      </c>
    </row>
    <row r="456" spans="1:9" x14ac:dyDescent="0.35">
      <c r="A456" s="19">
        <v>45733</v>
      </c>
      <c r="B456" s="20"/>
      <c r="C456" s="20"/>
      <c r="D456" s="20">
        <v>10000</v>
      </c>
      <c r="E456" s="99" t="s">
        <v>521</v>
      </c>
      <c r="F456" s="20">
        <f t="shared" si="6"/>
        <v>166553899</v>
      </c>
      <c r="G456" s="7" t="s">
        <v>330</v>
      </c>
      <c r="H456" s="24" t="s">
        <v>109</v>
      </c>
      <c r="I456" s="32" t="s">
        <v>152</v>
      </c>
    </row>
    <row r="457" spans="1:9" x14ac:dyDescent="0.35">
      <c r="A457" s="19">
        <v>45733</v>
      </c>
      <c r="B457" s="20"/>
      <c r="C457" s="20"/>
      <c r="D457" s="20">
        <v>20000</v>
      </c>
      <c r="E457" s="99" t="s">
        <v>521</v>
      </c>
      <c r="F457" s="20">
        <f t="shared" si="6"/>
        <v>166573899</v>
      </c>
      <c r="G457" s="7" t="s">
        <v>330</v>
      </c>
      <c r="H457" s="24" t="s">
        <v>109</v>
      </c>
      <c r="I457" s="32" t="s">
        <v>152</v>
      </c>
    </row>
    <row r="458" spans="1:9" x14ac:dyDescent="0.35">
      <c r="A458" s="19">
        <v>45733</v>
      </c>
      <c r="B458" s="20"/>
      <c r="C458" s="20"/>
      <c r="D458" s="20">
        <v>50000</v>
      </c>
      <c r="E458" s="99" t="s">
        <v>521</v>
      </c>
      <c r="F458" s="20">
        <f t="shared" ref="F458:F521" si="7">+F457+D458-B458</f>
        <v>166623899</v>
      </c>
      <c r="G458" s="7" t="s">
        <v>330</v>
      </c>
      <c r="H458" s="24" t="s">
        <v>109</v>
      </c>
      <c r="I458" s="32" t="s">
        <v>152</v>
      </c>
    </row>
    <row r="459" spans="1:9" x14ac:dyDescent="0.35">
      <c r="A459" s="19">
        <v>45733</v>
      </c>
      <c r="B459" s="20"/>
      <c r="C459" s="20"/>
      <c r="D459" s="20">
        <v>100000</v>
      </c>
      <c r="E459" s="99" t="s">
        <v>521</v>
      </c>
      <c r="F459" s="20">
        <f t="shared" si="7"/>
        <v>166723899</v>
      </c>
      <c r="G459" s="7" t="s">
        <v>330</v>
      </c>
      <c r="H459" s="24" t="s">
        <v>109</v>
      </c>
      <c r="I459" s="32" t="s">
        <v>152</v>
      </c>
    </row>
    <row r="460" spans="1:9" x14ac:dyDescent="0.35">
      <c r="A460" s="19">
        <v>45733</v>
      </c>
      <c r="B460" s="20"/>
      <c r="C460" s="20"/>
      <c r="D460" s="20">
        <v>100000</v>
      </c>
      <c r="E460" s="99" t="s">
        <v>521</v>
      </c>
      <c r="F460" s="20">
        <f t="shared" si="7"/>
        <v>166823899</v>
      </c>
      <c r="G460" s="7" t="s">
        <v>330</v>
      </c>
      <c r="H460" s="24" t="s">
        <v>109</v>
      </c>
      <c r="I460" s="32" t="s">
        <v>152</v>
      </c>
    </row>
    <row r="461" spans="1:9" x14ac:dyDescent="0.35">
      <c r="A461" s="19">
        <v>45733</v>
      </c>
      <c r="B461" s="20"/>
      <c r="C461" s="20"/>
      <c r="D461" s="20">
        <v>30000</v>
      </c>
      <c r="E461" s="99" t="s">
        <v>521</v>
      </c>
      <c r="F461" s="20">
        <f t="shared" si="7"/>
        <v>166853899</v>
      </c>
      <c r="G461" s="7" t="s">
        <v>330</v>
      </c>
      <c r="H461" s="24" t="s">
        <v>109</v>
      </c>
      <c r="I461" s="32" t="s">
        <v>152</v>
      </c>
    </row>
    <row r="462" spans="1:9" x14ac:dyDescent="0.35">
      <c r="A462" s="19">
        <v>45733</v>
      </c>
      <c r="B462" s="20"/>
      <c r="C462" s="20"/>
      <c r="D462" s="20">
        <v>50000</v>
      </c>
      <c r="E462" s="99" t="s">
        <v>521</v>
      </c>
      <c r="F462" s="20">
        <f t="shared" si="7"/>
        <v>166903899</v>
      </c>
      <c r="G462" s="7" t="s">
        <v>330</v>
      </c>
      <c r="H462" s="24" t="s">
        <v>109</v>
      </c>
      <c r="I462" s="32" t="s">
        <v>152</v>
      </c>
    </row>
    <row r="463" spans="1:9" x14ac:dyDescent="0.35">
      <c r="A463" s="19">
        <v>45733</v>
      </c>
      <c r="B463" s="20"/>
      <c r="C463" s="20"/>
      <c r="D463" s="20">
        <v>15000</v>
      </c>
      <c r="E463" s="99" t="s">
        <v>521</v>
      </c>
      <c r="F463" s="20">
        <f t="shared" si="7"/>
        <v>166918899</v>
      </c>
      <c r="G463" s="7" t="s">
        <v>330</v>
      </c>
      <c r="H463" s="24" t="s">
        <v>109</v>
      </c>
      <c r="I463" s="32" t="s">
        <v>152</v>
      </c>
    </row>
    <row r="464" spans="1:9" x14ac:dyDescent="0.35">
      <c r="A464" s="19">
        <v>45733</v>
      </c>
      <c r="B464" s="20"/>
      <c r="C464" s="20"/>
      <c r="D464" s="20">
        <v>10000</v>
      </c>
      <c r="E464" s="99" t="s">
        <v>521</v>
      </c>
      <c r="F464" s="20">
        <f t="shared" si="7"/>
        <v>166928899</v>
      </c>
      <c r="G464" s="7" t="s">
        <v>330</v>
      </c>
      <c r="H464" s="24" t="s">
        <v>109</v>
      </c>
      <c r="I464" s="32" t="s">
        <v>152</v>
      </c>
    </row>
    <row r="465" spans="1:9" x14ac:dyDescent="0.35">
      <c r="A465" s="19">
        <v>45733</v>
      </c>
      <c r="B465" s="20"/>
      <c r="C465" s="20"/>
      <c r="D465" s="20">
        <v>50000</v>
      </c>
      <c r="E465" s="99" t="s">
        <v>521</v>
      </c>
      <c r="F465" s="20">
        <f t="shared" si="7"/>
        <v>166978899</v>
      </c>
      <c r="G465" s="7" t="s">
        <v>330</v>
      </c>
      <c r="H465" s="24" t="s">
        <v>109</v>
      </c>
      <c r="I465" s="32" t="s">
        <v>152</v>
      </c>
    </row>
    <row r="466" spans="1:9" x14ac:dyDescent="0.35">
      <c r="A466" s="19">
        <v>45733</v>
      </c>
      <c r="B466" s="20"/>
      <c r="C466" s="20"/>
      <c r="D466" s="20">
        <v>10000</v>
      </c>
      <c r="E466" s="99" t="s">
        <v>521</v>
      </c>
      <c r="F466" s="20">
        <f t="shared" si="7"/>
        <v>166988899</v>
      </c>
      <c r="G466" s="7" t="s">
        <v>330</v>
      </c>
      <c r="H466" s="24" t="s">
        <v>109</v>
      </c>
      <c r="I466" s="32" t="s">
        <v>152</v>
      </c>
    </row>
    <row r="467" spans="1:9" x14ac:dyDescent="0.35">
      <c r="A467" s="19">
        <v>45733</v>
      </c>
      <c r="B467" s="20"/>
      <c r="C467" s="20"/>
      <c r="D467" s="20">
        <v>100000</v>
      </c>
      <c r="E467" s="99" t="s">
        <v>521</v>
      </c>
      <c r="F467" s="20">
        <f t="shared" si="7"/>
        <v>167088899</v>
      </c>
      <c r="G467" s="7" t="s">
        <v>330</v>
      </c>
      <c r="H467" s="24" t="s">
        <v>109</v>
      </c>
      <c r="I467" s="32" t="s">
        <v>152</v>
      </c>
    </row>
    <row r="468" spans="1:9" x14ac:dyDescent="0.35">
      <c r="A468" s="19">
        <v>45733</v>
      </c>
      <c r="B468" s="20"/>
      <c r="C468" s="20"/>
      <c r="D468" s="20">
        <v>5000</v>
      </c>
      <c r="E468" s="99" t="s">
        <v>521</v>
      </c>
      <c r="F468" s="20">
        <f t="shared" si="7"/>
        <v>167093899</v>
      </c>
      <c r="G468" s="7" t="s">
        <v>330</v>
      </c>
      <c r="H468" s="24" t="s">
        <v>109</v>
      </c>
      <c r="I468" s="32" t="s">
        <v>152</v>
      </c>
    </row>
    <row r="469" spans="1:9" x14ac:dyDescent="0.35">
      <c r="A469" s="19">
        <v>45733</v>
      </c>
      <c r="B469" s="20"/>
      <c r="C469" s="20"/>
      <c r="D469" s="20">
        <v>150000</v>
      </c>
      <c r="E469" s="99" t="s">
        <v>521</v>
      </c>
      <c r="F469" s="20">
        <f t="shared" si="7"/>
        <v>167243899</v>
      </c>
      <c r="G469" s="7" t="s">
        <v>330</v>
      </c>
      <c r="H469" s="24" t="s">
        <v>109</v>
      </c>
      <c r="I469" s="32" t="s">
        <v>152</v>
      </c>
    </row>
    <row r="470" spans="1:9" x14ac:dyDescent="0.35">
      <c r="A470" s="19">
        <v>45733</v>
      </c>
      <c r="B470" s="20"/>
      <c r="C470" s="20"/>
      <c r="D470" s="20">
        <v>20000</v>
      </c>
      <c r="E470" s="99" t="s">
        <v>521</v>
      </c>
      <c r="F470" s="20">
        <f t="shared" si="7"/>
        <v>167263899</v>
      </c>
      <c r="G470" s="7" t="s">
        <v>330</v>
      </c>
      <c r="H470" s="24" t="s">
        <v>109</v>
      </c>
      <c r="I470" s="32" t="s">
        <v>152</v>
      </c>
    </row>
    <row r="471" spans="1:9" x14ac:dyDescent="0.35">
      <c r="A471" s="19">
        <v>45733</v>
      </c>
      <c r="B471" s="20">
        <v>58150000</v>
      </c>
      <c r="C471" s="20"/>
      <c r="D471" s="20"/>
      <c r="E471" s="99" t="s">
        <v>521</v>
      </c>
      <c r="F471" s="20">
        <f t="shared" si="7"/>
        <v>109113899</v>
      </c>
      <c r="G471" s="7" t="s">
        <v>403</v>
      </c>
      <c r="H471" s="59" t="s">
        <v>203</v>
      </c>
      <c r="I471" s="32" t="s">
        <v>152</v>
      </c>
    </row>
    <row r="472" spans="1:9" x14ac:dyDescent="0.35">
      <c r="A472" s="19">
        <v>45733</v>
      </c>
      <c r="B472" s="20">
        <v>2500</v>
      </c>
      <c r="C472" s="20"/>
      <c r="D472" s="20"/>
      <c r="E472" s="99" t="s">
        <v>521</v>
      </c>
      <c r="F472" s="20">
        <f t="shared" si="7"/>
        <v>109111399</v>
      </c>
      <c r="G472" s="7" t="s">
        <v>404</v>
      </c>
      <c r="H472" s="59" t="s">
        <v>203</v>
      </c>
      <c r="I472" s="32" t="s">
        <v>152</v>
      </c>
    </row>
    <row r="473" spans="1:9" x14ac:dyDescent="0.35">
      <c r="A473" s="19">
        <v>45733</v>
      </c>
      <c r="B473" s="20"/>
      <c r="C473" s="20"/>
      <c r="D473" s="23">
        <v>4230000</v>
      </c>
      <c r="E473" s="99" t="s">
        <v>521</v>
      </c>
      <c r="F473" s="20">
        <f t="shared" si="7"/>
        <v>113341399</v>
      </c>
      <c r="G473" s="24" t="s">
        <v>107</v>
      </c>
      <c r="H473" s="24" t="s">
        <v>107</v>
      </c>
      <c r="I473" s="32" t="s">
        <v>152</v>
      </c>
    </row>
    <row r="474" spans="1:9" x14ac:dyDescent="0.35">
      <c r="A474" s="19">
        <v>45733</v>
      </c>
      <c r="B474" s="20"/>
      <c r="C474" s="20"/>
      <c r="D474" s="23">
        <f>4756000-4230000</f>
        <v>526000</v>
      </c>
      <c r="E474" s="99" t="s">
        <v>521</v>
      </c>
      <c r="F474" s="20">
        <f t="shared" si="7"/>
        <v>113867399</v>
      </c>
      <c r="G474" s="24" t="s">
        <v>109</v>
      </c>
      <c r="H474" s="24" t="s">
        <v>109</v>
      </c>
      <c r="I474" s="32" t="s">
        <v>152</v>
      </c>
    </row>
    <row r="475" spans="1:9" x14ac:dyDescent="0.35">
      <c r="A475" s="19">
        <v>45733</v>
      </c>
      <c r="B475" s="20"/>
      <c r="C475" s="20"/>
      <c r="D475" s="23">
        <v>5578000</v>
      </c>
      <c r="E475" s="99" t="s">
        <v>521</v>
      </c>
      <c r="F475" s="20">
        <f t="shared" si="7"/>
        <v>119445399</v>
      </c>
      <c r="G475" s="24" t="s">
        <v>377</v>
      </c>
      <c r="H475" s="24" t="s">
        <v>109</v>
      </c>
      <c r="I475" s="32" t="s">
        <v>152</v>
      </c>
    </row>
    <row r="476" spans="1:9" x14ac:dyDescent="0.35">
      <c r="A476" s="19">
        <v>45733</v>
      </c>
      <c r="B476" s="20"/>
      <c r="C476" s="20"/>
      <c r="D476" s="23">
        <v>1000</v>
      </c>
      <c r="E476" s="99" t="s">
        <v>521</v>
      </c>
      <c r="F476" s="20">
        <f t="shared" si="7"/>
        <v>119446399</v>
      </c>
      <c r="G476" s="24" t="s">
        <v>115</v>
      </c>
      <c r="H476" s="24" t="s">
        <v>109</v>
      </c>
      <c r="I476" s="32" t="s">
        <v>152</v>
      </c>
    </row>
    <row r="477" spans="1:9" x14ac:dyDescent="0.35">
      <c r="A477" s="19"/>
      <c r="B477" s="20"/>
      <c r="C477" s="95">
        <v>10335000</v>
      </c>
      <c r="D477" s="95"/>
      <c r="E477" s="124"/>
      <c r="F477" s="20">
        <f t="shared" si="7"/>
        <v>119446399</v>
      </c>
      <c r="G477" s="125" t="s">
        <v>305</v>
      </c>
      <c r="H477" s="24"/>
      <c r="I477" s="32"/>
    </row>
    <row r="478" spans="1:9" x14ac:dyDescent="0.35">
      <c r="A478" s="19">
        <v>45734</v>
      </c>
      <c r="B478" s="20">
        <v>2800000</v>
      </c>
      <c r="C478" s="20"/>
      <c r="D478" s="20"/>
      <c r="E478" s="99" t="s">
        <v>521</v>
      </c>
      <c r="F478" s="20">
        <f t="shared" si="7"/>
        <v>116646399</v>
      </c>
      <c r="G478" s="7" t="s">
        <v>405</v>
      </c>
      <c r="H478" s="59" t="s">
        <v>201</v>
      </c>
      <c r="I478" s="32" t="s">
        <v>152</v>
      </c>
    </row>
    <row r="479" spans="1:9" x14ac:dyDescent="0.35">
      <c r="A479" s="19">
        <v>45734</v>
      </c>
      <c r="B479" s="20">
        <v>2500</v>
      </c>
      <c r="C479" s="20"/>
      <c r="D479" s="20"/>
      <c r="E479" s="99" t="s">
        <v>521</v>
      </c>
      <c r="F479" s="20">
        <f t="shared" si="7"/>
        <v>116643899</v>
      </c>
      <c r="G479" s="7" t="s">
        <v>406</v>
      </c>
      <c r="H479" s="59" t="s">
        <v>201</v>
      </c>
      <c r="I479" s="32" t="s">
        <v>152</v>
      </c>
    </row>
    <row r="480" spans="1:9" x14ac:dyDescent="0.35">
      <c r="A480" s="19">
        <v>45734</v>
      </c>
      <c r="B480" s="20"/>
      <c r="C480" s="20"/>
      <c r="D480" s="20">
        <v>50000</v>
      </c>
      <c r="E480" s="99" t="s">
        <v>521</v>
      </c>
      <c r="F480" s="20">
        <f t="shared" si="7"/>
        <v>116693899</v>
      </c>
      <c r="G480" s="7" t="s">
        <v>330</v>
      </c>
      <c r="H480" s="24" t="s">
        <v>109</v>
      </c>
      <c r="I480" s="32" t="s">
        <v>152</v>
      </c>
    </row>
    <row r="481" spans="1:9" x14ac:dyDescent="0.35">
      <c r="A481" s="19">
        <v>45734</v>
      </c>
      <c r="B481" s="20"/>
      <c r="C481" s="20"/>
      <c r="D481" s="20">
        <v>50000</v>
      </c>
      <c r="E481" s="99" t="s">
        <v>521</v>
      </c>
      <c r="F481" s="20">
        <f t="shared" si="7"/>
        <v>116743899</v>
      </c>
      <c r="G481" s="7" t="s">
        <v>330</v>
      </c>
      <c r="H481" s="24" t="s">
        <v>109</v>
      </c>
      <c r="I481" s="32" t="s">
        <v>152</v>
      </c>
    </row>
    <row r="482" spans="1:9" x14ac:dyDescent="0.35">
      <c r="A482" s="19">
        <v>45734</v>
      </c>
      <c r="B482" s="20"/>
      <c r="C482" s="20"/>
      <c r="D482" s="20">
        <v>100000</v>
      </c>
      <c r="E482" s="99" t="s">
        <v>521</v>
      </c>
      <c r="F482" s="20">
        <f t="shared" si="7"/>
        <v>116843899</v>
      </c>
      <c r="G482" s="7" t="s">
        <v>330</v>
      </c>
      <c r="H482" s="24" t="s">
        <v>109</v>
      </c>
      <c r="I482" s="32" t="s">
        <v>152</v>
      </c>
    </row>
    <row r="483" spans="1:9" x14ac:dyDescent="0.35">
      <c r="A483" s="19">
        <v>45734</v>
      </c>
      <c r="B483" s="20"/>
      <c r="C483" s="20"/>
      <c r="D483" s="20">
        <v>50000</v>
      </c>
      <c r="E483" s="99" t="s">
        <v>521</v>
      </c>
      <c r="F483" s="20">
        <f t="shared" si="7"/>
        <v>116893899</v>
      </c>
      <c r="G483" s="7" t="s">
        <v>330</v>
      </c>
      <c r="H483" s="24" t="s">
        <v>109</v>
      </c>
      <c r="I483" s="32" t="s">
        <v>152</v>
      </c>
    </row>
    <row r="484" spans="1:9" x14ac:dyDescent="0.35">
      <c r="A484" s="19">
        <v>45734</v>
      </c>
      <c r="B484" s="20"/>
      <c r="C484" s="20"/>
      <c r="D484" s="20">
        <v>10000</v>
      </c>
      <c r="E484" s="99" t="s">
        <v>521</v>
      </c>
      <c r="F484" s="20">
        <f t="shared" si="7"/>
        <v>116903899</v>
      </c>
      <c r="G484" s="7" t="s">
        <v>330</v>
      </c>
      <c r="H484" s="24" t="s">
        <v>109</v>
      </c>
      <c r="I484" s="32" t="s">
        <v>152</v>
      </c>
    </row>
    <row r="485" spans="1:9" x14ac:dyDescent="0.35">
      <c r="A485" s="19">
        <v>45734</v>
      </c>
      <c r="B485" s="20"/>
      <c r="C485" s="20"/>
      <c r="D485" s="20">
        <v>50000</v>
      </c>
      <c r="E485" s="99" t="s">
        <v>521</v>
      </c>
      <c r="F485" s="20">
        <f t="shared" si="7"/>
        <v>116953899</v>
      </c>
      <c r="G485" s="7" t="s">
        <v>330</v>
      </c>
      <c r="H485" s="24" t="s">
        <v>109</v>
      </c>
      <c r="I485" s="32" t="s">
        <v>152</v>
      </c>
    </row>
    <row r="486" spans="1:9" x14ac:dyDescent="0.35">
      <c r="A486" s="19">
        <v>45734</v>
      </c>
      <c r="B486" s="20"/>
      <c r="C486" s="20"/>
      <c r="D486" s="20">
        <v>10000</v>
      </c>
      <c r="E486" s="99" t="s">
        <v>521</v>
      </c>
      <c r="F486" s="20">
        <f t="shared" si="7"/>
        <v>116963899</v>
      </c>
      <c r="G486" s="7" t="s">
        <v>330</v>
      </c>
      <c r="H486" s="24" t="s">
        <v>109</v>
      </c>
      <c r="I486" s="32" t="s">
        <v>152</v>
      </c>
    </row>
    <row r="487" spans="1:9" x14ac:dyDescent="0.35">
      <c r="A487" s="19">
        <v>45734</v>
      </c>
      <c r="B487" s="20"/>
      <c r="C487" s="20"/>
      <c r="D487" s="20">
        <v>100000</v>
      </c>
      <c r="E487" s="99" t="s">
        <v>521</v>
      </c>
      <c r="F487" s="20">
        <f t="shared" si="7"/>
        <v>117063899</v>
      </c>
      <c r="G487" s="7" t="s">
        <v>330</v>
      </c>
      <c r="H487" s="24" t="s">
        <v>109</v>
      </c>
      <c r="I487" s="32" t="s">
        <v>152</v>
      </c>
    </row>
    <row r="488" spans="1:9" x14ac:dyDescent="0.35">
      <c r="A488" s="19">
        <v>45734</v>
      </c>
      <c r="B488" s="20"/>
      <c r="C488" s="20"/>
      <c r="D488" s="20">
        <v>20000</v>
      </c>
      <c r="E488" s="99" t="s">
        <v>521</v>
      </c>
      <c r="F488" s="20">
        <f t="shared" si="7"/>
        <v>117083899</v>
      </c>
      <c r="G488" s="7" t="s">
        <v>330</v>
      </c>
      <c r="H488" s="24" t="s">
        <v>109</v>
      </c>
      <c r="I488" s="32" t="s">
        <v>152</v>
      </c>
    </row>
    <row r="489" spans="1:9" x14ac:dyDescent="0.35">
      <c r="A489" s="19">
        <v>45735</v>
      </c>
      <c r="B489" s="20"/>
      <c r="C489" s="20"/>
      <c r="D489" s="20">
        <v>50000</v>
      </c>
      <c r="E489" s="99" t="s">
        <v>521</v>
      </c>
      <c r="F489" s="20">
        <f t="shared" si="7"/>
        <v>117133899</v>
      </c>
      <c r="G489" s="7" t="s">
        <v>330</v>
      </c>
      <c r="H489" s="24" t="s">
        <v>109</v>
      </c>
      <c r="I489" s="32" t="s">
        <v>152</v>
      </c>
    </row>
    <row r="490" spans="1:9" x14ac:dyDescent="0.35">
      <c r="A490" s="19">
        <v>45735</v>
      </c>
      <c r="B490" s="20"/>
      <c r="C490" s="20"/>
      <c r="D490" s="20">
        <v>25000</v>
      </c>
      <c r="E490" s="99" t="s">
        <v>521</v>
      </c>
      <c r="F490" s="20">
        <f t="shared" si="7"/>
        <v>117158899</v>
      </c>
      <c r="G490" s="7" t="s">
        <v>330</v>
      </c>
      <c r="H490" s="24" t="s">
        <v>109</v>
      </c>
      <c r="I490" s="32" t="s">
        <v>152</v>
      </c>
    </row>
    <row r="491" spans="1:9" x14ac:dyDescent="0.35">
      <c r="A491" s="19">
        <v>45735</v>
      </c>
      <c r="B491" s="20"/>
      <c r="C491" s="20"/>
      <c r="D491" s="20">
        <v>25000</v>
      </c>
      <c r="E491" s="99" t="s">
        <v>521</v>
      </c>
      <c r="F491" s="20">
        <f t="shared" si="7"/>
        <v>117183899</v>
      </c>
      <c r="G491" s="7" t="s">
        <v>330</v>
      </c>
      <c r="H491" s="24" t="s">
        <v>109</v>
      </c>
      <c r="I491" s="32" t="s">
        <v>152</v>
      </c>
    </row>
    <row r="492" spans="1:9" x14ac:dyDescent="0.35">
      <c r="A492" s="19">
        <v>45735</v>
      </c>
      <c r="B492" s="20"/>
      <c r="C492" s="20"/>
      <c r="D492" s="20">
        <v>100000</v>
      </c>
      <c r="E492" s="99" t="s">
        <v>521</v>
      </c>
      <c r="F492" s="20">
        <f t="shared" si="7"/>
        <v>117283899</v>
      </c>
      <c r="G492" s="7" t="s">
        <v>330</v>
      </c>
      <c r="H492" s="24" t="s">
        <v>109</v>
      </c>
      <c r="I492" s="32" t="s">
        <v>152</v>
      </c>
    </row>
    <row r="493" spans="1:9" x14ac:dyDescent="0.35">
      <c r="A493" s="19">
        <v>45735</v>
      </c>
      <c r="B493" s="20"/>
      <c r="C493" s="20"/>
      <c r="D493" s="20">
        <v>50000</v>
      </c>
      <c r="E493" s="99" t="s">
        <v>521</v>
      </c>
      <c r="F493" s="20">
        <f t="shared" si="7"/>
        <v>117333899</v>
      </c>
      <c r="G493" s="7" t="s">
        <v>330</v>
      </c>
      <c r="H493" s="24" t="s">
        <v>109</v>
      </c>
      <c r="I493" s="32" t="s">
        <v>152</v>
      </c>
    </row>
    <row r="494" spans="1:9" x14ac:dyDescent="0.35">
      <c r="A494" s="19">
        <v>45735</v>
      </c>
      <c r="B494" s="20"/>
      <c r="C494" s="20"/>
      <c r="D494" s="20">
        <v>25000</v>
      </c>
      <c r="E494" s="99" t="s">
        <v>521</v>
      </c>
      <c r="F494" s="20">
        <f t="shared" si="7"/>
        <v>117358899</v>
      </c>
      <c r="G494" s="7" t="s">
        <v>330</v>
      </c>
      <c r="H494" s="24" t="s">
        <v>109</v>
      </c>
      <c r="I494" s="32" t="s">
        <v>152</v>
      </c>
    </row>
    <row r="495" spans="1:9" x14ac:dyDescent="0.35">
      <c r="A495" s="19">
        <v>45735</v>
      </c>
      <c r="B495" s="20"/>
      <c r="C495" s="20"/>
      <c r="D495" s="20">
        <v>50000</v>
      </c>
      <c r="E495" s="99" t="s">
        <v>521</v>
      </c>
      <c r="F495" s="20">
        <f t="shared" si="7"/>
        <v>117408899</v>
      </c>
      <c r="G495" s="7" t="s">
        <v>330</v>
      </c>
      <c r="H495" s="24" t="s">
        <v>109</v>
      </c>
      <c r="I495" s="32" t="s">
        <v>152</v>
      </c>
    </row>
    <row r="496" spans="1:9" x14ac:dyDescent="0.35">
      <c r="A496" s="19">
        <v>45735</v>
      </c>
      <c r="B496" s="20"/>
      <c r="C496" s="20"/>
      <c r="D496" s="20">
        <v>10000</v>
      </c>
      <c r="E496" s="99" t="s">
        <v>521</v>
      </c>
      <c r="F496" s="20">
        <f t="shared" si="7"/>
        <v>117418899</v>
      </c>
      <c r="G496" s="7" t="s">
        <v>330</v>
      </c>
      <c r="H496" s="24" t="s">
        <v>109</v>
      </c>
      <c r="I496" s="32" t="s">
        <v>152</v>
      </c>
    </row>
    <row r="497" spans="1:9" x14ac:dyDescent="0.35">
      <c r="A497" s="19">
        <v>45735</v>
      </c>
      <c r="B497" s="20"/>
      <c r="C497" s="20"/>
      <c r="D497" s="20">
        <v>10000</v>
      </c>
      <c r="E497" s="99" t="s">
        <v>521</v>
      </c>
      <c r="F497" s="20">
        <f t="shared" si="7"/>
        <v>117428899</v>
      </c>
      <c r="G497" s="7" t="s">
        <v>330</v>
      </c>
      <c r="H497" s="24" t="s">
        <v>109</v>
      </c>
      <c r="I497" s="32" t="s">
        <v>152</v>
      </c>
    </row>
    <row r="498" spans="1:9" x14ac:dyDescent="0.35">
      <c r="A498" s="19">
        <v>45735</v>
      </c>
      <c r="B498" s="20"/>
      <c r="C498" s="20"/>
      <c r="D498" s="20">
        <v>100000</v>
      </c>
      <c r="E498" s="99" t="s">
        <v>521</v>
      </c>
      <c r="F498" s="20">
        <f t="shared" si="7"/>
        <v>117528899</v>
      </c>
      <c r="G498" s="7" t="s">
        <v>330</v>
      </c>
      <c r="H498" s="24" t="s">
        <v>109</v>
      </c>
      <c r="I498" s="32" t="s">
        <v>152</v>
      </c>
    </row>
    <row r="499" spans="1:9" x14ac:dyDescent="0.35">
      <c r="A499" s="19">
        <v>45735</v>
      </c>
      <c r="B499" s="20"/>
      <c r="C499" s="20"/>
      <c r="D499" s="20">
        <v>50000</v>
      </c>
      <c r="E499" s="99" t="s">
        <v>521</v>
      </c>
      <c r="F499" s="20">
        <f t="shared" si="7"/>
        <v>117578899</v>
      </c>
      <c r="G499" s="7" t="s">
        <v>330</v>
      </c>
      <c r="H499" s="24" t="s">
        <v>109</v>
      </c>
      <c r="I499" s="32" t="s">
        <v>152</v>
      </c>
    </row>
    <row r="500" spans="1:9" x14ac:dyDescent="0.35">
      <c r="A500" s="19">
        <v>45735</v>
      </c>
      <c r="B500" s="20"/>
      <c r="C500" s="20"/>
      <c r="D500" s="20">
        <v>10000</v>
      </c>
      <c r="E500" s="99" t="s">
        <v>521</v>
      </c>
      <c r="F500" s="20">
        <f t="shared" si="7"/>
        <v>117588899</v>
      </c>
      <c r="G500" s="7" t="s">
        <v>330</v>
      </c>
      <c r="H500" s="24" t="s">
        <v>109</v>
      </c>
      <c r="I500" s="32" t="s">
        <v>152</v>
      </c>
    </row>
    <row r="501" spans="1:9" x14ac:dyDescent="0.35">
      <c r="A501" s="19">
        <v>45735</v>
      </c>
      <c r="B501" s="20"/>
      <c r="C501" s="20"/>
      <c r="D501" s="20">
        <v>5000</v>
      </c>
      <c r="E501" s="99" t="s">
        <v>521</v>
      </c>
      <c r="F501" s="20">
        <f t="shared" si="7"/>
        <v>117593899</v>
      </c>
      <c r="G501" s="7" t="s">
        <v>330</v>
      </c>
      <c r="H501" s="24" t="s">
        <v>109</v>
      </c>
      <c r="I501" s="32" t="s">
        <v>152</v>
      </c>
    </row>
    <row r="502" spans="1:9" x14ac:dyDescent="0.35">
      <c r="A502" s="19">
        <v>45735</v>
      </c>
      <c r="B502" s="20"/>
      <c r="C502" s="20"/>
      <c r="D502" s="20">
        <v>50000</v>
      </c>
      <c r="E502" s="99" t="s">
        <v>521</v>
      </c>
      <c r="F502" s="20">
        <f t="shared" si="7"/>
        <v>117643899</v>
      </c>
      <c r="G502" s="7" t="s">
        <v>330</v>
      </c>
      <c r="H502" s="24" t="s">
        <v>109</v>
      </c>
      <c r="I502" s="32" t="s">
        <v>152</v>
      </c>
    </row>
    <row r="503" spans="1:9" x14ac:dyDescent="0.35">
      <c r="A503" s="19">
        <v>45735</v>
      </c>
      <c r="B503" s="20"/>
      <c r="C503" s="20"/>
      <c r="D503" s="20">
        <v>900000</v>
      </c>
      <c r="E503" s="99" t="s">
        <v>521</v>
      </c>
      <c r="F503" s="20">
        <f t="shared" si="7"/>
        <v>118543899</v>
      </c>
      <c r="G503" s="7" t="s">
        <v>407</v>
      </c>
      <c r="H503" s="24" t="s">
        <v>109</v>
      </c>
      <c r="I503" s="32" t="s">
        <v>152</v>
      </c>
    </row>
    <row r="504" spans="1:9" x14ac:dyDescent="0.35">
      <c r="A504" s="19">
        <v>45736</v>
      </c>
      <c r="B504" s="20"/>
      <c r="C504" s="20"/>
      <c r="D504" s="20">
        <v>50000</v>
      </c>
      <c r="E504" s="99" t="s">
        <v>521</v>
      </c>
      <c r="F504" s="20">
        <f t="shared" si="7"/>
        <v>118593899</v>
      </c>
      <c r="G504" s="7" t="s">
        <v>330</v>
      </c>
      <c r="H504" s="24" t="s">
        <v>109</v>
      </c>
      <c r="I504" s="32" t="s">
        <v>152</v>
      </c>
    </row>
    <row r="505" spans="1:9" x14ac:dyDescent="0.35">
      <c r="A505" s="19">
        <v>45736</v>
      </c>
      <c r="B505" s="20"/>
      <c r="C505" s="20"/>
      <c r="D505" s="20">
        <v>100000</v>
      </c>
      <c r="E505" s="99" t="s">
        <v>521</v>
      </c>
      <c r="F505" s="20">
        <f t="shared" si="7"/>
        <v>118693899</v>
      </c>
      <c r="G505" s="7" t="s">
        <v>330</v>
      </c>
      <c r="H505" s="24" t="s">
        <v>109</v>
      </c>
      <c r="I505" s="32" t="s">
        <v>152</v>
      </c>
    </row>
    <row r="506" spans="1:9" x14ac:dyDescent="0.35">
      <c r="A506" s="19">
        <v>45736</v>
      </c>
      <c r="B506" s="20"/>
      <c r="C506" s="20"/>
      <c r="D506" s="20">
        <v>25000</v>
      </c>
      <c r="E506" s="99" t="s">
        <v>521</v>
      </c>
      <c r="F506" s="20">
        <f t="shared" si="7"/>
        <v>118718899</v>
      </c>
      <c r="G506" s="7" t="s">
        <v>330</v>
      </c>
      <c r="H506" s="24" t="s">
        <v>109</v>
      </c>
      <c r="I506" s="32" t="s">
        <v>152</v>
      </c>
    </row>
    <row r="507" spans="1:9" x14ac:dyDescent="0.35">
      <c r="A507" s="19">
        <v>45736</v>
      </c>
      <c r="B507" s="20"/>
      <c r="C507" s="20"/>
      <c r="D507" s="20">
        <v>50000</v>
      </c>
      <c r="E507" s="99" t="s">
        <v>521</v>
      </c>
      <c r="F507" s="20">
        <f t="shared" si="7"/>
        <v>118768899</v>
      </c>
      <c r="G507" s="7" t="s">
        <v>330</v>
      </c>
      <c r="H507" s="24" t="s">
        <v>109</v>
      </c>
      <c r="I507" s="32" t="s">
        <v>152</v>
      </c>
    </row>
    <row r="508" spans="1:9" x14ac:dyDescent="0.35">
      <c r="A508" s="19">
        <v>45736</v>
      </c>
      <c r="B508" s="20"/>
      <c r="C508" s="20"/>
      <c r="D508" s="20">
        <v>50000</v>
      </c>
      <c r="E508" s="99" t="s">
        <v>521</v>
      </c>
      <c r="F508" s="20">
        <f t="shared" si="7"/>
        <v>118818899</v>
      </c>
      <c r="G508" s="7" t="s">
        <v>330</v>
      </c>
      <c r="H508" s="24" t="s">
        <v>109</v>
      </c>
      <c r="I508" s="32" t="s">
        <v>152</v>
      </c>
    </row>
    <row r="509" spans="1:9" x14ac:dyDescent="0.35">
      <c r="A509" s="19">
        <v>45736</v>
      </c>
      <c r="B509" s="20"/>
      <c r="C509" s="20"/>
      <c r="D509" s="20">
        <v>10000</v>
      </c>
      <c r="E509" s="99" t="s">
        <v>521</v>
      </c>
      <c r="F509" s="20">
        <f t="shared" si="7"/>
        <v>118828899</v>
      </c>
      <c r="G509" s="7" t="s">
        <v>330</v>
      </c>
      <c r="H509" s="24" t="s">
        <v>109</v>
      </c>
      <c r="I509" s="32" t="s">
        <v>152</v>
      </c>
    </row>
    <row r="510" spans="1:9" x14ac:dyDescent="0.35">
      <c r="A510" s="19">
        <v>45736</v>
      </c>
      <c r="B510" s="20"/>
      <c r="C510" s="20"/>
      <c r="D510" s="20">
        <v>50000</v>
      </c>
      <c r="E510" s="99" t="s">
        <v>521</v>
      </c>
      <c r="F510" s="20">
        <f t="shared" si="7"/>
        <v>118878899</v>
      </c>
      <c r="G510" s="7" t="s">
        <v>330</v>
      </c>
      <c r="H510" s="24" t="s">
        <v>109</v>
      </c>
      <c r="I510" s="32" t="s">
        <v>152</v>
      </c>
    </row>
    <row r="511" spans="1:9" x14ac:dyDescent="0.35">
      <c r="A511" s="19">
        <v>45736</v>
      </c>
      <c r="B511" s="20"/>
      <c r="C511" s="20"/>
      <c r="D511" s="20">
        <v>10000</v>
      </c>
      <c r="E511" s="99" t="s">
        <v>521</v>
      </c>
      <c r="F511" s="20">
        <f t="shared" si="7"/>
        <v>118888899</v>
      </c>
      <c r="G511" s="7" t="s">
        <v>330</v>
      </c>
      <c r="H511" s="24" t="s">
        <v>109</v>
      </c>
      <c r="I511" s="32" t="s">
        <v>152</v>
      </c>
    </row>
    <row r="512" spans="1:9" x14ac:dyDescent="0.35">
      <c r="A512" s="19">
        <v>45736</v>
      </c>
      <c r="B512" s="20"/>
      <c r="C512" s="20"/>
      <c r="D512" s="20">
        <v>100000</v>
      </c>
      <c r="E512" s="99" t="s">
        <v>521</v>
      </c>
      <c r="F512" s="20">
        <f t="shared" si="7"/>
        <v>118988899</v>
      </c>
      <c r="G512" s="7" t="s">
        <v>330</v>
      </c>
      <c r="H512" s="24" t="s">
        <v>109</v>
      </c>
      <c r="I512" s="32" t="s">
        <v>152</v>
      </c>
    </row>
    <row r="513" spans="1:9" x14ac:dyDescent="0.35">
      <c r="A513" s="19">
        <v>45736</v>
      </c>
      <c r="B513" s="20"/>
      <c r="C513" s="20"/>
      <c r="D513" s="20">
        <v>50000</v>
      </c>
      <c r="E513" s="99" t="s">
        <v>521</v>
      </c>
      <c r="F513" s="20">
        <f t="shared" si="7"/>
        <v>119038899</v>
      </c>
      <c r="G513" s="7" t="s">
        <v>330</v>
      </c>
      <c r="H513" s="24" t="s">
        <v>109</v>
      </c>
      <c r="I513" s="32" t="s">
        <v>152</v>
      </c>
    </row>
    <row r="514" spans="1:9" x14ac:dyDescent="0.35">
      <c r="A514" s="19">
        <v>45736</v>
      </c>
      <c r="B514" s="20"/>
      <c r="C514" s="20"/>
      <c r="D514" s="23">
        <v>4250000</v>
      </c>
      <c r="E514" s="99" t="s">
        <v>521</v>
      </c>
      <c r="F514" s="20">
        <f t="shared" si="7"/>
        <v>123288899</v>
      </c>
      <c r="G514" s="24" t="s">
        <v>409</v>
      </c>
      <c r="H514" s="24" t="s">
        <v>109</v>
      </c>
      <c r="I514" s="32" t="s">
        <v>152</v>
      </c>
    </row>
    <row r="515" spans="1:9" x14ac:dyDescent="0.35">
      <c r="A515" s="19">
        <v>45736</v>
      </c>
      <c r="B515" s="23">
        <v>425000</v>
      </c>
      <c r="C515" s="20"/>
      <c r="D515" s="23"/>
      <c r="E515" s="99" t="s">
        <v>521</v>
      </c>
      <c r="F515" s="20">
        <f t="shared" si="7"/>
        <v>122863899</v>
      </c>
      <c r="G515" s="24" t="s">
        <v>410</v>
      </c>
      <c r="H515" s="59" t="s">
        <v>144</v>
      </c>
      <c r="I515" s="32" t="s">
        <v>152</v>
      </c>
    </row>
    <row r="516" spans="1:9" x14ac:dyDescent="0.35">
      <c r="A516" s="19">
        <v>45736</v>
      </c>
      <c r="B516" s="23">
        <v>2006000</v>
      </c>
      <c r="C516" s="20"/>
      <c r="D516" s="23"/>
      <c r="E516" s="99" t="s">
        <v>521</v>
      </c>
      <c r="F516" s="20">
        <f t="shared" si="7"/>
        <v>120857899</v>
      </c>
      <c r="G516" s="24" t="s">
        <v>411</v>
      </c>
      <c r="H516" s="59" t="s">
        <v>321</v>
      </c>
      <c r="I516" s="32" t="s">
        <v>152</v>
      </c>
    </row>
    <row r="517" spans="1:9" x14ac:dyDescent="0.35">
      <c r="A517" s="19"/>
      <c r="B517" s="20"/>
      <c r="C517" s="95">
        <v>1819000</v>
      </c>
      <c r="D517" s="95"/>
      <c r="E517" s="99" t="s">
        <v>521</v>
      </c>
      <c r="F517" s="20">
        <f t="shared" si="7"/>
        <v>120857899</v>
      </c>
      <c r="G517" s="125" t="s">
        <v>98</v>
      </c>
      <c r="H517" s="24"/>
      <c r="I517" s="32"/>
    </row>
    <row r="518" spans="1:9" x14ac:dyDescent="0.35">
      <c r="A518" s="19">
        <v>45736</v>
      </c>
      <c r="B518" s="20"/>
      <c r="C518" s="20"/>
      <c r="D518" s="20">
        <v>25000</v>
      </c>
      <c r="E518" s="99" t="s">
        <v>521</v>
      </c>
      <c r="F518" s="20">
        <f t="shared" si="7"/>
        <v>120882899</v>
      </c>
      <c r="G518" s="7" t="s">
        <v>408</v>
      </c>
      <c r="H518" s="24" t="s">
        <v>109</v>
      </c>
      <c r="I518" s="32" t="s">
        <v>152</v>
      </c>
    </row>
    <row r="519" spans="1:9" x14ac:dyDescent="0.35">
      <c r="A519" s="19">
        <v>45737</v>
      </c>
      <c r="B519" s="20"/>
      <c r="C519" s="20"/>
      <c r="D519" s="20">
        <v>50000</v>
      </c>
      <c r="E519" s="99" t="s">
        <v>521</v>
      </c>
      <c r="F519" s="20">
        <f t="shared" si="7"/>
        <v>120932899</v>
      </c>
      <c r="G519" s="7" t="s">
        <v>330</v>
      </c>
      <c r="H519" s="24" t="s">
        <v>109</v>
      </c>
      <c r="I519" s="32" t="s">
        <v>152</v>
      </c>
    </row>
    <row r="520" spans="1:9" x14ac:dyDescent="0.35">
      <c r="A520" s="19">
        <v>45737</v>
      </c>
      <c r="B520" s="20"/>
      <c r="C520" s="20"/>
      <c r="D520" s="20">
        <v>200000</v>
      </c>
      <c r="E520" s="99" t="s">
        <v>521</v>
      </c>
      <c r="F520" s="20">
        <f t="shared" si="7"/>
        <v>121132899</v>
      </c>
      <c r="G520" s="7" t="s">
        <v>330</v>
      </c>
      <c r="H520" s="24" t="s">
        <v>109</v>
      </c>
      <c r="I520" s="32" t="s">
        <v>152</v>
      </c>
    </row>
    <row r="521" spans="1:9" x14ac:dyDescent="0.35">
      <c r="A521" s="19">
        <v>45737</v>
      </c>
      <c r="B521" s="20"/>
      <c r="C521" s="20"/>
      <c r="D521" s="20">
        <v>25000</v>
      </c>
      <c r="E521" s="99" t="s">
        <v>521</v>
      </c>
      <c r="F521" s="20">
        <f t="shared" si="7"/>
        <v>121157899</v>
      </c>
      <c r="G521" s="7" t="s">
        <v>330</v>
      </c>
      <c r="H521" s="24" t="s">
        <v>109</v>
      </c>
      <c r="I521" s="32" t="s">
        <v>152</v>
      </c>
    </row>
    <row r="522" spans="1:9" x14ac:dyDescent="0.35">
      <c r="A522" s="19">
        <v>45737</v>
      </c>
      <c r="B522" s="20"/>
      <c r="C522" s="20"/>
      <c r="D522" s="20">
        <v>100000</v>
      </c>
      <c r="E522" s="99" t="s">
        <v>521</v>
      </c>
      <c r="F522" s="20">
        <f t="shared" ref="F522:F585" si="8">+F521+D522-B522</f>
        <v>121257899</v>
      </c>
      <c r="G522" s="7" t="s">
        <v>330</v>
      </c>
      <c r="H522" s="24" t="s">
        <v>109</v>
      </c>
      <c r="I522" s="32" t="s">
        <v>152</v>
      </c>
    </row>
    <row r="523" spans="1:9" x14ac:dyDescent="0.35">
      <c r="A523" s="19">
        <v>45737</v>
      </c>
      <c r="B523" s="20"/>
      <c r="C523" s="20"/>
      <c r="D523" s="20">
        <v>100000</v>
      </c>
      <c r="E523" s="99" t="s">
        <v>521</v>
      </c>
      <c r="F523" s="20">
        <f t="shared" si="8"/>
        <v>121357899</v>
      </c>
      <c r="G523" s="7" t="s">
        <v>330</v>
      </c>
      <c r="H523" s="24" t="s">
        <v>109</v>
      </c>
      <c r="I523" s="32" t="s">
        <v>152</v>
      </c>
    </row>
    <row r="524" spans="1:9" x14ac:dyDescent="0.35">
      <c r="A524" s="19">
        <v>45737</v>
      </c>
      <c r="B524" s="20"/>
      <c r="C524" s="20"/>
      <c r="D524" s="20">
        <v>10000</v>
      </c>
      <c r="E524" s="99" t="s">
        <v>521</v>
      </c>
      <c r="F524" s="20">
        <f t="shared" si="8"/>
        <v>121367899</v>
      </c>
      <c r="G524" s="7" t="s">
        <v>330</v>
      </c>
      <c r="H524" s="24" t="s">
        <v>109</v>
      </c>
      <c r="I524" s="32" t="s">
        <v>152</v>
      </c>
    </row>
    <row r="525" spans="1:9" x14ac:dyDescent="0.35">
      <c r="A525" s="19">
        <v>45737</v>
      </c>
      <c r="B525" s="20"/>
      <c r="C525" s="20"/>
      <c r="D525" s="20">
        <v>25000</v>
      </c>
      <c r="E525" s="99" t="s">
        <v>521</v>
      </c>
      <c r="F525" s="20">
        <f t="shared" si="8"/>
        <v>121392899</v>
      </c>
      <c r="G525" s="7" t="s">
        <v>330</v>
      </c>
      <c r="H525" s="24" t="s">
        <v>109</v>
      </c>
      <c r="I525" s="32" t="s">
        <v>152</v>
      </c>
    </row>
    <row r="526" spans="1:9" x14ac:dyDescent="0.35">
      <c r="A526" s="19">
        <v>45737</v>
      </c>
      <c r="B526" s="20"/>
      <c r="C526" s="20"/>
      <c r="D526" s="20">
        <v>50000</v>
      </c>
      <c r="E526" s="99" t="s">
        <v>521</v>
      </c>
      <c r="F526" s="20">
        <f t="shared" si="8"/>
        <v>121442899</v>
      </c>
      <c r="G526" s="7" t="s">
        <v>330</v>
      </c>
      <c r="H526" s="24" t="s">
        <v>109</v>
      </c>
      <c r="I526" s="32" t="s">
        <v>152</v>
      </c>
    </row>
    <row r="527" spans="1:9" x14ac:dyDescent="0.35">
      <c r="A527" s="19">
        <v>45737</v>
      </c>
      <c r="B527" s="20"/>
      <c r="C527" s="20"/>
      <c r="D527" s="20">
        <v>10000</v>
      </c>
      <c r="E527" s="99" t="s">
        <v>521</v>
      </c>
      <c r="F527" s="20">
        <f t="shared" si="8"/>
        <v>121452899</v>
      </c>
      <c r="G527" s="7" t="s">
        <v>330</v>
      </c>
      <c r="H527" s="24" t="s">
        <v>109</v>
      </c>
      <c r="I527" s="32" t="s">
        <v>152</v>
      </c>
    </row>
    <row r="528" spans="1:9" x14ac:dyDescent="0.35">
      <c r="A528" s="19">
        <v>45737</v>
      </c>
      <c r="B528" s="20"/>
      <c r="C528" s="20"/>
      <c r="D528" s="20">
        <v>100000</v>
      </c>
      <c r="E528" s="99" t="s">
        <v>521</v>
      </c>
      <c r="F528" s="20">
        <f t="shared" si="8"/>
        <v>121552899</v>
      </c>
      <c r="G528" s="7" t="s">
        <v>330</v>
      </c>
      <c r="H528" s="24" t="s">
        <v>109</v>
      </c>
      <c r="I528" s="32" t="s">
        <v>152</v>
      </c>
    </row>
    <row r="529" spans="1:9" x14ac:dyDescent="0.35">
      <c r="A529" s="19">
        <v>45737</v>
      </c>
      <c r="B529" s="20"/>
      <c r="C529" s="20"/>
      <c r="D529" s="20">
        <v>10000</v>
      </c>
      <c r="E529" s="99" t="s">
        <v>521</v>
      </c>
      <c r="F529" s="20">
        <f t="shared" si="8"/>
        <v>121562899</v>
      </c>
      <c r="G529" s="7" t="s">
        <v>330</v>
      </c>
      <c r="H529" s="24" t="s">
        <v>109</v>
      </c>
      <c r="I529" s="32" t="s">
        <v>152</v>
      </c>
    </row>
    <row r="530" spans="1:9" x14ac:dyDescent="0.35">
      <c r="A530" s="19">
        <v>45737</v>
      </c>
      <c r="B530" s="20"/>
      <c r="C530" s="20"/>
      <c r="D530" s="20">
        <v>1000000</v>
      </c>
      <c r="E530" s="99" t="s">
        <v>521</v>
      </c>
      <c r="F530" s="20">
        <f t="shared" si="8"/>
        <v>122562899</v>
      </c>
      <c r="G530" s="7" t="s">
        <v>314</v>
      </c>
      <c r="H530" s="24" t="s">
        <v>109</v>
      </c>
      <c r="I530" s="32" t="s">
        <v>152</v>
      </c>
    </row>
    <row r="531" spans="1:9" x14ac:dyDescent="0.35">
      <c r="A531" s="19">
        <v>45737</v>
      </c>
      <c r="B531" s="20">
        <v>7000</v>
      </c>
      <c r="C531" s="20"/>
      <c r="D531" s="20"/>
      <c r="E531" s="99" t="s">
        <v>521</v>
      </c>
      <c r="F531" s="20">
        <f t="shared" si="8"/>
        <v>122555899</v>
      </c>
      <c r="G531" s="7" t="s">
        <v>423</v>
      </c>
      <c r="H531" s="24" t="s">
        <v>320</v>
      </c>
      <c r="I531" s="32" t="s">
        <v>152</v>
      </c>
    </row>
    <row r="532" spans="1:9" x14ac:dyDescent="0.35">
      <c r="A532" s="19">
        <v>45737</v>
      </c>
      <c r="B532" s="20"/>
      <c r="C532" s="20"/>
      <c r="D532" s="20">
        <v>100000</v>
      </c>
      <c r="E532" s="99" t="s">
        <v>521</v>
      </c>
      <c r="F532" s="20">
        <f t="shared" si="8"/>
        <v>122655899</v>
      </c>
      <c r="G532" s="7" t="s">
        <v>424</v>
      </c>
      <c r="H532" s="24" t="s">
        <v>109</v>
      </c>
      <c r="I532" s="32" t="s">
        <v>152</v>
      </c>
    </row>
    <row r="533" spans="1:9" x14ac:dyDescent="0.35">
      <c r="A533" s="19">
        <v>45740</v>
      </c>
      <c r="B533" s="20"/>
      <c r="C533" s="20"/>
      <c r="D533" s="20">
        <v>50000</v>
      </c>
      <c r="E533" s="99" t="s">
        <v>521</v>
      </c>
      <c r="F533" s="20">
        <f t="shared" si="8"/>
        <v>122705899</v>
      </c>
      <c r="G533" s="7" t="s">
        <v>330</v>
      </c>
      <c r="H533" s="24" t="s">
        <v>109</v>
      </c>
      <c r="I533" s="32" t="s">
        <v>152</v>
      </c>
    </row>
    <row r="534" spans="1:9" x14ac:dyDescent="0.35">
      <c r="A534" s="19">
        <v>45740</v>
      </c>
      <c r="B534" s="20"/>
      <c r="C534" s="20"/>
      <c r="D534" s="20">
        <v>100000</v>
      </c>
      <c r="E534" s="99" t="s">
        <v>521</v>
      </c>
      <c r="F534" s="20">
        <f t="shared" si="8"/>
        <v>122805899</v>
      </c>
      <c r="G534" s="7" t="s">
        <v>330</v>
      </c>
      <c r="H534" s="24" t="s">
        <v>109</v>
      </c>
      <c r="I534" s="32" t="s">
        <v>152</v>
      </c>
    </row>
    <row r="535" spans="1:9" x14ac:dyDescent="0.35">
      <c r="A535" s="19">
        <v>45740</v>
      </c>
      <c r="B535" s="20"/>
      <c r="C535" s="20"/>
      <c r="D535" s="20">
        <v>25000</v>
      </c>
      <c r="E535" s="99" t="s">
        <v>521</v>
      </c>
      <c r="F535" s="20">
        <f t="shared" si="8"/>
        <v>122830899</v>
      </c>
      <c r="G535" s="7" t="s">
        <v>330</v>
      </c>
      <c r="H535" s="24" t="s">
        <v>109</v>
      </c>
      <c r="I535" s="32" t="s">
        <v>152</v>
      </c>
    </row>
    <row r="536" spans="1:9" x14ac:dyDescent="0.35">
      <c r="A536" s="19">
        <v>45740</v>
      </c>
      <c r="B536" s="20"/>
      <c r="C536" s="20"/>
      <c r="D536" s="20">
        <v>100000</v>
      </c>
      <c r="E536" s="99" t="s">
        <v>521</v>
      </c>
      <c r="F536" s="20">
        <f t="shared" si="8"/>
        <v>122930899</v>
      </c>
      <c r="G536" s="7" t="s">
        <v>330</v>
      </c>
      <c r="H536" s="24" t="s">
        <v>109</v>
      </c>
      <c r="I536" s="32" t="s">
        <v>152</v>
      </c>
    </row>
    <row r="537" spans="1:9" x14ac:dyDescent="0.35">
      <c r="A537" s="19">
        <v>45740</v>
      </c>
      <c r="B537" s="20"/>
      <c r="C537" s="20"/>
      <c r="D537" s="20">
        <v>1000010</v>
      </c>
      <c r="E537" s="99" t="s">
        <v>521</v>
      </c>
      <c r="F537" s="20">
        <f t="shared" si="8"/>
        <v>123930909</v>
      </c>
      <c r="G537" s="7" t="s">
        <v>441</v>
      </c>
      <c r="H537" s="59" t="s">
        <v>105</v>
      </c>
      <c r="I537" s="32" t="s">
        <v>152</v>
      </c>
    </row>
    <row r="538" spans="1:9" x14ac:dyDescent="0.35">
      <c r="A538" s="19">
        <v>45740</v>
      </c>
      <c r="B538" s="20"/>
      <c r="C538" s="20"/>
      <c r="D538" s="20">
        <v>25000</v>
      </c>
      <c r="E538" s="99" t="s">
        <v>521</v>
      </c>
      <c r="F538" s="20">
        <f t="shared" si="8"/>
        <v>123955909</v>
      </c>
      <c r="G538" s="7" t="s">
        <v>330</v>
      </c>
      <c r="H538" s="24" t="s">
        <v>109</v>
      </c>
      <c r="I538" s="32" t="s">
        <v>152</v>
      </c>
    </row>
    <row r="539" spans="1:9" x14ac:dyDescent="0.35">
      <c r="A539" s="19">
        <v>45740</v>
      </c>
      <c r="B539" s="20"/>
      <c r="C539" s="20"/>
      <c r="D539" s="20">
        <v>10000</v>
      </c>
      <c r="E539" s="99" t="s">
        <v>521</v>
      </c>
      <c r="F539" s="20">
        <f t="shared" si="8"/>
        <v>123965909</v>
      </c>
      <c r="G539" s="7" t="s">
        <v>330</v>
      </c>
      <c r="H539" s="24" t="s">
        <v>109</v>
      </c>
      <c r="I539" s="32" t="s">
        <v>152</v>
      </c>
    </row>
    <row r="540" spans="1:9" x14ac:dyDescent="0.35">
      <c r="A540" s="19">
        <v>45740</v>
      </c>
      <c r="B540" s="20"/>
      <c r="C540" s="20"/>
      <c r="D540" s="20">
        <v>50000</v>
      </c>
      <c r="E540" s="99" t="s">
        <v>521</v>
      </c>
      <c r="F540" s="20">
        <f t="shared" si="8"/>
        <v>124015909</v>
      </c>
      <c r="G540" s="7" t="s">
        <v>330</v>
      </c>
      <c r="H540" s="24" t="s">
        <v>109</v>
      </c>
      <c r="I540" s="32" t="s">
        <v>152</v>
      </c>
    </row>
    <row r="541" spans="1:9" x14ac:dyDescent="0.35">
      <c r="A541" s="19">
        <v>45740</v>
      </c>
      <c r="B541" s="20"/>
      <c r="C541" s="20"/>
      <c r="D541" s="20">
        <v>10000</v>
      </c>
      <c r="E541" s="99" t="s">
        <v>521</v>
      </c>
      <c r="F541" s="20">
        <f t="shared" si="8"/>
        <v>124025909</v>
      </c>
      <c r="G541" s="7" t="s">
        <v>330</v>
      </c>
      <c r="H541" s="24" t="s">
        <v>109</v>
      </c>
      <c r="I541" s="32" t="s">
        <v>152</v>
      </c>
    </row>
    <row r="542" spans="1:9" x14ac:dyDescent="0.35">
      <c r="A542" s="19">
        <v>45740</v>
      </c>
      <c r="B542" s="20"/>
      <c r="C542" s="20"/>
      <c r="D542" s="20">
        <v>100000</v>
      </c>
      <c r="E542" s="99" t="s">
        <v>521</v>
      </c>
      <c r="F542" s="20">
        <f t="shared" si="8"/>
        <v>124125909</v>
      </c>
      <c r="G542" s="7" t="s">
        <v>330</v>
      </c>
      <c r="H542" s="24" t="s">
        <v>109</v>
      </c>
      <c r="I542" s="32" t="s">
        <v>152</v>
      </c>
    </row>
    <row r="543" spans="1:9" x14ac:dyDescent="0.35">
      <c r="A543" s="19">
        <v>45740</v>
      </c>
      <c r="B543" s="20"/>
      <c r="C543" s="20"/>
      <c r="D543" s="20">
        <v>20000</v>
      </c>
      <c r="E543" s="99" t="s">
        <v>521</v>
      </c>
      <c r="F543" s="20">
        <f t="shared" si="8"/>
        <v>124145909</v>
      </c>
      <c r="G543" s="7" t="s">
        <v>330</v>
      </c>
      <c r="H543" s="24" t="s">
        <v>109</v>
      </c>
      <c r="I543" s="32" t="s">
        <v>152</v>
      </c>
    </row>
    <row r="544" spans="1:9" x14ac:dyDescent="0.35">
      <c r="A544" s="19">
        <v>45740</v>
      </c>
      <c r="B544" s="20"/>
      <c r="C544" s="20"/>
      <c r="D544" s="20">
        <v>48000</v>
      </c>
      <c r="E544" s="99" t="s">
        <v>521</v>
      </c>
      <c r="F544" s="20">
        <f t="shared" si="8"/>
        <v>124193909</v>
      </c>
      <c r="G544" s="7" t="s">
        <v>330</v>
      </c>
      <c r="H544" s="24" t="s">
        <v>109</v>
      </c>
      <c r="I544" s="32" t="s">
        <v>152</v>
      </c>
    </row>
    <row r="545" spans="1:9" x14ac:dyDescent="0.35">
      <c r="A545" s="19">
        <v>45740</v>
      </c>
      <c r="B545" s="20"/>
      <c r="C545" s="20"/>
      <c r="D545" s="20">
        <v>100000</v>
      </c>
      <c r="E545" s="99" t="s">
        <v>521</v>
      </c>
      <c r="F545" s="20">
        <f t="shared" si="8"/>
        <v>124293909</v>
      </c>
      <c r="G545" s="7" t="s">
        <v>330</v>
      </c>
      <c r="H545" s="24" t="s">
        <v>109</v>
      </c>
      <c r="I545" s="32" t="s">
        <v>152</v>
      </c>
    </row>
    <row r="546" spans="1:9" x14ac:dyDescent="0.35">
      <c r="A546" s="19">
        <v>45740</v>
      </c>
      <c r="B546" s="20"/>
      <c r="C546" s="20"/>
      <c r="D546" s="20">
        <v>300000</v>
      </c>
      <c r="E546" s="99" t="s">
        <v>521</v>
      </c>
      <c r="F546" s="20">
        <f t="shared" si="8"/>
        <v>124593909</v>
      </c>
      <c r="G546" s="7" t="s">
        <v>330</v>
      </c>
      <c r="H546" s="24" t="s">
        <v>109</v>
      </c>
      <c r="I546" s="32" t="s">
        <v>152</v>
      </c>
    </row>
    <row r="547" spans="1:9" x14ac:dyDescent="0.35">
      <c r="A547" s="19">
        <v>45740</v>
      </c>
      <c r="B547" s="20"/>
      <c r="C547" s="20"/>
      <c r="D547" s="20">
        <v>20000</v>
      </c>
      <c r="E547" s="99" t="s">
        <v>521</v>
      </c>
      <c r="F547" s="20">
        <f t="shared" si="8"/>
        <v>124613909</v>
      </c>
      <c r="G547" s="7" t="s">
        <v>330</v>
      </c>
      <c r="H547" s="24" t="s">
        <v>109</v>
      </c>
      <c r="I547" s="32" t="s">
        <v>152</v>
      </c>
    </row>
    <row r="548" spans="1:9" x14ac:dyDescent="0.35">
      <c r="A548" s="19">
        <v>45740</v>
      </c>
      <c r="B548" s="20"/>
      <c r="C548" s="20"/>
      <c r="D548" s="20">
        <v>1474</v>
      </c>
      <c r="E548" s="99" t="s">
        <v>521</v>
      </c>
      <c r="F548" s="20">
        <f t="shared" si="8"/>
        <v>124615383</v>
      </c>
      <c r="G548" s="7" t="s">
        <v>330</v>
      </c>
      <c r="H548" s="24" t="s">
        <v>109</v>
      </c>
      <c r="I548" s="32" t="s">
        <v>152</v>
      </c>
    </row>
    <row r="549" spans="1:9" x14ac:dyDescent="0.35">
      <c r="A549" s="19">
        <v>45740</v>
      </c>
      <c r="B549" s="20"/>
      <c r="C549" s="20"/>
      <c r="D549" s="20">
        <v>5000</v>
      </c>
      <c r="E549" s="99" t="s">
        <v>521</v>
      </c>
      <c r="F549" s="20">
        <f t="shared" si="8"/>
        <v>124620383</v>
      </c>
      <c r="G549" s="7" t="s">
        <v>330</v>
      </c>
      <c r="H549" s="24" t="s">
        <v>109</v>
      </c>
      <c r="I549" s="32" t="s">
        <v>152</v>
      </c>
    </row>
    <row r="550" spans="1:9" x14ac:dyDescent="0.35">
      <c r="A550" s="19">
        <v>45740</v>
      </c>
      <c r="B550" s="20"/>
      <c r="C550" s="20"/>
      <c r="D550" s="20">
        <v>20000</v>
      </c>
      <c r="E550" s="99" t="s">
        <v>521</v>
      </c>
      <c r="F550" s="20">
        <f t="shared" si="8"/>
        <v>124640383</v>
      </c>
      <c r="G550" s="7" t="s">
        <v>330</v>
      </c>
      <c r="H550" s="24" t="s">
        <v>109</v>
      </c>
      <c r="I550" s="32" t="s">
        <v>152</v>
      </c>
    </row>
    <row r="551" spans="1:9" x14ac:dyDescent="0.35">
      <c r="A551" s="19">
        <v>45740</v>
      </c>
      <c r="B551" s="20"/>
      <c r="C551" s="20"/>
      <c r="D551" s="20">
        <v>2000000</v>
      </c>
      <c r="E551" s="99" t="s">
        <v>521</v>
      </c>
      <c r="F551" s="20">
        <f t="shared" si="8"/>
        <v>126640383</v>
      </c>
      <c r="G551" s="7" t="s">
        <v>425</v>
      </c>
      <c r="H551" s="24" t="s">
        <v>109</v>
      </c>
      <c r="I551" s="32" t="s">
        <v>152</v>
      </c>
    </row>
    <row r="552" spans="1:9" x14ac:dyDescent="0.35">
      <c r="A552" s="19">
        <v>45740</v>
      </c>
      <c r="B552" s="20"/>
      <c r="C552" s="20"/>
      <c r="D552" s="20">
        <v>1500000</v>
      </c>
      <c r="E552" s="99" t="s">
        <v>521</v>
      </c>
      <c r="F552" s="20">
        <f t="shared" si="8"/>
        <v>128140383</v>
      </c>
      <c r="G552" s="7" t="s">
        <v>440</v>
      </c>
      <c r="H552" s="59" t="s">
        <v>105</v>
      </c>
      <c r="I552" s="32" t="s">
        <v>152</v>
      </c>
    </row>
    <row r="553" spans="1:9" x14ac:dyDescent="0.35">
      <c r="A553" s="19">
        <v>45740</v>
      </c>
      <c r="B553" s="20"/>
      <c r="C553" s="20"/>
      <c r="D553" s="20">
        <v>25000</v>
      </c>
      <c r="E553" s="99" t="s">
        <v>521</v>
      </c>
      <c r="F553" s="20">
        <f t="shared" si="8"/>
        <v>128165383</v>
      </c>
      <c r="G553" s="7" t="s">
        <v>408</v>
      </c>
      <c r="H553" s="24" t="s">
        <v>109</v>
      </c>
      <c r="I553" s="32" t="s">
        <v>152</v>
      </c>
    </row>
    <row r="554" spans="1:9" x14ac:dyDescent="0.35">
      <c r="A554" s="19">
        <v>45740</v>
      </c>
      <c r="B554" s="20"/>
      <c r="C554" s="20"/>
      <c r="D554" s="20">
        <v>50000</v>
      </c>
      <c r="E554" s="99" t="s">
        <v>521</v>
      </c>
      <c r="F554" s="20">
        <f t="shared" si="8"/>
        <v>128215383</v>
      </c>
      <c r="G554" s="7" t="s">
        <v>330</v>
      </c>
      <c r="H554" s="24" t="s">
        <v>109</v>
      </c>
      <c r="I554" s="32" t="s">
        <v>152</v>
      </c>
    </row>
    <row r="555" spans="1:9" x14ac:dyDescent="0.35">
      <c r="A555" s="19">
        <v>45740</v>
      </c>
      <c r="B555" s="20"/>
      <c r="C555" s="20"/>
      <c r="D555" s="20">
        <v>100000</v>
      </c>
      <c r="E555" s="99" t="s">
        <v>521</v>
      </c>
      <c r="F555" s="20">
        <f t="shared" si="8"/>
        <v>128315383</v>
      </c>
      <c r="G555" s="7" t="s">
        <v>330</v>
      </c>
      <c r="H555" s="24" t="s">
        <v>109</v>
      </c>
      <c r="I555" s="32" t="s">
        <v>152</v>
      </c>
    </row>
    <row r="556" spans="1:9" x14ac:dyDescent="0.35">
      <c r="A556" s="19">
        <v>45740</v>
      </c>
      <c r="B556" s="20"/>
      <c r="C556" s="20"/>
      <c r="D556" s="20">
        <v>100000</v>
      </c>
      <c r="E556" s="99" t="s">
        <v>521</v>
      </c>
      <c r="F556" s="20">
        <f t="shared" si="8"/>
        <v>128415383</v>
      </c>
      <c r="G556" s="7" t="s">
        <v>330</v>
      </c>
      <c r="H556" s="24" t="s">
        <v>109</v>
      </c>
      <c r="I556" s="32" t="s">
        <v>152</v>
      </c>
    </row>
    <row r="557" spans="1:9" x14ac:dyDescent="0.35">
      <c r="A557" s="19">
        <v>45740</v>
      </c>
      <c r="B557" s="20"/>
      <c r="C557" s="20"/>
      <c r="D557" s="20">
        <v>100000</v>
      </c>
      <c r="E557" s="99" t="s">
        <v>521</v>
      </c>
      <c r="F557" s="20">
        <f t="shared" si="8"/>
        <v>128515383</v>
      </c>
      <c r="G557" s="7" t="s">
        <v>330</v>
      </c>
      <c r="H557" s="24" t="s">
        <v>109</v>
      </c>
      <c r="I557" s="32" t="s">
        <v>152</v>
      </c>
    </row>
    <row r="558" spans="1:9" x14ac:dyDescent="0.35">
      <c r="A558" s="19">
        <v>45740</v>
      </c>
      <c r="B558" s="20"/>
      <c r="C558" s="20"/>
      <c r="D558" s="20">
        <v>10000</v>
      </c>
      <c r="E558" s="99" t="s">
        <v>521</v>
      </c>
      <c r="F558" s="20">
        <f t="shared" si="8"/>
        <v>128525383</v>
      </c>
      <c r="G558" s="7" t="s">
        <v>330</v>
      </c>
      <c r="H558" s="24" t="s">
        <v>109</v>
      </c>
      <c r="I558" s="32" t="s">
        <v>152</v>
      </c>
    </row>
    <row r="559" spans="1:9" x14ac:dyDescent="0.35">
      <c r="A559" s="19">
        <v>45740</v>
      </c>
      <c r="B559" s="20"/>
      <c r="C559" s="20"/>
      <c r="D559" s="20">
        <v>10000</v>
      </c>
      <c r="E559" s="99" t="s">
        <v>521</v>
      </c>
      <c r="F559" s="20">
        <f t="shared" si="8"/>
        <v>128535383</v>
      </c>
      <c r="G559" s="7" t="s">
        <v>330</v>
      </c>
      <c r="H559" s="24" t="s">
        <v>109</v>
      </c>
      <c r="I559" s="32" t="s">
        <v>152</v>
      </c>
    </row>
    <row r="560" spans="1:9" x14ac:dyDescent="0.35">
      <c r="A560" s="19">
        <v>45740</v>
      </c>
      <c r="B560" s="20"/>
      <c r="C560" s="20"/>
      <c r="D560" s="20">
        <v>10000</v>
      </c>
      <c r="E560" s="99" t="s">
        <v>521</v>
      </c>
      <c r="F560" s="20">
        <f t="shared" si="8"/>
        <v>128545383</v>
      </c>
      <c r="G560" s="7" t="s">
        <v>330</v>
      </c>
      <c r="H560" s="24" t="s">
        <v>109</v>
      </c>
      <c r="I560" s="32" t="s">
        <v>152</v>
      </c>
    </row>
    <row r="561" spans="1:9" x14ac:dyDescent="0.35">
      <c r="A561" s="19">
        <v>45740</v>
      </c>
      <c r="B561" s="20"/>
      <c r="C561" s="20"/>
      <c r="D561" s="20">
        <v>25000</v>
      </c>
      <c r="E561" s="99" t="s">
        <v>521</v>
      </c>
      <c r="F561" s="20">
        <f t="shared" si="8"/>
        <v>128570383</v>
      </c>
      <c r="G561" s="7" t="s">
        <v>330</v>
      </c>
      <c r="H561" s="24" t="s">
        <v>109</v>
      </c>
      <c r="I561" s="32" t="s">
        <v>152</v>
      </c>
    </row>
    <row r="562" spans="1:9" x14ac:dyDescent="0.35">
      <c r="A562" s="19">
        <v>45740</v>
      </c>
      <c r="B562" s="20"/>
      <c r="C562" s="20"/>
      <c r="D562" s="20">
        <v>100000</v>
      </c>
      <c r="E562" s="99" t="s">
        <v>521</v>
      </c>
      <c r="F562" s="20">
        <f t="shared" si="8"/>
        <v>128670383</v>
      </c>
      <c r="G562" s="7" t="s">
        <v>330</v>
      </c>
      <c r="H562" s="24" t="s">
        <v>109</v>
      </c>
      <c r="I562" s="32" t="s">
        <v>152</v>
      </c>
    </row>
    <row r="563" spans="1:9" x14ac:dyDescent="0.35">
      <c r="A563" s="19">
        <v>45740</v>
      </c>
      <c r="B563" s="20"/>
      <c r="C563" s="20"/>
      <c r="D563" s="20">
        <v>25000</v>
      </c>
      <c r="E563" s="99" t="s">
        <v>521</v>
      </c>
      <c r="F563" s="20">
        <f t="shared" si="8"/>
        <v>128695383</v>
      </c>
      <c r="G563" s="7" t="s">
        <v>330</v>
      </c>
      <c r="H563" s="24" t="s">
        <v>109</v>
      </c>
      <c r="I563" s="32" t="s">
        <v>152</v>
      </c>
    </row>
    <row r="564" spans="1:9" x14ac:dyDescent="0.35">
      <c r="A564" s="19">
        <v>45740</v>
      </c>
      <c r="B564" s="20"/>
      <c r="C564" s="20"/>
      <c r="D564" s="20">
        <v>50000</v>
      </c>
      <c r="E564" s="99" t="s">
        <v>521</v>
      </c>
      <c r="F564" s="20">
        <f t="shared" si="8"/>
        <v>128745383</v>
      </c>
      <c r="G564" s="7" t="s">
        <v>330</v>
      </c>
      <c r="H564" s="24" t="s">
        <v>109</v>
      </c>
      <c r="I564" s="32" t="s">
        <v>152</v>
      </c>
    </row>
    <row r="565" spans="1:9" x14ac:dyDescent="0.35">
      <c r="A565" s="19">
        <v>45740</v>
      </c>
      <c r="B565" s="20"/>
      <c r="C565" s="20"/>
      <c r="D565" s="20">
        <v>20000</v>
      </c>
      <c r="E565" s="99" t="s">
        <v>521</v>
      </c>
      <c r="F565" s="20">
        <f t="shared" si="8"/>
        <v>128765383</v>
      </c>
      <c r="G565" s="7" t="s">
        <v>330</v>
      </c>
      <c r="H565" s="24" t="s">
        <v>109</v>
      </c>
      <c r="I565" s="32" t="s">
        <v>152</v>
      </c>
    </row>
    <row r="566" spans="1:9" x14ac:dyDescent="0.35">
      <c r="A566" s="19">
        <v>45740</v>
      </c>
      <c r="B566" s="20"/>
      <c r="C566" s="20"/>
      <c r="D566" s="20">
        <v>1000000</v>
      </c>
      <c r="E566" s="99" t="s">
        <v>521</v>
      </c>
      <c r="F566" s="20">
        <f t="shared" si="8"/>
        <v>129765383</v>
      </c>
      <c r="G566" s="7" t="s">
        <v>426</v>
      </c>
      <c r="H566" s="24" t="s">
        <v>109</v>
      </c>
      <c r="I566" s="32" t="s">
        <v>152</v>
      </c>
    </row>
    <row r="567" spans="1:9" x14ac:dyDescent="0.35">
      <c r="A567" s="19">
        <v>45740</v>
      </c>
      <c r="B567" s="20"/>
      <c r="C567" s="20"/>
      <c r="D567" s="20">
        <v>4000000</v>
      </c>
      <c r="E567" s="99" t="s">
        <v>521</v>
      </c>
      <c r="F567" s="20">
        <f t="shared" si="8"/>
        <v>133765383</v>
      </c>
      <c r="G567" s="7" t="s">
        <v>427</v>
      </c>
      <c r="H567" s="59" t="s">
        <v>105</v>
      </c>
      <c r="I567" s="32" t="s">
        <v>152</v>
      </c>
    </row>
    <row r="568" spans="1:9" x14ac:dyDescent="0.35">
      <c r="A568" s="19">
        <v>45740</v>
      </c>
      <c r="B568" s="20"/>
      <c r="C568" s="20"/>
      <c r="D568" s="20">
        <v>300000</v>
      </c>
      <c r="E568" s="99" t="s">
        <v>521</v>
      </c>
      <c r="F568" s="20">
        <f t="shared" si="8"/>
        <v>134065383</v>
      </c>
      <c r="G568" s="7" t="s">
        <v>428</v>
      </c>
      <c r="H568" s="24" t="s">
        <v>109</v>
      </c>
      <c r="I568" s="32" t="s">
        <v>152</v>
      </c>
    </row>
    <row r="569" spans="1:9" x14ac:dyDescent="0.35">
      <c r="A569" s="19">
        <v>45740</v>
      </c>
      <c r="B569" s="20"/>
      <c r="C569" s="20"/>
      <c r="D569" s="20">
        <v>5000000</v>
      </c>
      <c r="E569" s="99" t="s">
        <v>521</v>
      </c>
      <c r="F569" s="20">
        <f t="shared" si="8"/>
        <v>139065383</v>
      </c>
      <c r="G569" s="7" t="s">
        <v>429</v>
      </c>
      <c r="H569" s="59" t="s">
        <v>105</v>
      </c>
      <c r="I569" s="32" t="s">
        <v>152</v>
      </c>
    </row>
    <row r="570" spans="1:9" x14ac:dyDescent="0.35">
      <c r="A570" s="19">
        <v>45740</v>
      </c>
      <c r="B570" s="20"/>
      <c r="C570" s="20"/>
      <c r="D570" s="20">
        <v>20000</v>
      </c>
      <c r="E570" s="99" t="s">
        <v>521</v>
      </c>
      <c r="F570" s="20">
        <f t="shared" si="8"/>
        <v>139085383</v>
      </c>
      <c r="G570" s="7" t="s">
        <v>330</v>
      </c>
      <c r="H570" s="24" t="s">
        <v>109</v>
      </c>
      <c r="I570" s="32" t="s">
        <v>152</v>
      </c>
    </row>
    <row r="571" spans="1:9" x14ac:dyDescent="0.35">
      <c r="A571" s="19">
        <v>45740</v>
      </c>
      <c r="B571" s="20"/>
      <c r="C571" s="20"/>
      <c r="D571" s="20">
        <v>50000</v>
      </c>
      <c r="E571" s="99" t="s">
        <v>521</v>
      </c>
      <c r="F571" s="20">
        <f t="shared" si="8"/>
        <v>139135383</v>
      </c>
      <c r="G571" s="7" t="s">
        <v>330</v>
      </c>
      <c r="H571" s="24" t="s">
        <v>109</v>
      </c>
      <c r="I571" s="32" t="s">
        <v>152</v>
      </c>
    </row>
    <row r="572" spans="1:9" x14ac:dyDescent="0.35">
      <c r="A572" s="19">
        <v>45740</v>
      </c>
      <c r="B572" s="20"/>
      <c r="C572" s="20"/>
      <c r="D572" s="20">
        <v>25000</v>
      </c>
      <c r="E572" s="99" t="s">
        <v>521</v>
      </c>
      <c r="F572" s="20">
        <f t="shared" si="8"/>
        <v>139160383</v>
      </c>
      <c r="G572" s="7" t="s">
        <v>330</v>
      </c>
      <c r="H572" s="24" t="s">
        <v>109</v>
      </c>
      <c r="I572" s="32" t="s">
        <v>152</v>
      </c>
    </row>
    <row r="573" spans="1:9" x14ac:dyDescent="0.35">
      <c r="A573" s="19">
        <v>45740</v>
      </c>
      <c r="B573" s="20"/>
      <c r="C573" s="20"/>
      <c r="D573" s="20">
        <v>100000</v>
      </c>
      <c r="E573" s="99" t="s">
        <v>521</v>
      </c>
      <c r="F573" s="20">
        <f t="shared" si="8"/>
        <v>139260383</v>
      </c>
      <c r="G573" s="7" t="s">
        <v>330</v>
      </c>
      <c r="H573" s="24" t="s">
        <v>109</v>
      </c>
      <c r="I573" s="32" t="s">
        <v>152</v>
      </c>
    </row>
    <row r="574" spans="1:9" x14ac:dyDescent="0.35">
      <c r="A574" s="19">
        <v>45740</v>
      </c>
      <c r="B574" s="20"/>
      <c r="C574" s="20"/>
      <c r="D574" s="20">
        <v>5000</v>
      </c>
      <c r="E574" s="99" t="s">
        <v>521</v>
      </c>
      <c r="F574" s="20">
        <f t="shared" si="8"/>
        <v>139265383</v>
      </c>
      <c r="G574" s="7" t="s">
        <v>330</v>
      </c>
      <c r="H574" s="24" t="s">
        <v>109</v>
      </c>
      <c r="I574" s="32" t="s">
        <v>152</v>
      </c>
    </row>
    <row r="575" spans="1:9" x14ac:dyDescent="0.35">
      <c r="A575" s="19">
        <v>45740</v>
      </c>
      <c r="B575" s="20"/>
      <c r="C575" s="20"/>
      <c r="D575" s="20">
        <v>1000000</v>
      </c>
      <c r="E575" s="99" t="s">
        <v>521</v>
      </c>
      <c r="F575" s="20">
        <f t="shared" si="8"/>
        <v>140265383</v>
      </c>
      <c r="G575" s="7" t="s">
        <v>430</v>
      </c>
      <c r="H575" s="24" t="s">
        <v>109</v>
      </c>
      <c r="I575" s="32" t="s">
        <v>152</v>
      </c>
    </row>
    <row r="576" spans="1:9" x14ac:dyDescent="0.35">
      <c r="A576" s="19">
        <v>45740</v>
      </c>
      <c r="B576" s="20"/>
      <c r="C576" s="20"/>
      <c r="D576" s="20">
        <v>100000</v>
      </c>
      <c r="E576" s="99" t="s">
        <v>521</v>
      </c>
      <c r="F576" s="20">
        <f t="shared" si="8"/>
        <v>140365383</v>
      </c>
      <c r="G576" s="7" t="s">
        <v>330</v>
      </c>
      <c r="H576" s="24" t="s">
        <v>109</v>
      </c>
      <c r="I576" s="32" t="s">
        <v>152</v>
      </c>
    </row>
    <row r="577" spans="1:9" x14ac:dyDescent="0.35">
      <c r="A577" s="19">
        <v>45740</v>
      </c>
      <c r="B577" s="20"/>
      <c r="C577" s="20"/>
      <c r="D577" s="20">
        <v>9000</v>
      </c>
      <c r="E577" s="99" t="s">
        <v>521</v>
      </c>
      <c r="F577" s="20">
        <f t="shared" si="8"/>
        <v>140374383</v>
      </c>
      <c r="G577" s="7" t="s">
        <v>330</v>
      </c>
      <c r="H577" s="24" t="s">
        <v>109</v>
      </c>
      <c r="I577" s="32" t="s">
        <v>152</v>
      </c>
    </row>
    <row r="578" spans="1:9" x14ac:dyDescent="0.35">
      <c r="A578" s="19">
        <v>45740</v>
      </c>
      <c r="B578" s="20"/>
      <c r="C578" s="20"/>
      <c r="D578" s="20">
        <v>10000</v>
      </c>
      <c r="E578" s="99" t="s">
        <v>521</v>
      </c>
      <c r="F578" s="20">
        <f t="shared" si="8"/>
        <v>140384383</v>
      </c>
      <c r="G578" s="7" t="s">
        <v>330</v>
      </c>
      <c r="H578" s="24" t="s">
        <v>109</v>
      </c>
      <c r="I578" s="32" t="s">
        <v>152</v>
      </c>
    </row>
    <row r="579" spans="1:9" x14ac:dyDescent="0.35">
      <c r="A579" s="19">
        <v>45740</v>
      </c>
      <c r="B579" s="20"/>
      <c r="C579" s="20"/>
      <c r="D579" s="20">
        <v>50000</v>
      </c>
      <c r="E579" s="99" t="s">
        <v>521</v>
      </c>
      <c r="F579" s="20">
        <f t="shared" si="8"/>
        <v>140434383</v>
      </c>
      <c r="G579" s="7" t="s">
        <v>330</v>
      </c>
      <c r="H579" s="24" t="s">
        <v>109</v>
      </c>
      <c r="I579" s="32" t="s">
        <v>152</v>
      </c>
    </row>
    <row r="580" spans="1:9" x14ac:dyDescent="0.35">
      <c r="A580" s="19">
        <v>45740</v>
      </c>
      <c r="B580" s="20"/>
      <c r="C580" s="20"/>
      <c r="D580" s="20">
        <v>10000</v>
      </c>
      <c r="E580" s="99" t="s">
        <v>521</v>
      </c>
      <c r="F580" s="20">
        <f t="shared" si="8"/>
        <v>140444383</v>
      </c>
      <c r="G580" s="7" t="s">
        <v>330</v>
      </c>
      <c r="H580" s="24" t="s">
        <v>109</v>
      </c>
      <c r="I580" s="32" t="s">
        <v>152</v>
      </c>
    </row>
    <row r="581" spans="1:9" x14ac:dyDescent="0.35">
      <c r="A581" s="19">
        <v>45740</v>
      </c>
      <c r="B581" s="20"/>
      <c r="C581" s="20"/>
      <c r="D581" s="20">
        <v>25000</v>
      </c>
      <c r="E581" s="99" t="s">
        <v>521</v>
      </c>
      <c r="F581" s="20">
        <f t="shared" si="8"/>
        <v>140469383</v>
      </c>
      <c r="G581" s="7" t="s">
        <v>330</v>
      </c>
      <c r="H581" s="24" t="s">
        <v>109</v>
      </c>
      <c r="I581" s="32" t="s">
        <v>152</v>
      </c>
    </row>
    <row r="582" spans="1:9" x14ac:dyDescent="0.35">
      <c r="A582" s="19">
        <v>45740</v>
      </c>
      <c r="B582" s="20"/>
      <c r="C582" s="20"/>
      <c r="D582" s="20">
        <v>25000</v>
      </c>
      <c r="E582" s="99" t="s">
        <v>521</v>
      </c>
      <c r="F582" s="20">
        <f t="shared" si="8"/>
        <v>140494383</v>
      </c>
      <c r="G582" s="7" t="s">
        <v>330</v>
      </c>
      <c r="H582" s="24" t="s">
        <v>109</v>
      </c>
      <c r="I582" s="32" t="s">
        <v>152</v>
      </c>
    </row>
    <row r="583" spans="1:9" x14ac:dyDescent="0.35">
      <c r="A583" s="19">
        <v>45740</v>
      </c>
      <c r="B583" s="20"/>
      <c r="C583" s="20"/>
      <c r="D583" s="20">
        <v>5000</v>
      </c>
      <c r="E583" s="99" t="s">
        <v>521</v>
      </c>
      <c r="F583" s="20">
        <f t="shared" si="8"/>
        <v>140499383</v>
      </c>
      <c r="G583" s="7" t="s">
        <v>330</v>
      </c>
      <c r="H583" s="24" t="s">
        <v>109</v>
      </c>
      <c r="I583" s="32" t="s">
        <v>152</v>
      </c>
    </row>
    <row r="584" spans="1:9" x14ac:dyDescent="0.35">
      <c r="A584" s="19">
        <v>45740</v>
      </c>
      <c r="B584" s="20"/>
      <c r="C584" s="20"/>
      <c r="D584" s="20">
        <v>20000</v>
      </c>
      <c r="E584" s="99" t="s">
        <v>521</v>
      </c>
      <c r="F584" s="20">
        <f t="shared" si="8"/>
        <v>140519383</v>
      </c>
      <c r="G584" s="7" t="s">
        <v>330</v>
      </c>
      <c r="H584" s="24" t="s">
        <v>109</v>
      </c>
      <c r="I584" s="32" t="s">
        <v>152</v>
      </c>
    </row>
    <row r="585" spans="1:9" x14ac:dyDescent="0.35">
      <c r="A585" s="19">
        <v>45740</v>
      </c>
      <c r="B585" s="20"/>
      <c r="C585" s="20"/>
      <c r="D585" s="20">
        <v>10000</v>
      </c>
      <c r="E585" s="99" t="s">
        <v>521</v>
      </c>
      <c r="F585" s="20">
        <f t="shared" si="8"/>
        <v>140529383</v>
      </c>
      <c r="G585" s="7" t="s">
        <v>330</v>
      </c>
      <c r="H585" s="24" t="s">
        <v>109</v>
      </c>
      <c r="I585" s="32" t="s">
        <v>152</v>
      </c>
    </row>
    <row r="586" spans="1:9" x14ac:dyDescent="0.35">
      <c r="A586" s="19">
        <v>45740</v>
      </c>
      <c r="B586" s="20"/>
      <c r="C586" s="20"/>
      <c r="D586" s="20">
        <v>5252</v>
      </c>
      <c r="E586" s="99" t="s">
        <v>521</v>
      </c>
      <c r="F586" s="20">
        <f t="shared" ref="F586:F649" si="9">+F585+D586-B586</f>
        <v>140534635</v>
      </c>
      <c r="G586" s="7" t="s">
        <v>330</v>
      </c>
      <c r="H586" s="24" t="s">
        <v>109</v>
      </c>
      <c r="I586" s="32" t="s">
        <v>152</v>
      </c>
    </row>
    <row r="587" spans="1:9" x14ac:dyDescent="0.35">
      <c r="A587" s="19">
        <v>45740</v>
      </c>
      <c r="B587" s="20"/>
      <c r="C587" s="20"/>
      <c r="D587" s="20">
        <v>401</v>
      </c>
      <c r="E587" s="99" t="s">
        <v>521</v>
      </c>
      <c r="F587" s="20">
        <f t="shared" si="9"/>
        <v>140535036</v>
      </c>
      <c r="G587" s="7" t="s">
        <v>330</v>
      </c>
      <c r="H587" s="24" t="s">
        <v>109</v>
      </c>
      <c r="I587" s="32" t="s">
        <v>152</v>
      </c>
    </row>
    <row r="588" spans="1:9" x14ac:dyDescent="0.35">
      <c r="A588" s="19">
        <v>45740</v>
      </c>
      <c r="B588" s="20"/>
      <c r="C588" s="20"/>
      <c r="D588" s="20">
        <v>50000</v>
      </c>
      <c r="E588" s="99" t="s">
        <v>521</v>
      </c>
      <c r="F588" s="20">
        <f t="shared" si="9"/>
        <v>140585036</v>
      </c>
      <c r="G588" s="7" t="s">
        <v>330</v>
      </c>
      <c r="H588" s="24" t="s">
        <v>109</v>
      </c>
      <c r="I588" s="32" t="s">
        <v>152</v>
      </c>
    </row>
    <row r="589" spans="1:9" x14ac:dyDescent="0.35">
      <c r="A589" s="19">
        <v>45740</v>
      </c>
      <c r="B589" s="20"/>
      <c r="C589" s="20"/>
      <c r="D589" s="20">
        <v>1000000</v>
      </c>
      <c r="E589" s="99" t="s">
        <v>521</v>
      </c>
      <c r="F589" s="20">
        <f t="shared" si="9"/>
        <v>141585036</v>
      </c>
      <c r="G589" s="7" t="s">
        <v>449</v>
      </c>
      <c r="H589" s="59" t="s">
        <v>105</v>
      </c>
      <c r="I589" s="32" t="s">
        <v>152</v>
      </c>
    </row>
    <row r="590" spans="1:9" x14ac:dyDescent="0.35">
      <c r="A590" s="19">
        <v>45741</v>
      </c>
      <c r="B590" s="20"/>
      <c r="C590" s="20"/>
      <c r="D590" s="20">
        <v>50000</v>
      </c>
      <c r="E590" s="99" t="s">
        <v>521</v>
      </c>
      <c r="F590" s="20">
        <f t="shared" si="9"/>
        <v>141635036</v>
      </c>
      <c r="G590" s="7" t="s">
        <v>330</v>
      </c>
      <c r="H590" s="24" t="s">
        <v>109</v>
      </c>
      <c r="I590" s="32" t="s">
        <v>152</v>
      </c>
    </row>
    <row r="591" spans="1:9" x14ac:dyDescent="0.35">
      <c r="A591" s="19">
        <v>45741</v>
      </c>
      <c r="B591" s="20"/>
      <c r="C591" s="20"/>
      <c r="D591" s="20">
        <v>100000</v>
      </c>
      <c r="E591" s="99" t="s">
        <v>521</v>
      </c>
      <c r="F591" s="20">
        <f t="shared" si="9"/>
        <v>141735036</v>
      </c>
      <c r="G591" s="7" t="s">
        <v>330</v>
      </c>
      <c r="H591" s="24" t="s">
        <v>109</v>
      </c>
      <c r="I591" s="32" t="s">
        <v>152</v>
      </c>
    </row>
    <row r="592" spans="1:9" x14ac:dyDescent="0.35">
      <c r="A592" s="19">
        <v>45741</v>
      </c>
      <c r="B592" s="20"/>
      <c r="C592" s="20"/>
      <c r="D592" s="20">
        <v>100000</v>
      </c>
      <c r="E592" s="99" t="s">
        <v>521</v>
      </c>
      <c r="F592" s="20">
        <f t="shared" si="9"/>
        <v>141835036</v>
      </c>
      <c r="G592" s="7" t="s">
        <v>330</v>
      </c>
      <c r="H592" s="24" t="s">
        <v>109</v>
      </c>
      <c r="I592" s="32" t="s">
        <v>152</v>
      </c>
    </row>
    <row r="593" spans="1:9" x14ac:dyDescent="0.35">
      <c r="A593" s="19">
        <v>45741</v>
      </c>
      <c r="B593" s="20"/>
      <c r="C593" s="20"/>
      <c r="D593" s="20">
        <v>25000</v>
      </c>
      <c r="E593" s="99" t="s">
        <v>521</v>
      </c>
      <c r="F593" s="20">
        <f t="shared" si="9"/>
        <v>141860036</v>
      </c>
      <c r="G593" s="7" t="s">
        <v>330</v>
      </c>
      <c r="H593" s="24" t="s">
        <v>109</v>
      </c>
      <c r="I593" s="32" t="s">
        <v>152</v>
      </c>
    </row>
    <row r="594" spans="1:9" x14ac:dyDescent="0.35">
      <c r="A594" s="19">
        <v>45741</v>
      </c>
      <c r="B594" s="20"/>
      <c r="C594" s="20"/>
      <c r="D594" s="20">
        <v>10000</v>
      </c>
      <c r="E594" s="99" t="s">
        <v>521</v>
      </c>
      <c r="F594" s="20">
        <f t="shared" si="9"/>
        <v>141870036</v>
      </c>
      <c r="G594" s="7" t="s">
        <v>330</v>
      </c>
      <c r="H594" s="24" t="s">
        <v>109</v>
      </c>
      <c r="I594" s="32" t="s">
        <v>152</v>
      </c>
    </row>
    <row r="595" spans="1:9" x14ac:dyDescent="0.35">
      <c r="A595" s="19">
        <v>45741</v>
      </c>
      <c r="B595" s="20"/>
      <c r="C595" s="20"/>
      <c r="D595" s="20">
        <v>10000</v>
      </c>
      <c r="E595" s="99" t="s">
        <v>521</v>
      </c>
      <c r="F595" s="20">
        <f t="shared" si="9"/>
        <v>141880036</v>
      </c>
      <c r="G595" s="7" t="s">
        <v>330</v>
      </c>
      <c r="H595" s="24" t="s">
        <v>109</v>
      </c>
      <c r="I595" s="32" t="s">
        <v>152</v>
      </c>
    </row>
    <row r="596" spans="1:9" x14ac:dyDescent="0.35">
      <c r="A596" s="19">
        <v>45741</v>
      </c>
      <c r="B596" s="20"/>
      <c r="C596" s="20"/>
      <c r="D596" s="20">
        <v>100000</v>
      </c>
      <c r="E596" s="99" t="s">
        <v>521</v>
      </c>
      <c r="F596" s="20">
        <f t="shared" si="9"/>
        <v>141980036</v>
      </c>
      <c r="G596" s="7" t="s">
        <v>330</v>
      </c>
      <c r="H596" s="24" t="s">
        <v>109</v>
      </c>
      <c r="I596" s="32" t="s">
        <v>152</v>
      </c>
    </row>
    <row r="597" spans="1:9" x14ac:dyDescent="0.35">
      <c r="A597" s="19">
        <v>45741</v>
      </c>
      <c r="B597" s="20"/>
      <c r="C597" s="20"/>
      <c r="D597" s="20">
        <v>10000</v>
      </c>
      <c r="E597" s="99" t="s">
        <v>521</v>
      </c>
      <c r="F597" s="20">
        <f t="shared" si="9"/>
        <v>141990036</v>
      </c>
      <c r="G597" s="7" t="s">
        <v>330</v>
      </c>
      <c r="H597" s="24" t="s">
        <v>109</v>
      </c>
      <c r="I597" s="32" t="s">
        <v>152</v>
      </c>
    </row>
    <row r="598" spans="1:9" x14ac:dyDescent="0.35">
      <c r="A598" s="19">
        <v>45741</v>
      </c>
      <c r="B598" s="20"/>
      <c r="C598" s="20"/>
      <c r="D598" s="20">
        <v>20000</v>
      </c>
      <c r="E598" s="99" t="s">
        <v>521</v>
      </c>
      <c r="F598" s="20">
        <f t="shared" si="9"/>
        <v>142010036</v>
      </c>
      <c r="G598" s="7" t="s">
        <v>330</v>
      </c>
      <c r="H598" s="24" t="s">
        <v>109</v>
      </c>
      <c r="I598" s="32" t="s">
        <v>152</v>
      </c>
    </row>
    <row r="599" spans="1:9" x14ac:dyDescent="0.35">
      <c r="A599" s="19">
        <v>45741</v>
      </c>
      <c r="B599" s="20"/>
      <c r="C599" s="20"/>
      <c r="D599" s="20">
        <v>25000</v>
      </c>
      <c r="E599" s="99" t="s">
        <v>521</v>
      </c>
      <c r="F599" s="20">
        <f t="shared" si="9"/>
        <v>142035036</v>
      </c>
      <c r="G599" s="7" t="s">
        <v>330</v>
      </c>
      <c r="H599" s="24" t="s">
        <v>109</v>
      </c>
      <c r="I599" s="32" t="s">
        <v>152</v>
      </c>
    </row>
    <row r="600" spans="1:9" x14ac:dyDescent="0.35">
      <c r="A600" s="19">
        <v>45741</v>
      </c>
      <c r="B600" s="20"/>
      <c r="C600" s="20"/>
      <c r="D600" s="23">
        <v>4415000</v>
      </c>
      <c r="E600" s="99" t="s">
        <v>521</v>
      </c>
      <c r="F600" s="20">
        <f t="shared" si="9"/>
        <v>146450036</v>
      </c>
      <c r="G600" s="24" t="s">
        <v>107</v>
      </c>
      <c r="H600" s="24" t="s">
        <v>107</v>
      </c>
      <c r="I600" s="32" t="s">
        <v>152</v>
      </c>
    </row>
    <row r="601" spans="1:9" x14ac:dyDescent="0.35">
      <c r="A601" s="19">
        <v>45741</v>
      </c>
      <c r="B601" s="20"/>
      <c r="C601" s="20"/>
      <c r="D601" s="23">
        <f>4046000-2000000</f>
        <v>2046000</v>
      </c>
      <c r="E601" s="99" t="s">
        <v>521</v>
      </c>
      <c r="F601" s="20">
        <f t="shared" si="9"/>
        <v>148496036</v>
      </c>
      <c r="G601" s="24" t="s">
        <v>109</v>
      </c>
      <c r="H601" s="24" t="s">
        <v>109</v>
      </c>
      <c r="I601" s="32" t="s">
        <v>152</v>
      </c>
    </row>
    <row r="602" spans="1:9" x14ac:dyDescent="0.35">
      <c r="A602" s="19">
        <v>45741</v>
      </c>
      <c r="B602" s="20"/>
      <c r="C602" s="20"/>
      <c r="D602" s="23">
        <v>5026000</v>
      </c>
      <c r="E602" s="99" t="s">
        <v>521</v>
      </c>
      <c r="F602" s="20">
        <f t="shared" si="9"/>
        <v>153522036</v>
      </c>
      <c r="G602" s="24" t="s">
        <v>377</v>
      </c>
      <c r="H602" s="24" t="s">
        <v>109</v>
      </c>
      <c r="I602" s="32" t="s">
        <v>152</v>
      </c>
    </row>
    <row r="603" spans="1:9" x14ac:dyDescent="0.35">
      <c r="A603" s="19"/>
      <c r="B603" s="20"/>
      <c r="C603" s="20">
        <v>11487000</v>
      </c>
      <c r="D603" s="20"/>
      <c r="E603" s="99"/>
      <c r="F603" s="20">
        <f t="shared" si="9"/>
        <v>153522036</v>
      </c>
      <c r="G603" s="7" t="s">
        <v>305</v>
      </c>
      <c r="H603" s="24"/>
      <c r="I603" s="32"/>
    </row>
    <row r="604" spans="1:9" x14ac:dyDescent="0.35">
      <c r="A604" s="19">
        <v>45741</v>
      </c>
      <c r="B604" s="20"/>
      <c r="C604" s="20"/>
      <c r="D604" s="20">
        <v>20000</v>
      </c>
      <c r="E604" s="99" t="s">
        <v>521</v>
      </c>
      <c r="F604" s="20">
        <f t="shared" si="9"/>
        <v>153542036</v>
      </c>
      <c r="G604" s="7" t="s">
        <v>453</v>
      </c>
      <c r="H604" s="24" t="s">
        <v>109</v>
      </c>
      <c r="I604" s="32" t="s">
        <v>152</v>
      </c>
    </row>
    <row r="605" spans="1:9" x14ac:dyDescent="0.35">
      <c r="A605" s="19">
        <v>45742</v>
      </c>
      <c r="B605" s="20"/>
      <c r="C605" s="20"/>
      <c r="D605" s="20">
        <v>50000</v>
      </c>
      <c r="E605" s="99" t="s">
        <v>521</v>
      </c>
      <c r="F605" s="20">
        <f t="shared" si="9"/>
        <v>153592036</v>
      </c>
      <c r="G605" s="7" t="s">
        <v>330</v>
      </c>
      <c r="H605" s="24" t="s">
        <v>109</v>
      </c>
      <c r="I605" s="32" t="s">
        <v>152</v>
      </c>
    </row>
    <row r="606" spans="1:9" x14ac:dyDescent="0.35">
      <c r="A606" s="19">
        <v>45742</v>
      </c>
      <c r="B606" s="20"/>
      <c r="C606" s="20"/>
      <c r="D606" s="20">
        <v>50000</v>
      </c>
      <c r="E606" s="99" t="s">
        <v>521</v>
      </c>
      <c r="F606" s="20">
        <f t="shared" si="9"/>
        <v>153642036</v>
      </c>
      <c r="G606" s="7" t="s">
        <v>330</v>
      </c>
      <c r="H606" s="24" t="s">
        <v>109</v>
      </c>
      <c r="I606" s="32" t="s">
        <v>152</v>
      </c>
    </row>
    <row r="607" spans="1:9" x14ac:dyDescent="0.35">
      <c r="A607" s="19">
        <v>45742</v>
      </c>
      <c r="B607" s="20"/>
      <c r="C607" s="20"/>
      <c r="D607" s="20">
        <v>50000</v>
      </c>
      <c r="E607" s="99" t="s">
        <v>521</v>
      </c>
      <c r="F607" s="20">
        <f t="shared" si="9"/>
        <v>153692036</v>
      </c>
      <c r="G607" s="7" t="s">
        <v>330</v>
      </c>
      <c r="H607" s="24" t="s">
        <v>109</v>
      </c>
      <c r="I607" s="32" t="s">
        <v>152</v>
      </c>
    </row>
    <row r="608" spans="1:9" x14ac:dyDescent="0.35">
      <c r="A608" s="19">
        <v>45742</v>
      </c>
      <c r="B608" s="20"/>
      <c r="C608" s="20"/>
      <c r="D608" s="20">
        <v>100000</v>
      </c>
      <c r="E608" s="99" t="s">
        <v>521</v>
      </c>
      <c r="F608" s="20">
        <f t="shared" si="9"/>
        <v>153792036</v>
      </c>
      <c r="G608" s="7" t="s">
        <v>330</v>
      </c>
      <c r="H608" s="24" t="s">
        <v>109</v>
      </c>
      <c r="I608" s="32" t="s">
        <v>152</v>
      </c>
    </row>
    <row r="609" spans="1:9" x14ac:dyDescent="0.35">
      <c r="A609" s="19">
        <v>45742</v>
      </c>
      <c r="B609" s="20"/>
      <c r="C609" s="20"/>
      <c r="D609" s="20">
        <v>25000</v>
      </c>
      <c r="E609" s="99" t="s">
        <v>521</v>
      </c>
      <c r="F609" s="20">
        <f t="shared" si="9"/>
        <v>153817036</v>
      </c>
      <c r="G609" s="7" t="s">
        <v>330</v>
      </c>
      <c r="H609" s="24" t="s">
        <v>109</v>
      </c>
      <c r="I609" s="32" t="s">
        <v>152</v>
      </c>
    </row>
    <row r="610" spans="1:9" x14ac:dyDescent="0.35">
      <c r="A610" s="19">
        <v>45742</v>
      </c>
      <c r="B610" s="20"/>
      <c r="C610" s="20"/>
      <c r="D610" s="20">
        <v>10000</v>
      </c>
      <c r="E610" s="99" t="s">
        <v>521</v>
      </c>
      <c r="F610" s="20">
        <f t="shared" si="9"/>
        <v>153827036</v>
      </c>
      <c r="G610" s="7" t="s">
        <v>330</v>
      </c>
      <c r="H610" s="24" t="s">
        <v>109</v>
      </c>
      <c r="I610" s="32" t="s">
        <v>152</v>
      </c>
    </row>
    <row r="611" spans="1:9" x14ac:dyDescent="0.35">
      <c r="A611" s="19">
        <v>45742</v>
      </c>
      <c r="B611" s="20"/>
      <c r="C611" s="20"/>
      <c r="D611" s="20">
        <v>10000</v>
      </c>
      <c r="E611" s="99" t="s">
        <v>521</v>
      </c>
      <c r="F611" s="20">
        <f t="shared" si="9"/>
        <v>153837036</v>
      </c>
      <c r="G611" s="7" t="s">
        <v>330</v>
      </c>
      <c r="H611" s="24" t="s">
        <v>109</v>
      </c>
      <c r="I611" s="32" t="s">
        <v>152</v>
      </c>
    </row>
    <row r="612" spans="1:9" x14ac:dyDescent="0.35">
      <c r="A612" s="19">
        <v>45742</v>
      </c>
      <c r="B612" s="20"/>
      <c r="C612" s="20"/>
      <c r="D612" s="20">
        <v>100000</v>
      </c>
      <c r="E612" s="99" t="s">
        <v>521</v>
      </c>
      <c r="F612" s="20">
        <f t="shared" si="9"/>
        <v>153937036</v>
      </c>
      <c r="G612" s="7" t="s">
        <v>330</v>
      </c>
      <c r="H612" s="24" t="s">
        <v>109</v>
      </c>
      <c r="I612" s="32" t="s">
        <v>152</v>
      </c>
    </row>
    <row r="613" spans="1:9" x14ac:dyDescent="0.35">
      <c r="A613" s="19">
        <v>45742</v>
      </c>
      <c r="B613" s="20"/>
      <c r="C613" s="20"/>
      <c r="D613" s="20">
        <v>50000</v>
      </c>
      <c r="E613" s="99" t="s">
        <v>521</v>
      </c>
      <c r="F613" s="20">
        <f t="shared" si="9"/>
        <v>153987036</v>
      </c>
      <c r="G613" s="7" t="s">
        <v>330</v>
      </c>
      <c r="H613" s="24" t="s">
        <v>109</v>
      </c>
      <c r="I613" s="32" t="s">
        <v>152</v>
      </c>
    </row>
    <row r="614" spans="1:9" x14ac:dyDescent="0.35">
      <c r="A614" s="19">
        <v>45742</v>
      </c>
      <c r="B614" s="20"/>
      <c r="C614" s="20"/>
      <c r="D614" s="20">
        <v>25000</v>
      </c>
      <c r="E614" s="99" t="s">
        <v>521</v>
      </c>
      <c r="F614" s="20">
        <f t="shared" si="9"/>
        <v>154012036</v>
      </c>
      <c r="G614" s="7" t="s">
        <v>330</v>
      </c>
      <c r="H614" s="24" t="s">
        <v>109</v>
      </c>
      <c r="I614" s="32" t="s">
        <v>152</v>
      </c>
    </row>
    <row r="615" spans="1:9" x14ac:dyDescent="0.35">
      <c r="A615" s="19">
        <v>45742</v>
      </c>
      <c r="B615" s="20"/>
      <c r="C615" s="20"/>
      <c r="D615" s="20">
        <v>5000</v>
      </c>
      <c r="E615" s="99" t="s">
        <v>521</v>
      </c>
      <c r="F615" s="20">
        <f t="shared" si="9"/>
        <v>154017036</v>
      </c>
      <c r="G615" s="7" t="s">
        <v>330</v>
      </c>
      <c r="H615" s="24" t="s">
        <v>109</v>
      </c>
      <c r="I615" s="32" t="s">
        <v>152</v>
      </c>
    </row>
    <row r="616" spans="1:9" x14ac:dyDescent="0.35">
      <c r="A616" s="19">
        <v>45742</v>
      </c>
      <c r="B616" s="20"/>
      <c r="C616" s="20"/>
      <c r="D616" s="20">
        <v>100000</v>
      </c>
      <c r="E616" s="99" t="s">
        <v>521</v>
      </c>
      <c r="F616" s="20">
        <f t="shared" si="9"/>
        <v>154117036</v>
      </c>
      <c r="G616" s="7" t="s">
        <v>330</v>
      </c>
      <c r="H616" s="24" t="s">
        <v>109</v>
      </c>
      <c r="I616" s="32" t="s">
        <v>152</v>
      </c>
    </row>
    <row r="617" spans="1:9" x14ac:dyDescent="0.35">
      <c r="A617" s="19">
        <v>45743</v>
      </c>
      <c r="B617" s="20"/>
      <c r="C617" s="20"/>
      <c r="D617" s="20">
        <v>50000</v>
      </c>
      <c r="E617" s="99" t="s">
        <v>521</v>
      </c>
      <c r="F617" s="20">
        <f t="shared" si="9"/>
        <v>154167036</v>
      </c>
      <c r="G617" s="7" t="s">
        <v>453</v>
      </c>
      <c r="H617" s="24" t="s">
        <v>109</v>
      </c>
      <c r="I617" s="32" t="s">
        <v>152</v>
      </c>
    </row>
    <row r="618" spans="1:9" x14ac:dyDescent="0.35">
      <c r="A618" s="19">
        <v>45743</v>
      </c>
      <c r="B618" s="20"/>
      <c r="C618" s="20"/>
      <c r="D618" s="20">
        <v>40000</v>
      </c>
      <c r="E618" s="99" t="s">
        <v>521</v>
      </c>
      <c r="F618" s="20">
        <f t="shared" si="9"/>
        <v>154207036</v>
      </c>
      <c r="G618" s="7" t="s">
        <v>330</v>
      </c>
      <c r="H618" s="24" t="s">
        <v>109</v>
      </c>
      <c r="I618" s="32" t="s">
        <v>152</v>
      </c>
    </row>
    <row r="619" spans="1:9" x14ac:dyDescent="0.35">
      <c r="A619" s="19">
        <v>45743</v>
      </c>
      <c r="B619" s="20"/>
      <c r="C619" s="20"/>
      <c r="D619" s="20">
        <v>50000</v>
      </c>
      <c r="E619" s="99" t="s">
        <v>521</v>
      </c>
      <c r="F619" s="20">
        <f t="shared" si="9"/>
        <v>154257036</v>
      </c>
      <c r="G619" s="7" t="s">
        <v>330</v>
      </c>
      <c r="H619" s="24" t="s">
        <v>109</v>
      </c>
      <c r="I619" s="32" t="s">
        <v>152</v>
      </c>
    </row>
    <row r="620" spans="1:9" x14ac:dyDescent="0.35">
      <c r="A620" s="19">
        <v>45743</v>
      </c>
      <c r="B620" s="20"/>
      <c r="C620" s="20"/>
      <c r="D620" s="20">
        <v>4000000</v>
      </c>
      <c r="E620" s="99" t="s">
        <v>521</v>
      </c>
      <c r="F620" s="20">
        <f t="shared" si="9"/>
        <v>158257036</v>
      </c>
      <c r="G620" s="7" t="s">
        <v>461</v>
      </c>
      <c r="H620" s="59" t="s">
        <v>105</v>
      </c>
      <c r="I620" s="32" t="s">
        <v>152</v>
      </c>
    </row>
    <row r="621" spans="1:9" x14ac:dyDescent="0.35">
      <c r="A621" s="19">
        <v>45743</v>
      </c>
      <c r="B621" s="20"/>
      <c r="C621" s="20"/>
      <c r="D621" s="20">
        <v>50000</v>
      </c>
      <c r="E621" s="99" t="s">
        <v>521</v>
      </c>
      <c r="F621" s="20">
        <f t="shared" si="9"/>
        <v>158307036</v>
      </c>
      <c r="G621" s="7" t="s">
        <v>330</v>
      </c>
      <c r="H621" s="24" t="s">
        <v>109</v>
      </c>
      <c r="I621" s="32" t="s">
        <v>152</v>
      </c>
    </row>
    <row r="622" spans="1:9" x14ac:dyDescent="0.35">
      <c r="A622" s="19">
        <v>45743</v>
      </c>
      <c r="B622" s="20"/>
      <c r="C622" s="20"/>
      <c r="D622" s="20">
        <v>10000</v>
      </c>
      <c r="E622" s="99" t="s">
        <v>521</v>
      </c>
      <c r="F622" s="20">
        <f t="shared" si="9"/>
        <v>158317036</v>
      </c>
      <c r="G622" s="7" t="s">
        <v>330</v>
      </c>
      <c r="H622" s="24" t="s">
        <v>109</v>
      </c>
      <c r="I622" s="32" t="s">
        <v>152</v>
      </c>
    </row>
    <row r="623" spans="1:9" x14ac:dyDescent="0.35">
      <c r="A623" s="19">
        <v>45743</v>
      </c>
      <c r="B623" s="20"/>
      <c r="C623" s="20"/>
      <c r="D623" s="20">
        <v>10000</v>
      </c>
      <c r="E623" s="99" t="s">
        <v>521</v>
      </c>
      <c r="F623" s="20">
        <f t="shared" si="9"/>
        <v>158327036</v>
      </c>
      <c r="G623" s="7" t="s">
        <v>330</v>
      </c>
      <c r="H623" s="24" t="s">
        <v>109</v>
      </c>
      <c r="I623" s="32" t="s">
        <v>152</v>
      </c>
    </row>
    <row r="624" spans="1:9" x14ac:dyDescent="0.35">
      <c r="A624" s="19">
        <v>45743</v>
      </c>
      <c r="B624" s="20"/>
      <c r="C624" s="20"/>
      <c r="D624" s="20">
        <v>50000</v>
      </c>
      <c r="E624" s="99" t="s">
        <v>521</v>
      </c>
      <c r="F624" s="20">
        <f t="shared" si="9"/>
        <v>158377036</v>
      </c>
      <c r="G624" s="7" t="s">
        <v>330</v>
      </c>
      <c r="H624" s="24" t="s">
        <v>109</v>
      </c>
      <c r="I624" s="32" t="s">
        <v>152</v>
      </c>
    </row>
    <row r="625" spans="1:9" x14ac:dyDescent="0.35">
      <c r="A625" s="19">
        <v>45743</v>
      </c>
      <c r="B625" s="20"/>
      <c r="C625" s="20"/>
      <c r="D625" s="20">
        <v>100000</v>
      </c>
      <c r="E625" s="99" t="s">
        <v>521</v>
      </c>
      <c r="F625" s="20">
        <f t="shared" si="9"/>
        <v>158477036</v>
      </c>
      <c r="G625" s="7" t="s">
        <v>330</v>
      </c>
      <c r="H625" s="24" t="s">
        <v>109</v>
      </c>
      <c r="I625" s="32" t="s">
        <v>152</v>
      </c>
    </row>
    <row r="626" spans="1:9" x14ac:dyDescent="0.35">
      <c r="A626" s="19">
        <v>45743</v>
      </c>
      <c r="B626" s="20">
        <v>4000000</v>
      </c>
      <c r="C626" s="20"/>
      <c r="D626" s="20"/>
      <c r="E626" s="99" t="s">
        <v>521</v>
      </c>
      <c r="F626" s="20">
        <f t="shared" si="9"/>
        <v>154477036</v>
      </c>
      <c r="G626" s="7" t="s">
        <v>454</v>
      </c>
      <c r="H626" s="59" t="s">
        <v>201</v>
      </c>
      <c r="I626" s="32" t="s">
        <v>152</v>
      </c>
    </row>
    <row r="627" spans="1:9" x14ac:dyDescent="0.35">
      <c r="A627" s="19">
        <v>45743</v>
      </c>
      <c r="B627" s="20">
        <v>2500</v>
      </c>
      <c r="C627" s="20"/>
      <c r="D627" s="20"/>
      <c r="E627" s="99" t="s">
        <v>521</v>
      </c>
      <c r="F627" s="20">
        <f t="shared" si="9"/>
        <v>154474536</v>
      </c>
      <c r="G627" s="7" t="s">
        <v>454</v>
      </c>
      <c r="H627" s="59" t="s">
        <v>201</v>
      </c>
      <c r="I627" s="32" t="s">
        <v>152</v>
      </c>
    </row>
    <row r="628" spans="1:9" x14ac:dyDescent="0.35">
      <c r="A628" s="19">
        <v>45743</v>
      </c>
      <c r="B628" s="20">
        <v>5400000</v>
      </c>
      <c r="C628" s="20"/>
      <c r="D628" s="20"/>
      <c r="E628" s="99" t="s">
        <v>521</v>
      </c>
      <c r="F628" s="20">
        <f t="shared" si="9"/>
        <v>149074536</v>
      </c>
      <c r="G628" s="7" t="s">
        <v>455</v>
      </c>
      <c r="H628" s="59" t="s">
        <v>201</v>
      </c>
      <c r="I628" s="32" t="s">
        <v>152</v>
      </c>
    </row>
    <row r="629" spans="1:9" x14ac:dyDescent="0.35">
      <c r="A629" s="19">
        <v>45743</v>
      </c>
      <c r="B629" s="20">
        <v>6500</v>
      </c>
      <c r="C629" s="20"/>
      <c r="D629" s="20"/>
      <c r="E629" s="99" t="s">
        <v>521</v>
      </c>
      <c r="F629" s="20">
        <f t="shared" si="9"/>
        <v>149068036</v>
      </c>
      <c r="G629" s="7" t="s">
        <v>455</v>
      </c>
      <c r="H629" s="59" t="s">
        <v>201</v>
      </c>
      <c r="I629" s="32" t="s">
        <v>152</v>
      </c>
    </row>
    <row r="630" spans="1:9" x14ac:dyDescent="0.35">
      <c r="A630" s="19">
        <v>45743</v>
      </c>
      <c r="B630" s="20">
        <v>6500000</v>
      </c>
      <c r="C630" s="20"/>
      <c r="D630" s="20"/>
      <c r="E630" s="99" t="s">
        <v>521</v>
      </c>
      <c r="F630" s="20">
        <f t="shared" si="9"/>
        <v>142568036</v>
      </c>
      <c r="G630" s="7" t="s">
        <v>456</v>
      </c>
      <c r="H630" s="59" t="s">
        <v>325</v>
      </c>
      <c r="I630" s="32" t="s">
        <v>152</v>
      </c>
    </row>
    <row r="631" spans="1:9" x14ac:dyDescent="0.35">
      <c r="A631" s="19">
        <v>45743</v>
      </c>
      <c r="B631" s="20">
        <v>6500</v>
      </c>
      <c r="C631" s="20"/>
      <c r="D631" s="20"/>
      <c r="E631" s="99" t="s">
        <v>521</v>
      </c>
      <c r="F631" s="20">
        <f t="shared" si="9"/>
        <v>142561536</v>
      </c>
      <c r="G631" s="7" t="s">
        <v>456</v>
      </c>
      <c r="H631" s="59" t="s">
        <v>325</v>
      </c>
      <c r="I631" s="32" t="s">
        <v>152</v>
      </c>
    </row>
    <row r="632" spans="1:9" x14ac:dyDescent="0.35">
      <c r="A632" s="19">
        <v>45743</v>
      </c>
      <c r="B632" s="20">
        <v>5000000</v>
      </c>
      <c r="C632" s="20"/>
      <c r="D632" s="20"/>
      <c r="E632" s="99" t="s">
        <v>521</v>
      </c>
      <c r="F632" s="20">
        <f t="shared" si="9"/>
        <v>137561536</v>
      </c>
      <c r="G632" s="7" t="s">
        <v>457</v>
      </c>
      <c r="H632" s="59" t="s">
        <v>325</v>
      </c>
      <c r="I632" s="32" t="s">
        <v>152</v>
      </c>
    </row>
    <row r="633" spans="1:9" x14ac:dyDescent="0.35">
      <c r="A633" s="19">
        <v>45743</v>
      </c>
      <c r="B633" s="20">
        <v>6500</v>
      </c>
      <c r="C633" s="20"/>
      <c r="D633" s="20"/>
      <c r="E633" s="99" t="s">
        <v>521</v>
      </c>
      <c r="F633" s="20">
        <f t="shared" si="9"/>
        <v>137555036</v>
      </c>
      <c r="G633" s="7" t="s">
        <v>457</v>
      </c>
      <c r="H633" s="59" t="s">
        <v>325</v>
      </c>
      <c r="I633" s="32" t="s">
        <v>152</v>
      </c>
    </row>
    <row r="634" spans="1:9" x14ac:dyDescent="0.35">
      <c r="A634" s="19">
        <v>45743</v>
      </c>
      <c r="B634" s="20">
        <v>3000000</v>
      </c>
      <c r="C634" s="20"/>
      <c r="D634" s="20"/>
      <c r="E634" s="99" t="s">
        <v>521</v>
      </c>
      <c r="F634" s="20">
        <f t="shared" si="9"/>
        <v>134555036</v>
      </c>
      <c r="G634" s="7" t="s">
        <v>458</v>
      </c>
      <c r="H634" s="59" t="s">
        <v>325</v>
      </c>
      <c r="I634" s="32" t="s">
        <v>152</v>
      </c>
    </row>
    <row r="635" spans="1:9" x14ac:dyDescent="0.35">
      <c r="A635" s="19">
        <v>45743</v>
      </c>
      <c r="B635" s="20">
        <v>6500</v>
      </c>
      <c r="C635" s="20"/>
      <c r="D635" s="20"/>
      <c r="E635" s="99" t="s">
        <v>521</v>
      </c>
      <c r="F635" s="20">
        <f t="shared" si="9"/>
        <v>134548536</v>
      </c>
      <c r="G635" s="7" t="s">
        <v>458</v>
      </c>
      <c r="H635" s="59" t="s">
        <v>325</v>
      </c>
      <c r="I635" s="32" t="s">
        <v>152</v>
      </c>
    </row>
    <row r="636" spans="1:9" x14ac:dyDescent="0.35">
      <c r="A636" s="19">
        <v>45743</v>
      </c>
      <c r="B636" s="20">
        <v>4000000</v>
      </c>
      <c r="C636" s="20"/>
      <c r="D636" s="20"/>
      <c r="E636" s="99" t="s">
        <v>521</v>
      </c>
      <c r="F636" s="20">
        <f t="shared" si="9"/>
        <v>130548536</v>
      </c>
      <c r="G636" s="7" t="s">
        <v>459</v>
      </c>
      <c r="H636" s="59" t="s">
        <v>325</v>
      </c>
      <c r="I636" s="32" t="s">
        <v>152</v>
      </c>
    </row>
    <row r="637" spans="1:9" x14ac:dyDescent="0.35">
      <c r="A637" s="19">
        <v>45743</v>
      </c>
      <c r="B637" s="20">
        <v>6500</v>
      </c>
      <c r="C637" s="20"/>
      <c r="D637" s="20"/>
      <c r="E637" s="99" t="s">
        <v>521</v>
      </c>
      <c r="F637" s="20">
        <f t="shared" si="9"/>
        <v>130542036</v>
      </c>
      <c r="G637" s="7" t="s">
        <v>459</v>
      </c>
      <c r="H637" s="59" t="s">
        <v>325</v>
      </c>
      <c r="I637" s="32" t="s">
        <v>152</v>
      </c>
    </row>
    <row r="638" spans="1:9" x14ac:dyDescent="0.35">
      <c r="A638" s="19">
        <v>45743</v>
      </c>
      <c r="B638" s="20">
        <v>4000000</v>
      </c>
      <c r="C638" s="20"/>
      <c r="D638" s="20"/>
      <c r="E638" s="99" t="s">
        <v>521</v>
      </c>
      <c r="F638" s="20">
        <f t="shared" si="9"/>
        <v>126542036</v>
      </c>
      <c r="G638" s="7" t="s">
        <v>460</v>
      </c>
      <c r="H638" s="59" t="s">
        <v>325</v>
      </c>
      <c r="I638" s="32" t="s">
        <v>152</v>
      </c>
    </row>
    <row r="639" spans="1:9" x14ac:dyDescent="0.35">
      <c r="A639" s="19">
        <v>45743</v>
      </c>
      <c r="B639" s="20">
        <v>6500</v>
      </c>
      <c r="C639" s="20"/>
      <c r="D639" s="20"/>
      <c r="E639" s="99" t="s">
        <v>521</v>
      </c>
      <c r="F639" s="20">
        <f t="shared" si="9"/>
        <v>126535536</v>
      </c>
      <c r="G639" s="7" t="s">
        <v>460</v>
      </c>
      <c r="H639" s="59" t="s">
        <v>325</v>
      </c>
      <c r="I639" s="32" t="s">
        <v>152</v>
      </c>
    </row>
    <row r="640" spans="1:9" x14ac:dyDescent="0.35">
      <c r="A640" s="19">
        <v>45743</v>
      </c>
      <c r="B640" s="20">
        <v>5000000</v>
      </c>
      <c r="C640" s="20"/>
      <c r="D640" s="20"/>
      <c r="E640" s="99" t="s">
        <v>521</v>
      </c>
      <c r="F640" s="20">
        <f t="shared" si="9"/>
        <v>121535536</v>
      </c>
      <c r="G640" s="7" t="s">
        <v>181</v>
      </c>
      <c r="H640" s="59" t="s">
        <v>325</v>
      </c>
      <c r="I640" s="32" t="s">
        <v>152</v>
      </c>
    </row>
    <row r="641" spans="1:9" x14ac:dyDescent="0.35">
      <c r="A641" s="19">
        <v>45743</v>
      </c>
      <c r="B641" s="20"/>
      <c r="C641" s="20"/>
      <c r="D641" s="20">
        <v>100000</v>
      </c>
      <c r="E641" s="99" t="s">
        <v>521</v>
      </c>
      <c r="F641" s="20">
        <f t="shared" si="9"/>
        <v>121635536</v>
      </c>
      <c r="G641" s="7" t="s">
        <v>330</v>
      </c>
      <c r="H641" s="24" t="s">
        <v>109</v>
      </c>
      <c r="I641" s="32" t="s">
        <v>152</v>
      </c>
    </row>
    <row r="642" spans="1:9" x14ac:dyDescent="0.35">
      <c r="A642" s="19">
        <v>45743</v>
      </c>
      <c r="B642" s="20"/>
      <c r="C642" s="20"/>
      <c r="D642" s="20">
        <v>50000</v>
      </c>
      <c r="E642" s="99" t="s">
        <v>521</v>
      </c>
      <c r="F642" s="20">
        <f t="shared" si="9"/>
        <v>121685536</v>
      </c>
      <c r="G642" s="7" t="s">
        <v>330</v>
      </c>
      <c r="H642" s="24" t="s">
        <v>109</v>
      </c>
      <c r="I642" s="32" t="s">
        <v>152</v>
      </c>
    </row>
    <row r="643" spans="1:9" x14ac:dyDescent="0.35">
      <c r="A643" s="19">
        <v>45744</v>
      </c>
      <c r="B643" s="20"/>
      <c r="C643" s="20"/>
      <c r="D643" s="20">
        <v>50000</v>
      </c>
      <c r="E643" s="99" t="s">
        <v>521</v>
      </c>
      <c r="F643" s="20">
        <f t="shared" si="9"/>
        <v>121735536</v>
      </c>
      <c r="G643" s="7" t="s">
        <v>330</v>
      </c>
      <c r="H643" s="24" t="s">
        <v>109</v>
      </c>
      <c r="I643" s="32" t="s">
        <v>152</v>
      </c>
    </row>
    <row r="644" spans="1:9" x14ac:dyDescent="0.35">
      <c r="A644" s="19">
        <v>45744</v>
      </c>
      <c r="B644" s="20"/>
      <c r="C644" s="20"/>
      <c r="D644" s="20">
        <v>100000</v>
      </c>
      <c r="E644" s="99" t="s">
        <v>521</v>
      </c>
      <c r="F644" s="20">
        <f t="shared" si="9"/>
        <v>121835536</v>
      </c>
      <c r="G644" s="7" t="s">
        <v>330</v>
      </c>
      <c r="H644" s="24" t="s">
        <v>109</v>
      </c>
      <c r="I644" s="32" t="s">
        <v>152</v>
      </c>
    </row>
    <row r="645" spans="1:9" x14ac:dyDescent="0.35">
      <c r="A645" s="19">
        <v>45744</v>
      </c>
      <c r="B645" s="20"/>
      <c r="C645" s="20"/>
      <c r="D645" s="20">
        <v>24000</v>
      </c>
      <c r="E645" s="99" t="s">
        <v>521</v>
      </c>
      <c r="F645" s="20">
        <f t="shared" si="9"/>
        <v>121859536</v>
      </c>
      <c r="G645" s="7" t="s">
        <v>330</v>
      </c>
      <c r="H645" s="24" t="s">
        <v>109</v>
      </c>
      <c r="I645" s="32" t="s">
        <v>152</v>
      </c>
    </row>
    <row r="646" spans="1:9" x14ac:dyDescent="0.35">
      <c r="A646" s="19">
        <v>45744</v>
      </c>
      <c r="B646" s="20"/>
      <c r="C646" s="20"/>
      <c r="D646" s="20">
        <v>100000</v>
      </c>
      <c r="E646" s="99" t="s">
        <v>521</v>
      </c>
      <c r="F646" s="20">
        <f t="shared" si="9"/>
        <v>121959536</v>
      </c>
      <c r="G646" s="7" t="s">
        <v>330</v>
      </c>
      <c r="H646" s="24" t="s">
        <v>109</v>
      </c>
      <c r="I646" s="32" t="s">
        <v>152</v>
      </c>
    </row>
    <row r="647" spans="1:9" x14ac:dyDescent="0.35">
      <c r="A647" s="19">
        <v>45744</v>
      </c>
      <c r="B647" s="20"/>
      <c r="C647" s="20"/>
      <c r="D647" s="20">
        <v>25000</v>
      </c>
      <c r="E647" s="99" t="s">
        <v>521</v>
      </c>
      <c r="F647" s="20">
        <f t="shared" si="9"/>
        <v>121984536</v>
      </c>
      <c r="G647" s="7" t="s">
        <v>330</v>
      </c>
      <c r="H647" s="24" t="s">
        <v>109</v>
      </c>
      <c r="I647" s="32" t="s">
        <v>152</v>
      </c>
    </row>
    <row r="648" spans="1:9" x14ac:dyDescent="0.35">
      <c r="A648" s="19">
        <v>45744</v>
      </c>
      <c r="B648" s="20"/>
      <c r="C648" s="20"/>
      <c r="D648" s="20">
        <v>50000</v>
      </c>
      <c r="E648" s="99" t="s">
        <v>521</v>
      </c>
      <c r="F648" s="20">
        <f t="shared" si="9"/>
        <v>122034536</v>
      </c>
      <c r="G648" s="7" t="s">
        <v>330</v>
      </c>
      <c r="H648" s="24" t="s">
        <v>109</v>
      </c>
      <c r="I648" s="32" t="s">
        <v>152</v>
      </c>
    </row>
    <row r="649" spans="1:9" x14ac:dyDescent="0.35">
      <c r="A649" s="19">
        <v>45744</v>
      </c>
      <c r="B649" s="20"/>
      <c r="C649" s="20"/>
      <c r="D649" s="20">
        <v>15000</v>
      </c>
      <c r="E649" s="99" t="s">
        <v>521</v>
      </c>
      <c r="F649" s="20">
        <f t="shared" si="9"/>
        <v>122049536</v>
      </c>
      <c r="G649" s="7" t="s">
        <v>330</v>
      </c>
      <c r="H649" s="24" t="s">
        <v>109</v>
      </c>
      <c r="I649" s="32" t="s">
        <v>152</v>
      </c>
    </row>
    <row r="650" spans="1:9" x14ac:dyDescent="0.35">
      <c r="A650" s="19">
        <v>45744</v>
      </c>
      <c r="B650" s="20"/>
      <c r="C650" s="20"/>
      <c r="D650" s="20">
        <v>1000000</v>
      </c>
      <c r="E650" s="99" t="s">
        <v>521</v>
      </c>
      <c r="F650" s="20">
        <f t="shared" ref="F650:F698" si="10">+F649+D650-B650</f>
        <v>123049536</v>
      </c>
      <c r="G650" s="7" t="s">
        <v>486</v>
      </c>
      <c r="H650" s="59" t="s">
        <v>105</v>
      </c>
      <c r="I650" s="32" t="s">
        <v>152</v>
      </c>
    </row>
    <row r="651" spans="1:9" x14ac:dyDescent="0.35">
      <c r="A651" s="19">
        <v>45744</v>
      </c>
      <c r="B651" s="20"/>
      <c r="C651" s="20"/>
      <c r="D651" s="20">
        <v>10000</v>
      </c>
      <c r="E651" s="99" t="s">
        <v>521</v>
      </c>
      <c r="F651" s="20">
        <f t="shared" si="10"/>
        <v>123059536</v>
      </c>
      <c r="G651" s="7" t="s">
        <v>330</v>
      </c>
      <c r="H651" s="24" t="s">
        <v>109</v>
      </c>
      <c r="I651" s="32" t="s">
        <v>152</v>
      </c>
    </row>
    <row r="652" spans="1:9" x14ac:dyDescent="0.35">
      <c r="A652" s="19">
        <v>45744</v>
      </c>
      <c r="B652" s="20"/>
      <c r="C652" s="20"/>
      <c r="D652" s="20">
        <v>100000</v>
      </c>
      <c r="E652" s="99" t="s">
        <v>521</v>
      </c>
      <c r="F652" s="20">
        <f t="shared" si="10"/>
        <v>123159536</v>
      </c>
      <c r="G652" s="7" t="s">
        <v>330</v>
      </c>
      <c r="H652" s="24" t="s">
        <v>109</v>
      </c>
      <c r="I652" s="32" t="s">
        <v>152</v>
      </c>
    </row>
    <row r="653" spans="1:9" x14ac:dyDescent="0.35">
      <c r="A653" s="19">
        <v>45744</v>
      </c>
      <c r="B653" s="20"/>
      <c r="C653" s="20"/>
      <c r="D653" s="20">
        <v>100000</v>
      </c>
      <c r="E653" s="99" t="s">
        <v>521</v>
      </c>
      <c r="F653" s="20">
        <f t="shared" si="10"/>
        <v>123259536</v>
      </c>
      <c r="G653" s="7" t="s">
        <v>330</v>
      </c>
      <c r="H653" s="24" t="s">
        <v>109</v>
      </c>
      <c r="I653" s="32" t="s">
        <v>152</v>
      </c>
    </row>
    <row r="654" spans="1:9" x14ac:dyDescent="0.35">
      <c r="A654" s="19">
        <v>45744</v>
      </c>
      <c r="B654" s="20"/>
      <c r="C654" s="20"/>
      <c r="D654" s="20">
        <v>50000</v>
      </c>
      <c r="E654" s="99" t="s">
        <v>521</v>
      </c>
      <c r="F654" s="20">
        <f t="shared" si="10"/>
        <v>123309536</v>
      </c>
      <c r="G654" s="7" t="s">
        <v>330</v>
      </c>
      <c r="H654" s="24" t="s">
        <v>109</v>
      </c>
      <c r="I654" s="32" t="s">
        <v>152</v>
      </c>
    </row>
    <row r="655" spans="1:9" x14ac:dyDescent="0.35">
      <c r="A655" s="19">
        <v>45744</v>
      </c>
      <c r="B655" s="20"/>
      <c r="C655" s="20"/>
      <c r="D655" s="20">
        <v>100000</v>
      </c>
      <c r="E655" s="99" t="s">
        <v>521</v>
      </c>
      <c r="F655" s="20">
        <f t="shared" si="10"/>
        <v>123409536</v>
      </c>
      <c r="G655" s="7" t="s">
        <v>330</v>
      </c>
      <c r="H655" s="24" t="s">
        <v>109</v>
      </c>
      <c r="I655" s="32" t="s">
        <v>152</v>
      </c>
    </row>
    <row r="656" spans="1:9" x14ac:dyDescent="0.35">
      <c r="A656" s="19">
        <v>45744</v>
      </c>
      <c r="B656" s="20"/>
      <c r="C656" s="20"/>
      <c r="D656" s="20">
        <v>25000</v>
      </c>
      <c r="E656" s="99" t="s">
        <v>521</v>
      </c>
      <c r="F656" s="20">
        <f t="shared" si="10"/>
        <v>123434536</v>
      </c>
      <c r="G656" s="7" t="s">
        <v>330</v>
      </c>
      <c r="H656" s="24" t="s">
        <v>109</v>
      </c>
      <c r="I656" s="32" t="s">
        <v>152</v>
      </c>
    </row>
    <row r="657" spans="1:9" x14ac:dyDescent="0.35">
      <c r="A657" s="19">
        <v>45744</v>
      </c>
      <c r="B657" s="20"/>
      <c r="C657" s="20"/>
      <c r="D657" s="20">
        <v>200000</v>
      </c>
      <c r="E657" s="99" t="s">
        <v>521</v>
      </c>
      <c r="F657" s="20">
        <f t="shared" si="10"/>
        <v>123634536</v>
      </c>
      <c r="G657" s="7" t="s">
        <v>330</v>
      </c>
      <c r="H657" s="24" t="s">
        <v>109</v>
      </c>
      <c r="I657" s="32" t="s">
        <v>152</v>
      </c>
    </row>
    <row r="658" spans="1:9" x14ac:dyDescent="0.35">
      <c r="A658" s="19">
        <v>45744</v>
      </c>
      <c r="B658" s="20"/>
      <c r="C658" s="20"/>
      <c r="D658" s="20">
        <v>20000</v>
      </c>
      <c r="E658" s="99" t="s">
        <v>521</v>
      </c>
      <c r="F658" s="20">
        <f t="shared" si="10"/>
        <v>123654536</v>
      </c>
      <c r="G658" s="7" t="s">
        <v>330</v>
      </c>
      <c r="H658" s="24" t="s">
        <v>109</v>
      </c>
      <c r="I658" s="32" t="s">
        <v>152</v>
      </c>
    </row>
    <row r="659" spans="1:9" x14ac:dyDescent="0.35">
      <c r="A659" s="19">
        <v>45744</v>
      </c>
      <c r="B659" s="20"/>
      <c r="C659" s="20"/>
      <c r="D659" s="20">
        <v>30000</v>
      </c>
      <c r="E659" s="99" t="s">
        <v>521</v>
      </c>
      <c r="F659" s="20">
        <f t="shared" si="10"/>
        <v>123684536</v>
      </c>
      <c r="G659" s="7" t="s">
        <v>330</v>
      </c>
      <c r="H659" s="24" t="s">
        <v>109</v>
      </c>
      <c r="I659" s="32" t="s">
        <v>152</v>
      </c>
    </row>
    <row r="660" spans="1:9" x14ac:dyDescent="0.35">
      <c r="A660" s="19">
        <v>45744</v>
      </c>
      <c r="B660" s="20"/>
      <c r="C660" s="20"/>
      <c r="D660" s="20">
        <v>10000</v>
      </c>
      <c r="E660" s="99" t="s">
        <v>521</v>
      </c>
      <c r="F660" s="20">
        <f t="shared" si="10"/>
        <v>123694536</v>
      </c>
      <c r="G660" s="7" t="s">
        <v>330</v>
      </c>
      <c r="H660" s="24" t="s">
        <v>109</v>
      </c>
      <c r="I660" s="32" t="s">
        <v>152</v>
      </c>
    </row>
    <row r="661" spans="1:9" x14ac:dyDescent="0.35">
      <c r="A661" s="19">
        <v>45744</v>
      </c>
      <c r="B661" s="20"/>
      <c r="C661" s="20"/>
      <c r="D661" s="20">
        <v>20000</v>
      </c>
      <c r="E661" s="99" t="s">
        <v>521</v>
      </c>
      <c r="F661" s="20">
        <f t="shared" si="10"/>
        <v>123714536</v>
      </c>
      <c r="G661" s="7" t="s">
        <v>330</v>
      </c>
      <c r="H661" s="24" t="s">
        <v>109</v>
      </c>
      <c r="I661" s="32" t="s">
        <v>152</v>
      </c>
    </row>
    <row r="662" spans="1:9" x14ac:dyDescent="0.35">
      <c r="A662" s="19">
        <v>45744</v>
      </c>
      <c r="B662" s="20"/>
      <c r="C662" s="20"/>
      <c r="D662" s="20">
        <v>20000</v>
      </c>
      <c r="E662" s="99" t="s">
        <v>521</v>
      </c>
      <c r="F662" s="20">
        <f t="shared" si="10"/>
        <v>123734536</v>
      </c>
      <c r="G662" s="7" t="s">
        <v>330</v>
      </c>
      <c r="H662" s="24" t="s">
        <v>109</v>
      </c>
      <c r="I662" s="32" t="s">
        <v>152</v>
      </c>
    </row>
    <row r="663" spans="1:9" x14ac:dyDescent="0.35">
      <c r="A663" s="19">
        <v>45744</v>
      </c>
      <c r="B663" s="20"/>
      <c r="C663" s="20"/>
      <c r="D663" s="20">
        <v>10000</v>
      </c>
      <c r="E663" s="99" t="s">
        <v>521</v>
      </c>
      <c r="F663" s="20">
        <f t="shared" si="10"/>
        <v>123744536</v>
      </c>
      <c r="G663" s="7" t="s">
        <v>330</v>
      </c>
      <c r="H663" s="24" t="s">
        <v>109</v>
      </c>
      <c r="I663" s="32" t="s">
        <v>152</v>
      </c>
    </row>
    <row r="664" spans="1:9" x14ac:dyDescent="0.35">
      <c r="A664" s="19">
        <v>45744</v>
      </c>
      <c r="B664" s="20"/>
      <c r="C664" s="20"/>
      <c r="D664" s="20">
        <v>20000</v>
      </c>
      <c r="E664" s="99" t="s">
        <v>521</v>
      </c>
      <c r="F664" s="20">
        <f t="shared" si="10"/>
        <v>123764536</v>
      </c>
      <c r="G664" s="7" t="s">
        <v>330</v>
      </c>
      <c r="H664" s="24" t="s">
        <v>109</v>
      </c>
      <c r="I664" s="32" t="s">
        <v>152</v>
      </c>
    </row>
    <row r="665" spans="1:9" x14ac:dyDescent="0.35">
      <c r="A665" s="19">
        <v>45744</v>
      </c>
      <c r="B665" s="20"/>
      <c r="C665" s="20"/>
      <c r="D665" s="20">
        <v>1000000</v>
      </c>
      <c r="E665" s="99" t="s">
        <v>521</v>
      </c>
      <c r="F665" s="20">
        <f t="shared" si="10"/>
        <v>124764536</v>
      </c>
      <c r="G665" s="7" t="s">
        <v>487</v>
      </c>
      <c r="H665" s="59" t="s">
        <v>105</v>
      </c>
      <c r="I665" s="32" t="s">
        <v>152</v>
      </c>
    </row>
    <row r="666" spans="1:9" x14ac:dyDescent="0.35">
      <c r="A666" s="19">
        <v>45744</v>
      </c>
      <c r="B666" s="20">
        <v>53150000</v>
      </c>
      <c r="C666" s="20"/>
      <c r="D666" s="20"/>
      <c r="E666" s="99" t="s">
        <v>521</v>
      </c>
      <c r="F666" s="20">
        <f t="shared" si="10"/>
        <v>71614536</v>
      </c>
      <c r="G666" s="7" t="s">
        <v>488</v>
      </c>
      <c r="H666" s="59" t="s">
        <v>201</v>
      </c>
      <c r="I666" s="32" t="s">
        <v>152</v>
      </c>
    </row>
    <row r="667" spans="1:9" x14ac:dyDescent="0.35">
      <c r="A667" s="19">
        <v>45744</v>
      </c>
      <c r="B667" s="20">
        <v>2500</v>
      </c>
      <c r="C667" s="20"/>
      <c r="D667" s="20"/>
      <c r="E667" s="99" t="s">
        <v>521</v>
      </c>
      <c r="F667" s="20">
        <f t="shared" si="10"/>
        <v>71612036</v>
      </c>
      <c r="G667" s="7" t="s">
        <v>488</v>
      </c>
      <c r="H667" s="59" t="s">
        <v>201</v>
      </c>
      <c r="I667" s="32" t="s">
        <v>152</v>
      </c>
    </row>
    <row r="668" spans="1:9" x14ac:dyDescent="0.35">
      <c r="A668" s="19">
        <v>45744</v>
      </c>
      <c r="B668" s="20"/>
      <c r="C668" s="20"/>
      <c r="D668" s="20">
        <v>1000000</v>
      </c>
      <c r="E668" s="99" t="s">
        <v>521</v>
      </c>
      <c r="F668" s="20">
        <f t="shared" si="10"/>
        <v>72612036</v>
      </c>
      <c r="G668" s="7" t="s">
        <v>489</v>
      </c>
      <c r="H668" s="24" t="s">
        <v>109</v>
      </c>
      <c r="I668" s="32" t="s">
        <v>152</v>
      </c>
    </row>
    <row r="669" spans="1:9" x14ac:dyDescent="0.35">
      <c r="A669" s="19">
        <v>45744</v>
      </c>
      <c r="B669" s="20"/>
      <c r="C669" s="20"/>
      <c r="D669" s="20">
        <v>50000</v>
      </c>
      <c r="E669" s="99" t="s">
        <v>521</v>
      </c>
      <c r="F669" s="20">
        <f t="shared" si="10"/>
        <v>72662036</v>
      </c>
      <c r="G669" s="7" t="s">
        <v>330</v>
      </c>
      <c r="H669" s="24" t="s">
        <v>109</v>
      </c>
      <c r="I669" s="32" t="s">
        <v>152</v>
      </c>
    </row>
    <row r="670" spans="1:9" x14ac:dyDescent="0.35">
      <c r="A670" s="19">
        <v>45744</v>
      </c>
      <c r="B670" s="20"/>
      <c r="C670" s="20"/>
      <c r="D670" s="20">
        <v>20000</v>
      </c>
      <c r="E670" s="99" t="s">
        <v>521</v>
      </c>
      <c r="F670" s="20">
        <f t="shared" si="10"/>
        <v>72682036</v>
      </c>
      <c r="G670" s="7" t="s">
        <v>330</v>
      </c>
      <c r="H670" s="24" t="s">
        <v>109</v>
      </c>
      <c r="I670" s="32" t="s">
        <v>152</v>
      </c>
    </row>
    <row r="671" spans="1:9" x14ac:dyDescent="0.35">
      <c r="A671" s="19">
        <v>45744</v>
      </c>
      <c r="B671" s="20"/>
      <c r="C671" s="20"/>
      <c r="D671" s="20">
        <v>200000</v>
      </c>
      <c r="E671" s="99" t="s">
        <v>521</v>
      </c>
      <c r="F671" s="20">
        <f t="shared" si="10"/>
        <v>72882036</v>
      </c>
      <c r="G671" s="7" t="s">
        <v>330</v>
      </c>
      <c r="H671" s="24" t="s">
        <v>109</v>
      </c>
      <c r="I671" s="32" t="s">
        <v>152</v>
      </c>
    </row>
    <row r="672" spans="1:9" x14ac:dyDescent="0.35">
      <c r="A672" s="19">
        <v>45744</v>
      </c>
      <c r="B672" s="20"/>
      <c r="C672" s="20"/>
      <c r="D672" s="20">
        <v>50000</v>
      </c>
      <c r="E672" s="99" t="s">
        <v>521</v>
      </c>
      <c r="F672" s="20">
        <f t="shared" si="10"/>
        <v>72932036</v>
      </c>
      <c r="G672" s="7" t="s">
        <v>330</v>
      </c>
      <c r="H672" s="24" t="s">
        <v>109</v>
      </c>
      <c r="I672" s="32" t="s">
        <v>152</v>
      </c>
    </row>
    <row r="673" spans="1:9" x14ac:dyDescent="0.35">
      <c r="A673" s="19">
        <v>45744</v>
      </c>
      <c r="B673" s="20"/>
      <c r="C673" s="20"/>
      <c r="D673" s="20">
        <v>100000</v>
      </c>
      <c r="E673" s="99" t="s">
        <v>521</v>
      </c>
      <c r="F673" s="20">
        <f t="shared" si="10"/>
        <v>73032036</v>
      </c>
      <c r="G673" s="7" t="s">
        <v>330</v>
      </c>
      <c r="H673" s="24" t="s">
        <v>109</v>
      </c>
      <c r="I673" s="32" t="s">
        <v>152</v>
      </c>
    </row>
    <row r="674" spans="1:9" x14ac:dyDescent="0.35">
      <c r="A674" s="19">
        <v>45744</v>
      </c>
      <c r="B674" s="20"/>
      <c r="C674" s="20"/>
      <c r="D674" s="20">
        <v>2000000</v>
      </c>
      <c r="E674" s="99" t="s">
        <v>521</v>
      </c>
      <c r="F674" s="20">
        <f t="shared" si="10"/>
        <v>75032036</v>
      </c>
      <c r="G674" s="7" t="s">
        <v>490</v>
      </c>
      <c r="H674" s="24" t="s">
        <v>109</v>
      </c>
      <c r="I674" s="32" t="s">
        <v>152</v>
      </c>
    </row>
    <row r="675" spans="1:9" x14ac:dyDescent="0.35">
      <c r="A675" s="19">
        <v>45744</v>
      </c>
      <c r="B675" s="20"/>
      <c r="C675" s="20"/>
      <c r="D675" s="20">
        <v>100000</v>
      </c>
      <c r="E675" s="99" t="s">
        <v>521</v>
      </c>
      <c r="F675" s="20">
        <f t="shared" si="10"/>
        <v>75132036</v>
      </c>
      <c r="G675" s="7" t="s">
        <v>330</v>
      </c>
      <c r="H675" s="24" t="s">
        <v>109</v>
      </c>
      <c r="I675" s="32" t="s">
        <v>152</v>
      </c>
    </row>
    <row r="676" spans="1:9" x14ac:dyDescent="0.35">
      <c r="A676" s="19">
        <v>45744</v>
      </c>
      <c r="B676" s="20"/>
      <c r="C676" s="20"/>
      <c r="D676" s="20">
        <v>50000</v>
      </c>
      <c r="E676" s="99" t="s">
        <v>521</v>
      </c>
      <c r="F676" s="20">
        <f t="shared" si="10"/>
        <v>75182036</v>
      </c>
      <c r="G676" s="7" t="s">
        <v>330</v>
      </c>
      <c r="H676" s="24" t="s">
        <v>109</v>
      </c>
      <c r="I676" s="32" t="s">
        <v>152</v>
      </c>
    </row>
    <row r="677" spans="1:9" x14ac:dyDescent="0.35">
      <c r="A677" s="19">
        <v>45744</v>
      </c>
      <c r="B677" s="20"/>
      <c r="C677" s="20"/>
      <c r="D677" s="20">
        <v>10000</v>
      </c>
      <c r="E677" s="99" t="s">
        <v>521</v>
      </c>
      <c r="F677" s="20">
        <f t="shared" si="10"/>
        <v>75192036</v>
      </c>
      <c r="G677" s="7" t="s">
        <v>330</v>
      </c>
      <c r="H677" s="24" t="s">
        <v>109</v>
      </c>
      <c r="I677" s="32" t="s">
        <v>152</v>
      </c>
    </row>
    <row r="678" spans="1:9" x14ac:dyDescent="0.35">
      <c r="A678" s="19">
        <v>45744</v>
      </c>
      <c r="B678" s="20"/>
      <c r="C678" s="20"/>
      <c r="D678" s="20">
        <v>30000</v>
      </c>
      <c r="E678" s="99" t="s">
        <v>521</v>
      </c>
      <c r="F678" s="20">
        <f t="shared" si="10"/>
        <v>75222036</v>
      </c>
      <c r="G678" s="7" t="s">
        <v>330</v>
      </c>
      <c r="H678" s="24" t="s">
        <v>109</v>
      </c>
      <c r="I678" s="32" t="s">
        <v>152</v>
      </c>
    </row>
    <row r="679" spans="1:9" x14ac:dyDescent="0.35">
      <c r="A679" s="19">
        <v>45744</v>
      </c>
      <c r="B679" s="20"/>
      <c r="C679" s="20"/>
      <c r="D679" s="20">
        <v>3475000</v>
      </c>
      <c r="E679" s="99" t="s">
        <v>521</v>
      </c>
      <c r="F679" s="20">
        <f t="shared" si="10"/>
        <v>78697036</v>
      </c>
      <c r="G679" s="7" t="s">
        <v>491</v>
      </c>
      <c r="H679" s="59" t="s">
        <v>105</v>
      </c>
      <c r="I679" s="32" t="s">
        <v>152</v>
      </c>
    </row>
    <row r="680" spans="1:9" x14ac:dyDescent="0.35">
      <c r="A680" s="19">
        <v>45744</v>
      </c>
      <c r="B680" s="20"/>
      <c r="C680" s="20"/>
      <c r="D680" s="20">
        <v>50000</v>
      </c>
      <c r="E680" s="99" t="s">
        <v>521</v>
      </c>
      <c r="F680" s="20">
        <f t="shared" si="10"/>
        <v>78747036</v>
      </c>
      <c r="G680" s="7" t="s">
        <v>330</v>
      </c>
      <c r="H680" s="24" t="s">
        <v>109</v>
      </c>
      <c r="I680" s="32" t="s">
        <v>152</v>
      </c>
    </row>
    <row r="681" spans="1:9" x14ac:dyDescent="0.35">
      <c r="A681" s="19">
        <v>45744</v>
      </c>
      <c r="B681" s="20"/>
      <c r="C681" s="20"/>
      <c r="D681" s="20">
        <v>3000000</v>
      </c>
      <c r="E681" s="99" t="s">
        <v>521</v>
      </c>
      <c r="F681" s="20">
        <f t="shared" si="10"/>
        <v>81747036</v>
      </c>
      <c r="G681" s="7" t="s">
        <v>491</v>
      </c>
      <c r="H681" s="59" t="s">
        <v>105</v>
      </c>
      <c r="I681" s="32" t="s">
        <v>152</v>
      </c>
    </row>
    <row r="682" spans="1:9" x14ac:dyDescent="0.35">
      <c r="A682" s="19">
        <v>45744</v>
      </c>
      <c r="B682" s="20"/>
      <c r="C682" s="20"/>
      <c r="D682" s="20">
        <v>100000</v>
      </c>
      <c r="E682" s="99" t="s">
        <v>521</v>
      </c>
      <c r="F682" s="20">
        <f t="shared" si="10"/>
        <v>81847036</v>
      </c>
      <c r="G682" s="7" t="s">
        <v>330</v>
      </c>
      <c r="H682" s="24" t="s">
        <v>109</v>
      </c>
      <c r="I682" s="32" t="s">
        <v>152</v>
      </c>
    </row>
    <row r="683" spans="1:9" x14ac:dyDescent="0.35">
      <c r="A683" s="19">
        <v>45744</v>
      </c>
      <c r="B683" s="20"/>
      <c r="C683" s="20"/>
      <c r="D683" s="20">
        <v>25000</v>
      </c>
      <c r="E683" s="99" t="s">
        <v>521</v>
      </c>
      <c r="F683" s="20">
        <f t="shared" si="10"/>
        <v>81872036</v>
      </c>
      <c r="G683" s="7" t="s">
        <v>330</v>
      </c>
      <c r="H683" s="24" t="s">
        <v>109</v>
      </c>
      <c r="I683" s="32" t="s">
        <v>152</v>
      </c>
    </row>
    <row r="684" spans="1:9" x14ac:dyDescent="0.35">
      <c r="A684" s="19">
        <v>45744</v>
      </c>
      <c r="B684" s="20"/>
      <c r="C684" s="20"/>
      <c r="D684" s="20">
        <v>50000</v>
      </c>
      <c r="E684" s="99" t="s">
        <v>521</v>
      </c>
      <c r="F684" s="20">
        <f t="shared" si="10"/>
        <v>81922036</v>
      </c>
      <c r="G684" s="7" t="s">
        <v>330</v>
      </c>
      <c r="H684" s="24" t="s">
        <v>109</v>
      </c>
      <c r="I684" s="32" t="s">
        <v>152</v>
      </c>
    </row>
    <row r="685" spans="1:9" x14ac:dyDescent="0.35">
      <c r="A685" s="19">
        <v>45744</v>
      </c>
      <c r="B685" s="20"/>
      <c r="C685" s="20"/>
      <c r="D685" s="20">
        <v>200000</v>
      </c>
      <c r="E685" s="99" t="s">
        <v>521</v>
      </c>
      <c r="F685" s="20">
        <f t="shared" si="10"/>
        <v>82122036</v>
      </c>
      <c r="G685" s="7" t="s">
        <v>330</v>
      </c>
      <c r="H685" s="24" t="s">
        <v>109</v>
      </c>
      <c r="I685" s="32" t="s">
        <v>152</v>
      </c>
    </row>
    <row r="686" spans="1:9" x14ac:dyDescent="0.35">
      <c r="A686" s="19">
        <v>45744</v>
      </c>
      <c r="B686" s="20"/>
      <c r="C686" s="20"/>
      <c r="D686" s="20">
        <v>30000</v>
      </c>
      <c r="E686" s="99" t="s">
        <v>521</v>
      </c>
      <c r="F686" s="20">
        <f t="shared" si="10"/>
        <v>82152036</v>
      </c>
      <c r="G686" s="7" t="s">
        <v>330</v>
      </c>
      <c r="H686" s="24" t="s">
        <v>109</v>
      </c>
      <c r="I686" s="32" t="s">
        <v>152</v>
      </c>
    </row>
    <row r="687" spans="1:9" x14ac:dyDescent="0.35">
      <c r="A687" s="19">
        <v>45744</v>
      </c>
      <c r="B687" s="20"/>
      <c r="C687" s="20"/>
      <c r="D687" s="20">
        <v>20000</v>
      </c>
      <c r="E687" s="99" t="s">
        <v>521</v>
      </c>
      <c r="F687" s="20">
        <f t="shared" si="10"/>
        <v>82172036</v>
      </c>
      <c r="G687" s="7" t="s">
        <v>330</v>
      </c>
      <c r="H687" s="24" t="s">
        <v>109</v>
      </c>
      <c r="I687" s="32" t="s">
        <v>152</v>
      </c>
    </row>
    <row r="688" spans="1:9" x14ac:dyDescent="0.35">
      <c r="A688" s="19">
        <v>45744</v>
      </c>
      <c r="B688" s="20"/>
      <c r="C688" s="20"/>
      <c r="D688" s="20">
        <v>150000</v>
      </c>
      <c r="E688" s="99" t="s">
        <v>521</v>
      </c>
      <c r="F688" s="20">
        <f t="shared" si="10"/>
        <v>82322036</v>
      </c>
      <c r="G688" s="7" t="s">
        <v>330</v>
      </c>
      <c r="H688" s="24" t="s">
        <v>109</v>
      </c>
      <c r="I688" s="32" t="s">
        <v>152</v>
      </c>
    </row>
    <row r="689" spans="1:9" x14ac:dyDescent="0.35">
      <c r="A689" s="19">
        <v>45744</v>
      </c>
      <c r="B689" s="20"/>
      <c r="C689" s="20"/>
      <c r="D689" s="20">
        <v>10000</v>
      </c>
      <c r="E689" s="99" t="s">
        <v>521</v>
      </c>
      <c r="F689" s="20">
        <f t="shared" si="10"/>
        <v>82332036</v>
      </c>
      <c r="G689" s="7" t="s">
        <v>330</v>
      </c>
      <c r="H689" s="24" t="s">
        <v>109</v>
      </c>
      <c r="I689" s="32" t="s">
        <v>152</v>
      </c>
    </row>
    <row r="690" spans="1:9" x14ac:dyDescent="0.35">
      <c r="A690" s="19">
        <v>45744</v>
      </c>
      <c r="B690" s="20"/>
      <c r="C690" s="20"/>
      <c r="D690" s="20">
        <v>1000000</v>
      </c>
      <c r="E690" s="99" t="s">
        <v>521</v>
      </c>
      <c r="F690" s="20">
        <f t="shared" si="10"/>
        <v>83332036</v>
      </c>
      <c r="G690" s="7" t="s">
        <v>330</v>
      </c>
      <c r="H690" s="24" t="s">
        <v>109</v>
      </c>
      <c r="I690" s="32" t="s">
        <v>152</v>
      </c>
    </row>
    <row r="691" spans="1:9" x14ac:dyDescent="0.35">
      <c r="A691" s="19">
        <v>45744</v>
      </c>
      <c r="B691" s="20"/>
      <c r="C691" s="20"/>
      <c r="D691" s="20">
        <v>50000</v>
      </c>
      <c r="E691" s="99" t="s">
        <v>521</v>
      </c>
      <c r="F691" s="20">
        <f t="shared" si="10"/>
        <v>83382036</v>
      </c>
      <c r="G691" s="7" t="s">
        <v>330</v>
      </c>
      <c r="H691" s="24" t="s">
        <v>109</v>
      </c>
      <c r="I691" s="32" t="s">
        <v>152</v>
      </c>
    </row>
    <row r="692" spans="1:9" x14ac:dyDescent="0.35">
      <c r="A692" s="19">
        <v>45744</v>
      </c>
      <c r="B692" s="20"/>
      <c r="C692" s="20"/>
      <c r="D692" s="20">
        <v>6000</v>
      </c>
      <c r="E692" s="99" t="s">
        <v>521</v>
      </c>
      <c r="F692" s="20">
        <f t="shared" si="10"/>
        <v>83388036</v>
      </c>
      <c r="G692" s="7" t="s">
        <v>330</v>
      </c>
      <c r="H692" s="24" t="s">
        <v>109</v>
      </c>
      <c r="I692" s="32" t="s">
        <v>152</v>
      </c>
    </row>
    <row r="693" spans="1:9" x14ac:dyDescent="0.35">
      <c r="A693" s="19">
        <v>45744</v>
      </c>
      <c r="B693" s="20"/>
      <c r="C693" s="20"/>
      <c r="D693" s="20">
        <v>20000</v>
      </c>
      <c r="E693" s="99" t="s">
        <v>521</v>
      </c>
      <c r="F693" s="20">
        <f t="shared" si="10"/>
        <v>83408036</v>
      </c>
      <c r="G693" s="7" t="s">
        <v>330</v>
      </c>
      <c r="H693" s="24" t="s">
        <v>109</v>
      </c>
      <c r="I693" s="32" t="s">
        <v>152</v>
      </c>
    </row>
    <row r="694" spans="1:9" x14ac:dyDescent="0.35">
      <c r="A694" s="19">
        <v>45744</v>
      </c>
      <c r="B694" s="20"/>
      <c r="C694" s="20"/>
      <c r="D694" s="20">
        <v>150000</v>
      </c>
      <c r="E694" s="99" t="s">
        <v>521</v>
      </c>
      <c r="F694" s="20">
        <f t="shared" si="10"/>
        <v>83558036</v>
      </c>
      <c r="G694" s="7" t="s">
        <v>330</v>
      </c>
      <c r="H694" s="24" t="s">
        <v>109</v>
      </c>
      <c r="I694" s="32" t="s">
        <v>152</v>
      </c>
    </row>
    <row r="695" spans="1:9" x14ac:dyDescent="0.35">
      <c r="A695" s="19">
        <v>45744</v>
      </c>
      <c r="B695" s="20"/>
      <c r="C695" s="20"/>
      <c r="D695" s="20">
        <v>6570000</v>
      </c>
      <c r="E695" s="99" t="s">
        <v>521</v>
      </c>
      <c r="F695" s="20">
        <f t="shared" si="10"/>
        <v>90128036</v>
      </c>
      <c r="G695" s="7" t="s">
        <v>491</v>
      </c>
      <c r="H695" s="59" t="s">
        <v>105</v>
      </c>
      <c r="I695" s="32" t="s">
        <v>152</v>
      </c>
    </row>
    <row r="696" spans="1:9" x14ac:dyDescent="0.35">
      <c r="A696" s="19">
        <v>45744</v>
      </c>
      <c r="B696" s="20"/>
      <c r="C696" s="20"/>
      <c r="D696" s="20">
        <v>50000</v>
      </c>
      <c r="E696" s="99" t="s">
        <v>521</v>
      </c>
      <c r="F696" s="20">
        <f t="shared" si="10"/>
        <v>90178036</v>
      </c>
      <c r="G696" s="7" t="s">
        <v>330</v>
      </c>
      <c r="H696" s="24" t="s">
        <v>109</v>
      </c>
      <c r="I696" s="32" t="s">
        <v>152</v>
      </c>
    </row>
    <row r="697" spans="1:9" x14ac:dyDescent="0.35">
      <c r="A697" s="19">
        <v>45744</v>
      </c>
      <c r="B697" s="20"/>
      <c r="C697" s="20"/>
      <c r="D697" s="20">
        <v>5000</v>
      </c>
      <c r="E697" s="99" t="s">
        <v>521</v>
      </c>
      <c r="F697" s="20">
        <f t="shared" si="10"/>
        <v>90183036</v>
      </c>
      <c r="G697" s="7" t="s">
        <v>330</v>
      </c>
      <c r="H697" s="24" t="s">
        <v>109</v>
      </c>
      <c r="I697" s="32" t="s">
        <v>152</v>
      </c>
    </row>
    <row r="698" spans="1:9" x14ac:dyDescent="0.35">
      <c r="A698" s="19">
        <v>45744</v>
      </c>
      <c r="B698" s="20"/>
      <c r="C698" s="20"/>
      <c r="D698" s="20">
        <v>5000</v>
      </c>
      <c r="E698" s="99" t="s">
        <v>521</v>
      </c>
      <c r="F698" s="20">
        <f t="shared" si="10"/>
        <v>90188036</v>
      </c>
      <c r="G698" s="7" t="s">
        <v>330</v>
      </c>
      <c r="H698" s="24" t="s">
        <v>109</v>
      </c>
      <c r="I698" s="32" t="s">
        <v>152</v>
      </c>
    </row>
    <row r="699" spans="1:9" x14ac:dyDescent="0.35">
      <c r="A699" s="19">
        <v>45755</v>
      </c>
      <c r="B699" s="20"/>
      <c r="C699" s="20"/>
      <c r="D699" s="20">
        <v>50000</v>
      </c>
      <c r="E699" s="99" t="s">
        <v>502</v>
      </c>
      <c r="F699" s="20">
        <f>+F698+D699-B699</f>
        <v>90238036</v>
      </c>
      <c r="G699" s="7" t="s">
        <v>330</v>
      </c>
      <c r="H699" s="24" t="s">
        <v>109</v>
      </c>
      <c r="I699" s="32" t="s">
        <v>152</v>
      </c>
    </row>
    <row r="700" spans="1:9" x14ac:dyDescent="0.35">
      <c r="A700" s="19">
        <v>45755</v>
      </c>
      <c r="B700" s="20"/>
      <c r="C700" s="20"/>
      <c r="D700" s="20">
        <v>50000</v>
      </c>
      <c r="E700" s="99" t="s">
        <v>502</v>
      </c>
      <c r="F700" s="20">
        <f t="shared" ref="F700:F763" si="11">+F699+D700-B700</f>
        <v>90288036</v>
      </c>
      <c r="G700" s="7" t="s">
        <v>330</v>
      </c>
      <c r="H700" s="24" t="s">
        <v>109</v>
      </c>
      <c r="I700" s="32" t="s">
        <v>152</v>
      </c>
    </row>
    <row r="701" spans="1:9" x14ac:dyDescent="0.35">
      <c r="A701" s="19">
        <v>45755</v>
      </c>
      <c r="B701" s="20"/>
      <c r="C701" s="20"/>
      <c r="D701" s="20">
        <v>100000</v>
      </c>
      <c r="E701" s="99" t="s">
        <v>502</v>
      </c>
      <c r="F701" s="20">
        <f t="shared" si="11"/>
        <v>90388036</v>
      </c>
      <c r="G701" s="7" t="s">
        <v>330</v>
      </c>
      <c r="H701" s="24" t="s">
        <v>109</v>
      </c>
      <c r="I701" s="32" t="s">
        <v>152</v>
      </c>
    </row>
    <row r="702" spans="1:9" x14ac:dyDescent="0.35">
      <c r="A702" s="19">
        <v>45755</v>
      </c>
      <c r="B702" s="20"/>
      <c r="C702" s="20"/>
      <c r="D702" s="20">
        <v>10000</v>
      </c>
      <c r="E702" s="99" t="s">
        <v>502</v>
      </c>
      <c r="F702" s="20">
        <f t="shared" si="11"/>
        <v>90398036</v>
      </c>
      <c r="G702" s="7" t="s">
        <v>330</v>
      </c>
      <c r="H702" s="24" t="s">
        <v>109</v>
      </c>
      <c r="I702" s="32" t="s">
        <v>152</v>
      </c>
    </row>
    <row r="703" spans="1:9" x14ac:dyDescent="0.35">
      <c r="A703" s="19">
        <v>45755</v>
      </c>
      <c r="B703" s="20"/>
      <c r="C703" s="20"/>
      <c r="D703" s="20">
        <v>100000</v>
      </c>
      <c r="E703" s="99" t="s">
        <v>502</v>
      </c>
      <c r="F703" s="20">
        <f t="shared" si="11"/>
        <v>90498036</v>
      </c>
      <c r="G703" s="7" t="s">
        <v>330</v>
      </c>
      <c r="H703" s="24" t="s">
        <v>109</v>
      </c>
      <c r="I703" s="32" t="s">
        <v>152</v>
      </c>
    </row>
    <row r="704" spans="1:9" x14ac:dyDescent="0.35">
      <c r="A704" s="19">
        <v>45755</v>
      </c>
      <c r="B704" s="20"/>
      <c r="C704" s="20"/>
      <c r="D704" s="20">
        <v>300000</v>
      </c>
      <c r="E704" s="99" t="s">
        <v>502</v>
      </c>
      <c r="F704" s="20">
        <f t="shared" si="11"/>
        <v>90798036</v>
      </c>
      <c r="G704" s="7" t="s">
        <v>330</v>
      </c>
      <c r="H704" s="24" t="s">
        <v>109</v>
      </c>
      <c r="I704" s="32" t="s">
        <v>152</v>
      </c>
    </row>
    <row r="705" spans="1:9" x14ac:dyDescent="0.35">
      <c r="A705" s="19">
        <v>45755</v>
      </c>
      <c r="B705" s="20"/>
      <c r="C705" s="20"/>
      <c r="D705" s="20">
        <v>5000000</v>
      </c>
      <c r="E705" s="99" t="s">
        <v>502</v>
      </c>
      <c r="F705" s="20">
        <f t="shared" si="11"/>
        <v>95798036</v>
      </c>
      <c r="G705" s="7" t="s">
        <v>506</v>
      </c>
      <c r="H705" s="24" t="s">
        <v>105</v>
      </c>
      <c r="I705" s="32" t="s">
        <v>152</v>
      </c>
    </row>
    <row r="706" spans="1:9" x14ac:dyDescent="0.35">
      <c r="A706" s="19">
        <v>45755</v>
      </c>
      <c r="B706" s="20"/>
      <c r="C706" s="20"/>
      <c r="D706" s="20">
        <v>50000</v>
      </c>
      <c r="E706" s="99" t="s">
        <v>502</v>
      </c>
      <c r="F706" s="20">
        <f t="shared" si="11"/>
        <v>95848036</v>
      </c>
      <c r="G706" s="7" t="s">
        <v>330</v>
      </c>
      <c r="H706" s="24" t="s">
        <v>109</v>
      </c>
      <c r="I706" s="32" t="s">
        <v>152</v>
      </c>
    </row>
    <row r="707" spans="1:9" x14ac:dyDescent="0.35">
      <c r="A707" s="19">
        <v>45755</v>
      </c>
      <c r="B707" s="20"/>
      <c r="C707" s="20"/>
      <c r="D707" s="20">
        <v>50000</v>
      </c>
      <c r="E707" s="99" t="s">
        <v>502</v>
      </c>
      <c r="F707" s="20">
        <f t="shared" si="11"/>
        <v>95898036</v>
      </c>
      <c r="G707" s="7" t="s">
        <v>330</v>
      </c>
      <c r="H707" s="24" t="s">
        <v>109</v>
      </c>
      <c r="I707" s="32" t="s">
        <v>152</v>
      </c>
    </row>
    <row r="708" spans="1:9" x14ac:dyDescent="0.35">
      <c r="A708" s="19">
        <v>45755</v>
      </c>
      <c r="B708" s="20"/>
      <c r="C708" s="20"/>
      <c r="D708" s="20">
        <v>100000</v>
      </c>
      <c r="E708" s="99" t="s">
        <v>502</v>
      </c>
      <c r="F708" s="20">
        <f t="shared" si="11"/>
        <v>95998036</v>
      </c>
      <c r="G708" s="7" t="s">
        <v>330</v>
      </c>
      <c r="H708" s="24" t="s">
        <v>109</v>
      </c>
      <c r="I708" s="32" t="s">
        <v>152</v>
      </c>
    </row>
    <row r="709" spans="1:9" x14ac:dyDescent="0.35">
      <c r="A709" s="19">
        <v>45755</v>
      </c>
      <c r="B709" s="20"/>
      <c r="C709" s="20"/>
      <c r="D709" s="20">
        <v>25000</v>
      </c>
      <c r="E709" s="99" t="s">
        <v>502</v>
      </c>
      <c r="F709" s="20">
        <f t="shared" si="11"/>
        <v>96023036</v>
      </c>
      <c r="G709" s="7" t="s">
        <v>330</v>
      </c>
      <c r="H709" s="24" t="s">
        <v>109</v>
      </c>
      <c r="I709" s="32" t="s">
        <v>152</v>
      </c>
    </row>
    <row r="710" spans="1:9" x14ac:dyDescent="0.35">
      <c r="A710" s="19">
        <v>45755</v>
      </c>
      <c r="B710" s="20"/>
      <c r="C710" s="20"/>
      <c r="D710" s="20">
        <v>18000</v>
      </c>
      <c r="E710" s="99" t="s">
        <v>502</v>
      </c>
      <c r="F710" s="20">
        <f t="shared" si="11"/>
        <v>96041036</v>
      </c>
      <c r="G710" s="7" t="s">
        <v>330</v>
      </c>
      <c r="H710" s="24" t="s">
        <v>109</v>
      </c>
      <c r="I710" s="32" t="s">
        <v>152</v>
      </c>
    </row>
    <row r="711" spans="1:9" x14ac:dyDescent="0.35">
      <c r="A711" s="19">
        <v>45755</v>
      </c>
      <c r="B711" s="20"/>
      <c r="C711" s="20"/>
      <c r="D711" s="20">
        <v>30000</v>
      </c>
      <c r="E711" s="99" t="s">
        <v>502</v>
      </c>
      <c r="F711" s="20">
        <f t="shared" si="11"/>
        <v>96071036</v>
      </c>
      <c r="G711" s="7" t="s">
        <v>330</v>
      </c>
      <c r="H711" s="24" t="s">
        <v>109</v>
      </c>
      <c r="I711" s="32" t="s">
        <v>152</v>
      </c>
    </row>
    <row r="712" spans="1:9" x14ac:dyDescent="0.35">
      <c r="A712" s="19">
        <v>45755</v>
      </c>
      <c r="B712" s="20"/>
      <c r="C712" s="20"/>
      <c r="D712" s="20">
        <v>20000</v>
      </c>
      <c r="E712" s="99" t="s">
        <v>502</v>
      </c>
      <c r="F712" s="20">
        <f t="shared" si="11"/>
        <v>96091036</v>
      </c>
      <c r="G712" s="7" t="s">
        <v>330</v>
      </c>
      <c r="H712" s="24" t="s">
        <v>109</v>
      </c>
      <c r="I712" s="32" t="s">
        <v>152</v>
      </c>
    </row>
    <row r="713" spans="1:9" x14ac:dyDescent="0.35">
      <c r="A713" s="19">
        <v>45755</v>
      </c>
      <c r="B713" s="20"/>
      <c r="C713" s="20"/>
      <c r="D713" s="20">
        <v>1000000</v>
      </c>
      <c r="E713" s="99" t="s">
        <v>502</v>
      </c>
      <c r="F713" s="20">
        <f t="shared" si="11"/>
        <v>97091036</v>
      </c>
      <c r="G713" s="7" t="s">
        <v>330</v>
      </c>
      <c r="H713" s="24" t="s">
        <v>109</v>
      </c>
      <c r="I713" s="32" t="s">
        <v>152</v>
      </c>
    </row>
    <row r="714" spans="1:9" x14ac:dyDescent="0.35">
      <c r="A714" s="19">
        <v>45755</v>
      </c>
      <c r="B714" s="20"/>
      <c r="C714" s="20"/>
      <c r="D714" s="20">
        <v>10000</v>
      </c>
      <c r="E714" s="99" t="s">
        <v>502</v>
      </c>
      <c r="F714" s="20">
        <f t="shared" si="11"/>
        <v>97101036</v>
      </c>
      <c r="G714" s="7" t="s">
        <v>330</v>
      </c>
      <c r="H714" s="24" t="s">
        <v>109</v>
      </c>
      <c r="I714" s="32" t="s">
        <v>152</v>
      </c>
    </row>
    <row r="715" spans="1:9" x14ac:dyDescent="0.35">
      <c r="A715" s="19">
        <v>45755</v>
      </c>
      <c r="B715" s="20"/>
      <c r="C715" s="20"/>
      <c r="D715" s="20">
        <v>620000</v>
      </c>
      <c r="E715" s="99" t="s">
        <v>502</v>
      </c>
      <c r="F715" s="20">
        <f t="shared" si="11"/>
        <v>97721036</v>
      </c>
      <c r="G715" s="7" t="s">
        <v>503</v>
      </c>
      <c r="H715" s="24" t="s">
        <v>105</v>
      </c>
      <c r="I715" s="32" t="s">
        <v>152</v>
      </c>
    </row>
    <row r="716" spans="1:9" x14ac:dyDescent="0.35">
      <c r="A716" s="19">
        <v>45755</v>
      </c>
      <c r="B716" s="20"/>
      <c r="C716" s="20"/>
      <c r="D716" s="20">
        <v>50000</v>
      </c>
      <c r="E716" s="99" t="s">
        <v>502</v>
      </c>
      <c r="F716" s="20">
        <f t="shared" si="11"/>
        <v>97771036</v>
      </c>
      <c r="G716" s="7" t="s">
        <v>330</v>
      </c>
      <c r="H716" s="24" t="s">
        <v>109</v>
      </c>
      <c r="I716" s="32" t="s">
        <v>152</v>
      </c>
    </row>
    <row r="717" spans="1:9" x14ac:dyDescent="0.35">
      <c r="A717" s="19">
        <v>45755</v>
      </c>
      <c r="B717" s="20"/>
      <c r="C717" s="20"/>
      <c r="D717" s="20">
        <v>25000</v>
      </c>
      <c r="E717" s="99" t="s">
        <v>502</v>
      </c>
      <c r="F717" s="20">
        <f t="shared" si="11"/>
        <v>97796036</v>
      </c>
      <c r="G717" s="7" t="s">
        <v>330</v>
      </c>
      <c r="H717" s="24" t="s">
        <v>109</v>
      </c>
      <c r="I717" s="32" t="s">
        <v>152</v>
      </c>
    </row>
    <row r="718" spans="1:9" x14ac:dyDescent="0.35">
      <c r="A718" s="19">
        <v>45755</v>
      </c>
      <c r="B718" s="20"/>
      <c r="C718" s="20"/>
      <c r="D718" s="20">
        <v>150000</v>
      </c>
      <c r="E718" s="99" t="s">
        <v>502</v>
      </c>
      <c r="F718" s="20">
        <f t="shared" si="11"/>
        <v>97946036</v>
      </c>
      <c r="G718" s="7" t="s">
        <v>330</v>
      </c>
      <c r="H718" s="24" t="s">
        <v>109</v>
      </c>
      <c r="I718" s="32" t="s">
        <v>152</v>
      </c>
    </row>
    <row r="719" spans="1:9" x14ac:dyDescent="0.35">
      <c r="A719" s="19">
        <v>45755</v>
      </c>
      <c r="B719" s="20"/>
      <c r="C719" s="20"/>
      <c r="D719" s="20">
        <v>30000</v>
      </c>
      <c r="E719" s="99" t="s">
        <v>502</v>
      </c>
      <c r="F719" s="20">
        <f t="shared" si="11"/>
        <v>97976036</v>
      </c>
      <c r="G719" s="7" t="s">
        <v>330</v>
      </c>
      <c r="H719" s="24" t="s">
        <v>109</v>
      </c>
      <c r="I719" s="32" t="s">
        <v>152</v>
      </c>
    </row>
    <row r="720" spans="1:9" x14ac:dyDescent="0.35">
      <c r="A720" s="19">
        <v>45755</v>
      </c>
      <c r="B720" s="20"/>
      <c r="C720" s="20"/>
      <c r="D720" s="20">
        <v>10000</v>
      </c>
      <c r="E720" s="99" t="s">
        <v>502</v>
      </c>
      <c r="F720" s="20">
        <f t="shared" si="11"/>
        <v>97986036</v>
      </c>
      <c r="G720" s="7" t="s">
        <v>330</v>
      </c>
      <c r="H720" s="24" t="s">
        <v>109</v>
      </c>
      <c r="I720" s="32" t="s">
        <v>152</v>
      </c>
    </row>
    <row r="721" spans="1:9" x14ac:dyDescent="0.35">
      <c r="A721" s="19">
        <v>45755</v>
      </c>
      <c r="B721" s="20"/>
      <c r="C721" s="20"/>
      <c r="D721" s="20">
        <v>6000</v>
      </c>
      <c r="E721" s="99" t="s">
        <v>502</v>
      </c>
      <c r="F721" s="20">
        <f t="shared" si="11"/>
        <v>97992036</v>
      </c>
      <c r="G721" s="7" t="s">
        <v>330</v>
      </c>
      <c r="H721" s="24" t="s">
        <v>109</v>
      </c>
      <c r="I721" s="32" t="s">
        <v>152</v>
      </c>
    </row>
    <row r="722" spans="1:9" x14ac:dyDescent="0.35">
      <c r="A722" s="19">
        <v>45755</v>
      </c>
      <c r="B722" s="20"/>
      <c r="C722" s="20"/>
      <c r="D722" s="20">
        <v>50000</v>
      </c>
      <c r="E722" s="99" t="s">
        <v>502</v>
      </c>
      <c r="F722" s="20">
        <f t="shared" si="11"/>
        <v>98042036</v>
      </c>
      <c r="G722" s="7" t="s">
        <v>330</v>
      </c>
      <c r="H722" s="24" t="s">
        <v>109</v>
      </c>
      <c r="I722" s="32" t="s">
        <v>152</v>
      </c>
    </row>
    <row r="723" spans="1:9" x14ac:dyDescent="0.35">
      <c r="A723" s="19">
        <v>45755</v>
      </c>
      <c r="B723" s="20"/>
      <c r="C723" s="23"/>
      <c r="D723" s="23">
        <v>24000000</v>
      </c>
      <c r="E723" s="99" t="s">
        <v>502</v>
      </c>
      <c r="F723" s="20">
        <f t="shared" si="11"/>
        <v>122042036</v>
      </c>
      <c r="G723" s="7"/>
      <c r="H723" s="24" t="s">
        <v>105</v>
      </c>
      <c r="I723" s="32" t="s">
        <v>152</v>
      </c>
    </row>
    <row r="724" spans="1:9" x14ac:dyDescent="0.35">
      <c r="A724" s="19">
        <v>45755</v>
      </c>
      <c r="B724" s="20"/>
      <c r="C724" s="23"/>
      <c r="D724" s="23">
        <v>2040000</v>
      </c>
      <c r="E724" s="99" t="s">
        <v>502</v>
      </c>
      <c r="F724" s="20">
        <f t="shared" si="11"/>
        <v>124082036</v>
      </c>
      <c r="G724" s="7"/>
      <c r="H724" s="24" t="s">
        <v>109</v>
      </c>
      <c r="I724" s="32" t="s">
        <v>152</v>
      </c>
    </row>
    <row r="725" spans="1:9" x14ac:dyDescent="0.35">
      <c r="A725" s="19"/>
      <c r="B725" s="20"/>
      <c r="C725" s="23">
        <v>26040000</v>
      </c>
      <c r="D725" s="23"/>
      <c r="E725" s="99"/>
      <c r="F725" s="20">
        <f t="shared" si="11"/>
        <v>124082036</v>
      </c>
      <c r="G725" s="7" t="s">
        <v>507</v>
      </c>
      <c r="H725" s="24"/>
      <c r="I725" s="32"/>
    </row>
    <row r="726" spans="1:9" x14ac:dyDescent="0.35">
      <c r="A726" s="19">
        <v>45755</v>
      </c>
      <c r="B726" s="20"/>
      <c r="C726" s="20"/>
      <c r="D726" s="20">
        <v>20000000</v>
      </c>
      <c r="E726" s="99" t="s">
        <v>502</v>
      </c>
      <c r="F726" s="20">
        <f t="shared" si="11"/>
        <v>144082036</v>
      </c>
      <c r="G726" s="7" t="s">
        <v>504</v>
      </c>
      <c r="H726" s="24" t="s">
        <v>105</v>
      </c>
      <c r="I726" s="32" t="s">
        <v>152</v>
      </c>
    </row>
    <row r="727" spans="1:9" x14ac:dyDescent="0.35">
      <c r="A727" s="19">
        <v>45755</v>
      </c>
      <c r="B727" s="20"/>
      <c r="C727" s="20"/>
      <c r="D727" s="20">
        <v>500000</v>
      </c>
      <c r="E727" s="99" t="s">
        <v>502</v>
      </c>
      <c r="F727" s="20">
        <f t="shared" si="11"/>
        <v>144582036</v>
      </c>
      <c r="G727" s="7" t="s">
        <v>330</v>
      </c>
      <c r="H727" s="24" t="s">
        <v>109</v>
      </c>
      <c r="I727" s="32" t="s">
        <v>152</v>
      </c>
    </row>
    <row r="728" spans="1:9" x14ac:dyDescent="0.35">
      <c r="A728" s="19">
        <v>45755</v>
      </c>
      <c r="B728" s="20"/>
      <c r="C728" s="20"/>
      <c r="D728" s="20">
        <v>10000</v>
      </c>
      <c r="E728" s="99" t="s">
        <v>502</v>
      </c>
      <c r="F728" s="20">
        <f t="shared" si="11"/>
        <v>144592036</v>
      </c>
      <c r="G728" s="7" t="s">
        <v>330</v>
      </c>
      <c r="H728" s="24" t="s">
        <v>109</v>
      </c>
      <c r="I728" s="32" t="s">
        <v>152</v>
      </c>
    </row>
    <row r="729" spans="1:9" x14ac:dyDescent="0.35">
      <c r="A729" s="19">
        <v>45755</v>
      </c>
      <c r="B729" s="20"/>
      <c r="C729" s="20"/>
      <c r="D729" s="20">
        <v>10000</v>
      </c>
      <c r="E729" s="99" t="s">
        <v>502</v>
      </c>
      <c r="F729" s="20">
        <f t="shared" si="11"/>
        <v>144602036</v>
      </c>
      <c r="G729" s="7" t="s">
        <v>330</v>
      </c>
      <c r="H729" s="24" t="s">
        <v>109</v>
      </c>
      <c r="I729" s="32" t="s">
        <v>152</v>
      </c>
    </row>
    <row r="730" spans="1:9" x14ac:dyDescent="0.35">
      <c r="A730" s="19">
        <v>45755</v>
      </c>
      <c r="B730" s="20"/>
      <c r="C730" s="20"/>
      <c r="D730" s="20">
        <v>50000</v>
      </c>
      <c r="E730" s="99" t="s">
        <v>502</v>
      </c>
      <c r="F730" s="20">
        <f t="shared" si="11"/>
        <v>144652036</v>
      </c>
      <c r="G730" s="7" t="s">
        <v>330</v>
      </c>
      <c r="H730" s="24" t="s">
        <v>109</v>
      </c>
      <c r="I730" s="32" t="s">
        <v>152</v>
      </c>
    </row>
    <row r="731" spans="1:9" x14ac:dyDescent="0.35">
      <c r="A731" s="19">
        <v>45755</v>
      </c>
      <c r="B731" s="20"/>
      <c r="C731" s="20"/>
      <c r="D731" s="20">
        <v>50000</v>
      </c>
      <c r="E731" s="99" t="s">
        <v>502</v>
      </c>
      <c r="F731" s="20">
        <f t="shared" si="11"/>
        <v>144702036</v>
      </c>
      <c r="G731" s="7" t="s">
        <v>330</v>
      </c>
      <c r="H731" s="24" t="s">
        <v>109</v>
      </c>
      <c r="I731" s="32" t="s">
        <v>152</v>
      </c>
    </row>
    <row r="732" spans="1:9" x14ac:dyDescent="0.35">
      <c r="A732" s="19">
        <v>45755</v>
      </c>
      <c r="B732" s="20"/>
      <c r="C732" s="20"/>
      <c r="D732" s="20">
        <v>100000</v>
      </c>
      <c r="E732" s="99" t="s">
        <v>502</v>
      </c>
      <c r="F732" s="20">
        <f t="shared" si="11"/>
        <v>144802036</v>
      </c>
      <c r="G732" s="7" t="s">
        <v>330</v>
      </c>
      <c r="H732" s="24" t="s">
        <v>109</v>
      </c>
      <c r="I732" s="32" t="s">
        <v>152</v>
      </c>
    </row>
    <row r="733" spans="1:9" x14ac:dyDescent="0.35">
      <c r="A733" s="19">
        <v>45755</v>
      </c>
      <c r="B733" s="20"/>
      <c r="C733" s="20"/>
      <c r="D733" s="20">
        <v>20000</v>
      </c>
      <c r="E733" s="99" t="s">
        <v>502</v>
      </c>
      <c r="F733" s="20">
        <f t="shared" si="11"/>
        <v>144822036</v>
      </c>
      <c r="G733" s="7" t="s">
        <v>330</v>
      </c>
      <c r="H733" s="24" t="s">
        <v>109</v>
      </c>
      <c r="I733" s="32" t="s">
        <v>152</v>
      </c>
    </row>
    <row r="734" spans="1:9" x14ac:dyDescent="0.35">
      <c r="A734" s="19">
        <v>45755</v>
      </c>
      <c r="B734" s="20"/>
      <c r="C734" s="20"/>
      <c r="D734" s="20">
        <v>20000</v>
      </c>
      <c r="E734" s="99" t="s">
        <v>502</v>
      </c>
      <c r="F734" s="20">
        <f t="shared" si="11"/>
        <v>144842036</v>
      </c>
      <c r="G734" s="7" t="s">
        <v>330</v>
      </c>
      <c r="H734" s="24" t="s">
        <v>109</v>
      </c>
      <c r="I734" s="32" t="s">
        <v>152</v>
      </c>
    </row>
    <row r="735" spans="1:9" x14ac:dyDescent="0.35">
      <c r="A735" s="19">
        <v>45755</v>
      </c>
      <c r="B735" s="20"/>
      <c r="C735" s="20"/>
      <c r="D735" s="20">
        <v>10000</v>
      </c>
      <c r="E735" s="99" t="s">
        <v>502</v>
      </c>
      <c r="F735" s="20">
        <f t="shared" si="11"/>
        <v>144852036</v>
      </c>
      <c r="G735" s="7" t="s">
        <v>330</v>
      </c>
      <c r="H735" s="24" t="s">
        <v>109</v>
      </c>
      <c r="I735" s="32" t="s">
        <v>152</v>
      </c>
    </row>
    <row r="736" spans="1:9" x14ac:dyDescent="0.35">
      <c r="A736" s="19">
        <v>45755</v>
      </c>
      <c r="B736" s="20"/>
      <c r="C736" s="20"/>
      <c r="D736" s="20">
        <v>10000000</v>
      </c>
      <c r="E736" s="99" t="s">
        <v>502</v>
      </c>
      <c r="F736" s="20">
        <f t="shared" si="11"/>
        <v>154852036</v>
      </c>
      <c r="G736" s="7" t="s">
        <v>505</v>
      </c>
      <c r="H736" s="24" t="s">
        <v>105</v>
      </c>
      <c r="I736" s="32" t="s">
        <v>152</v>
      </c>
    </row>
    <row r="737" spans="1:9" x14ac:dyDescent="0.35">
      <c r="A737" s="19">
        <v>45755</v>
      </c>
      <c r="B737" s="20"/>
      <c r="C737" s="20"/>
      <c r="D737" s="20">
        <v>250000</v>
      </c>
      <c r="E737" s="99" t="s">
        <v>502</v>
      </c>
      <c r="F737" s="20">
        <f t="shared" si="11"/>
        <v>155102036</v>
      </c>
      <c r="G737" s="7" t="s">
        <v>330</v>
      </c>
      <c r="H737" s="24" t="s">
        <v>109</v>
      </c>
      <c r="I737" s="32" t="s">
        <v>152</v>
      </c>
    </row>
    <row r="738" spans="1:9" x14ac:dyDescent="0.35">
      <c r="A738" s="19">
        <v>45755</v>
      </c>
      <c r="B738" s="20"/>
      <c r="C738" s="20"/>
      <c r="D738" s="20">
        <v>50000</v>
      </c>
      <c r="E738" s="99" t="s">
        <v>502</v>
      </c>
      <c r="F738" s="20">
        <f t="shared" si="11"/>
        <v>155152036</v>
      </c>
      <c r="G738" s="7" t="s">
        <v>330</v>
      </c>
      <c r="H738" s="24" t="s">
        <v>109</v>
      </c>
      <c r="I738" s="32" t="s">
        <v>152</v>
      </c>
    </row>
    <row r="739" spans="1:9" x14ac:dyDescent="0.35">
      <c r="A739" s="19">
        <v>45755</v>
      </c>
      <c r="B739" s="20"/>
      <c r="C739" s="20"/>
      <c r="D739" s="20">
        <v>10000</v>
      </c>
      <c r="E739" s="99" t="s">
        <v>502</v>
      </c>
      <c r="F739" s="20">
        <f t="shared" si="11"/>
        <v>155162036</v>
      </c>
      <c r="G739" s="7" t="s">
        <v>330</v>
      </c>
      <c r="H739" s="24" t="s">
        <v>109</v>
      </c>
      <c r="I739" s="32" t="s">
        <v>152</v>
      </c>
    </row>
    <row r="740" spans="1:9" x14ac:dyDescent="0.35">
      <c r="A740" s="19">
        <v>45755</v>
      </c>
      <c r="B740" s="20"/>
      <c r="C740" s="20"/>
      <c r="D740" s="20">
        <v>20000</v>
      </c>
      <c r="E740" s="99" t="s">
        <v>502</v>
      </c>
      <c r="F740" s="20">
        <f t="shared" si="11"/>
        <v>155182036</v>
      </c>
      <c r="G740" s="7" t="s">
        <v>330</v>
      </c>
      <c r="H740" s="24" t="s">
        <v>109</v>
      </c>
      <c r="I740" s="32" t="s">
        <v>152</v>
      </c>
    </row>
    <row r="741" spans="1:9" x14ac:dyDescent="0.35">
      <c r="A741" s="19">
        <v>45755</v>
      </c>
      <c r="B741" s="20"/>
      <c r="C741" s="20"/>
      <c r="D741" s="20">
        <v>50000</v>
      </c>
      <c r="E741" s="99" t="s">
        <v>502</v>
      </c>
      <c r="F741" s="20">
        <f t="shared" si="11"/>
        <v>155232036</v>
      </c>
      <c r="G741" s="7" t="s">
        <v>330</v>
      </c>
      <c r="H741" s="24" t="s">
        <v>109</v>
      </c>
      <c r="I741" s="32" t="s">
        <v>152</v>
      </c>
    </row>
    <row r="742" spans="1:9" x14ac:dyDescent="0.35">
      <c r="A742" s="19">
        <v>45755</v>
      </c>
      <c r="B742" s="20"/>
      <c r="C742" s="20"/>
      <c r="D742" s="20">
        <v>5000</v>
      </c>
      <c r="E742" s="99" t="s">
        <v>502</v>
      </c>
      <c r="F742" s="20">
        <f t="shared" si="11"/>
        <v>155237036</v>
      </c>
      <c r="G742" s="7" t="s">
        <v>330</v>
      </c>
      <c r="H742" s="24" t="s">
        <v>109</v>
      </c>
      <c r="I742" s="32" t="s">
        <v>152</v>
      </c>
    </row>
    <row r="743" spans="1:9" x14ac:dyDescent="0.35">
      <c r="A743" s="19">
        <v>45755</v>
      </c>
      <c r="B743" s="20"/>
      <c r="C743" s="20"/>
      <c r="D743" s="20">
        <v>10000</v>
      </c>
      <c r="E743" s="99" t="s">
        <v>502</v>
      </c>
      <c r="F743" s="20">
        <f t="shared" si="11"/>
        <v>155247036</v>
      </c>
      <c r="G743" s="7" t="s">
        <v>330</v>
      </c>
      <c r="H743" s="24" t="s">
        <v>109</v>
      </c>
      <c r="I743" s="32" t="s">
        <v>152</v>
      </c>
    </row>
    <row r="744" spans="1:9" x14ac:dyDescent="0.35">
      <c r="A744" s="19">
        <v>45755</v>
      </c>
      <c r="B744" s="20"/>
      <c r="C744" s="20"/>
      <c r="D744" s="20">
        <v>10000</v>
      </c>
      <c r="E744" s="99" t="s">
        <v>502</v>
      </c>
      <c r="F744" s="20">
        <f t="shared" si="11"/>
        <v>155257036</v>
      </c>
      <c r="G744" s="7" t="s">
        <v>330</v>
      </c>
      <c r="H744" s="24" t="s">
        <v>109</v>
      </c>
      <c r="I744" s="32" t="s">
        <v>152</v>
      </c>
    </row>
    <row r="745" spans="1:9" x14ac:dyDescent="0.35">
      <c r="A745" s="19">
        <v>45755</v>
      </c>
      <c r="B745" s="20"/>
      <c r="C745" s="20"/>
      <c r="D745" s="20">
        <v>200000</v>
      </c>
      <c r="E745" s="99" t="s">
        <v>502</v>
      </c>
      <c r="F745" s="20">
        <f t="shared" si="11"/>
        <v>155457036</v>
      </c>
      <c r="G745" s="7" t="s">
        <v>330</v>
      </c>
      <c r="H745" s="24" t="s">
        <v>109</v>
      </c>
      <c r="I745" s="32" t="s">
        <v>152</v>
      </c>
    </row>
    <row r="746" spans="1:9" x14ac:dyDescent="0.35">
      <c r="A746" s="19">
        <v>45755</v>
      </c>
      <c r="B746" s="20"/>
      <c r="C746" s="20"/>
      <c r="D746" s="20">
        <v>200000</v>
      </c>
      <c r="E746" s="99" t="s">
        <v>502</v>
      </c>
      <c r="F746" s="20">
        <f t="shared" si="11"/>
        <v>155657036</v>
      </c>
      <c r="G746" s="7" t="s">
        <v>330</v>
      </c>
      <c r="H746" s="24" t="s">
        <v>109</v>
      </c>
      <c r="I746" s="32" t="s">
        <v>152</v>
      </c>
    </row>
    <row r="747" spans="1:9" x14ac:dyDescent="0.35">
      <c r="A747" s="19">
        <v>45755</v>
      </c>
      <c r="B747" s="20"/>
      <c r="C747" s="20"/>
      <c r="D747" s="20">
        <v>10000</v>
      </c>
      <c r="E747" s="99" t="s">
        <v>502</v>
      </c>
      <c r="F747" s="20">
        <f t="shared" si="11"/>
        <v>155667036</v>
      </c>
      <c r="G747" s="7" t="s">
        <v>330</v>
      </c>
      <c r="H747" s="24" t="s">
        <v>109</v>
      </c>
      <c r="I747" s="32" t="s">
        <v>152</v>
      </c>
    </row>
    <row r="748" spans="1:9" x14ac:dyDescent="0.35">
      <c r="A748" s="19">
        <v>45755</v>
      </c>
      <c r="B748" s="20"/>
      <c r="C748" s="20"/>
      <c r="D748" s="20">
        <v>20000</v>
      </c>
      <c r="E748" s="99" t="s">
        <v>508</v>
      </c>
      <c r="F748" s="20">
        <f t="shared" si="11"/>
        <v>155687036</v>
      </c>
      <c r="G748" s="7" t="s">
        <v>330</v>
      </c>
      <c r="H748" s="24" t="s">
        <v>109</v>
      </c>
      <c r="I748" s="32" t="s">
        <v>152</v>
      </c>
    </row>
    <row r="749" spans="1:9" x14ac:dyDescent="0.35">
      <c r="A749" s="19">
        <v>45755</v>
      </c>
      <c r="B749" s="20"/>
      <c r="C749" s="20"/>
      <c r="D749" s="20">
        <v>5700</v>
      </c>
      <c r="E749" s="99" t="s">
        <v>508</v>
      </c>
      <c r="F749" s="20">
        <f t="shared" si="11"/>
        <v>155692736</v>
      </c>
      <c r="G749" s="7" t="s">
        <v>330</v>
      </c>
      <c r="H749" s="24" t="s">
        <v>109</v>
      </c>
      <c r="I749" s="32" t="s">
        <v>152</v>
      </c>
    </row>
    <row r="750" spans="1:9" x14ac:dyDescent="0.35">
      <c r="A750" s="19">
        <v>45755</v>
      </c>
      <c r="B750" s="20"/>
      <c r="C750" s="20"/>
      <c r="D750" s="20">
        <v>400000</v>
      </c>
      <c r="E750" s="99" t="s">
        <v>508</v>
      </c>
      <c r="F750" s="20">
        <f t="shared" si="11"/>
        <v>156092736</v>
      </c>
      <c r="G750" s="7" t="s">
        <v>515</v>
      </c>
      <c r="H750" s="24" t="s">
        <v>109</v>
      </c>
      <c r="I750" s="32" t="s">
        <v>152</v>
      </c>
    </row>
    <row r="751" spans="1:9" x14ac:dyDescent="0.35">
      <c r="A751" s="19">
        <v>45755</v>
      </c>
      <c r="B751" s="20"/>
      <c r="C751" s="20"/>
      <c r="D751" s="20">
        <v>20000</v>
      </c>
      <c r="E751" s="99" t="s">
        <v>508</v>
      </c>
      <c r="F751" s="20">
        <f t="shared" si="11"/>
        <v>156112736</v>
      </c>
      <c r="G751" s="7" t="s">
        <v>330</v>
      </c>
      <c r="H751" s="24" t="s">
        <v>109</v>
      </c>
      <c r="I751" s="32" t="s">
        <v>152</v>
      </c>
    </row>
    <row r="752" spans="1:9" x14ac:dyDescent="0.35">
      <c r="A752" s="19">
        <v>45755</v>
      </c>
      <c r="B752" s="20"/>
      <c r="C752" s="20"/>
      <c r="D752" s="20">
        <v>5700</v>
      </c>
      <c r="E752" s="99" t="s">
        <v>508</v>
      </c>
      <c r="F752" s="20">
        <f t="shared" si="11"/>
        <v>156118436</v>
      </c>
      <c r="G752" s="7" t="s">
        <v>330</v>
      </c>
      <c r="H752" s="24" t="s">
        <v>109</v>
      </c>
      <c r="I752" s="32" t="s">
        <v>152</v>
      </c>
    </row>
    <row r="753" spans="1:9" x14ac:dyDescent="0.35">
      <c r="A753" s="19">
        <v>45755</v>
      </c>
      <c r="B753" s="20"/>
      <c r="C753" s="20"/>
      <c r="D753" s="20">
        <v>100000</v>
      </c>
      <c r="E753" s="99" t="s">
        <v>508</v>
      </c>
      <c r="F753" s="20">
        <f t="shared" si="11"/>
        <v>156218436</v>
      </c>
      <c r="G753" s="7" t="s">
        <v>516</v>
      </c>
      <c r="H753" s="24" t="s">
        <v>109</v>
      </c>
      <c r="I753" s="32" t="s">
        <v>152</v>
      </c>
    </row>
    <row r="754" spans="1:9" x14ac:dyDescent="0.35">
      <c r="A754" s="19">
        <v>45755</v>
      </c>
      <c r="B754" s="20"/>
      <c r="C754" s="20"/>
      <c r="D754" s="20">
        <v>150000</v>
      </c>
      <c r="E754" s="99" t="s">
        <v>508</v>
      </c>
      <c r="F754" s="20">
        <f t="shared" si="11"/>
        <v>156368436</v>
      </c>
      <c r="G754" s="7" t="s">
        <v>517</v>
      </c>
      <c r="H754" s="24" t="s">
        <v>109</v>
      </c>
      <c r="I754" s="32" t="s">
        <v>152</v>
      </c>
    </row>
    <row r="755" spans="1:9" x14ac:dyDescent="0.35">
      <c r="A755" s="19">
        <v>45755</v>
      </c>
      <c r="B755" s="20"/>
      <c r="C755" s="20"/>
      <c r="D755" s="20">
        <v>4816</v>
      </c>
      <c r="E755" s="99" t="s">
        <v>508</v>
      </c>
      <c r="F755" s="20">
        <f t="shared" si="11"/>
        <v>156373252</v>
      </c>
      <c r="G755" s="7" t="s">
        <v>330</v>
      </c>
      <c r="H755" s="24" t="s">
        <v>109</v>
      </c>
      <c r="I755" s="32" t="s">
        <v>152</v>
      </c>
    </row>
    <row r="756" spans="1:9" x14ac:dyDescent="0.35">
      <c r="A756" s="19">
        <v>45755</v>
      </c>
      <c r="B756" s="20"/>
      <c r="C756" s="20"/>
      <c r="D756" s="20">
        <v>10000</v>
      </c>
      <c r="E756" s="99" t="s">
        <v>508</v>
      </c>
      <c r="F756" s="20">
        <f t="shared" si="11"/>
        <v>156383252</v>
      </c>
      <c r="G756" s="7" t="s">
        <v>330</v>
      </c>
      <c r="H756" s="24" t="s">
        <v>109</v>
      </c>
      <c r="I756" s="32" t="s">
        <v>152</v>
      </c>
    </row>
    <row r="757" spans="1:9" x14ac:dyDescent="0.35">
      <c r="A757" s="19">
        <v>45755</v>
      </c>
      <c r="B757" s="20"/>
      <c r="C757" s="20"/>
      <c r="D757" s="20">
        <v>2308</v>
      </c>
      <c r="E757" s="99" t="s">
        <v>508</v>
      </c>
      <c r="F757" s="20">
        <f t="shared" si="11"/>
        <v>156385560</v>
      </c>
      <c r="G757" s="7" t="s">
        <v>330</v>
      </c>
      <c r="H757" s="24" t="s">
        <v>109</v>
      </c>
      <c r="I757" s="32" t="s">
        <v>152</v>
      </c>
    </row>
    <row r="758" spans="1:9" x14ac:dyDescent="0.35">
      <c r="A758" s="19">
        <v>45755</v>
      </c>
      <c r="B758" s="20">
        <v>20000</v>
      </c>
      <c r="C758" s="20"/>
      <c r="D758" s="20"/>
      <c r="E758" s="99" t="s">
        <v>508</v>
      </c>
      <c r="F758" s="20">
        <f t="shared" si="11"/>
        <v>156365560</v>
      </c>
      <c r="G758" s="7" t="s">
        <v>330</v>
      </c>
      <c r="H758" s="24" t="s">
        <v>320</v>
      </c>
      <c r="I758" s="32" t="s">
        <v>152</v>
      </c>
    </row>
    <row r="759" spans="1:9" x14ac:dyDescent="0.35">
      <c r="A759" s="19">
        <v>45755</v>
      </c>
      <c r="B759" s="20">
        <v>5700</v>
      </c>
      <c r="C759" s="20"/>
      <c r="D759" s="20"/>
      <c r="E759" s="99" t="s">
        <v>508</v>
      </c>
      <c r="F759" s="20">
        <f t="shared" si="11"/>
        <v>156359860</v>
      </c>
      <c r="G759" s="7" t="s">
        <v>330</v>
      </c>
      <c r="H759" s="24" t="s">
        <v>320</v>
      </c>
      <c r="I759" s="32" t="s">
        <v>152</v>
      </c>
    </row>
    <row r="760" spans="1:9" x14ac:dyDescent="0.35">
      <c r="A760" s="19">
        <v>45755</v>
      </c>
      <c r="B760" s="20"/>
      <c r="C760" s="20"/>
      <c r="D760" s="20">
        <v>25000</v>
      </c>
      <c r="E760" s="99" t="s">
        <v>508</v>
      </c>
      <c r="F760" s="20">
        <f t="shared" si="11"/>
        <v>156384860</v>
      </c>
      <c r="G760" s="7" t="s">
        <v>330</v>
      </c>
      <c r="H760" s="24" t="s">
        <v>109</v>
      </c>
      <c r="I760" s="32" t="s">
        <v>152</v>
      </c>
    </row>
    <row r="761" spans="1:9" x14ac:dyDescent="0.35">
      <c r="A761" s="19">
        <v>45755</v>
      </c>
      <c r="B761" s="20"/>
      <c r="C761" s="20"/>
      <c r="D761" s="20">
        <v>10000</v>
      </c>
      <c r="E761" s="99" t="s">
        <v>508</v>
      </c>
      <c r="F761" s="20">
        <f t="shared" si="11"/>
        <v>156394860</v>
      </c>
      <c r="G761" s="7" t="s">
        <v>330</v>
      </c>
      <c r="H761" s="24" t="s">
        <v>109</v>
      </c>
      <c r="I761" s="32" t="s">
        <v>152</v>
      </c>
    </row>
    <row r="762" spans="1:9" x14ac:dyDescent="0.35">
      <c r="A762" s="19">
        <v>45755</v>
      </c>
      <c r="B762" s="20"/>
      <c r="C762" s="20"/>
      <c r="D762" s="20">
        <v>20000</v>
      </c>
      <c r="E762" s="99" t="s">
        <v>508</v>
      </c>
      <c r="F762" s="20">
        <f t="shared" si="11"/>
        <v>156414860</v>
      </c>
      <c r="G762" s="7" t="s">
        <v>330</v>
      </c>
      <c r="H762" s="24" t="s">
        <v>109</v>
      </c>
      <c r="I762" s="32" t="s">
        <v>152</v>
      </c>
    </row>
    <row r="763" spans="1:9" x14ac:dyDescent="0.35">
      <c r="A763" s="19">
        <v>45755</v>
      </c>
      <c r="B763" s="20"/>
      <c r="C763" s="20"/>
      <c r="D763" s="20">
        <v>25000</v>
      </c>
      <c r="E763" s="99" t="s">
        <v>508</v>
      </c>
      <c r="F763" s="20">
        <f t="shared" si="11"/>
        <v>156439860</v>
      </c>
      <c r="G763" s="7" t="s">
        <v>330</v>
      </c>
      <c r="H763" s="24" t="s">
        <v>109</v>
      </c>
      <c r="I763" s="32" t="s">
        <v>152</v>
      </c>
    </row>
    <row r="764" spans="1:9" x14ac:dyDescent="0.35">
      <c r="A764" s="19">
        <v>45755</v>
      </c>
      <c r="B764" s="20"/>
      <c r="C764" s="20"/>
      <c r="D764" s="20">
        <v>100000</v>
      </c>
      <c r="E764" s="99" t="s">
        <v>508</v>
      </c>
      <c r="F764" s="20">
        <f t="shared" ref="F764:F829" si="12">+F763+D764-B764</f>
        <v>156539860</v>
      </c>
      <c r="G764" s="7" t="s">
        <v>330</v>
      </c>
      <c r="H764" s="24" t="s">
        <v>109</v>
      </c>
      <c r="I764" s="32" t="s">
        <v>152</v>
      </c>
    </row>
    <row r="765" spans="1:9" x14ac:dyDescent="0.35">
      <c r="A765" s="19">
        <v>45755</v>
      </c>
      <c r="B765" s="20"/>
      <c r="C765" s="20"/>
      <c r="D765" s="20">
        <v>22000</v>
      </c>
      <c r="E765" s="99" t="s">
        <v>508</v>
      </c>
      <c r="F765" s="20">
        <f t="shared" si="12"/>
        <v>156561860</v>
      </c>
      <c r="G765" s="7" t="s">
        <v>330</v>
      </c>
      <c r="H765" s="24" t="s">
        <v>109</v>
      </c>
      <c r="I765" s="32" t="s">
        <v>152</v>
      </c>
    </row>
    <row r="766" spans="1:9" x14ac:dyDescent="0.35">
      <c r="A766" s="19">
        <v>45757</v>
      </c>
      <c r="B766" s="20">
        <v>2000000</v>
      </c>
      <c r="C766" s="20"/>
      <c r="D766" s="20"/>
      <c r="E766" s="99" t="s">
        <v>508</v>
      </c>
      <c r="F766" s="20">
        <f t="shared" si="12"/>
        <v>154561860</v>
      </c>
      <c r="G766" s="7" t="s">
        <v>518</v>
      </c>
      <c r="H766" s="24" t="s">
        <v>323</v>
      </c>
      <c r="I766" s="32" t="s">
        <v>152</v>
      </c>
    </row>
    <row r="767" spans="1:9" x14ac:dyDescent="0.35">
      <c r="A767" s="19">
        <v>45757</v>
      </c>
      <c r="B767" s="20">
        <v>2900</v>
      </c>
      <c r="C767" s="20"/>
      <c r="D767" s="20"/>
      <c r="E767" s="99" t="s">
        <v>508</v>
      </c>
      <c r="F767" s="20">
        <f t="shared" si="12"/>
        <v>154558960</v>
      </c>
      <c r="G767" s="7" t="s">
        <v>519</v>
      </c>
      <c r="H767" s="24" t="s">
        <v>323</v>
      </c>
      <c r="I767" s="32" t="s">
        <v>152</v>
      </c>
    </row>
    <row r="768" spans="1:9" x14ac:dyDescent="0.35">
      <c r="A768" s="19">
        <v>45757</v>
      </c>
      <c r="B768" s="20"/>
      <c r="C768" s="20"/>
      <c r="D768" s="20">
        <v>17785500</v>
      </c>
      <c r="E768" s="99" t="s">
        <v>502</v>
      </c>
      <c r="F768" s="20">
        <f t="shared" si="12"/>
        <v>172344460</v>
      </c>
      <c r="G768" s="7" t="s">
        <v>520</v>
      </c>
      <c r="H768" s="24" t="s">
        <v>109</v>
      </c>
      <c r="I768" s="32" t="s">
        <v>152</v>
      </c>
    </row>
    <row r="769" spans="1:9" x14ac:dyDescent="0.35">
      <c r="A769" s="19">
        <v>45758</v>
      </c>
      <c r="B769" s="20"/>
      <c r="C769" s="20"/>
      <c r="D769" s="20">
        <v>100000</v>
      </c>
      <c r="E769" s="99" t="s">
        <v>508</v>
      </c>
      <c r="F769" s="20">
        <f t="shared" si="12"/>
        <v>172444460</v>
      </c>
      <c r="G769" s="7" t="s">
        <v>330</v>
      </c>
      <c r="H769" s="24" t="s">
        <v>109</v>
      </c>
      <c r="I769" s="32" t="s">
        <v>152</v>
      </c>
    </row>
    <row r="770" spans="1:9" x14ac:dyDescent="0.35">
      <c r="A770" s="19">
        <v>45758</v>
      </c>
      <c r="B770" s="20"/>
      <c r="C770" s="20"/>
      <c r="D770" s="20">
        <v>2000000</v>
      </c>
      <c r="E770" s="99" t="s">
        <v>508</v>
      </c>
      <c r="F770" s="20">
        <f t="shared" si="12"/>
        <v>174444460</v>
      </c>
      <c r="G770" s="7" t="s">
        <v>522</v>
      </c>
      <c r="H770" s="24" t="s">
        <v>109</v>
      </c>
      <c r="I770" s="32" t="s">
        <v>152</v>
      </c>
    </row>
    <row r="771" spans="1:9" x14ac:dyDescent="0.35">
      <c r="A771" s="19">
        <v>45758</v>
      </c>
      <c r="B771" s="20">
        <v>5250000</v>
      </c>
      <c r="C771" s="20"/>
      <c r="D771" s="20"/>
      <c r="E771" s="99" t="s">
        <v>508</v>
      </c>
      <c r="F771" s="20">
        <f t="shared" si="12"/>
        <v>169194460</v>
      </c>
      <c r="G771" s="7" t="s">
        <v>523</v>
      </c>
      <c r="H771" s="24" t="s">
        <v>322</v>
      </c>
      <c r="I771" s="32" t="s">
        <v>152</v>
      </c>
    </row>
    <row r="772" spans="1:9" x14ac:dyDescent="0.35">
      <c r="A772" s="19">
        <v>45758</v>
      </c>
      <c r="B772" s="20">
        <v>2900</v>
      </c>
      <c r="C772" s="20"/>
      <c r="D772" s="20"/>
      <c r="E772" s="99" t="s">
        <v>508</v>
      </c>
      <c r="F772" s="20">
        <f t="shared" si="12"/>
        <v>169191560</v>
      </c>
      <c r="G772" s="7" t="s">
        <v>524</v>
      </c>
      <c r="H772" s="24" t="s">
        <v>322</v>
      </c>
      <c r="I772" s="32" t="s">
        <v>152</v>
      </c>
    </row>
    <row r="773" spans="1:9" x14ac:dyDescent="0.35">
      <c r="A773" s="19">
        <v>45758</v>
      </c>
      <c r="B773" s="20"/>
      <c r="C773" s="20"/>
      <c r="D773" s="20">
        <v>1000000</v>
      </c>
      <c r="E773" s="99" t="s">
        <v>525</v>
      </c>
      <c r="F773" s="20">
        <f t="shared" si="12"/>
        <v>170191560</v>
      </c>
      <c r="G773" s="7" t="s">
        <v>526</v>
      </c>
      <c r="H773" s="24" t="s">
        <v>109</v>
      </c>
      <c r="I773" s="32" t="s">
        <v>152</v>
      </c>
    </row>
    <row r="774" spans="1:9" x14ac:dyDescent="0.35">
      <c r="A774" s="19">
        <v>45758</v>
      </c>
      <c r="B774" s="20"/>
      <c r="C774" s="20"/>
      <c r="D774" s="20">
        <v>66500</v>
      </c>
      <c r="E774" s="99" t="s">
        <v>525</v>
      </c>
      <c r="F774" s="20">
        <f t="shared" si="12"/>
        <v>170258060</v>
      </c>
      <c r="G774" s="7" t="s">
        <v>527</v>
      </c>
      <c r="H774" s="24" t="s">
        <v>109</v>
      </c>
      <c r="I774" s="32" t="s">
        <v>152</v>
      </c>
    </row>
    <row r="775" spans="1:9" x14ac:dyDescent="0.35">
      <c r="A775" s="19">
        <v>45761</v>
      </c>
      <c r="B775" s="20"/>
      <c r="C775" s="20"/>
      <c r="D775" s="20">
        <v>25000</v>
      </c>
      <c r="E775" s="99" t="s">
        <v>525</v>
      </c>
      <c r="F775" s="20">
        <f t="shared" si="12"/>
        <v>170283060</v>
      </c>
      <c r="G775" s="7" t="s">
        <v>330</v>
      </c>
      <c r="H775" s="24" t="s">
        <v>109</v>
      </c>
      <c r="I775" s="32" t="s">
        <v>152</v>
      </c>
    </row>
    <row r="776" spans="1:9" x14ac:dyDescent="0.35">
      <c r="A776" s="19">
        <v>45761</v>
      </c>
      <c r="B776" s="20"/>
      <c r="C776" s="20"/>
      <c r="D776" s="20">
        <v>100000</v>
      </c>
      <c r="E776" s="99" t="s">
        <v>525</v>
      </c>
      <c r="F776" s="20">
        <f t="shared" si="12"/>
        <v>170383060</v>
      </c>
      <c r="G776" s="7" t="s">
        <v>330</v>
      </c>
      <c r="H776" s="24" t="s">
        <v>109</v>
      </c>
      <c r="I776" s="32" t="s">
        <v>152</v>
      </c>
    </row>
    <row r="777" spans="1:9" x14ac:dyDescent="0.35">
      <c r="A777" s="19">
        <v>45761</v>
      </c>
      <c r="B777" s="20"/>
      <c r="C777" s="20"/>
      <c r="D777" s="20">
        <v>25000</v>
      </c>
      <c r="E777" s="99" t="s">
        <v>525</v>
      </c>
      <c r="F777" s="20">
        <f t="shared" si="12"/>
        <v>170408060</v>
      </c>
      <c r="G777" s="7" t="s">
        <v>330</v>
      </c>
      <c r="H777" s="24" t="s">
        <v>109</v>
      </c>
      <c r="I777" s="32" t="s">
        <v>152</v>
      </c>
    </row>
    <row r="778" spans="1:9" x14ac:dyDescent="0.35">
      <c r="A778" s="19">
        <v>45761</v>
      </c>
      <c r="B778" s="20"/>
      <c r="C778" s="20"/>
      <c r="D778" s="20">
        <v>50000</v>
      </c>
      <c r="E778" s="99" t="s">
        <v>525</v>
      </c>
      <c r="F778" s="20">
        <f t="shared" si="12"/>
        <v>170458060</v>
      </c>
      <c r="G778" s="7" t="s">
        <v>330</v>
      </c>
      <c r="H778" s="24" t="s">
        <v>109</v>
      </c>
      <c r="I778" s="32" t="s">
        <v>152</v>
      </c>
    </row>
    <row r="779" spans="1:9" x14ac:dyDescent="0.35">
      <c r="A779" s="19">
        <v>45761</v>
      </c>
      <c r="B779" s="20"/>
      <c r="C779" s="20"/>
      <c r="D779" s="20">
        <v>10000</v>
      </c>
      <c r="E779" s="99" t="s">
        <v>525</v>
      </c>
      <c r="F779" s="20">
        <f t="shared" si="12"/>
        <v>170468060</v>
      </c>
      <c r="G779" s="7" t="s">
        <v>330</v>
      </c>
      <c r="H779" s="24" t="s">
        <v>109</v>
      </c>
      <c r="I779" s="32" t="s">
        <v>152</v>
      </c>
    </row>
    <row r="780" spans="1:9" x14ac:dyDescent="0.35">
      <c r="A780" s="19">
        <v>45761</v>
      </c>
      <c r="B780" s="20"/>
      <c r="C780" s="20"/>
      <c r="D780" s="20">
        <v>10000</v>
      </c>
      <c r="E780" s="99" t="s">
        <v>525</v>
      </c>
      <c r="F780" s="20">
        <f t="shared" si="12"/>
        <v>170478060</v>
      </c>
      <c r="G780" s="7" t="s">
        <v>330</v>
      </c>
      <c r="H780" s="24" t="s">
        <v>109</v>
      </c>
      <c r="I780" s="32" t="s">
        <v>152</v>
      </c>
    </row>
    <row r="781" spans="1:9" x14ac:dyDescent="0.35">
      <c r="A781" s="19">
        <v>45761</v>
      </c>
      <c r="B781" s="20"/>
      <c r="C781" s="20"/>
      <c r="D781" s="20">
        <v>20000</v>
      </c>
      <c r="E781" s="99" t="s">
        <v>525</v>
      </c>
      <c r="F781" s="20">
        <f t="shared" si="12"/>
        <v>170498060</v>
      </c>
      <c r="G781" s="7" t="s">
        <v>330</v>
      </c>
      <c r="H781" s="24" t="s">
        <v>109</v>
      </c>
      <c r="I781" s="32" t="s">
        <v>152</v>
      </c>
    </row>
    <row r="782" spans="1:9" x14ac:dyDescent="0.35">
      <c r="A782" s="19">
        <v>45761</v>
      </c>
      <c r="B782" s="20"/>
      <c r="C782" s="20"/>
      <c r="D782" s="20">
        <v>10000</v>
      </c>
      <c r="E782" s="99" t="s">
        <v>525</v>
      </c>
      <c r="F782" s="20">
        <f t="shared" si="12"/>
        <v>170508060</v>
      </c>
      <c r="G782" s="7" t="s">
        <v>330</v>
      </c>
      <c r="H782" s="24" t="s">
        <v>109</v>
      </c>
      <c r="I782" s="32" t="s">
        <v>152</v>
      </c>
    </row>
    <row r="783" spans="1:9" x14ac:dyDescent="0.35">
      <c r="A783" s="19">
        <v>45761</v>
      </c>
      <c r="B783" s="20"/>
      <c r="C783" s="20"/>
      <c r="D783" s="20">
        <v>5000</v>
      </c>
      <c r="E783" s="99" t="s">
        <v>525</v>
      </c>
      <c r="F783" s="20">
        <f t="shared" si="12"/>
        <v>170513060</v>
      </c>
      <c r="G783" s="7" t="s">
        <v>330</v>
      </c>
      <c r="H783" s="24" t="s">
        <v>109</v>
      </c>
      <c r="I783" s="32" t="s">
        <v>152</v>
      </c>
    </row>
    <row r="784" spans="1:9" x14ac:dyDescent="0.35">
      <c r="A784" s="19">
        <v>45761</v>
      </c>
      <c r="B784" s="20"/>
      <c r="C784" s="20"/>
      <c r="D784" s="20">
        <v>6661</v>
      </c>
      <c r="E784" s="99" t="s">
        <v>525</v>
      </c>
      <c r="F784" s="20">
        <f t="shared" si="12"/>
        <v>170519721</v>
      </c>
      <c r="G784" s="7" t="s">
        <v>330</v>
      </c>
      <c r="H784" s="24" t="s">
        <v>109</v>
      </c>
      <c r="I784" s="32" t="s">
        <v>152</v>
      </c>
    </row>
    <row r="785" spans="1:9" x14ac:dyDescent="0.35">
      <c r="A785" s="19">
        <v>45761</v>
      </c>
      <c r="B785" s="20">
        <v>4105500</v>
      </c>
      <c r="C785" s="20"/>
      <c r="D785" s="20"/>
      <c r="E785" s="99" t="s">
        <v>525</v>
      </c>
      <c r="F785" s="20">
        <f t="shared" si="12"/>
        <v>166414221</v>
      </c>
      <c r="G785" s="7" t="s">
        <v>528</v>
      </c>
      <c r="H785" s="24" t="s">
        <v>322</v>
      </c>
      <c r="I785" s="32" t="s">
        <v>152</v>
      </c>
    </row>
    <row r="786" spans="1:9" x14ac:dyDescent="0.35">
      <c r="A786" s="19">
        <v>45761</v>
      </c>
      <c r="B786" s="20">
        <v>6500</v>
      </c>
      <c r="C786" s="20"/>
      <c r="D786" s="20"/>
      <c r="E786" s="99" t="s">
        <v>525</v>
      </c>
      <c r="F786" s="20">
        <f t="shared" si="12"/>
        <v>166407721</v>
      </c>
      <c r="G786" s="7" t="s">
        <v>529</v>
      </c>
      <c r="H786" s="24" t="s">
        <v>322</v>
      </c>
      <c r="I786" s="32" t="s">
        <v>152</v>
      </c>
    </row>
    <row r="787" spans="1:9" x14ac:dyDescent="0.35">
      <c r="A787" s="19">
        <v>45761</v>
      </c>
      <c r="B787" s="20">
        <v>750000</v>
      </c>
      <c r="C787" s="20"/>
      <c r="D787" s="20"/>
      <c r="E787" s="99" t="s">
        <v>525</v>
      </c>
      <c r="F787" s="20">
        <f t="shared" si="12"/>
        <v>165657721</v>
      </c>
      <c r="G787" s="7" t="s">
        <v>530</v>
      </c>
      <c r="H787" s="24" t="s">
        <v>323</v>
      </c>
      <c r="I787" s="32" t="s">
        <v>152</v>
      </c>
    </row>
    <row r="788" spans="1:9" x14ac:dyDescent="0.35">
      <c r="A788" s="19">
        <v>45761</v>
      </c>
      <c r="B788" s="20"/>
      <c r="C788" s="20"/>
      <c r="D788" s="20">
        <v>10000</v>
      </c>
      <c r="E788" s="99" t="s">
        <v>525</v>
      </c>
      <c r="F788" s="20">
        <f t="shared" si="12"/>
        <v>165667721</v>
      </c>
      <c r="G788" s="7" t="s">
        <v>330</v>
      </c>
      <c r="H788" s="24" t="s">
        <v>109</v>
      </c>
      <c r="I788" s="32" t="s">
        <v>152</v>
      </c>
    </row>
    <row r="789" spans="1:9" x14ac:dyDescent="0.35">
      <c r="A789" s="19">
        <v>45761</v>
      </c>
      <c r="B789" s="20"/>
      <c r="C789" s="20"/>
      <c r="D789" s="20">
        <v>25000</v>
      </c>
      <c r="E789" s="99" t="s">
        <v>525</v>
      </c>
      <c r="F789" s="20">
        <f t="shared" si="12"/>
        <v>165692721</v>
      </c>
      <c r="G789" s="7" t="s">
        <v>330</v>
      </c>
      <c r="H789" s="24" t="s">
        <v>109</v>
      </c>
      <c r="I789" s="32" t="s">
        <v>152</v>
      </c>
    </row>
    <row r="790" spans="1:9" x14ac:dyDescent="0.35">
      <c r="A790" s="19">
        <v>45761</v>
      </c>
      <c r="B790" s="20"/>
      <c r="C790" s="20"/>
      <c r="D790" s="20">
        <v>200000</v>
      </c>
      <c r="E790" s="99" t="s">
        <v>525</v>
      </c>
      <c r="F790" s="20">
        <f t="shared" si="12"/>
        <v>165892721</v>
      </c>
      <c r="G790" s="7" t="s">
        <v>531</v>
      </c>
      <c r="H790" s="24" t="s">
        <v>109</v>
      </c>
      <c r="I790" s="32" t="s">
        <v>152</v>
      </c>
    </row>
    <row r="791" spans="1:9" x14ac:dyDescent="0.35">
      <c r="A791" s="19">
        <v>45761</v>
      </c>
      <c r="B791" s="20"/>
      <c r="C791" s="20"/>
      <c r="D791" s="20">
        <v>64192000</v>
      </c>
      <c r="E791" s="99" t="s">
        <v>502</v>
      </c>
      <c r="F791" s="20">
        <f t="shared" si="12"/>
        <v>230084721</v>
      </c>
      <c r="G791" s="7" t="s">
        <v>305</v>
      </c>
      <c r="H791" s="24" t="s">
        <v>109</v>
      </c>
      <c r="I791" s="32" t="s">
        <v>152</v>
      </c>
    </row>
    <row r="792" spans="1:9" x14ac:dyDescent="0.35">
      <c r="A792" s="19">
        <v>45761</v>
      </c>
      <c r="B792" s="20">
        <v>600000</v>
      </c>
      <c r="C792" s="20"/>
      <c r="D792" s="20"/>
      <c r="E792" s="99" t="s">
        <v>525</v>
      </c>
      <c r="F792" s="20">
        <f t="shared" si="12"/>
        <v>229484721</v>
      </c>
      <c r="G792" s="7" t="s">
        <v>532</v>
      </c>
      <c r="H792" s="24" t="s">
        <v>322</v>
      </c>
      <c r="I792" s="32" t="s">
        <v>152</v>
      </c>
    </row>
    <row r="793" spans="1:9" x14ac:dyDescent="0.35">
      <c r="A793" s="19">
        <v>45761</v>
      </c>
      <c r="B793" s="20">
        <v>2900</v>
      </c>
      <c r="C793" s="20"/>
      <c r="D793" s="20"/>
      <c r="E793" s="99" t="s">
        <v>525</v>
      </c>
      <c r="F793" s="20">
        <f t="shared" si="12"/>
        <v>229481821</v>
      </c>
      <c r="G793" s="7" t="s">
        <v>533</v>
      </c>
      <c r="H793" s="24" t="s">
        <v>322</v>
      </c>
      <c r="I793" s="32" t="s">
        <v>152</v>
      </c>
    </row>
    <row r="794" spans="1:9" x14ac:dyDescent="0.35">
      <c r="A794" s="19">
        <v>45762</v>
      </c>
      <c r="B794" s="20"/>
      <c r="C794" s="20"/>
      <c r="D794" s="20">
        <v>50000</v>
      </c>
      <c r="E794" s="99" t="s">
        <v>525</v>
      </c>
      <c r="F794" s="20">
        <f t="shared" si="12"/>
        <v>229531821</v>
      </c>
      <c r="G794" s="7" t="s">
        <v>330</v>
      </c>
      <c r="H794" s="24" t="s">
        <v>109</v>
      </c>
      <c r="I794" s="32" t="s">
        <v>152</v>
      </c>
    </row>
    <row r="795" spans="1:9" x14ac:dyDescent="0.35">
      <c r="A795" s="19">
        <v>45762</v>
      </c>
      <c r="B795" s="20"/>
      <c r="C795" s="20"/>
      <c r="D795" s="20">
        <v>10000</v>
      </c>
      <c r="E795" s="99" t="s">
        <v>525</v>
      </c>
      <c r="F795" s="20">
        <f t="shared" si="12"/>
        <v>229541821</v>
      </c>
      <c r="G795" s="7" t="s">
        <v>330</v>
      </c>
      <c r="H795" s="24" t="s">
        <v>109</v>
      </c>
      <c r="I795" s="32" t="s">
        <v>152</v>
      </c>
    </row>
    <row r="796" spans="1:9" x14ac:dyDescent="0.35">
      <c r="A796" s="19">
        <v>45762</v>
      </c>
      <c r="B796" s="20"/>
      <c r="C796" s="20"/>
      <c r="D796" s="20">
        <v>500000</v>
      </c>
      <c r="E796" s="99" t="s">
        <v>525</v>
      </c>
      <c r="F796" s="20">
        <f t="shared" si="12"/>
        <v>230041821</v>
      </c>
      <c r="G796" s="7" t="s">
        <v>534</v>
      </c>
      <c r="H796" s="24" t="s">
        <v>109</v>
      </c>
      <c r="I796" s="32" t="s">
        <v>152</v>
      </c>
    </row>
    <row r="797" spans="1:9" x14ac:dyDescent="0.35">
      <c r="A797" s="19">
        <v>45762</v>
      </c>
      <c r="B797" s="20">
        <v>850000</v>
      </c>
      <c r="C797" s="20"/>
      <c r="D797" s="20"/>
      <c r="E797" s="99" t="s">
        <v>525</v>
      </c>
      <c r="F797" s="20">
        <f t="shared" si="12"/>
        <v>229191821</v>
      </c>
      <c r="G797" s="7" t="s">
        <v>532</v>
      </c>
      <c r="H797" s="24" t="s">
        <v>322</v>
      </c>
      <c r="I797" s="32" t="s">
        <v>152</v>
      </c>
    </row>
    <row r="798" spans="1:9" x14ac:dyDescent="0.35">
      <c r="A798" s="19">
        <v>45762</v>
      </c>
      <c r="B798" s="20">
        <v>2900</v>
      </c>
      <c r="C798" s="20"/>
      <c r="D798" s="20"/>
      <c r="E798" s="99" t="s">
        <v>525</v>
      </c>
      <c r="F798" s="20">
        <f t="shared" si="12"/>
        <v>229188921</v>
      </c>
      <c r="G798" s="7" t="s">
        <v>533</v>
      </c>
      <c r="H798" s="24" t="s">
        <v>322</v>
      </c>
      <c r="I798" s="32" t="s">
        <v>152</v>
      </c>
    </row>
    <row r="799" spans="1:9" x14ac:dyDescent="0.35">
      <c r="A799" s="19">
        <v>45763</v>
      </c>
      <c r="B799" s="20"/>
      <c r="C799" s="20"/>
      <c r="D799" s="20">
        <v>50000</v>
      </c>
      <c r="E799" s="99" t="s">
        <v>525</v>
      </c>
      <c r="F799" s="20">
        <f t="shared" si="12"/>
        <v>229238921</v>
      </c>
      <c r="G799" s="7" t="s">
        <v>330</v>
      </c>
      <c r="H799" s="24" t="s">
        <v>109</v>
      </c>
      <c r="I799" s="32" t="s">
        <v>152</v>
      </c>
    </row>
    <row r="800" spans="1:9" x14ac:dyDescent="0.35">
      <c r="A800" s="19">
        <v>45763</v>
      </c>
      <c r="B800" s="20"/>
      <c r="C800" s="20"/>
      <c r="D800" s="20">
        <v>100000</v>
      </c>
      <c r="E800" s="99" t="s">
        <v>525</v>
      </c>
      <c r="F800" s="20">
        <f t="shared" si="12"/>
        <v>229338921</v>
      </c>
      <c r="G800" s="7" t="s">
        <v>330</v>
      </c>
      <c r="H800" s="24" t="s">
        <v>109</v>
      </c>
      <c r="I800" s="32" t="s">
        <v>152</v>
      </c>
    </row>
    <row r="801" spans="1:9" x14ac:dyDescent="0.35">
      <c r="A801" s="19">
        <v>45763</v>
      </c>
      <c r="B801" s="20"/>
      <c r="C801" s="20"/>
      <c r="D801" s="20">
        <v>10000</v>
      </c>
      <c r="E801" s="99" t="s">
        <v>525</v>
      </c>
      <c r="F801" s="20">
        <f t="shared" si="12"/>
        <v>229348921</v>
      </c>
      <c r="G801" s="7" t="s">
        <v>330</v>
      </c>
      <c r="H801" s="24" t="s">
        <v>109</v>
      </c>
      <c r="I801" s="32" t="s">
        <v>152</v>
      </c>
    </row>
    <row r="802" spans="1:9" x14ac:dyDescent="0.35">
      <c r="A802" s="19">
        <v>45764</v>
      </c>
      <c r="B802" s="20"/>
      <c r="C802" s="20"/>
      <c r="D802" s="20">
        <v>10000</v>
      </c>
      <c r="E802" s="99" t="s">
        <v>525</v>
      </c>
      <c r="F802" s="20">
        <f t="shared" si="12"/>
        <v>229358921</v>
      </c>
      <c r="G802" s="7" t="s">
        <v>330</v>
      </c>
      <c r="H802" s="24" t="s">
        <v>109</v>
      </c>
      <c r="I802" s="32" t="s">
        <v>152</v>
      </c>
    </row>
    <row r="803" spans="1:9" x14ac:dyDescent="0.35">
      <c r="A803" s="19">
        <v>45764</v>
      </c>
      <c r="B803" s="20">
        <v>7705000</v>
      </c>
      <c r="C803" s="20"/>
      <c r="D803" s="20"/>
      <c r="E803" s="99" t="s">
        <v>525</v>
      </c>
      <c r="F803" s="20">
        <f t="shared" si="12"/>
        <v>221653921</v>
      </c>
      <c r="G803" s="7" t="s">
        <v>535</v>
      </c>
      <c r="H803" s="24" t="s">
        <v>322</v>
      </c>
      <c r="I803" s="32" t="s">
        <v>152</v>
      </c>
    </row>
    <row r="804" spans="1:9" x14ac:dyDescent="0.35">
      <c r="A804" s="19">
        <v>45764</v>
      </c>
      <c r="B804" s="20">
        <v>6500</v>
      </c>
      <c r="C804" s="20"/>
      <c r="D804" s="20"/>
      <c r="E804" s="99" t="s">
        <v>525</v>
      </c>
      <c r="F804" s="20">
        <f t="shared" si="12"/>
        <v>221647421</v>
      </c>
      <c r="G804" s="7" t="s">
        <v>536</v>
      </c>
      <c r="H804" s="24" t="s">
        <v>322</v>
      </c>
      <c r="I804" s="32" t="s">
        <v>152</v>
      </c>
    </row>
    <row r="805" spans="1:9" x14ac:dyDescent="0.35">
      <c r="A805" s="19">
        <v>45765</v>
      </c>
      <c r="B805" s="20"/>
      <c r="C805" s="20"/>
      <c r="D805" s="20">
        <v>50000</v>
      </c>
      <c r="E805" s="99" t="s">
        <v>544</v>
      </c>
      <c r="F805" s="20">
        <f t="shared" si="12"/>
        <v>221697421</v>
      </c>
      <c r="G805" s="7" t="s">
        <v>330</v>
      </c>
      <c r="H805" s="24" t="s">
        <v>109</v>
      </c>
      <c r="I805" s="32" t="s">
        <v>152</v>
      </c>
    </row>
    <row r="806" spans="1:9" x14ac:dyDescent="0.35">
      <c r="A806" s="19">
        <v>45765</v>
      </c>
      <c r="B806" s="20"/>
      <c r="C806" s="20"/>
      <c r="D806" s="20">
        <v>10000</v>
      </c>
      <c r="E806" s="99" t="s">
        <v>544</v>
      </c>
      <c r="F806" s="20">
        <f t="shared" si="12"/>
        <v>221707421</v>
      </c>
      <c r="G806" s="7" t="s">
        <v>330</v>
      </c>
      <c r="H806" s="24" t="s">
        <v>109</v>
      </c>
      <c r="I806" s="32" t="s">
        <v>152</v>
      </c>
    </row>
    <row r="807" spans="1:9" x14ac:dyDescent="0.35">
      <c r="A807" s="19">
        <v>45766</v>
      </c>
      <c r="B807" s="20"/>
      <c r="C807" s="20"/>
      <c r="D807" s="20">
        <v>50000</v>
      </c>
      <c r="E807" s="99" t="s">
        <v>544</v>
      </c>
      <c r="F807" s="20">
        <f t="shared" si="12"/>
        <v>221757421</v>
      </c>
      <c r="G807" s="7" t="s">
        <v>330</v>
      </c>
      <c r="H807" s="24" t="s">
        <v>109</v>
      </c>
      <c r="I807" s="32" t="s">
        <v>152</v>
      </c>
    </row>
    <row r="808" spans="1:9" x14ac:dyDescent="0.35">
      <c r="A808" s="19">
        <v>45766</v>
      </c>
      <c r="B808" s="20"/>
      <c r="C808" s="20"/>
      <c r="D808" s="20">
        <v>200000</v>
      </c>
      <c r="E808" s="99" t="s">
        <v>544</v>
      </c>
      <c r="F808" s="20">
        <f t="shared" si="12"/>
        <v>221957421</v>
      </c>
      <c r="G808" s="7" t="s">
        <v>330</v>
      </c>
      <c r="H808" s="24" t="s">
        <v>109</v>
      </c>
      <c r="I808" s="32" t="s">
        <v>152</v>
      </c>
    </row>
    <row r="809" spans="1:9" x14ac:dyDescent="0.35">
      <c r="A809" s="19">
        <v>45766</v>
      </c>
      <c r="B809" s="20"/>
      <c r="C809" s="20"/>
      <c r="D809" s="20">
        <v>8000</v>
      </c>
      <c r="E809" s="99" t="s">
        <v>544</v>
      </c>
      <c r="F809" s="20">
        <f t="shared" si="12"/>
        <v>221965421</v>
      </c>
      <c r="G809" s="7" t="s">
        <v>330</v>
      </c>
      <c r="H809" s="24" t="s">
        <v>109</v>
      </c>
      <c r="I809" s="32" t="s">
        <v>152</v>
      </c>
    </row>
    <row r="810" spans="1:9" x14ac:dyDescent="0.35">
      <c r="A810" s="19">
        <v>45766</v>
      </c>
      <c r="B810" s="20"/>
      <c r="C810" s="20"/>
      <c r="D810" s="20">
        <v>25000</v>
      </c>
      <c r="E810" s="99" t="s">
        <v>544</v>
      </c>
      <c r="F810" s="20">
        <f t="shared" si="12"/>
        <v>221990421</v>
      </c>
      <c r="G810" s="7" t="s">
        <v>330</v>
      </c>
      <c r="H810" s="24" t="s">
        <v>109</v>
      </c>
      <c r="I810" s="32" t="s">
        <v>152</v>
      </c>
    </row>
    <row r="811" spans="1:9" x14ac:dyDescent="0.35">
      <c r="A811" s="19">
        <v>45766</v>
      </c>
      <c r="B811" s="20"/>
      <c r="C811" s="20"/>
      <c r="D811" s="20">
        <v>100000</v>
      </c>
      <c r="E811" s="99" t="s">
        <v>544</v>
      </c>
      <c r="F811" s="20">
        <f t="shared" si="12"/>
        <v>222090421</v>
      </c>
      <c r="G811" s="7" t="s">
        <v>330</v>
      </c>
      <c r="H811" s="24" t="s">
        <v>109</v>
      </c>
      <c r="I811" s="32" t="s">
        <v>152</v>
      </c>
    </row>
    <row r="812" spans="1:9" x14ac:dyDescent="0.35">
      <c r="A812" s="19">
        <v>45766</v>
      </c>
      <c r="B812" s="20"/>
      <c r="C812" s="20"/>
      <c r="D812" s="20">
        <v>50000</v>
      </c>
      <c r="E812" s="99" t="s">
        <v>544</v>
      </c>
      <c r="F812" s="20">
        <f t="shared" si="12"/>
        <v>222140421</v>
      </c>
      <c r="G812" s="7" t="s">
        <v>330</v>
      </c>
      <c r="H812" s="24" t="s">
        <v>109</v>
      </c>
      <c r="I812" s="32" t="s">
        <v>152</v>
      </c>
    </row>
    <row r="813" spans="1:9" x14ac:dyDescent="0.35">
      <c r="A813" s="19">
        <v>45766</v>
      </c>
      <c r="B813" s="20"/>
      <c r="C813" s="20"/>
      <c r="D813" s="20">
        <v>75000</v>
      </c>
      <c r="E813" s="99" t="s">
        <v>544</v>
      </c>
      <c r="F813" s="20">
        <f t="shared" si="12"/>
        <v>222215421</v>
      </c>
      <c r="G813" s="7" t="s">
        <v>330</v>
      </c>
      <c r="H813" s="24" t="s">
        <v>109</v>
      </c>
      <c r="I813" s="32" t="s">
        <v>152</v>
      </c>
    </row>
    <row r="814" spans="1:9" x14ac:dyDescent="0.35">
      <c r="A814" s="19">
        <v>45766</v>
      </c>
      <c r="B814" s="20"/>
      <c r="C814" s="20"/>
      <c r="D814" s="20">
        <v>20000</v>
      </c>
      <c r="E814" s="99" t="s">
        <v>544</v>
      </c>
      <c r="F814" s="20">
        <f t="shared" si="12"/>
        <v>222235421</v>
      </c>
      <c r="G814" s="7" t="s">
        <v>330</v>
      </c>
      <c r="H814" s="24" t="s">
        <v>109</v>
      </c>
      <c r="I814" s="32" t="s">
        <v>152</v>
      </c>
    </row>
    <row r="815" spans="1:9" x14ac:dyDescent="0.35">
      <c r="A815" s="19">
        <v>45766</v>
      </c>
      <c r="B815" s="20">
        <v>5657000</v>
      </c>
      <c r="C815" s="20"/>
      <c r="D815" s="20"/>
      <c r="E815" s="99" t="s">
        <v>544</v>
      </c>
      <c r="F815" s="20">
        <f t="shared" si="12"/>
        <v>216578421</v>
      </c>
      <c r="G815" s="7" t="s">
        <v>545</v>
      </c>
      <c r="H815" s="24" t="s">
        <v>322</v>
      </c>
      <c r="I815" s="32" t="s">
        <v>152</v>
      </c>
    </row>
    <row r="816" spans="1:9" x14ac:dyDescent="0.35">
      <c r="A816" s="19">
        <v>45766</v>
      </c>
      <c r="B816" s="20">
        <v>6500</v>
      </c>
      <c r="C816" s="20"/>
      <c r="D816" s="20"/>
      <c r="E816" s="99" t="s">
        <v>544</v>
      </c>
      <c r="F816" s="20">
        <f t="shared" si="12"/>
        <v>216571921</v>
      </c>
      <c r="G816" s="7" t="s">
        <v>546</v>
      </c>
      <c r="H816" s="24" t="s">
        <v>322</v>
      </c>
      <c r="I816" s="32" t="s">
        <v>152</v>
      </c>
    </row>
    <row r="817" spans="1:9" x14ac:dyDescent="0.35">
      <c r="A817" s="19">
        <v>45767</v>
      </c>
      <c r="B817" s="20">
        <v>750000</v>
      </c>
      <c r="C817" s="20"/>
      <c r="D817" s="20"/>
      <c r="E817" s="99" t="s">
        <v>544</v>
      </c>
      <c r="F817" s="20">
        <f t="shared" si="12"/>
        <v>215821921</v>
      </c>
      <c r="G817" s="7" t="s">
        <v>547</v>
      </c>
      <c r="H817" s="24" t="s">
        <v>323</v>
      </c>
      <c r="I817" s="32" t="s">
        <v>152</v>
      </c>
    </row>
    <row r="818" spans="1:9" x14ac:dyDescent="0.35">
      <c r="A818" s="19">
        <v>45767</v>
      </c>
      <c r="B818" s="20">
        <v>6500</v>
      </c>
      <c r="C818" s="20"/>
      <c r="D818" s="20"/>
      <c r="E818" s="99" t="s">
        <v>544</v>
      </c>
      <c r="F818" s="20">
        <f t="shared" si="12"/>
        <v>215815421</v>
      </c>
      <c r="G818" s="7" t="s">
        <v>548</v>
      </c>
      <c r="H818" s="24" t="s">
        <v>323</v>
      </c>
      <c r="I818" s="32" t="s">
        <v>152</v>
      </c>
    </row>
    <row r="819" spans="1:9" x14ac:dyDescent="0.35">
      <c r="A819" s="19">
        <v>45767</v>
      </c>
      <c r="B819" s="20"/>
      <c r="C819" s="20"/>
      <c r="D819" s="20">
        <v>50000</v>
      </c>
      <c r="E819" s="99" t="s">
        <v>544</v>
      </c>
      <c r="F819" s="20">
        <f t="shared" si="12"/>
        <v>215865421</v>
      </c>
      <c r="G819" s="7" t="s">
        <v>330</v>
      </c>
      <c r="H819" s="24" t="s">
        <v>109</v>
      </c>
      <c r="I819" s="32" t="s">
        <v>152</v>
      </c>
    </row>
    <row r="820" spans="1:9" x14ac:dyDescent="0.35">
      <c r="A820" s="19">
        <v>45767</v>
      </c>
      <c r="B820" s="20"/>
      <c r="C820" s="20"/>
      <c r="D820" s="20">
        <v>50000</v>
      </c>
      <c r="E820" s="99" t="s">
        <v>544</v>
      </c>
      <c r="F820" s="20">
        <f t="shared" si="12"/>
        <v>215915421</v>
      </c>
      <c r="G820" s="7" t="s">
        <v>330</v>
      </c>
      <c r="H820" s="24" t="s">
        <v>109</v>
      </c>
      <c r="I820" s="32" t="s">
        <v>152</v>
      </c>
    </row>
    <row r="821" spans="1:9" x14ac:dyDescent="0.35">
      <c r="A821" s="19">
        <v>45768</v>
      </c>
      <c r="B821" s="20"/>
      <c r="C821" s="20"/>
      <c r="D821" s="20">
        <v>10000</v>
      </c>
      <c r="E821" s="99" t="s">
        <v>544</v>
      </c>
      <c r="F821" s="20">
        <f t="shared" si="12"/>
        <v>215925421</v>
      </c>
      <c r="G821" s="7" t="s">
        <v>330</v>
      </c>
      <c r="H821" s="24" t="s">
        <v>109</v>
      </c>
      <c r="I821" s="32" t="s">
        <v>152</v>
      </c>
    </row>
    <row r="822" spans="1:9" x14ac:dyDescent="0.35">
      <c r="A822" s="19">
        <v>45768</v>
      </c>
      <c r="B822" s="20"/>
      <c r="C822" s="20"/>
      <c r="D822" s="20">
        <v>5000</v>
      </c>
      <c r="E822" s="99" t="s">
        <v>544</v>
      </c>
      <c r="F822" s="20">
        <f t="shared" si="12"/>
        <v>215930421</v>
      </c>
      <c r="G822" s="7" t="s">
        <v>330</v>
      </c>
      <c r="H822" s="24" t="s">
        <v>109</v>
      </c>
      <c r="I822" s="32" t="s">
        <v>152</v>
      </c>
    </row>
    <row r="823" spans="1:9" x14ac:dyDescent="0.35">
      <c r="A823" s="19">
        <v>45768</v>
      </c>
      <c r="B823" s="20"/>
      <c r="C823" s="20"/>
      <c r="D823" s="20">
        <v>25000</v>
      </c>
      <c r="E823" s="99" t="s">
        <v>544</v>
      </c>
      <c r="F823" s="20">
        <f t="shared" si="12"/>
        <v>215955421</v>
      </c>
      <c r="G823" s="7" t="s">
        <v>330</v>
      </c>
      <c r="H823" s="24" t="s">
        <v>109</v>
      </c>
      <c r="I823" s="32" t="s">
        <v>152</v>
      </c>
    </row>
    <row r="824" spans="1:9" x14ac:dyDescent="0.35">
      <c r="A824" s="19">
        <v>45768</v>
      </c>
      <c r="B824" s="20"/>
      <c r="C824" s="20"/>
      <c r="D824" s="20">
        <v>5000</v>
      </c>
      <c r="E824" s="99" t="s">
        <v>544</v>
      </c>
      <c r="F824" s="20">
        <f t="shared" si="12"/>
        <v>215960421</v>
      </c>
      <c r="G824" s="7" t="s">
        <v>330</v>
      </c>
      <c r="H824" s="24" t="s">
        <v>109</v>
      </c>
      <c r="I824" s="32" t="s">
        <v>152</v>
      </c>
    </row>
    <row r="825" spans="1:9" x14ac:dyDescent="0.35">
      <c r="A825" s="19">
        <v>45769</v>
      </c>
      <c r="B825" s="20"/>
      <c r="C825" s="20"/>
      <c r="D825" s="20">
        <v>10000</v>
      </c>
      <c r="E825" s="99" t="s">
        <v>544</v>
      </c>
      <c r="F825" s="20">
        <f t="shared" si="12"/>
        <v>215970421</v>
      </c>
      <c r="G825" s="7" t="s">
        <v>330</v>
      </c>
      <c r="H825" s="24" t="s">
        <v>109</v>
      </c>
      <c r="I825" s="32" t="s">
        <v>152</v>
      </c>
    </row>
    <row r="826" spans="1:9" x14ac:dyDescent="0.35">
      <c r="A826" s="19">
        <v>45769</v>
      </c>
      <c r="B826" s="20"/>
      <c r="C826" s="20"/>
      <c r="D826" s="41">
        <v>4358000</v>
      </c>
      <c r="E826" s="99" t="s">
        <v>544</v>
      </c>
      <c r="F826" s="20">
        <f t="shared" si="12"/>
        <v>220328421</v>
      </c>
      <c r="G826" s="24" t="s">
        <v>107</v>
      </c>
      <c r="H826" s="24" t="s">
        <v>107</v>
      </c>
      <c r="I826" s="32" t="s">
        <v>152</v>
      </c>
    </row>
    <row r="827" spans="1:9" x14ac:dyDescent="0.35">
      <c r="A827" s="19">
        <v>45769</v>
      </c>
      <c r="B827" s="20"/>
      <c r="C827" s="20"/>
      <c r="D827" s="41">
        <v>2722000</v>
      </c>
      <c r="E827" s="99" t="s">
        <v>544</v>
      </c>
      <c r="F827" s="20">
        <f t="shared" si="12"/>
        <v>223050421</v>
      </c>
      <c r="G827" s="24" t="s">
        <v>109</v>
      </c>
      <c r="H827" s="24" t="s">
        <v>109</v>
      </c>
      <c r="I827" s="32" t="s">
        <v>152</v>
      </c>
    </row>
    <row r="828" spans="1:9" x14ac:dyDescent="0.35">
      <c r="A828" s="19"/>
      <c r="B828" s="20"/>
      <c r="C828" s="20">
        <v>7080000</v>
      </c>
      <c r="D828" s="20"/>
      <c r="E828" s="99"/>
      <c r="F828" s="20">
        <f t="shared" si="12"/>
        <v>223050421</v>
      </c>
      <c r="G828" s="7" t="s">
        <v>552</v>
      </c>
      <c r="H828" s="24"/>
      <c r="I828" s="32"/>
    </row>
    <row r="829" spans="1:9" x14ac:dyDescent="0.35">
      <c r="A829" s="19">
        <v>45769</v>
      </c>
      <c r="B829" s="20">
        <v>7000</v>
      </c>
      <c r="C829" s="20"/>
      <c r="D829" s="20"/>
      <c r="E829" s="99" t="s">
        <v>544</v>
      </c>
      <c r="F829" s="20">
        <f t="shared" si="12"/>
        <v>223043421</v>
      </c>
      <c r="G829" s="7" t="s">
        <v>549</v>
      </c>
      <c r="H829" s="24" t="s">
        <v>320</v>
      </c>
      <c r="I829" s="32" t="s">
        <v>152</v>
      </c>
    </row>
    <row r="830" spans="1:9" x14ac:dyDescent="0.35">
      <c r="A830" s="19">
        <v>45771</v>
      </c>
      <c r="B830" s="20"/>
      <c r="C830" s="20"/>
      <c r="D830" s="20">
        <v>10000</v>
      </c>
      <c r="E830" s="99" t="s">
        <v>544</v>
      </c>
      <c r="F830" s="20">
        <f t="shared" ref="F830:F872" si="13">+F829+D830-B830</f>
        <v>223053421</v>
      </c>
      <c r="G830" s="7" t="s">
        <v>330</v>
      </c>
      <c r="H830" s="24" t="s">
        <v>109</v>
      </c>
      <c r="I830" s="32" t="s">
        <v>152</v>
      </c>
    </row>
    <row r="831" spans="1:9" x14ac:dyDescent="0.35">
      <c r="A831" s="19">
        <v>45771</v>
      </c>
      <c r="B831" s="20">
        <v>2000000</v>
      </c>
      <c r="C831" s="20"/>
      <c r="D831" s="20"/>
      <c r="E831" s="99" t="s">
        <v>544</v>
      </c>
      <c r="F831" s="20">
        <f t="shared" si="13"/>
        <v>221053421</v>
      </c>
      <c r="G831" s="7" t="s">
        <v>550</v>
      </c>
      <c r="H831" s="24" t="s">
        <v>200</v>
      </c>
      <c r="I831" s="32" t="s">
        <v>152</v>
      </c>
    </row>
    <row r="832" spans="1:9" x14ac:dyDescent="0.35">
      <c r="A832" s="19">
        <v>45771</v>
      </c>
      <c r="B832" s="20">
        <v>2900</v>
      </c>
      <c r="C832" s="20"/>
      <c r="D832" s="20"/>
      <c r="E832" s="99" t="s">
        <v>544</v>
      </c>
      <c r="F832" s="20">
        <f t="shared" si="13"/>
        <v>221050521</v>
      </c>
      <c r="G832" s="7" t="s">
        <v>551</v>
      </c>
      <c r="H832" s="24" t="s">
        <v>200</v>
      </c>
      <c r="I832" s="32" t="s">
        <v>152</v>
      </c>
    </row>
    <row r="833" spans="1:9" x14ac:dyDescent="0.35">
      <c r="A833" s="19">
        <v>45772</v>
      </c>
      <c r="B833" s="20"/>
      <c r="C833" s="20"/>
      <c r="D833" s="20">
        <v>10000</v>
      </c>
      <c r="E833" s="99" t="s">
        <v>560</v>
      </c>
      <c r="F833" s="20">
        <f t="shared" si="13"/>
        <v>221060521</v>
      </c>
      <c r="G833" s="7" t="s">
        <v>330</v>
      </c>
      <c r="H833" s="24" t="s">
        <v>109</v>
      </c>
      <c r="I833" s="32" t="s">
        <v>152</v>
      </c>
    </row>
    <row r="834" spans="1:9" x14ac:dyDescent="0.35">
      <c r="A834" s="19">
        <v>45772</v>
      </c>
      <c r="B834" s="20"/>
      <c r="C834" s="20"/>
      <c r="D834" s="20">
        <v>10000</v>
      </c>
      <c r="E834" s="99" t="s">
        <v>560</v>
      </c>
      <c r="F834" s="20">
        <f t="shared" si="13"/>
        <v>221070521</v>
      </c>
      <c r="G834" s="7" t="s">
        <v>330</v>
      </c>
      <c r="H834" s="24" t="s">
        <v>109</v>
      </c>
      <c r="I834" s="32" t="s">
        <v>152</v>
      </c>
    </row>
    <row r="835" spans="1:9" x14ac:dyDescent="0.35">
      <c r="A835" s="19">
        <v>45772</v>
      </c>
      <c r="B835" s="20"/>
      <c r="C835" s="20"/>
      <c r="D835" s="20">
        <v>200000</v>
      </c>
      <c r="E835" s="99" t="s">
        <v>560</v>
      </c>
      <c r="F835" s="20">
        <f t="shared" si="13"/>
        <v>221270521</v>
      </c>
      <c r="G835" s="7" t="s">
        <v>306</v>
      </c>
      <c r="H835" s="24" t="s">
        <v>140</v>
      </c>
      <c r="I835" s="32" t="s">
        <v>152</v>
      </c>
    </row>
    <row r="836" spans="1:9" x14ac:dyDescent="0.35">
      <c r="A836" s="19">
        <v>45772</v>
      </c>
      <c r="B836" s="20"/>
      <c r="C836" s="20"/>
      <c r="D836" s="20">
        <v>1000000</v>
      </c>
      <c r="E836" s="99" t="s">
        <v>560</v>
      </c>
      <c r="F836" s="20">
        <f t="shared" si="13"/>
        <v>222270521</v>
      </c>
      <c r="G836" s="7" t="s">
        <v>561</v>
      </c>
      <c r="H836" s="24" t="s">
        <v>109</v>
      </c>
      <c r="I836" s="32" t="s">
        <v>152</v>
      </c>
    </row>
    <row r="837" spans="1:9" x14ac:dyDescent="0.35">
      <c r="A837" s="19">
        <v>45773</v>
      </c>
      <c r="B837" s="20">
        <v>750000</v>
      </c>
      <c r="C837" s="20"/>
      <c r="D837" s="20"/>
      <c r="E837" s="99" t="s">
        <v>560</v>
      </c>
      <c r="F837" s="20">
        <f t="shared" si="13"/>
        <v>221520521</v>
      </c>
      <c r="G837" s="7" t="s">
        <v>562</v>
      </c>
      <c r="H837" s="24" t="s">
        <v>323</v>
      </c>
      <c r="I837" s="32" t="s">
        <v>152</v>
      </c>
    </row>
    <row r="838" spans="1:9" x14ac:dyDescent="0.35">
      <c r="A838" s="19">
        <v>45773</v>
      </c>
      <c r="B838" s="20">
        <v>6500</v>
      </c>
      <c r="C838" s="20"/>
      <c r="D838" s="20"/>
      <c r="E838" s="99" t="s">
        <v>560</v>
      </c>
      <c r="F838" s="20">
        <f t="shared" si="13"/>
        <v>221514021</v>
      </c>
      <c r="G838" s="7" t="s">
        <v>563</v>
      </c>
      <c r="H838" s="24" t="s">
        <v>323</v>
      </c>
      <c r="I838" s="32" t="s">
        <v>152</v>
      </c>
    </row>
    <row r="839" spans="1:9" x14ac:dyDescent="0.35">
      <c r="A839" s="19">
        <v>45773</v>
      </c>
      <c r="B839" s="20"/>
      <c r="C839" s="20"/>
      <c r="D839" s="20">
        <v>10000</v>
      </c>
      <c r="E839" s="99" t="s">
        <v>560</v>
      </c>
      <c r="F839" s="20">
        <f t="shared" si="13"/>
        <v>221524021</v>
      </c>
      <c r="G839" s="7" t="s">
        <v>330</v>
      </c>
      <c r="H839" s="24" t="s">
        <v>109</v>
      </c>
      <c r="I839" s="32" t="s">
        <v>152</v>
      </c>
    </row>
    <row r="840" spans="1:9" x14ac:dyDescent="0.35">
      <c r="A840" s="19">
        <v>45773</v>
      </c>
      <c r="B840" s="20"/>
      <c r="C840" s="20"/>
      <c r="D840" s="20">
        <v>5000</v>
      </c>
      <c r="E840" s="99" t="s">
        <v>560</v>
      </c>
      <c r="F840" s="20">
        <f t="shared" si="13"/>
        <v>221529021</v>
      </c>
      <c r="G840" s="7" t="s">
        <v>330</v>
      </c>
      <c r="H840" s="24" t="s">
        <v>109</v>
      </c>
      <c r="I840" s="32" t="s">
        <v>152</v>
      </c>
    </row>
    <row r="841" spans="1:9" x14ac:dyDescent="0.35">
      <c r="A841" s="19">
        <v>45773</v>
      </c>
      <c r="B841" s="20"/>
      <c r="C841" s="20"/>
      <c r="D841" s="20">
        <v>10000</v>
      </c>
      <c r="E841" s="99" t="s">
        <v>560</v>
      </c>
      <c r="F841" s="20">
        <f t="shared" si="13"/>
        <v>221539021</v>
      </c>
      <c r="G841" s="7" t="s">
        <v>330</v>
      </c>
      <c r="H841" s="24" t="s">
        <v>109</v>
      </c>
      <c r="I841" s="32" t="s">
        <v>152</v>
      </c>
    </row>
    <row r="842" spans="1:9" x14ac:dyDescent="0.35">
      <c r="A842" s="19">
        <v>45773</v>
      </c>
      <c r="B842" s="20"/>
      <c r="C842" s="20"/>
      <c r="D842" s="20">
        <v>100000</v>
      </c>
      <c r="E842" s="99" t="s">
        <v>560</v>
      </c>
      <c r="F842" s="20">
        <f t="shared" si="13"/>
        <v>221639021</v>
      </c>
      <c r="G842" s="7" t="s">
        <v>424</v>
      </c>
      <c r="H842" s="24" t="s">
        <v>109</v>
      </c>
      <c r="I842" s="32" t="s">
        <v>152</v>
      </c>
    </row>
    <row r="843" spans="1:9" x14ac:dyDescent="0.35">
      <c r="A843" s="19">
        <v>45774</v>
      </c>
      <c r="B843" s="20"/>
      <c r="C843" s="20"/>
      <c r="D843" s="20">
        <v>10000</v>
      </c>
      <c r="E843" s="99" t="s">
        <v>560</v>
      </c>
      <c r="F843" s="20">
        <f t="shared" si="13"/>
        <v>221649021</v>
      </c>
      <c r="G843" s="7" t="s">
        <v>330</v>
      </c>
      <c r="H843" s="24" t="s">
        <v>109</v>
      </c>
      <c r="I843" s="32" t="s">
        <v>152</v>
      </c>
    </row>
    <row r="844" spans="1:9" x14ac:dyDescent="0.35">
      <c r="A844" s="19">
        <v>45775</v>
      </c>
      <c r="B844" s="20"/>
      <c r="C844" s="20"/>
      <c r="D844" s="20">
        <v>10000</v>
      </c>
      <c r="E844" s="99" t="s">
        <v>560</v>
      </c>
      <c r="F844" s="20">
        <f t="shared" si="13"/>
        <v>221659021</v>
      </c>
      <c r="G844" s="7" t="s">
        <v>330</v>
      </c>
      <c r="H844" s="24" t="s">
        <v>109</v>
      </c>
      <c r="I844" s="32" t="s">
        <v>152</v>
      </c>
    </row>
    <row r="845" spans="1:9" x14ac:dyDescent="0.35">
      <c r="A845" s="19">
        <v>45775</v>
      </c>
      <c r="B845" s="20"/>
      <c r="C845" s="20"/>
      <c r="D845" s="20">
        <v>25000</v>
      </c>
      <c r="E845" s="99" t="s">
        <v>560</v>
      </c>
      <c r="F845" s="20">
        <f t="shared" si="13"/>
        <v>221684021</v>
      </c>
      <c r="G845" s="7" t="s">
        <v>330</v>
      </c>
      <c r="H845" s="24" t="s">
        <v>109</v>
      </c>
      <c r="I845" s="32" t="s">
        <v>152</v>
      </c>
    </row>
    <row r="846" spans="1:9" x14ac:dyDescent="0.35">
      <c r="A846" s="19">
        <v>45775</v>
      </c>
      <c r="B846" s="20">
        <v>1500000</v>
      </c>
      <c r="C846" s="20"/>
      <c r="D846" s="20"/>
      <c r="E846" s="99" t="s">
        <v>560</v>
      </c>
      <c r="F846" s="20">
        <f t="shared" si="13"/>
        <v>220184021</v>
      </c>
      <c r="G846" s="7" t="s">
        <v>564</v>
      </c>
      <c r="H846" s="24" t="s">
        <v>325</v>
      </c>
      <c r="I846" s="32" t="s">
        <v>152</v>
      </c>
    </row>
    <row r="847" spans="1:9" x14ac:dyDescent="0.35">
      <c r="A847" s="19">
        <v>45775</v>
      </c>
      <c r="B847" s="20">
        <v>6500</v>
      </c>
      <c r="C847" s="20"/>
      <c r="D847" s="20"/>
      <c r="E847" s="99" t="s">
        <v>560</v>
      </c>
      <c r="F847" s="20">
        <f t="shared" si="13"/>
        <v>220177521</v>
      </c>
      <c r="G847" s="7" t="s">
        <v>565</v>
      </c>
      <c r="H847" s="24" t="s">
        <v>325</v>
      </c>
      <c r="I847" s="32" t="s">
        <v>152</v>
      </c>
    </row>
    <row r="848" spans="1:9" x14ac:dyDescent="0.35">
      <c r="A848" s="19">
        <v>45775</v>
      </c>
      <c r="B848" s="20">
        <v>2000000</v>
      </c>
      <c r="C848" s="20"/>
      <c r="D848" s="20"/>
      <c r="E848" s="99" t="s">
        <v>560</v>
      </c>
      <c r="F848" s="20">
        <f t="shared" si="13"/>
        <v>218177521</v>
      </c>
      <c r="G848" s="7" t="s">
        <v>566</v>
      </c>
      <c r="H848" s="24" t="s">
        <v>325</v>
      </c>
      <c r="I848" s="32" t="s">
        <v>152</v>
      </c>
    </row>
    <row r="849" spans="1:9" x14ac:dyDescent="0.35">
      <c r="A849" s="19">
        <v>45775</v>
      </c>
      <c r="B849" s="20">
        <v>6500</v>
      </c>
      <c r="C849" s="20"/>
      <c r="D849" s="20"/>
      <c r="E849" s="99" t="s">
        <v>560</v>
      </c>
      <c r="F849" s="20">
        <f t="shared" si="13"/>
        <v>218171021</v>
      </c>
      <c r="G849" s="7" t="s">
        <v>567</v>
      </c>
      <c r="H849" s="24" t="s">
        <v>325</v>
      </c>
      <c r="I849" s="32" t="s">
        <v>152</v>
      </c>
    </row>
    <row r="850" spans="1:9" x14ac:dyDescent="0.35">
      <c r="A850" s="19">
        <v>45775</v>
      </c>
      <c r="B850" s="20">
        <v>2000000</v>
      </c>
      <c r="C850" s="20"/>
      <c r="D850" s="20"/>
      <c r="E850" s="99" t="s">
        <v>560</v>
      </c>
      <c r="F850" s="20">
        <f t="shared" si="13"/>
        <v>216171021</v>
      </c>
      <c r="G850" s="7" t="s">
        <v>568</v>
      </c>
      <c r="H850" s="24" t="s">
        <v>325</v>
      </c>
      <c r="I850" s="32" t="s">
        <v>152</v>
      </c>
    </row>
    <row r="851" spans="1:9" x14ac:dyDescent="0.35">
      <c r="A851" s="19">
        <v>45775</v>
      </c>
      <c r="B851" s="20">
        <v>6500</v>
      </c>
      <c r="C851" s="20"/>
      <c r="D851" s="20"/>
      <c r="E851" s="99" t="s">
        <v>560</v>
      </c>
      <c r="F851" s="20">
        <f t="shared" si="13"/>
        <v>216164521</v>
      </c>
      <c r="G851" s="7" t="s">
        <v>569</v>
      </c>
      <c r="H851" s="24" t="s">
        <v>325</v>
      </c>
      <c r="I851" s="32" t="s">
        <v>152</v>
      </c>
    </row>
    <row r="852" spans="1:9" x14ac:dyDescent="0.35">
      <c r="A852" s="19">
        <v>45775</v>
      </c>
      <c r="B852" s="20">
        <v>3250000</v>
      </c>
      <c r="C852" s="20"/>
      <c r="D852" s="20"/>
      <c r="E852" s="99" t="s">
        <v>560</v>
      </c>
      <c r="F852" s="20">
        <f t="shared" si="13"/>
        <v>212914521</v>
      </c>
      <c r="G852" s="7" t="s">
        <v>570</v>
      </c>
      <c r="H852" s="24" t="s">
        <v>325</v>
      </c>
      <c r="I852" s="32" t="s">
        <v>152</v>
      </c>
    </row>
    <row r="853" spans="1:9" x14ac:dyDescent="0.35">
      <c r="A853" s="19">
        <v>45775</v>
      </c>
      <c r="B853" s="20">
        <v>6500</v>
      </c>
      <c r="C853" s="20"/>
      <c r="D853" s="20"/>
      <c r="E853" s="99" t="s">
        <v>560</v>
      </c>
      <c r="F853" s="20">
        <f t="shared" si="13"/>
        <v>212908021</v>
      </c>
      <c r="G853" s="7" t="s">
        <v>571</v>
      </c>
      <c r="H853" s="24" t="s">
        <v>325</v>
      </c>
      <c r="I853" s="32" t="s">
        <v>152</v>
      </c>
    </row>
    <row r="854" spans="1:9" x14ac:dyDescent="0.35">
      <c r="A854" s="19">
        <v>45775</v>
      </c>
      <c r="B854" s="20">
        <v>2700000</v>
      </c>
      <c r="C854" s="20"/>
      <c r="D854" s="20"/>
      <c r="E854" s="99" t="s">
        <v>560</v>
      </c>
      <c r="F854" s="20">
        <f t="shared" si="13"/>
        <v>210208021</v>
      </c>
      <c r="G854" s="7" t="s">
        <v>572</v>
      </c>
      <c r="H854" s="24" t="s">
        <v>201</v>
      </c>
      <c r="I854" s="32" t="s">
        <v>152</v>
      </c>
    </row>
    <row r="855" spans="1:9" x14ac:dyDescent="0.35">
      <c r="A855" s="19">
        <v>45775</v>
      </c>
      <c r="B855" s="20">
        <v>6500</v>
      </c>
      <c r="C855" s="20"/>
      <c r="D855" s="20"/>
      <c r="E855" s="99" t="s">
        <v>560</v>
      </c>
      <c r="F855" s="20">
        <f t="shared" si="13"/>
        <v>210201521</v>
      </c>
      <c r="G855" s="7" t="s">
        <v>573</v>
      </c>
      <c r="H855" s="24" t="s">
        <v>201</v>
      </c>
      <c r="I855" s="32" t="s">
        <v>152</v>
      </c>
    </row>
    <row r="856" spans="1:9" x14ac:dyDescent="0.35">
      <c r="A856" s="19">
        <v>45775</v>
      </c>
      <c r="B856" s="20">
        <v>2500000</v>
      </c>
      <c r="C856" s="20"/>
      <c r="D856" s="20"/>
      <c r="E856" s="99" t="s">
        <v>560</v>
      </c>
      <c r="F856" s="20">
        <f t="shared" si="13"/>
        <v>207701521</v>
      </c>
      <c r="G856" s="7" t="s">
        <v>181</v>
      </c>
      <c r="H856" s="24" t="s">
        <v>325</v>
      </c>
      <c r="I856" s="32" t="s">
        <v>152</v>
      </c>
    </row>
    <row r="857" spans="1:9" x14ac:dyDescent="0.35">
      <c r="A857" s="19">
        <v>45775</v>
      </c>
      <c r="B857" s="20">
        <v>1000000</v>
      </c>
      <c r="C857" s="20"/>
      <c r="D857" s="20"/>
      <c r="E857" s="99" t="s">
        <v>560</v>
      </c>
      <c r="F857" s="20">
        <f t="shared" si="13"/>
        <v>206701521</v>
      </c>
      <c r="G857" s="7" t="s">
        <v>574</v>
      </c>
      <c r="H857" s="24" t="s">
        <v>323</v>
      </c>
      <c r="I857" s="32" t="s">
        <v>152</v>
      </c>
    </row>
    <row r="858" spans="1:9" x14ac:dyDescent="0.35">
      <c r="A858" s="19">
        <v>45775</v>
      </c>
      <c r="B858" s="20">
        <v>4000000</v>
      </c>
      <c r="C858" s="20"/>
      <c r="D858" s="20"/>
      <c r="E858" s="99" t="s">
        <v>560</v>
      </c>
      <c r="F858" s="20">
        <f t="shared" si="13"/>
        <v>202701521</v>
      </c>
      <c r="G858" s="7" t="s">
        <v>575</v>
      </c>
      <c r="H858" s="24" t="s">
        <v>201</v>
      </c>
      <c r="I858" s="32" t="s">
        <v>152</v>
      </c>
    </row>
    <row r="859" spans="1:9" x14ac:dyDescent="0.35">
      <c r="A859" s="19">
        <v>45775</v>
      </c>
      <c r="B859" s="20">
        <v>6500</v>
      </c>
      <c r="C859" s="20"/>
      <c r="D859" s="20"/>
      <c r="E859" s="99" t="s">
        <v>560</v>
      </c>
      <c r="F859" s="20">
        <f t="shared" si="13"/>
        <v>202695021</v>
      </c>
      <c r="G859" s="7" t="s">
        <v>576</v>
      </c>
      <c r="H859" s="24" t="s">
        <v>201</v>
      </c>
      <c r="I859" s="32" t="s">
        <v>152</v>
      </c>
    </row>
    <row r="860" spans="1:9" x14ac:dyDescent="0.35">
      <c r="A860" s="19">
        <v>45775</v>
      </c>
      <c r="B860" s="20"/>
      <c r="C860" s="20"/>
      <c r="D860" s="20">
        <v>600000</v>
      </c>
      <c r="E860" s="99" t="s">
        <v>560</v>
      </c>
      <c r="F860" s="20">
        <f t="shared" si="13"/>
        <v>203295021</v>
      </c>
      <c r="G860" s="7" t="s">
        <v>290</v>
      </c>
      <c r="H860" s="24" t="s">
        <v>140</v>
      </c>
      <c r="I860" s="32" t="s">
        <v>152</v>
      </c>
    </row>
    <row r="861" spans="1:9" x14ac:dyDescent="0.35">
      <c r="A861" s="19">
        <v>45775</v>
      </c>
      <c r="B861" s="20"/>
      <c r="C861" s="20"/>
      <c r="D861" s="20">
        <v>300000</v>
      </c>
      <c r="E861" s="99" t="s">
        <v>560</v>
      </c>
      <c r="F861" s="20">
        <f t="shared" si="13"/>
        <v>203595021</v>
      </c>
      <c r="G861" s="7" t="s">
        <v>577</v>
      </c>
      <c r="H861" s="24" t="s">
        <v>109</v>
      </c>
      <c r="I861" s="32" t="s">
        <v>152</v>
      </c>
    </row>
    <row r="862" spans="1:9" x14ac:dyDescent="0.35">
      <c r="A862" s="19">
        <v>45776</v>
      </c>
      <c r="B862" s="20"/>
      <c r="C862" s="20"/>
      <c r="D862" s="20">
        <v>50000</v>
      </c>
      <c r="E862" s="99" t="s">
        <v>560</v>
      </c>
      <c r="F862" s="20">
        <f t="shared" si="13"/>
        <v>203645021</v>
      </c>
      <c r="G862" s="7" t="s">
        <v>330</v>
      </c>
      <c r="H862" s="24" t="s">
        <v>109</v>
      </c>
      <c r="I862" s="32" t="s">
        <v>152</v>
      </c>
    </row>
    <row r="863" spans="1:9" x14ac:dyDescent="0.35">
      <c r="A863" s="19">
        <v>45776</v>
      </c>
      <c r="B863" s="20"/>
      <c r="C863" s="20"/>
      <c r="D863" s="20">
        <v>50000</v>
      </c>
      <c r="E863" s="99" t="s">
        <v>560</v>
      </c>
      <c r="F863" s="20">
        <f t="shared" si="13"/>
        <v>203695021</v>
      </c>
      <c r="G863" s="7" t="s">
        <v>330</v>
      </c>
      <c r="H863" s="24" t="s">
        <v>109</v>
      </c>
      <c r="I863" s="32" t="s">
        <v>152</v>
      </c>
    </row>
    <row r="864" spans="1:9" x14ac:dyDescent="0.35">
      <c r="A864" s="19">
        <v>45776</v>
      </c>
      <c r="B864" s="20"/>
      <c r="C864" s="20"/>
      <c r="D864" s="20">
        <v>2477000</v>
      </c>
      <c r="E864" s="99" t="s">
        <v>560</v>
      </c>
      <c r="F864" s="20">
        <f t="shared" si="13"/>
        <v>206172021</v>
      </c>
      <c r="G864" s="7" t="s">
        <v>581</v>
      </c>
      <c r="H864" s="24" t="s">
        <v>580</v>
      </c>
      <c r="I864" s="32" t="s">
        <v>152</v>
      </c>
    </row>
    <row r="865" spans="1:9" x14ac:dyDescent="0.35">
      <c r="A865" s="19">
        <v>45776</v>
      </c>
      <c r="B865" s="20"/>
      <c r="C865" s="20"/>
      <c r="D865" s="23">
        <v>3667000</v>
      </c>
      <c r="E865" s="99" t="s">
        <v>560</v>
      </c>
      <c r="F865" s="20">
        <f t="shared" si="13"/>
        <v>209839021</v>
      </c>
      <c r="G865" s="24"/>
      <c r="H865" s="24" t="s">
        <v>107</v>
      </c>
      <c r="I865" s="32" t="s">
        <v>152</v>
      </c>
    </row>
    <row r="866" spans="1:9" x14ac:dyDescent="0.35">
      <c r="A866" s="19">
        <v>45776</v>
      </c>
      <c r="B866" s="20"/>
      <c r="C866" s="20"/>
      <c r="D866" s="23">
        <v>5927000</v>
      </c>
      <c r="E866" s="99" t="s">
        <v>560</v>
      </c>
      <c r="F866" s="20">
        <f t="shared" si="13"/>
        <v>215766021</v>
      </c>
      <c r="G866" s="24"/>
      <c r="H866" s="24" t="s">
        <v>109</v>
      </c>
      <c r="I866" s="32" t="s">
        <v>152</v>
      </c>
    </row>
    <row r="867" spans="1:9" x14ac:dyDescent="0.35">
      <c r="A867" s="19"/>
      <c r="B867" s="20"/>
      <c r="C867" s="20">
        <v>9594000</v>
      </c>
      <c r="D867" s="20"/>
      <c r="E867" s="99"/>
      <c r="F867" s="20">
        <f t="shared" si="13"/>
        <v>215766021</v>
      </c>
      <c r="G867" s="7" t="s">
        <v>305</v>
      </c>
      <c r="H867" s="24"/>
      <c r="I867" s="32"/>
    </row>
    <row r="868" spans="1:9" x14ac:dyDescent="0.35">
      <c r="A868" s="19">
        <v>45777</v>
      </c>
      <c r="B868" s="20"/>
      <c r="C868" s="20"/>
      <c r="D868" s="20">
        <v>50000</v>
      </c>
      <c r="E868" s="99" t="s">
        <v>560</v>
      </c>
      <c r="F868" s="20">
        <f t="shared" si="13"/>
        <v>215816021</v>
      </c>
      <c r="G868" s="7" t="s">
        <v>330</v>
      </c>
      <c r="H868" s="24" t="s">
        <v>109</v>
      </c>
      <c r="I868" s="32" t="s">
        <v>152</v>
      </c>
    </row>
    <row r="869" spans="1:9" x14ac:dyDescent="0.35">
      <c r="A869" s="19">
        <v>45777</v>
      </c>
      <c r="B869" s="20"/>
      <c r="C869" s="20"/>
      <c r="D869" s="20">
        <v>10000</v>
      </c>
      <c r="E869" s="99" t="s">
        <v>560</v>
      </c>
      <c r="F869" s="20">
        <f t="shared" si="13"/>
        <v>215826021</v>
      </c>
      <c r="G869" s="7" t="s">
        <v>330</v>
      </c>
      <c r="H869" s="24" t="s">
        <v>109</v>
      </c>
      <c r="I869" s="32" t="s">
        <v>152</v>
      </c>
    </row>
    <row r="870" spans="1:9" x14ac:dyDescent="0.35">
      <c r="A870" s="19">
        <v>45778</v>
      </c>
      <c r="B870" s="20"/>
      <c r="C870" s="20"/>
      <c r="D870" s="20">
        <v>10000</v>
      </c>
      <c r="E870" s="99" t="s">
        <v>560</v>
      </c>
      <c r="F870" s="20">
        <f t="shared" si="13"/>
        <v>215836021</v>
      </c>
      <c r="G870" s="7" t="s">
        <v>330</v>
      </c>
      <c r="H870" s="24" t="s">
        <v>109</v>
      </c>
      <c r="I870" s="32" t="s">
        <v>152</v>
      </c>
    </row>
    <row r="871" spans="1:9" x14ac:dyDescent="0.35">
      <c r="A871" s="19">
        <v>45778</v>
      </c>
      <c r="B871" s="20"/>
      <c r="C871" s="20"/>
      <c r="D871" s="20">
        <v>200000</v>
      </c>
      <c r="E871" s="99" t="s">
        <v>560</v>
      </c>
      <c r="F871" s="20">
        <f t="shared" si="13"/>
        <v>216036021</v>
      </c>
      <c r="G871" s="7" t="s">
        <v>578</v>
      </c>
      <c r="H871" s="24" t="s">
        <v>109</v>
      </c>
      <c r="I871" s="32" t="s">
        <v>152</v>
      </c>
    </row>
    <row r="872" spans="1:9" x14ac:dyDescent="0.35">
      <c r="A872" s="19">
        <v>45778</v>
      </c>
      <c r="B872" s="20"/>
      <c r="C872" s="20"/>
      <c r="D872" s="20">
        <v>500000</v>
      </c>
      <c r="E872" s="99" t="s">
        <v>560</v>
      </c>
      <c r="F872" s="20">
        <f t="shared" si="13"/>
        <v>216536021</v>
      </c>
      <c r="G872" s="7" t="s">
        <v>579</v>
      </c>
      <c r="H872" s="24" t="s">
        <v>109</v>
      </c>
      <c r="I872" s="32" t="s">
        <v>152</v>
      </c>
    </row>
    <row r="873" spans="1:9" x14ac:dyDescent="0.35">
      <c r="A873" s="176"/>
      <c r="B873" s="176"/>
      <c r="C873" s="176"/>
      <c r="D873" s="176"/>
      <c r="E873" s="176"/>
      <c r="F873" s="182">
        <v>216536021</v>
      </c>
      <c r="G873" s="176"/>
      <c r="H873" s="176"/>
      <c r="I873" s="176"/>
    </row>
    <row r="874" spans="1:9" x14ac:dyDescent="0.35">
      <c r="A874" s="6" t="s">
        <v>2</v>
      </c>
      <c r="B874" s="6" t="s">
        <v>3</v>
      </c>
      <c r="C874" s="6" t="s">
        <v>138</v>
      </c>
      <c r="D874" s="6" t="s">
        <v>4</v>
      </c>
      <c r="E874" s="6" t="s">
        <v>192</v>
      </c>
      <c r="F874" s="6" t="s">
        <v>5</v>
      </c>
      <c r="G874" s="6" t="s">
        <v>6</v>
      </c>
      <c r="H874" s="34" t="s">
        <v>141</v>
      </c>
      <c r="I874" s="34" t="s">
        <v>359</v>
      </c>
    </row>
    <row r="875" spans="1:9" x14ac:dyDescent="0.35">
      <c r="A875" s="129">
        <v>45660</v>
      </c>
      <c r="B875" s="130"/>
      <c r="C875" s="131"/>
      <c r="D875" s="131">
        <v>2836352</v>
      </c>
      <c r="E875" s="132" t="s">
        <v>357</v>
      </c>
      <c r="F875" s="130"/>
      <c r="G875" s="133" t="s">
        <v>107</v>
      </c>
      <c r="H875" s="133" t="s">
        <v>206</v>
      </c>
      <c r="I875" s="134" t="s">
        <v>108</v>
      </c>
    </row>
    <row r="876" spans="1:9" x14ac:dyDescent="0.35">
      <c r="A876" s="129">
        <v>45660</v>
      </c>
      <c r="B876" s="130"/>
      <c r="C876" s="131"/>
      <c r="D876" s="131">
        <v>2163648</v>
      </c>
      <c r="E876" s="132" t="s">
        <v>357</v>
      </c>
      <c r="F876" s="130"/>
      <c r="G876" s="133" t="s">
        <v>109</v>
      </c>
      <c r="H876" s="133" t="s">
        <v>207</v>
      </c>
      <c r="I876" s="134" t="s">
        <v>108</v>
      </c>
    </row>
    <row r="877" spans="1:9" x14ac:dyDescent="0.35">
      <c r="A877" s="129"/>
      <c r="B877" s="135"/>
      <c r="C877" s="135">
        <v>5000000</v>
      </c>
      <c r="D877" s="135"/>
      <c r="E877" s="135"/>
      <c r="F877" s="135">
        <v>5000000</v>
      </c>
      <c r="G877" s="136" t="s">
        <v>142</v>
      </c>
      <c r="H877" s="133"/>
      <c r="I877" s="137"/>
    </row>
    <row r="878" spans="1:9" x14ac:dyDescent="0.35">
      <c r="A878" s="129">
        <v>45660</v>
      </c>
      <c r="B878" s="135">
        <v>675000</v>
      </c>
      <c r="C878" s="135"/>
      <c r="D878" s="135"/>
      <c r="E878" s="132" t="s">
        <v>357</v>
      </c>
      <c r="F878" s="135">
        <f t="shared" ref="F878:F941" si="14">+F877+D878-B878</f>
        <v>4325000</v>
      </c>
      <c r="G878" s="136" t="s">
        <v>111</v>
      </c>
      <c r="H878" s="133" t="s">
        <v>328</v>
      </c>
      <c r="I878" s="134" t="s">
        <v>108</v>
      </c>
    </row>
    <row r="879" spans="1:9" x14ac:dyDescent="0.35">
      <c r="A879" s="129">
        <v>45660</v>
      </c>
      <c r="B879" s="135">
        <v>130000</v>
      </c>
      <c r="C879" s="135"/>
      <c r="D879" s="135"/>
      <c r="E879" s="132" t="s">
        <v>357</v>
      </c>
      <c r="F879" s="135">
        <f t="shared" si="14"/>
        <v>4195000</v>
      </c>
      <c r="G879" s="136" t="s">
        <v>112</v>
      </c>
      <c r="H879" s="133" t="s">
        <v>322</v>
      </c>
      <c r="I879" s="134" t="s">
        <v>108</v>
      </c>
    </row>
    <row r="880" spans="1:9" x14ac:dyDescent="0.35">
      <c r="A880" s="129">
        <v>45660</v>
      </c>
      <c r="B880" s="135">
        <v>180000</v>
      </c>
      <c r="C880" s="135"/>
      <c r="D880" s="135"/>
      <c r="E880" s="132" t="s">
        <v>357</v>
      </c>
      <c r="F880" s="135">
        <f t="shared" si="14"/>
        <v>4015000</v>
      </c>
      <c r="G880" s="136" t="s">
        <v>116</v>
      </c>
      <c r="H880" s="133" t="s">
        <v>327</v>
      </c>
      <c r="I880" s="134" t="s">
        <v>108</v>
      </c>
    </row>
    <row r="881" spans="1:9" x14ac:dyDescent="0.35">
      <c r="A881" s="129">
        <v>45660</v>
      </c>
      <c r="B881" s="135">
        <v>170000</v>
      </c>
      <c r="C881" s="135"/>
      <c r="D881" s="135"/>
      <c r="E881" s="132" t="s">
        <v>357</v>
      </c>
      <c r="F881" s="135">
        <f t="shared" si="14"/>
        <v>3845000</v>
      </c>
      <c r="G881" s="136" t="s">
        <v>113</v>
      </c>
      <c r="H881" s="133" t="s">
        <v>322</v>
      </c>
      <c r="I881" s="134" t="s">
        <v>108</v>
      </c>
    </row>
    <row r="882" spans="1:9" x14ac:dyDescent="0.35">
      <c r="A882" s="129">
        <v>45664</v>
      </c>
      <c r="B882" s="135">
        <v>500000</v>
      </c>
      <c r="C882" s="131"/>
      <c r="D882" s="135"/>
      <c r="E882" s="132" t="s">
        <v>357</v>
      </c>
      <c r="F882" s="135">
        <f t="shared" si="14"/>
        <v>3345000</v>
      </c>
      <c r="G882" s="136" t="s">
        <v>117</v>
      </c>
      <c r="H882" s="133" t="s">
        <v>322</v>
      </c>
      <c r="I882" s="134" t="s">
        <v>108</v>
      </c>
    </row>
    <row r="883" spans="1:9" x14ac:dyDescent="0.35">
      <c r="A883" s="129">
        <v>45669</v>
      </c>
      <c r="B883" s="138">
        <v>750000</v>
      </c>
      <c r="C883" s="131"/>
      <c r="D883" s="135"/>
      <c r="E883" s="132" t="s">
        <v>357</v>
      </c>
      <c r="F883" s="135">
        <f t="shared" si="14"/>
        <v>2595000</v>
      </c>
      <c r="G883" s="136" t="s">
        <v>118</v>
      </c>
      <c r="H883" s="133" t="s">
        <v>323</v>
      </c>
      <c r="I883" s="134" t="s">
        <v>108</v>
      </c>
    </row>
    <row r="884" spans="1:9" x14ac:dyDescent="0.35">
      <c r="A884" s="129">
        <v>45669</v>
      </c>
      <c r="B884" s="138">
        <v>130000</v>
      </c>
      <c r="C884" s="131"/>
      <c r="D884" s="139"/>
      <c r="E884" s="132" t="s">
        <v>357</v>
      </c>
      <c r="F884" s="135">
        <f t="shared" si="14"/>
        <v>2465000</v>
      </c>
      <c r="G884" s="136" t="s">
        <v>112</v>
      </c>
      <c r="H884" s="133" t="s">
        <v>322</v>
      </c>
      <c r="I884" s="134" t="s">
        <v>108</v>
      </c>
    </row>
    <row r="885" spans="1:9" x14ac:dyDescent="0.35">
      <c r="A885" s="129">
        <v>45669</v>
      </c>
      <c r="B885" s="138">
        <v>104000</v>
      </c>
      <c r="C885" s="135"/>
      <c r="D885" s="135"/>
      <c r="E885" s="132" t="s">
        <v>357</v>
      </c>
      <c r="F885" s="135">
        <f t="shared" si="14"/>
        <v>2361000</v>
      </c>
      <c r="G885" s="136" t="s">
        <v>119</v>
      </c>
      <c r="H885" s="133" t="s">
        <v>327</v>
      </c>
      <c r="I885" s="134" t="s">
        <v>108</v>
      </c>
    </row>
    <row r="886" spans="1:9" x14ac:dyDescent="0.35">
      <c r="A886" s="129">
        <v>45669</v>
      </c>
      <c r="B886" s="138">
        <v>200000</v>
      </c>
      <c r="C886" s="131"/>
      <c r="D886" s="130"/>
      <c r="E886" s="132" t="s">
        <v>357</v>
      </c>
      <c r="F886" s="135">
        <f t="shared" si="14"/>
        <v>2161000</v>
      </c>
      <c r="G886" s="136" t="s">
        <v>120</v>
      </c>
      <c r="H886" s="133" t="s">
        <v>322</v>
      </c>
      <c r="I886" s="134" t="s">
        <v>108</v>
      </c>
    </row>
    <row r="887" spans="1:9" x14ac:dyDescent="0.35">
      <c r="A887" s="129">
        <v>45669</v>
      </c>
      <c r="B887" s="138">
        <v>500000</v>
      </c>
      <c r="C887" s="135"/>
      <c r="D887" s="139"/>
      <c r="E887" s="132" t="s">
        <v>357</v>
      </c>
      <c r="F887" s="135">
        <f t="shared" si="14"/>
        <v>1661000</v>
      </c>
      <c r="G887" s="136" t="s">
        <v>122</v>
      </c>
      <c r="H887" s="133" t="s">
        <v>323</v>
      </c>
      <c r="I887" s="134" t="s">
        <v>108</v>
      </c>
    </row>
    <row r="888" spans="1:9" x14ac:dyDescent="0.35">
      <c r="A888" s="129">
        <v>45669</v>
      </c>
      <c r="B888" s="135"/>
      <c r="C888" s="135"/>
      <c r="D888" s="139">
        <v>2000000</v>
      </c>
      <c r="E888" s="132" t="s">
        <v>357</v>
      </c>
      <c r="F888" s="135">
        <f t="shared" si="14"/>
        <v>3661000</v>
      </c>
      <c r="G888" s="136" t="s">
        <v>110</v>
      </c>
      <c r="H888" s="133" t="s">
        <v>109</v>
      </c>
      <c r="I888" s="134" t="s">
        <v>108</v>
      </c>
    </row>
    <row r="889" spans="1:9" x14ac:dyDescent="0.35">
      <c r="A889" s="129">
        <v>45669</v>
      </c>
      <c r="B889" s="140">
        <v>2000000</v>
      </c>
      <c r="C889" s="135"/>
      <c r="D889" s="135"/>
      <c r="E889" s="132" t="s">
        <v>357</v>
      </c>
      <c r="F889" s="135">
        <f t="shared" si="14"/>
        <v>1661000</v>
      </c>
      <c r="G889" s="136" t="s">
        <v>121</v>
      </c>
      <c r="H889" s="133" t="s">
        <v>328</v>
      </c>
      <c r="I889" s="134" t="s">
        <v>108</v>
      </c>
    </row>
    <row r="890" spans="1:9" x14ac:dyDescent="0.35">
      <c r="A890" s="129">
        <v>45669</v>
      </c>
      <c r="B890" s="140">
        <v>500000</v>
      </c>
      <c r="C890" s="135"/>
      <c r="D890" s="139"/>
      <c r="E890" s="132" t="s">
        <v>357</v>
      </c>
      <c r="F890" s="135">
        <f t="shared" si="14"/>
        <v>1161000</v>
      </c>
      <c r="G890" s="136" t="s">
        <v>122</v>
      </c>
      <c r="H890" s="133" t="s">
        <v>323</v>
      </c>
      <c r="I890" s="134" t="s">
        <v>108</v>
      </c>
    </row>
    <row r="891" spans="1:9" x14ac:dyDescent="0.35">
      <c r="A891" s="129">
        <v>45670</v>
      </c>
      <c r="B891" s="140">
        <v>140000</v>
      </c>
      <c r="C891" s="135"/>
      <c r="D891" s="135"/>
      <c r="E891" s="132" t="s">
        <v>357</v>
      </c>
      <c r="F891" s="135">
        <f t="shared" si="14"/>
        <v>1021000</v>
      </c>
      <c r="G891" s="136" t="s">
        <v>123</v>
      </c>
      <c r="H891" s="133" t="s">
        <v>320</v>
      </c>
      <c r="I891" s="134" t="s">
        <v>108</v>
      </c>
    </row>
    <row r="892" spans="1:9" x14ac:dyDescent="0.35">
      <c r="A892" s="129">
        <v>45670</v>
      </c>
      <c r="B892" s="140">
        <v>197000</v>
      </c>
      <c r="C892" s="135"/>
      <c r="D892" s="135"/>
      <c r="E892" s="132" t="s">
        <v>357</v>
      </c>
      <c r="F892" s="135">
        <f t="shared" si="14"/>
        <v>824000</v>
      </c>
      <c r="G892" s="136" t="s">
        <v>124</v>
      </c>
      <c r="H892" s="133" t="s">
        <v>322</v>
      </c>
      <c r="I892" s="134" t="s">
        <v>108</v>
      </c>
    </row>
    <row r="893" spans="1:9" x14ac:dyDescent="0.35">
      <c r="A893" s="129">
        <v>45670</v>
      </c>
      <c r="B893" s="140">
        <v>72000</v>
      </c>
      <c r="C893" s="131"/>
      <c r="D893" s="135"/>
      <c r="E893" s="132" t="s">
        <v>357</v>
      </c>
      <c r="F893" s="135">
        <f t="shared" si="14"/>
        <v>752000</v>
      </c>
      <c r="G893" s="136" t="s">
        <v>137</v>
      </c>
      <c r="H893" s="133" t="s">
        <v>327</v>
      </c>
      <c r="I893" s="134" t="s">
        <v>108</v>
      </c>
    </row>
    <row r="894" spans="1:9" x14ac:dyDescent="0.35">
      <c r="A894" s="129">
        <v>45674</v>
      </c>
      <c r="B894" s="135"/>
      <c r="C894" s="131"/>
      <c r="D894" s="131">
        <v>33000</v>
      </c>
      <c r="E894" s="132" t="s">
        <v>357</v>
      </c>
      <c r="F894" s="135">
        <f t="shared" si="14"/>
        <v>785000</v>
      </c>
      <c r="G894" s="136"/>
      <c r="H894" s="133" t="s">
        <v>107</v>
      </c>
      <c r="I894" s="134" t="s">
        <v>108</v>
      </c>
    </row>
    <row r="895" spans="1:9" x14ac:dyDescent="0.35">
      <c r="A895" s="129">
        <v>45674</v>
      </c>
      <c r="B895" s="135"/>
      <c r="C895" s="131"/>
      <c r="D895" s="131">
        <v>2967000</v>
      </c>
      <c r="E895" s="132" t="s">
        <v>357</v>
      </c>
      <c r="F895" s="135">
        <f t="shared" si="14"/>
        <v>3752000</v>
      </c>
      <c r="G895" s="136"/>
      <c r="H895" s="133" t="s">
        <v>109</v>
      </c>
      <c r="I895" s="134" t="s">
        <v>108</v>
      </c>
    </row>
    <row r="896" spans="1:9" x14ac:dyDescent="0.35">
      <c r="A896" s="129"/>
      <c r="B896" s="135"/>
      <c r="C896" s="135">
        <v>3000000</v>
      </c>
      <c r="D896" s="135"/>
      <c r="E896" s="135"/>
      <c r="F896" s="135">
        <f t="shared" si="14"/>
        <v>3752000</v>
      </c>
      <c r="G896" s="136" t="s">
        <v>110</v>
      </c>
      <c r="H896" s="133"/>
      <c r="I896" s="141"/>
    </row>
    <row r="897" spans="1:9" x14ac:dyDescent="0.35">
      <c r="A897" s="129">
        <v>45682</v>
      </c>
      <c r="B897" s="135">
        <v>100000</v>
      </c>
      <c r="C897" s="131"/>
      <c r="D897" s="130"/>
      <c r="E897" s="132" t="s">
        <v>357</v>
      </c>
      <c r="F897" s="135">
        <f t="shared" si="14"/>
        <v>3652000</v>
      </c>
      <c r="G897" s="136" t="s">
        <v>186</v>
      </c>
      <c r="H897" s="133" t="s">
        <v>322</v>
      </c>
      <c r="I897" s="134" t="s">
        <v>108</v>
      </c>
    </row>
    <row r="898" spans="1:9" x14ac:dyDescent="0.35">
      <c r="A898" s="129">
        <v>45682</v>
      </c>
      <c r="B898" s="142">
        <v>130000</v>
      </c>
      <c r="C898" s="135"/>
      <c r="D898" s="135"/>
      <c r="E898" s="132" t="s">
        <v>357</v>
      </c>
      <c r="F898" s="135">
        <f t="shared" si="14"/>
        <v>3522000</v>
      </c>
      <c r="G898" s="136" t="s">
        <v>112</v>
      </c>
      <c r="H898" s="133" t="s">
        <v>322</v>
      </c>
      <c r="I898" s="134" t="s">
        <v>108</v>
      </c>
    </row>
    <row r="899" spans="1:9" x14ac:dyDescent="0.35">
      <c r="A899" s="129">
        <v>45683</v>
      </c>
      <c r="B899" s="142">
        <v>90000</v>
      </c>
      <c r="C899" s="135"/>
      <c r="D899" s="135"/>
      <c r="E899" s="132" t="s">
        <v>357</v>
      </c>
      <c r="F899" s="135">
        <f t="shared" si="14"/>
        <v>3432000</v>
      </c>
      <c r="G899" s="136" t="s">
        <v>187</v>
      </c>
      <c r="H899" s="133" t="s">
        <v>327</v>
      </c>
      <c r="I899" s="134" t="s">
        <v>108</v>
      </c>
    </row>
    <row r="900" spans="1:9" x14ac:dyDescent="0.35">
      <c r="A900" s="129">
        <v>45687</v>
      </c>
      <c r="B900" s="142">
        <v>500000</v>
      </c>
      <c r="C900" s="135"/>
      <c r="D900" s="135"/>
      <c r="E900" s="132" t="s">
        <v>357</v>
      </c>
      <c r="F900" s="135">
        <f t="shared" si="14"/>
        <v>2932000</v>
      </c>
      <c r="G900" s="136" t="s">
        <v>191</v>
      </c>
      <c r="H900" s="133" t="s">
        <v>323</v>
      </c>
      <c r="I900" s="134" t="s">
        <v>108</v>
      </c>
    </row>
    <row r="901" spans="1:9" x14ac:dyDescent="0.35">
      <c r="A901" s="129">
        <v>45687</v>
      </c>
      <c r="B901" s="142">
        <v>400000</v>
      </c>
      <c r="C901" s="135"/>
      <c r="D901" s="135"/>
      <c r="E901" s="132" t="s">
        <v>357</v>
      </c>
      <c r="F901" s="135">
        <f t="shared" si="14"/>
        <v>2532000</v>
      </c>
      <c r="G901" s="136" t="s">
        <v>188</v>
      </c>
      <c r="H901" s="133" t="s">
        <v>323</v>
      </c>
      <c r="I901" s="134" t="s">
        <v>108</v>
      </c>
    </row>
    <row r="902" spans="1:9" x14ac:dyDescent="0.35">
      <c r="A902" s="129">
        <v>45687</v>
      </c>
      <c r="B902" s="142">
        <v>500000</v>
      </c>
      <c r="C902" s="135"/>
      <c r="D902" s="135"/>
      <c r="E902" s="132" t="s">
        <v>357</v>
      </c>
      <c r="F902" s="135">
        <f t="shared" si="14"/>
        <v>2032000</v>
      </c>
      <c r="G902" s="136" t="s">
        <v>189</v>
      </c>
      <c r="H902" s="133" t="s">
        <v>322</v>
      </c>
      <c r="I902" s="134" t="s">
        <v>108</v>
      </c>
    </row>
    <row r="903" spans="1:9" x14ac:dyDescent="0.35">
      <c r="A903" s="129">
        <v>45687</v>
      </c>
      <c r="B903" s="142">
        <v>500000</v>
      </c>
      <c r="C903" s="135"/>
      <c r="D903" s="135"/>
      <c r="E903" s="132" t="s">
        <v>357</v>
      </c>
      <c r="F903" s="135">
        <f t="shared" si="14"/>
        <v>1532000</v>
      </c>
      <c r="G903" s="136" t="s">
        <v>190</v>
      </c>
      <c r="H903" s="133" t="s">
        <v>322</v>
      </c>
      <c r="I903" s="134" t="s">
        <v>108</v>
      </c>
    </row>
    <row r="904" spans="1:9" x14ac:dyDescent="0.35">
      <c r="A904" s="129">
        <v>45687</v>
      </c>
      <c r="B904" s="142"/>
      <c r="C904" s="131"/>
      <c r="D904" s="135">
        <v>2000000</v>
      </c>
      <c r="E904" s="143" t="s">
        <v>357</v>
      </c>
      <c r="F904" s="135">
        <f t="shared" si="14"/>
        <v>3532000</v>
      </c>
      <c r="G904" s="136" t="s">
        <v>110</v>
      </c>
      <c r="H904" s="133" t="s">
        <v>109</v>
      </c>
      <c r="I904" s="134" t="s">
        <v>108</v>
      </c>
    </row>
    <row r="905" spans="1:9" x14ac:dyDescent="0.35">
      <c r="A905" s="129">
        <v>45690</v>
      </c>
      <c r="B905" s="142">
        <v>90000</v>
      </c>
      <c r="C905" s="131"/>
      <c r="D905" s="135"/>
      <c r="E905" s="132" t="s">
        <v>358</v>
      </c>
      <c r="F905" s="135">
        <f t="shared" si="14"/>
        <v>3442000</v>
      </c>
      <c r="G905" s="136" t="s">
        <v>119</v>
      </c>
      <c r="H905" s="133" t="s">
        <v>327</v>
      </c>
      <c r="I905" s="134" t="s">
        <v>108</v>
      </c>
    </row>
    <row r="906" spans="1:9" x14ac:dyDescent="0.35">
      <c r="A906" s="129">
        <v>45691</v>
      </c>
      <c r="B906" s="142">
        <v>130000</v>
      </c>
      <c r="C906" s="135"/>
      <c r="D906" s="135"/>
      <c r="E906" s="132" t="s">
        <v>358</v>
      </c>
      <c r="F906" s="135">
        <f t="shared" si="14"/>
        <v>3312000</v>
      </c>
      <c r="G906" s="136" t="s">
        <v>112</v>
      </c>
      <c r="H906" s="133" t="s">
        <v>322</v>
      </c>
      <c r="I906" s="134" t="s">
        <v>108</v>
      </c>
    </row>
    <row r="907" spans="1:9" x14ac:dyDescent="0.35">
      <c r="A907" s="129">
        <v>45692</v>
      </c>
      <c r="B907" s="135">
        <v>150000</v>
      </c>
      <c r="C907" s="134"/>
      <c r="D907" s="134"/>
      <c r="E907" s="132" t="s">
        <v>358</v>
      </c>
      <c r="F907" s="135">
        <f t="shared" si="14"/>
        <v>3162000</v>
      </c>
      <c r="G907" s="136" t="s">
        <v>186</v>
      </c>
      <c r="H907" s="133" t="s">
        <v>322</v>
      </c>
      <c r="I907" s="134" t="s">
        <v>108</v>
      </c>
    </row>
    <row r="908" spans="1:9" x14ac:dyDescent="0.35">
      <c r="A908" s="129">
        <v>45695</v>
      </c>
      <c r="B908" s="135">
        <v>500000</v>
      </c>
      <c r="C908" s="134"/>
      <c r="D908" s="134"/>
      <c r="E908" s="132" t="s">
        <v>358</v>
      </c>
      <c r="F908" s="135">
        <f t="shared" si="14"/>
        <v>2662000</v>
      </c>
      <c r="G908" s="136" t="s">
        <v>122</v>
      </c>
      <c r="H908" s="133" t="s">
        <v>323</v>
      </c>
      <c r="I908" s="134" t="s">
        <v>108</v>
      </c>
    </row>
    <row r="909" spans="1:9" x14ac:dyDescent="0.35">
      <c r="A909" s="129">
        <v>45692</v>
      </c>
      <c r="B909" s="135">
        <v>500000</v>
      </c>
      <c r="C909" s="134"/>
      <c r="D909" s="134"/>
      <c r="E909" s="132" t="s">
        <v>358</v>
      </c>
      <c r="F909" s="135">
        <f t="shared" si="14"/>
        <v>2162000</v>
      </c>
      <c r="G909" s="136" t="s">
        <v>266</v>
      </c>
      <c r="H909" s="133" t="s">
        <v>322</v>
      </c>
      <c r="I909" s="134" t="s">
        <v>108</v>
      </c>
    </row>
    <row r="910" spans="1:9" x14ac:dyDescent="0.35">
      <c r="A910" s="129">
        <v>45692</v>
      </c>
      <c r="B910" s="135">
        <v>200000</v>
      </c>
      <c r="C910" s="134"/>
      <c r="D910" s="134"/>
      <c r="E910" s="132" t="s">
        <v>358</v>
      </c>
      <c r="F910" s="135">
        <f t="shared" si="14"/>
        <v>1962000</v>
      </c>
      <c r="G910" s="136" t="s">
        <v>267</v>
      </c>
      <c r="H910" s="133" t="s">
        <v>322</v>
      </c>
      <c r="I910" s="134" t="s">
        <v>108</v>
      </c>
    </row>
    <row r="911" spans="1:9" x14ac:dyDescent="0.35">
      <c r="A911" s="129">
        <v>45693</v>
      </c>
      <c r="B911" s="135">
        <v>50000</v>
      </c>
      <c r="C911" s="134"/>
      <c r="D911" s="134"/>
      <c r="E911" s="132" t="s">
        <v>358</v>
      </c>
      <c r="F911" s="135">
        <f t="shared" si="14"/>
        <v>1912000</v>
      </c>
      <c r="G911" s="136" t="s">
        <v>268</v>
      </c>
      <c r="H911" s="133" t="s">
        <v>327</v>
      </c>
      <c r="I911" s="134" t="s">
        <v>108</v>
      </c>
    </row>
    <row r="912" spans="1:9" x14ac:dyDescent="0.35">
      <c r="A912" s="129">
        <v>45697</v>
      </c>
      <c r="B912" s="135">
        <v>90000</v>
      </c>
      <c r="C912" s="134"/>
      <c r="D912" s="134"/>
      <c r="E912" s="132" t="s">
        <v>358</v>
      </c>
      <c r="F912" s="135">
        <f t="shared" si="14"/>
        <v>1822000</v>
      </c>
      <c r="G912" s="136" t="s">
        <v>119</v>
      </c>
      <c r="H912" s="133" t="s">
        <v>327</v>
      </c>
      <c r="I912" s="134" t="s">
        <v>108</v>
      </c>
    </row>
    <row r="913" spans="1:9" x14ac:dyDescent="0.35">
      <c r="A913" s="129">
        <v>45698</v>
      </c>
      <c r="B913" s="135">
        <v>50000</v>
      </c>
      <c r="C913" s="134"/>
      <c r="D913" s="134"/>
      <c r="E913" s="132" t="s">
        <v>358</v>
      </c>
      <c r="F913" s="135">
        <f t="shared" si="14"/>
        <v>1772000</v>
      </c>
      <c r="G913" s="136" t="s">
        <v>280</v>
      </c>
      <c r="H913" s="133" t="s">
        <v>322</v>
      </c>
      <c r="I913" s="134" t="s">
        <v>108</v>
      </c>
    </row>
    <row r="914" spans="1:9" x14ac:dyDescent="0.35">
      <c r="A914" s="129">
        <v>45702</v>
      </c>
      <c r="B914" s="135">
        <v>500000</v>
      </c>
      <c r="C914" s="134"/>
      <c r="D914" s="134"/>
      <c r="E914" s="132" t="s">
        <v>358</v>
      </c>
      <c r="F914" s="135">
        <f t="shared" si="14"/>
        <v>1272000</v>
      </c>
      <c r="G914" s="136" t="s">
        <v>122</v>
      </c>
      <c r="H914" s="133" t="s">
        <v>323</v>
      </c>
      <c r="I914" s="134" t="s">
        <v>108</v>
      </c>
    </row>
    <row r="915" spans="1:9" x14ac:dyDescent="0.35">
      <c r="A915" s="129">
        <v>45702</v>
      </c>
      <c r="B915" s="135"/>
      <c r="C915" s="134"/>
      <c r="D915" s="135">
        <v>750000</v>
      </c>
      <c r="E915" s="132" t="s">
        <v>358</v>
      </c>
      <c r="F915" s="135">
        <f t="shared" si="14"/>
        <v>2022000</v>
      </c>
      <c r="G915" s="136" t="s">
        <v>281</v>
      </c>
      <c r="H915" s="133" t="s">
        <v>109</v>
      </c>
      <c r="I915" s="134" t="s">
        <v>108</v>
      </c>
    </row>
    <row r="916" spans="1:9" x14ac:dyDescent="0.35">
      <c r="A916" s="129">
        <v>45703</v>
      </c>
      <c r="B916" s="135">
        <v>1000000</v>
      </c>
      <c r="C916" s="134"/>
      <c r="D916" s="134"/>
      <c r="E916" s="132" t="s">
        <v>358</v>
      </c>
      <c r="F916" s="135">
        <f t="shared" si="14"/>
        <v>1022000</v>
      </c>
      <c r="G916" s="136" t="s">
        <v>296</v>
      </c>
      <c r="H916" s="133" t="s">
        <v>321</v>
      </c>
      <c r="I916" s="134" t="s">
        <v>108</v>
      </c>
    </row>
    <row r="917" spans="1:9" x14ac:dyDescent="0.35">
      <c r="A917" s="129">
        <v>45703</v>
      </c>
      <c r="B917" s="135">
        <v>395000</v>
      </c>
      <c r="C917" s="134"/>
      <c r="D917" s="134"/>
      <c r="E917" s="132" t="s">
        <v>358</v>
      </c>
      <c r="F917" s="135">
        <f t="shared" si="14"/>
        <v>627000</v>
      </c>
      <c r="G917" s="136" t="s">
        <v>297</v>
      </c>
      <c r="H917" s="133" t="s">
        <v>321</v>
      </c>
      <c r="I917" s="134" t="s">
        <v>108</v>
      </c>
    </row>
    <row r="918" spans="1:9" x14ac:dyDescent="0.35">
      <c r="A918" s="129">
        <v>45704</v>
      </c>
      <c r="B918" s="135">
        <v>90000</v>
      </c>
      <c r="C918" s="134"/>
      <c r="D918" s="134"/>
      <c r="E918" s="132" t="s">
        <v>358</v>
      </c>
      <c r="F918" s="135">
        <f t="shared" si="14"/>
        <v>537000</v>
      </c>
      <c r="G918" s="136" t="s">
        <v>298</v>
      </c>
      <c r="H918" s="133" t="s">
        <v>327</v>
      </c>
      <c r="I918" s="134" t="s">
        <v>108</v>
      </c>
    </row>
    <row r="919" spans="1:9" x14ac:dyDescent="0.35">
      <c r="A919" s="129">
        <v>45704</v>
      </c>
      <c r="B919" s="135">
        <v>20000</v>
      </c>
      <c r="C919" s="134"/>
      <c r="D919" s="134"/>
      <c r="E919" s="132" t="s">
        <v>358</v>
      </c>
      <c r="F919" s="135">
        <f t="shared" si="14"/>
        <v>517000</v>
      </c>
      <c r="G919" s="136" t="s">
        <v>299</v>
      </c>
      <c r="H919" s="133" t="s">
        <v>322</v>
      </c>
      <c r="I919" s="134" t="s">
        <v>108</v>
      </c>
    </row>
    <row r="920" spans="1:9" x14ac:dyDescent="0.35">
      <c r="A920" s="129">
        <v>45705</v>
      </c>
      <c r="B920" s="135"/>
      <c r="C920" s="134"/>
      <c r="D920" s="135">
        <v>2000000</v>
      </c>
      <c r="E920" s="132" t="s">
        <v>358</v>
      </c>
      <c r="F920" s="135">
        <f t="shared" si="14"/>
        <v>2517000</v>
      </c>
      <c r="G920" s="136" t="s">
        <v>110</v>
      </c>
      <c r="H920" s="133" t="s">
        <v>109</v>
      </c>
      <c r="I920" s="134" t="s">
        <v>108</v>
      </c>
    </row>
    <row r="921" spans="1:9" x14ac:dyDescent="0.35">
      <c r="A921" s="129">
        <v>45705</v>
      </c>
      <c r="B921" s="135">
        <v>92000</v>
      </c>
      <c r="C921" s="134"/>
      <c r="D921" s="134"/>
      <c r="E921" s="132" t="s">
        <v>358</v>
      </c>
      <c r="F921" s="135">
        <f t="shared" si="14"/>
        <v>2425000</v>
      </c>
      <c r="G921" s="136" t="s">
        <v>300</v>
      </c>
      <c r="H921" s="133" t="s">
        <v>322</v>
      </c>
      <c r="I921" s="134" t="s">
        <v>108</v>
      </c>
    </row>
    <row r="922" spans="1:9" x14ac:dyDescent="0.35">
      <c r="A922" s="129">
        <v>45706</v>
      </c>
      <c r="B922" s="135">
        <v>45000</v>
      </c>
      <c r="C922" s="134"/>
      <c r="D922" s="134"/>
      <c r="E922" s="132" t="s">
        <v>358</v>
      </c>
      <c r="F922" s="135">
        <f t="shared" si="14"/>
        <v>2380000</v>
      </c>
      <c r="G922" s="136" t="s">
        <v>301</v>
      </c>
      <c r="H922" s="133" t="s">
        <v>322</v>
      </c>
      <c r="I922" s="134" t="s">
        <v>108</v>
      </c>
    </row>
    <row r="923" spans="1:9" x14ac:dyDescent="0.35">
      <c r="A923" s="129">
        <v>45709</v>
      </c>
      <c r="B923" s="135">
        <v>500000</v>
      </c>
      <c r="C923" s="134"/>
      <c r="D923" s="134"/>
      <c r="E923" s="132" t="s">
        <v>358</v>
      </c>
      <c r="F923" s="135">
        <f t="shared" si="14"/>
        <v>1880000</v>
      </c>
      <c r="G923" s="136" t="s">
        <v>302</v>
      </c>
      <c r="H923" s="133" t="s">
        <v>323</v>
      </c>
      <c r="I923" s="134" t="s">
        <v>108</v>
      </c>
    </row>
    <row r="924" spans="1:9" x14ac:dyDescent="0.35">
      <c r="A924" s="129">
        <v>45710</v>
      </c>
      <c r="B924" s="135">
        <v>1000000</v>
      </c>
      <c r="C924" s="134"/>
      <c r="D924" s="134"/>
      <c r="E924" s="132" t="s">
        <v>358</v>
      </c>
      <c r="F924" s="135">
        <f t="shared" si="14"/>
        <v>880000</v>
      </c>
      <c r="G924" s="136" t="s">
        <v>309</v>
      </c>
      <c r="H924" s="133" t="s">
        <v>328</v>
      </c>
      <c r="I924" s="134" t="s">
        <v>108</v>
      </c>
    </row>
    <row r="925" spans="1:9" x14ac:dyDescent="0.35">
      <c r="A925" s="129">
        <v>45711</v>
      </c>
      <c r="B925" s="135">
        <v>60000</v>
      </c>
      <c r="C925" s="134"/>
      <c r="D925" s="134"/>
      <c r="E925" s="132" t="s">
        <v>358</v>
      </c>
      <c r="F925" s="135">
        <f t="shared" si="14"/>
        <v>820000</v>
      </c>
      <c r="G925" s="136" t="s">
        <v>310</v>
      </c>
      <c r="H925" s="133" t="s">
        <v>327</v>
      </c>
      <c r="I925" s="134" t="s">
        <v>108</v>
      </c>
    </row>
    <row r="926" spans="1:9" x14ac:dyDescent="0.35">
      <c r="A926" s="129">
        <v>45711</v>
      </c>
      <c r="B926" s="135">
        <v>100000</v>
      </c>
      <c r="C926" s="134"/>
      <c r="D926" s="134"/>
      <c r="E926" s="132" t="s">
        <v>358</v>
      </c>
      <c r="F926" s="135">
        <f t="shared" si="14"/>
        <v>720000</v>
      </c>
      <c r="G926" s="136" t="s">
        <v>311</v>
      </c>
      <c r="H926" s="133" t="s">
        <v>320</v>
      </c>
      <c r="I926" s="134" t="s">
        <v>108</v>
      </c>
    </row>
    <row r="927" spans="1:9" x14ac:dyDescent="0.35">
      <c r="A927" s="129">
        <v>45712</v>
      </c>
      <c r="B927" s="135">
        <v>250000</v>
      </c>
      <c r="C927" s="134"/>
      <c r="D927" s="134"/>
      <c r="E927" s="132" t="s">
        <v>358</v>
      </c>
      <c r="F927" s="135">
        <f t="shared" si="14"/>
        <v>470000</v>
      </c>
      <c r="G927" s="136" t="s">
        <v>312</v>
      </c>
      <c r="H927" s="133" t="s">
        <v>320</v>
      </c>
      <c r="I927" s="134" t="s">
        <v>108</v>
      </c>
    </row>
    <row r="928" spans="1:9" x14ac:dyDescent="0.35">
      <c r="A928" s="144">
        <v>45712</v>
      </c>
      <c r="B928" s="135">
        <v>130000</v>
      </c>
      <c r="C928" s="134"/>
      <c r="D928" s="135"/>
      <c r="E928" s="132" t="s">
        <v>358</v>
      </c>
      <c r="F928" s="135">
        <f t="shared" si="14"/>
        <v>340000</v>
      </c>
      <c r="G928" s="136" t="s">
        <v>313</v>
      </c>
      <c r="H928" s="133" t="s">
        <v>320</v>
      </c>
      <c r="I928" s="134" t="s">
        <v>108</v>
      </c>
    </row>
    <row r="929" spans="1:9" x14ac:dyDescent="0.35">
      <c r="A929" s="144">
        <v>45712</v>
      </c>
      <c r="B929" s="135"/>
      <c r="C929" s="134"/>
      <c r="D929" s="135">
        <v>1000000</v>
      </c>
      <c r="E929" s="132" t="s">
        <v>358</v>
      </c>
      <c r="F929" s="135">
        <f t="shared" si="14"/>
        <v>1340000</v>
      </c>
      <c r="G929" s="136" t="s">
        <v>110</v>
      </c>
      <c r="H929" s="133" t="s">
        <v>109</v>
      </c>
      <c r="I929" s="134" t="s">
        <v>108</v>
      </c>
    </row>
    <row r="930" spans="1:9" x14ac:dyDescent="0.35">
      <c r="A930" s="144">
        <v>45717</v>
      </c>
      <c r="B930" s="135">
        <v>400000</v>
      </c>
      <c r="C930" s="134"/>
      <c r="D930" s="135"/>
      <c r="E930" s="134" t="s">
        <v>521</v>
      </c>
      <c r="F930" s="135">
        <f t="shared" si="14"/>
        <v>940000</v>
      </c>
      <c r="G930" s="136" t="s">
        <v>188</v>
      </c>
      <c r="H930" s="133" t="s">
        <v>323</v>
      </c>
      <c r="I930" s="134" t="s">
        <v>108</v>
      </c>
    </row>
    <row r="931" spans="1:9" x14ac:dyDescent="0.35">
      <c r="A931" s="144">
        <v>45717</v>
      </c>
      <c r="B931" s="135">
        <v>200000</v>
      </c>
      <c r="C931" s="134"/>
      <c r="D931" s="135"/>
      <c r="E931" s="134" t="s">
        <v>521</v>
      </c>
      <c r="F931" s="135">
        <f t="shared" si="14"/>
        <v>740000</v>
      </c>
      <c r="G931" s="136" t="s">
        <v>353</v>
      </c>
      <c r="H931" s="133" t="s">
        <v>322</v>
      </c>
      <c r="I931" s="134" t="s">
        <v>108</v>
      </c>
    </row>
    <row r="932" spans="1:9" x14ac:dyDescent="0.35">
      <c r="A932" s="144">
        <v>45718</v>
      </c>
      <c r="B932" s="135">
        <v>100000</v>
      </c>
      <c r="C932" s="134"/>
      <c r="D932" s="135"/>
      <c r="E932" s="134" t="s">
        <v>521</v>
      </c>
      <c r="F932" s="135">
        <f t="shared" si="14"/>
        <v>640000</v>
      </c>
      <c r="G932" s="136" t="s">
        <v>354</v>
      </c>
      <c r="H932" s="133" t="s">
        <v>320</v>
      </c>
      <c r="I932" s="134" t="s">
        <v>108</v>
      </c>
    </row>
    <row r="933" spans="1:9" x14ac:dyDescent="0.35">
      <c r="A933" s="144">
        <v>45719</v>
      </c>
      <c r="B933" s="135">
        <v>50000</v>
      </c>
      <c r="C933" s="134"/>
      <c r="D933" s="135"/>
      <c r="E933" s="134" t="s">
        <v>521</v>
      </c>
      <c r="F933" s="135">
        <f t="shared" si="14"/>
        <v>590000</v>
      </c>
      <c r="G933" s="136" t="s">
        <v>355</v>
      </c>
      <c r="H933" s="133" t="s">
        <v>320</v>
      </c>
      <c r="I933" s="134" t="s">
        <v>108</v>
      </c>
    </row>
    <row r="934" spans="1:9" x14ac:dyDescent="0.35">
      <c r="A934" s="144">
        <v>45720</v>
      </c>
      <c r="B934" s="135"/>
      <c r="C934" s="134"/>
      <c r="D934" s="135">
        <v>3000000</v>
      </c>
      <c r="E934" s="134" t="s">
        <v>521</v>
      </c>
      <c r="F934" s="135">
        <f t="shared" si="14"/>
        <v>3590000</v>
      </c>
      <c r="G934" s="136" t="s">
        <v>110</v>
      </c>
      <c r="H934" s="133" t="s">
        <v>109</v>
      </c>
      <c r="I934" s="134" t="s">
        <v>108</v>
      </c>
    </row>
    <row r="935" spans="1:9" x14ac:dyDescent="0.35">
      <c r="A935" s="144">
        <v>45721</v>
      </c>
      <c r="B935" s="135">
        <v>130000</v>
      </c>
      <c r="C935" s="134"/>
      <c r="D935" s="135"/>
      <c r="E935" s="134" t="s">
        <v>521</v>
      </c>
      <c r="F935" s="135">
        <f t="shared" si="14"/>
        <v>3460000</v>
      </c>
      <c r="G935" s="136" t="s">
        <v>356</v>
      </c>
      <c r="H935" s="133" t="s">
        <v>322</v>
      </c>
      <c r="I935" s="134" t="s">
        <v>108</v>
      </c>
    </row>
    <row r="936" spans="1:9" x14ac:dyDescent="0.35">
      <c r="A936" s="144">
        <v>45722</v>
      </c>
      <c r="B936" s="135">
        <v>500000</v>
      </c>
      <c r="C936" s="134"/>
      <c r="D936" s="135"/>
      <c r="E936" s="134" t="s">
        <v>521</v>
      </c>
      <c r="F936" s="135">
        <f t="shared" si="14"/>
        <v>2960000</v>
      </c>
      <c r="G936" s="136" t="s">
        <v>191</v>
      </c>
      <c r="H936" s="133" t="s">
        <v>323</v>
      </c>
      <c r="I936" s="134" t="s">
        <v>108</v>
      </c>
    </row>
    <row r="937" spans="1:9" x14ac:dyDescent="0.35">
      <c r="A937" s="144">
        <v>45723</v>
      </c>
      <c r="B937" s="135">
        <v>150000</v>
      </c>
      <c r="C937" s="134"/>
      <c r="D937" s="135"/>
      <c r="E937" s="134" t="s">
        <v>521</v>
      </c>
      <c r="F937" s="135">
        <f t="shared" si="14"/>
        <v>2810000</v>
      </c>
      <c r="G937" s="136" t="s">
        <v>392</v>
      </c>
      <c r="H937" s="133" t="s">
        <v>203</v>
      </c>
      <c r="I937" s="134" t="s">
        <v>108</v>
      </c>
    </row>
    <row r="938" spans="1:9" x14ac:dyDescent="0.35">
      <c r="A938" s="144">
        <v>45723</v>
      </c>
      <c r="B938" s="135">
        <v>245000</v>
      </c>
      <c r="C938" s="134"/>
      <c r="D938" s="135"/>
      <c r="E938" s="134" t="s">
        <v>521</v>
      </c>
      <c r="F938" s="135">
        <f t="shared" si="14"/>
        <v>2565000</v>
      </c>
      <c r="G938" s="136" t="s">
        <v>393</v>
      </c>
      <c r="H938" s="133" t="s">
        <v>322</v>
      </c>
      <c r="I938" s="134" t="s">
        <v>108</v>
      </c>
    </row>
    <row r="939" spans="1:9" x14ac:dyDescent="0.35">
      <c r="A939" s="144">
        <v>45727</v>
      </c>
      <c r="B939" s="135">
        <v>150000</v>
      </c>
      <c r="C939" s="134"/>
      <c r="D939" s="135"/>
      <c r="E939" s="134" t="s">
        <v>521</v>
      </c>
      <c r="F939" s="135">
        <f t="shared" si="14"/>
        <v>2415000</v>
      </c>
      <c r="G939" s="136" t="s">
        <v>394</v>
      </c>
      <c r="H939" s="133" t="s">
        <v>320</v>
      </c>
      <c r="I939" s="134" t="s">
        <v>108</v>
      </c>
    </row>
    <row r="940" spans="1:9" x14ac:dyDescent="0.35">
      <c r="A940" s="144">
        <v>45728</v>
      </c>
      <c r="B940" s="135">
        <v>130000</v>
      </c>
      <c r="C940" s="134"/>
      <c r="D940" s="135"/>
      <c r="E940" s="134" t="s">
        <v>521</v>
      </c>
      <c r="F940" s="135">
        <f t="shared" si="14"/>
        <v>2285000</v>
      </c>
      <c r="G940" s="136" t="s">
        <v>395</v>
      </c>
      <c r="H940" s="133" t="s">
        <v>322</v>
      </c>
      <c r="I940" s="134" t="s">
        <v>108</v>
      </c>
    </row>
    <row r="941" spans="1:9" x14ac:dyDescent="0.35">
      <c r="A941" s="144">
        <v>45728</v>
      </c>
      <c r="B941" s="135">
        <v>200000</v>
      </c>
      <c r="C941" s="134"/>
      <c r="D941" s="135"/>
      <c r="E941" s="134" t="s">
        <v>521</v>
      </c>
      <c r="F941" s="135">
        <f t="shared" si="14"/>
        <v>2085000</v>
      </c>
      <c r="G941" s="136" t="s">
        <v>396</v>
      </c>
      <c r="H941" s="133" t="s">
        <v>322</v>
      </c>
      <c r="I941" s="134" t="s">
        <v>108</v>
      </c>
    </row>
    <row r="942" spans="1:9" x14ac:dyDescent="0.35">
      <c r="A942" s="144">
        <v>45728</v>
      </c>
      <c r="B942" s="135">
        <v>240000</v>
      </c>
      <c r="C942" s="134"/>
      <c r="D942" s="135"/>
      <c r="E942" s="134" t="s">
        <v>521</v>
      </c>
      <c r="F942" s="135">
        <f t="shared" ref="F942:F1042" si="15">+F941+D942-B942</f>
        <v>1845000</v>
      </c>
      <c r="G942" s="136" t="s">
        <v>397</v>
      </c>
      <c r="H942" s="133" t="s">
        <v>320</v>
      </c>
      <c r="I942" s="134" t="s">
        <v>108</v>
      </c>
    </row>
    <row r="943" spans="1:9" x14ac:dyDescent="0.35">
      <c r="A943" s="144">
        <v>45730</v>
      </c>
      <c r="B943" s="135">
        <v>500000</v>
      </c>
      <c r="C943" s="134"/>
      <c r="D943" s="135"/>
      <c r="E943" s="134" t="s">
        <v>521</v>
      </c>
      <c r="F943" s="135">
        <f t="shared" si="15"/>
        <v>1345000</v>
      </c>
      <c r="G943" s="136" t="s">
        <v>191</v>
      </c>
      <c r="H943" s="133" t="s">
        <v>323</v>
      </c>
      <c r="I943" s="134" t="s">
        <v>108</v>
      </c>
    </row>
    <row r="944" spans="1:9" x14ac:dyDescent="0.35">
      <c r="A944" s="144">
        <v>45732</v>
      </c>
      <c r="B944" s="135">
        <v>585000</v>
      </c>
      <c r="C944" s="134"/>
      <c r="D944" s="135"/>
      <c r="E944" s="134" t="s">
        <v>521</v>
      </c>
      <c r="F944" s="135">
        <f t="shared" si="15"/>
        <v>760000</v>
      </c>
      <c r="G944" s="136" t="s">
        <v>412</v>
      </c>
      <c r="H944" s="133" t="s">
        <v>320</v>
      </c>
      <c r="I944" s="134" t="s">
        <v>108</v>
      </c>
    </row>
    <row r="945" spans="1:10" x14ac:dyDescent="0.35">
      <c r="A945" s="144">
        <v>45732</v>
      </c>
      <c r="B945" s="135">
        <v>100000</v>
      </c>
      <c r="C945" s="134"/>
      <c r="D945" s="135"/>
      <c r="E945" s="134" t="s">
        <v>521</v>
      </c>
      <c r="F945" s="135">
        <f t="shared" si="15"/>
        <v>660000</v>
      </c>
      <c r="G945" s="136" t="s">
        <v>413</v>
      </c>
      <c r="H945" s="133" t="s">
        <v>322</v>
      </c>
      <c r="I945" s="134" t="s">
        <v>108</v>
      </c>
    </row>
    <row r="946" spans="1:10" x14ac:dyDescent="0.35">
      <c r="A946" s="144">
        <v>45733</v>
      </c>
      <c r="B946" s="135"/>
      <c r="C946" s="134"/>
      <c r="D946" s="135">
        <v>5000000</v>
      </c>
      <c r="E946" s="134" t="s">
        <v>521</v>
      </c>
      <c r="F946" s="135">
        <f t="shared" si="15"/>
        <v>5660000</v>
      </c>
      <c r="G946" s="136" t="s">
        <v>414</v>
      </c>
      <c r="H946" s="133" t="s">
        <v>109</v>
      </c>
      <c r="I946" s="134" t="s">
        <v>108</v>
      </c>
    </row>
    <row r="947" spans="1:10" x14ac:dyDescent="0.35">
      <c r="A947" s="144">
        <v>45735</v>
      </c>
      <c r="B947" s="135">
        <v>1250000</v>
      </c>
      <c r="C947" s="134"/>
      <c r="D947" s="135"/>
      <c r="E947" s="134" t="s">
        <v>521</v>
      </c>
      <c r="F947" s="135">
        <f t="shared" si="15"/>
        <v>4410000</v>
      </c>
      <c r="G947" s="136" t="s">
        <v>415</v>
      </c>
      <c r="H947" s="133" t="s">
        <v>323</v>
      </c>
      <c r="I947" s="134" t="s">
        <v>108</v>
      </c>
    </row>
    <row r="948" spans="1:10" x14ac:dyDescent="0.35">
      <c r="A948" s="144">
        <v>45735</v>
      </c>
      <c r="B948" s="135">
        <v>100000</v>
      </c>
      <c r="C948" s="134"/>
      <c r="D948" s="135"/>
      <c r="E948" s="134" t="s">
        <v>521</v>
      </c>
      <c r="F948" s="135">
        <f t="shared" si="15"/>
        <v>4310000</v>
      </c>
      <c r="G948" s="136" t="s">
        <v>416</v>
      </c>
      <c r="H948" s="133" t="s">
        <v>322</v>
      </c>
      <c r="I948" s="134" t="s">
        <v>108</v>
      </c>
    </row>
    <row r="949" spans="1:10" x14ac:dyDescent="0.35">
      <c r="A949" s="144">
        <v>45736</v>
      </c>
      <c r="B949" s="135">
        <v>200000</v>
      </c>
      <c r="C949" s="134"/>
      <c r="D949" s="135"/>
      <c r="E949" s="134" t="s">
        <v>521</v>
      </c>
      <c r="F949" s="135">
        <f t="shared" si="15"/>
        <v>4110000</v>
      </c>
      <c r="G949" s="136" t="s">
        <v>417</v>
      </c>
      <c r="H949" s="133" t="s">
        <v>327</v>
      </c>
      <c r="I949" s="134" t="s">
        <v>108</v>
      </c>
    </row>
    <row r="950" spans="1:10" x14ac:dyDescent="0.35">
      <c r="A950" s="144">
        <v>45737</v>
      </c>
      <c r="B950" s="135">
        <v>500000</v>
      </c>
      <c r="C950" s="134"/>
      <c r="D950" s="135"/>
      <c r="E950" s="134" t="s">
        <v>521</v>
      </c>
      <c r="F950" s="135">
        <f t="shared" si="15"/>
        <v>3610000</v>
      </c>
      <c r="G950" s="136" t="s">
        <v>302</v>
      </c>
      <c r="H950" s="133" t="s">
        <v>323</v>
      </c>
      <c r="I950" s="134" t="s">
        <v>108</v>
      </c>
      <c r="J950" s="185" t="s">
        <v>557</v>
      </c>
    </row>
    <row r="951" spans="1:10" x14ac:dyDescent="0.35">
      <c r="A951" s="144">
        <v>45737</v>
      </c>
      <c r="B951" s="135">
        <v>250000</v>
      </c>
      <c r="C951" s="134"/>
      <c r="D951" s="135"/>
      <c r="E951" s="134" t="s">
        <v>521</v>
      </c>
      <c r="F951" s="135">
        <f t="shared" si="15"/>
        <v>3360000</v>
      </c>
      <c r="G951" s="136" t="s">
        <v>462</v>
      </c>
      <c r="H951" s="133" t="s">
        <v>203</v>
      </c>
      <c r="I951" s="134" t="s">
        <v>108</v>
      </c>
    </row>
    <row r="952" spans="1:10" x14ac:dyDescent="0.35">
      <c r="A952" s="144">
        <v>45738</v>
      </c>
      <c r="B952" s="135">
        <v>250000</v>
      </c>
      <c r="C952" s="134"/>
      <c r="D952" s="135"/>
      <c r="E952" s="134" t="s">
        <v>521</v>
      </c>
      <c r="F952" s="135">
        <f t="shared" si="15"/>
        <v>3110000</v>
      </c>
      <c r="G952" s="136" t="s">
        <v>463</v>
      </c>
      <c r="H952" s="133" t="s">
        <v>322</v>
      </c>
      <c r="I952" s="134" t="s">
        <v>108</v>
      </c>
    </row>
    <row r="953" spans="1:10" x14ac:dyDescent="0.35">
      <c r="A953" s="144">
        <v>45739</v>
      </c>
      <c r="B953" s="135"/>
      <c r="C953" s="134"/>
      <c r="D953" s="135">
        <v>2000000</v>
      </c>
      <c r="E953" s="134" t="s">
        <v>521</v>
      </c>
      <c r="F953" s="135">
        <f t="shared" si="15"/>
        <v>5110000</v>
      </c>
      <c r="G953" s="136" t="s">
        <v>414</v>
      </c>
      <c r="H953" s="133" t="s">
        <v>109</v>
      </c>
      <c r="I953" s="134" t="s">
        <v>108</v>
      </c>
    </row>
    <row r="954" spans="1:10" x14ac:dyDescent="0.35">
      <c r="A954" s="144">
        <v>45739</v>
      </c>
      <c r="B954" s="135">
        <v>120000</v>
      </c>
      <c r="C954" s="134"/>
      <c r="D954" s="135"/>
      <c r="E954" s="134" t="s">
        <v>521</v>
      </c>
      <c r="F954" s="135">
        <f t="shared" si="15"/>
        <v>4990000</v>
      </c>
      <c r="G954" s="136" t="s">
        <v>464</v>
      </c>
      <c r="H954" s="133" t="s">
        <v>322</v>
      </c>
      <c r="I954" s="134" t="s">
        <v>108</v>
      </c>
    </row>
    <row r="955" spans="1:10" x14ac:dyDescent="0.35">
      <c r="A955" s="144">
        <v>45744</v>
      </c>
      <c r="B955" s="135">
        <v>500000</v>
      </c>
      <c r="C955" s="134"/>
      <c r="D955" s="135"/>
      <c r="E955" s="134" t="s">
        <v>521</v>
      </c>
      <c r="F955" s="135">
        <f t="shared" si="15"/>
        <v>4490000</v>
      </c>
      <c r="G955" s="136" t="s">
        <v>191</v>
      </c>
      <c r="H955" s="133" t="s">
        <v>323</v>
      </c>
      <c r="I955" s="134" t="s">
        <v>108</v>
      </c>
    </row>
    <row r="956" spans="1:10" x14ac:dyDescent="0.35">
      <c r="A956" s="144">
        <v>45745</v>
      </c>
      <c r="B956" s="135">
        <v>400000</v>
      </c>
      <c r="C956" s="134"/>
      <c r="D956" s="135"/>
      <c r="E956" s="134" t="s">
        <v>521</v>
      </c>
      <c r="F956" s="135">
        <f t="shared" si="15"/>
        <v>4090000</v>
      </c>
      <c r="G956" s="136" t="s">
        <v>188</v>
      </c>
      <c r="H956" s="133" t="s">
        <v>323</v>
      </c>
      <c r="I956" s="134" t="s">
        <v>108</v>
      </c>
    </row>
    <row r="957" spans="1:10" x14ac:dyDescent="0.35">
      <c r="A957" s="144">
        <v>45745</v>
      </c>
      <c r="B957" s="135">
        <v>1005000</v>
      </c>
      <c r="C957" s="134"/>
      <c r="D957" s="135"/>
      <c r="E957" s="134" t="s">
        <v>521</v>
      </c>
      <c r="F957" s="135">
        <f t="shared" si="15"/>
        <v>3085000</v>
      </c>
      <c r="G957" s="136" t="s">
        <v>296</v>
      </c>
      <c r="H957" s="133" t="s">
        <v>321</v>
      </c>
      <c r="I957" s="134" t="s">
        <v>108</v>
      </c>
    </row>
    <row r="958" spans="1:10" x14ac:dyDescent="0.35">
      <c r="A958" s="144">
        <v>45745</v>
      </c>
      <c r="B958" s="135">
        <v>250000</v>
      </c>
      <c r="C958" s="134"/>
      <c r="D958" s="135"/>
      <c r="E958" s="134" t="s">
        <v>521</v>
      </c>
      <c r="F958" s="135">
        <f t="shared" si="15"/>
        <v>2835000</v>
      </c>
      <c r="G958" s="136" t="s">
        <v>493</v>
      </c>
      <c r="H958" s="133" t="s">
        <v>499</v>
      </c>
      <c r="I958" s="134" t="s">
        <v>108</v>
      </c>
    </row>
    <row r="959" spans="1:10" x14ac:dyDescent="0.35">
      <c r="A959" s="144">
        <v>45746</v>
      </c>
      <c r="B959" s="135">
        <v>500000</v>
      </c>
      <c r="C959" s="134"/>
      <c r="D959" s="135"/>
      <c r="E959" s="134" t="s">
        <v>502</v>
      </c>
      <c r="F959" s="135">
        <f t="shared" si="15"/>
        <v>2335000</v>
      </c>
      <c r="G959" s="136" t="s">
        <v>494</v>
      </c>
      <c r="H959" s="133" t="s">
        <v>499</v>
      </c>
      <c r="I959" s="134" t="s">
        <v>108</v>
      </c>
    </row>
    <row r="960" spans="1:10" x14ac:dyDescent="0.35">
      <c r="A960" s="144">
        <v>45747</v>
      </c>
      <c r="B960" s="135">
        <v>2000000</v>
      </c>
      <c r="C960" s="134"/>
      <c r="D960" s="135"/>
      <c r="E960" s="134" t="s">
        <v>502</v>
      </c>
      <c r="F960" s="135">
        <f t="shared" si="15"/>
        <v>335000</v>
      </c>
      <c r="G960" s="136" t="s">
        <v>495</v>
      </c>
      <c r="H960" s="133" t="s">
        <v>323</v>
      </c>
      <c r="I960" s="134" t="s">
        <v>108</v>
      </c>
    </row>
    <row r="961" spans="1:10" x14ac:dyDescent="0.35">
      <c r="A961" s="144">
        <v>45747</v>
      </c>
      <c r="B961" s="135">
        <v>1500000</v>
      </c>
      <c r="C961" s="134"/>
      <c r="D961" s="135"/>
      <c r="E961" s="134" t="s">
        <v>502</v>
      </c>
      <c r="F961" s="135">
        <f t="shared" si="15"/>
        <v>-1165000</v>
      </c>
      <c r="G961" s="136" t="s">
        <v>496</v>
      </c>
      <c r="H961" s="133" t="s">
        <v>499</v>
      </c>
      <c r="I961" s="134" t="s">
        <v>108</v>
      </c>
    </row>
    <row r="962" spans="1:10" x14ac:dyDescent="0.35">
      <c r="A962" s="144">
        <v>45745</v>
      </c>
      <c r="B962" s="135">
        <v>130000</v>
      </c>
      <c r="C962" s="134"/>
      <c r="D962" s="135"/>
      <c r="E962" s="134" t="s">
        <v>521</v>
      </c>
      <c r="F962" s="135">
        <f t="shared" si="15"/>
        <v>-1295000</v>
      </c>
      <c r="G962" s="136" t="s">
        <v>497</v>
      </c>
      <c r="H962" s="133" t="s">
        <v>322</v>
      </c>
      <c r="I962" s="134" t="s">
        <v>108</v>
      </c>
    </row>
    <row r="963" spans="1:10" x14ac:dyDescent="0.35">
      <c r="A963" s="144">
        <v>45745</v>
      </c>
      <c r="B963" s="135">
        <v>7000000</v>
      </c>
      <c r="C963" s="134"/>
      <c r="D963" s="135"/>
      <c r="E963" s="134" t="s">
        <v>502</v>
      </c>
      <c r="F963" s="135">
        <f t="shared" si="15"/>
        <v>-8295000</v>
      </c>
      <c r="G963" s="136" t="s">
        <v>498</v>
      </c>
      <c r="H963" s="133" t="s">
        <v>500</v>
      </c>
      <c r="I963" s="134" t="s">
        <v>108</v>
      </c>
    </row>
    <row r="964" spans="1:10" x14ac:dyDescent="0.35">
      <c r="A964" s="144">
        <v>45720</v>
      </c>
      <c r="B964" s="135">
        <v>500000</v>
      </c>
      <c r="C964" s="134"/>
      <c r="D964" s="135"/>
      <c r="E964" s="134" t="s">
        <v>521</v>
      </c>
      <c r="F964" s="135">
        <f t="shared" si="15"/>
        <v>-8795000</v>
      </c>
      <c r="G964" s="136" t="s">
        <v>191</v>
      </c>
      <c r="H964" s="133" t="s">
        <v>323</v>
      </c>
      <c r="I964" s="134" t="s">
        <v>108</v>
      </c>
    </row>
    <row r="965" spans="1:10" x14ac:dyDescent="0.35">
      <c r="A965" s="144">
        <v>45753</v>
      </c>
      <c r="B965" s="135">
        <v>400000</v>
      </c>
      <c r="C965" s="134"/>
      <c r="D965" s="135"/>
      <c r="E965" s="134" t="s">
        <v>508</v>
      </c>
      <c r="F965" s="135">
        <f t="shared" si="15"/>
        <v>-9195000</v>
      </c>
      <c r="G965" s="136" t="s">
        <v>511</v>
      </c>
      <c r="H965" s="133" t="s">
        <v>322</v>
      </c>
      <c r="I965" s="134" t="s">
        <v>108</v>
      </c>
    </row>
    <row r="966" spans="1:10" x14ac:dyDescent="0.35">
      <c r="A966" s="144">
        <v>45753</v>
      </c>
      <c r="B966" s="135">
        <v>130000</v>
      </c>
      <c r="C966" s="134"/>
      <c r="D966" s="135"/>
      <c r="E966" s="134" t="s">
        <v>508</v>
      </c>
      <c r="F966" s="135">
        <f t="shared" si="15"/>
        <v>-9325000</v>
      </c>
      <c r="G966" s="136" t="s">
        <v>112</v>
      </c>
      <c r="H966" s="133" t="s">
        <v>322</v>
      </c>
      <c r="I966" s="134" t="s">
        <v>108</v>
      </c>
    </row>
    <row r="967" spans="1:10" x14ac:dyDescent="0.35">
      <c r="A967" s="144">
        <v>45753</v>
      </c>
      <c r="B967" s="135">
        <v>1400000</v>
      </c>
      <c r="C967" s="134"/>
      <c r="D967" s="135"/>
      <c r="E967" s="134" t="s">
        <v>508</v>
      </c>
      <c r="F967" s="135">
        <f t="shared" si="15"/>
        <v>-10725000</v>
      </c>
      <c r="G967" s="136" t="s">
        <v>512</v>
      </c>
      <c r="H967" s="133" t="s">
        <v>322</v>
      </c>
      <c r="I967" s="134" t="s">
        <v>108</v>
      </c>
    </row>
    <row r="968" spans="1:10" x14ac:dyDescent="0.35">
      <c r="A968" s="144">
        <v>45754</v>
      </c>
      <c r="B968" s="135"/>
      <c r="C968" s="134"/>
      <c r="D968" s="135">
        <v>3000000</v>
      </c>
      <c r="E968" s="134" t="s">
        <v>508</v>
      </c>
      <c r="F968" s="135">
        <f t="shared" si="15"/>
        <v>-7725000</v>
      </c>
      <c r="G968" s="136" t="s">
        <v>414</v>
      </c>
      <c r="H968" s="133" t="s">
        <v>109</v>
      </c>
      <c r="I968" s="134" t="s">
        <v>108</v>
      </c>
    </row>
    <row r="969" spans="1:10" x14ac:dyDescent="0.35">
      <c r="A969" s="144">
        <v>45756</v>
      </c>
      <c r="B969" s="135">
        <v>1500000</v>
      </c>
      <c r="C969" s="134"/>
      <c r="D969" s="135"/>
      <c r="E969" s="134" t="s">
        <v>508</v>
      </c>
      <c r="F969" s="135">
        <f t="shared" si="15"/>
        <v>-9225000</v>
      </c>
      <c r="G969" s="136" t="s">
        <v>513</v>
      </c>
      <c r="H969" s="133" t="s">
        <v>322</v>
      </c>
      <c r="I969" s="134" t="s">
        <v>108</v>
      </c>
    </row>
    <row r="970" spans="1:10" x14ac:dyDescent="0.35">
      <c r="A970" s="144">
        <v>45756</v>
      </c>
      <c r="B970" s="135">
        <v>300000</v>
      </c>
      <c r="C970" s="134"/>
      <c r="D970" s="135"/>
      <c r="E970" s="134" t="s">
        <v>508</v>
      </c>
      <c r="F970" s="135">
        <f t="shared" si="15"/>
        <v>-9525000</v>
      </c>
      <c r="G970" s="136" t="s">
        <v>514</v>
      </c>
      <c r="H970" s="133" t="s">
        <v>322</v>
      </c>
      <c r="I970" s="134" t="s">
        <v>108</v>
      </c>
    </row>
    <row r="971" spans="1:10" x14ac:dyDescent="0.35">
      <c r="A971" s="144">
        <v>45758</v>
      </c>
      <c r="B971" s="135">
        <v>500000</v>
      </c>
      <c r="C971" s="134"/>
      <c r="D971" s="135"/>
      <c r="E971" s="134" t="s">
        <v>508</v>
      </c>
      <c r="F971" s="135">
        <f t="shared" si="15"/>
        <v>-10025000</v>
      </c>
      <c r="G971" s="136" t="s">
        <v>191</v>
      </c>
      <c r="H971" s="133" t="s">
        <v>323</v>
      </c>
      <c r="I971" s="134" t="s">
        <v>108</v>
      </c>
      <c r="J971" s="185" t="s">
        <v>558</v>
      </c>
    </row>
    <row r="972" spans="1:10" x14ac:dyDescent="0.35">
      <c r="A972" s="144">
        <v>45759</v>
      </c>
      <c r="B972" s="135"/>
      <c r="C972" s="134"/>
      <c r="D972" s="135">
        <v>2000000</v>
      </c>
      <c r="E972" s="134" t="s">
        <v>525</v>
      </c>
      <c r="F972" s="135">
        <f t="shared" si="15"/>
        <v>-8025000</v>
      </c>
      <c r="G972" s="136" t="s">
        <v>414</v>
      </c>
      <c r="H972" s="133" t="s">
        <v>109</v>
      </c>
      <c r="I972" s="134" t="s">
        <v>108</v>
      </c>
    </row>
    <row r="973" spans="1:10" x14ac:dyDescent="0.35">
      <c r="A973" s="144">
        <v>45759</v>
      </c>
      <c r="B973" s="135">
        <v>100000</v>
      </c>
      <c r="C973" s="134"/>
      <c r="D973" s="135"/>
      <c r="E973" s="134" t="s">
        <v>525</v>
      </c>
      <c r="F973" s="135">
        <f t="shared" si="15"/>
        <v>-8125000</v>
      </c>
      <c r="G973" s="136" t="s">
        <v>537</v>
      </c>
      <c r="H973" s="133" t="s">
        <v>322</v>
      </c>
      <c r="I973" s="134" t="s">
        <v>108</v>
      </c>
    </row>
    <row r="974" spans="1:10" x14ac:dyDescent="0.35">
      <c r="A974" s="144">
        <v>45761</v>
      </c>
      <c r="B974" s="135">
        <v>200000</v>
      </c>
      <c r="C974" s="134"/>
      <c r="D974" s="135"/>
      <c r="E974" s="134" t="s">
        <v>525</v>
      </c>
      <c r="F974" s="135">
        <f t="shared" si="15"/>
        <v>-8325000</v>
      </c>
      <c r="G974" s="136" t="s">
        <v>538</v>
      </c>
      <c r="H974" s="133" t="s">
        <v>322</v>
      </c>
      <c r="I974" s="134" t="s">
        <v>108</v>
      </c>
    </row>
    <row r="975" spans="1:10" x14ac:dyDescent="0.35">
      <c r="A975" s="144">
        <v>45763</v>
      </c>
      <c r="B975" s="135">
        <v>380000</v>
      </c>
      <c r="C975" s="134"/>
      <c r="D975" s="135"/>
      <c r="E975" s="134" t="s">
        <v>525</v>
      </c>
      <c r="F975" s="135">
        <f t="shared" si="15"/>
        <v>-8705000</v>
      </c>
      <c r="G975" s="136" t="s">
        <v>539</v>
      </c>
      <c r="H975" s="133" t="s">
        <v>322</v>
      </c>
      <c r="I975" s="134" t="s">
        <v>108</v>
      </c>
    </row>
    <row r="976" spans="1:10" x14ac:dyDescent="0.35">
      <c r="A976" s="144">
        <v>45763</v>
      </c>
      <c r="B976" s="135">
        <v>300000</v>
      </c>
      <c r="C976" s="134"/>
      <c r="D976" s="135"/>
      <c r="E976" s="134" t="s">
        <v>525</v>
      </c>
      <c r="F976" s="135">
        <f t="shared" si="15"/>
        <v>-9005000</v>
      </c>
      <c r="G976" s="136" t="s">
        <v>297</v>
      </c>
      <c r="H976" s="133" t="s">
        <v>322</v>
      </c>
      <c r="I976" s="134" t="s">
        <v>108</v>
      </c>
    </row>
    <row r="977" spans="1:9" x14ac:dyDescent="0.35">
      <c r="A977" s="144">
        <v>45763</v>
      </c>
      <c r="B977" s="135">
        <v>200000</v>
      </c>
      <c r="C977" s="134"/>
      <c r="D977" s="135"/>
      <c r="E977" s="134" t="s">
        <v>525</v>
      </c>
      <c r="F977" s="135">
        <f t="shared" si="15"/>
        <v>-9205000</v>
      </c>
      <c r="G977" s="136" t="s">
        <v>540</v>
      </c>
      <c r="H977" s="133" t="s">
        <v>322</v>
      </c>
      <c r="I977" s="134" t="s">
        <v>108</v>
      </c>
    </row>
    <row r="978" spans="1:9" x14ac:dyDescent="0.35">
      <c r="A978" s="144">
        <v>45764</v>
      </c>
      <c r="B978" s="135">
        <v>500000</v>
      </c>
      <c r="C978" s="134"/>
      <c r="D978" s="135"/>
      <c r="E978" s="134" t="s">
        <v>525</v>
      </c>
      <c r="F978" s="135">
        <f t="shared" si="15"/>
        <v>-9705000</v>
      </c>
      <c r="G978" s="136" t="s">
        <v>191</v>
      </c>
      <c r="H978" s="133" t="s">
        <v>323</v>
      </c>
      <c r="I978" s="134" t="s">
        <v>108</v>
      </c>
    </row>
    <row r="979" spans="1:9" x14ac:dyDescent="0.35">
      <c r="A979" s="144">
        <v>45766</v>
      </c>
      <c r="B979" s="135">
        <v>110000</v>
      </c>
      <c r="C979" s="134"/>
      <c r="D979" s="135"/>
      <c r="E979" s="134" t="s">
        <v>544</v>
      </c>
      <c r="F979" s="135">
        <f t="shared" si="15"/>
        <v>-9815000</v>
      </c>
      <c r="G979" s="136" t="s">
        <v>553</v>
      </c>
      <c r="H979" s="133" t="s">
        <v>322</v>
      </c>
      <c r="I979" s="134" t="s">
        <v>108</v>
      </c>
    </row>
    <row r="980" spans="1:9" x14ac:dyDescent="0.35">
      <c r="A980" s="144">
        <v>45767</v>
      </c>
      <c r="B980" s="135">
        <v>92000</v>
      </c>
      <c r="C980" s="134"/>
      <c r="D980" s="135"/>
      <c r="E980" s="134" t="s">
        <v>544</v>
      </c>
      <c r="F980" s="135">
        <f t="shared" si="15"/>
        <v>-9907000</v>
      </c>
      <c r="G980" s="136" t="s">
        <v>554</v>
      </c>
      <c r="H980" s="133" t="s">
        <v>327</v>
      </c>
      <c r="I980" s="134" t="s">
        <v>108</v>
      </c>
    </row>
    <row r="981" spans="1:9" x14ac:dyDescent="0.35">
      <c r="A981" s="144">
        <v>45768</v>
      </c>
      <c r="B981" s="135">
        <v>100000</v>
      </c>
      <c r="C981" s="134"/>
      <c r="D981" s="135"/>
      <c r="E981" s="134" t="s">
        <v>544</v>
      </c>
      <c r="F981" s="135">
        <f t="shared" si="15"/>
        <v>-10007000</v>
      </c>
      <c r="G981" s="136" t="s">
        <v>493</v>
      </c>
      <c r="H981" s="133" t="s">
        <v>322</v>
      </c>
      <c r="I981" s="134" t="s">
        <v>108</v>
      </c>
    </row>
    <row r="982" spans="1:9" x14ac:dyDescent="0.35">
      <c r="A982" s="144">
        <v>45771</v>
      </c>
      <c r="B982" s="135">
        <v>300000</v>
      </c>
      <c r="C982" s="134"/>
      <c r="D982" s="135"/>
      <c r="E982" s="134" t="s">
        <v>544</v>
      </c>
      <c r="F982" s="135">
        <f t="shared" si="15"/>
        <v>-10307000</v>
      </c>
      <c r="G982" s="136" t="s">
        <v>555</v>
      </c>
      <c r="H982" s="133" t="s">
        <v>322</v>
      </c>
      <c r="I982" s="134" t="s">
        <v>108</v>
      </c>
    </row>
    <row r="983" spans="1:9" x14ac:dyDescent="0.35">
      <c r="A983" s="144">
        <v>45767</v>
      </c>
      <c r="B983" s="135"/>
      <c r="C983" s="134"/>
      <c r="D983" s="135">
        <v>3000000</v>
      </c>
      <c r="E983" s="134" t="s">
        <v>544</v>
      </c>
      <c r="F983" s="135">
        <f t="shared" si="15"/>
        <v>-7307000</v>
      </c>
      <c r="G983" s="136" t="s">
        <v>556</v>
      </c>
      <c r="H983" s="133" t="s">
        <v>109</v>
      </c>
      <c r="I983" s="134" t="s">
        <v>108</v>
      </c>
    </row>
    <row r="984" spans="1:9" x14ac:dyDescent="0.35">
      <c r="A984" s="144">
        <v>45772</v>
      </c>
      <c r="B984" s="135">
        <v>500000</v>
      </c>
      <c r="C984" s="134"/>
      <c r="D984" s="135"/>
      <c r="E984" s="134" t="s">
        <v>544</v>
      </c>
      <c r="F984" s="135">
        <f t="shared" si="15"/>
        <v>-7807000</v>
      </c>
      <c r="G984" s="136" t="s">
        <v>191</v>
      </c>
      <c r="H984" s="133" t="s">
        <v>323</v>
      </c>
      <c r="I984" s="134" t="s">
        <v>108</v>
      </c>
    </row>
    <row r="985" spans="1:9" x14ac:dyDescent="0.35">
      <c r="A985" s="144">
        <v>45772</v>
      </c>
      <c r="B985" s="135">
        <v>1002000</v>
      </c>
      <c r="C985" s="134"/>
      <c r="D985" s="135"/>
      <c r="E985" s="134" t="s">
        <v>582</v>
      </c>
      <c r="F985" s="135">
        <f t="shared" si="15"/>
        <v>-8809000</v>
      </c>
      <c r="G985" s="136" t="s">
        <v>296</v>
      </c>
      <c r="H985" s="133" t="s">
        <v>321</v>
      </c>
      <c r="I985" s="134" t="s">
        <v>108</v>
      </c>
    </row>
    <row r="986" spans="1:9" x14ac:dyDescent="0.35">
      <c r="A986" s="144">
        <v>45773</v>
      </c>
      <c r="B986" s="135">
        <v>150000</v>
      </c>
      <c r="C986" s="134"/>
      <c r="D986" s="135"/>
      <c r="E986" s="134" t="s">
        <v>582</v>
      </c>
      <c r="F986" s="135">
        <f t="shared" si="15"/>
        <v>-8959000</v>
      </c>
      <c r="G986" s="136" t="s">
        <v>583</v>
      </c>
      <c r="H986" s="133" t="s">
        <v>322</v>
      </c>
      <c r="I986" s="134" t="s">
        <v>108</v>
      </c>
    </row>
    <row r="987" spans="1:9" x14ac:dyDescent="0.35">
      <c r="A987" s="144">
        <v>45774</v>
      </c>
      <c r="B987" s="135">
        <v>120000</v>
      </c>
      <c r="C987" s="134"/>
      <c r="D987" s="135"/>
      <c r="E987" s="134" t="s">
        <v>582</v>
      </c>
      <c r="F987" s="135">
        <f t="shared" si="15"/>
        <v>-9079000</v>
      </c>
      <c r="G987" s="136" t="s">
        <v>298</v>
      </c>
      <c r="H987" s="133" t="s">
        <v>327</v>
      </c>
      <c r="I987" s="134" t="s">
        <v>108</v>
      </c>
    </row>
    <row r="988" spans="1:9" x14ac:dyDescent="0.35">
      <c r="A988" s="144">
        <v>45777</v>
      </c>
      <c r="B988" s="135">
        <v>400000</v>
      </c>
      <c r="C988" s="134"/>
      <c r="D988" s="135"/>
      <c r="E988" s="134" t="s">
        <v>582</v>
      </c>
      <c r="F988" s="135">
        <f t="shared" si="15"/>
        <v>-9479000</v>
      </c>
      <c r="G988" s="136" t="s">
        <v>188</v>
      </c>
      <c r="H988" s="133" t="s">
        <v>323</v>
      </c>
      <c r="I988" s="134" t="s">
        <v>108</v>
      </c>
    </row>
    <row r="989" spans="1:9" x14ac:dyDescent="0.35">
      <c r="A989" s="144">
        <v>45778</v>
      </c>
      <c r="B989" s="135">
        <v>500000</v>
      </c>
      <c r="C989" s="134"/>
      <c r="D989" s="135"/>
      <c r="E989" s="134" t="s">
        <v>582</v>
      </c>
      <c r="F989" s="135">
        <f t="shared" si="15"/>
        <v>-9979000</v>
      </c>
      <c r="G989" s="136" t="s">
        <v>191</v>
      </c>
      <c r="H989" s="133" t="s">
        <v>323</v>
      </c>
      <c r="I989" s="134" t="s">
        <v>108</v>
      </c>
    </row>
    <row r="990" spans="1:9" x14ac:dyDescent="0.35">
      <c r="A990" s="6"/>
      <c r="B990" s="6"/>
      <c r="C990" s="6"/>
      <c r="D990" s="6"/>
      <c r="E990" s="6"/>
      <c r="F990" s="6"/>
      <c r="G990" s="6"/>
      <c r="H990" s="34"/>
      <c r="I990" s="34"/>
    </row>
    <row r="991" spans="1:9" x14ac:dyDescent="0.35">
      <c r="A991" s="177"/>
      <c r="B991" s="177"/>
      <c r="C991" s="177"/>
      <c r="D991" s="177"/>
      <c r="E991" s="177"/>
      <c r="F991" s="177"/>
      <c r="G991" s="177"/>
      <c r="H991" s="178"/>
      <c r="I991" s="178"/>
    </row>
    <row r="992" spans="1:9" x14ac:dyDescent="0.35">
      <c r="A992" s="100">
        <v>45716</v>
      </c>
      <c r="B992" s="101"/>
      <c r="C992" s="102"/>
      <c r="D992" s="101">
        <v>250000</v>
      </c>
      <c r="E992" s="102" t="s">
        <v>329</v>
      </c>
      <c r="F992" s="101">
        <f>+F955+D992-B992</f>
        <v>4740000</v>
      </c>
      <c r="G992" s="103" t="s">
        <v>377</v>
      </c>
      <c r="H992" s="104" t="s">
        <v>109</v>
      </c>
      <c r="I992" s="109" t="s">
        <v>374</v>
      </c>
    </row>
    <row r="993" spans="1:9" x14ac:dyDescent="0.35">
      <c r="A993" s="100">
        <v>45717</v>
      </c>
      <c r="B993" s="101"/>
      <c r="C993" s="102"/>
      <c r="D993" s="101">
        <v>2015000</v>
      </c>
      <c r="E993" s="102" t="s">
        <v>329</v>
      </c>
      <c r="F993" s="101">
        <f t="shared" si="15"/>
        <v>6755000</v>
      </c>
      <c r="G993" s="103" t="s">
        <v>377</v>
      </c>
      <c r="H993" s="104" t="s">
        <v>109</v>
      </c>
      <c r="I993" s="109" t="s">
        <v>374</v>
      </c>
    </row>
    <row r="994" spans="1:9" x14ac:dyDescent="0.35">
      <c r="A994" s="100">
        <v>45718</v>
      </c>
      <c r="B994" s="101"/>
      <c r="C994" s="102"/>
      <c r="D994" s="101">
        <v>1100000</v>
      </c>
      <c r="E994" s="102" t="s">
        <v>329</v>
      </c>
      <c r="F994" s="101">
        <f t="shared" si="15"/>
        <v>7855000</v>
      </c>
      <c r="G994" s="103" t="s">
        <v>377</v>
      </c>
      <c r="H994" s="104" t="s">
        <v>109</v>
      </c>
      <c r="I994" s="109" t="s">
        <v>374</v>
      </c>
    </row>
    <row r="995" spans="1:9" x14ac:dyDescent="0.35">
      <c r="A995" s="100">
        <v>45719</v>
      </c>
      <c r="B995" s="101"/>
      <c r="C995" s="102"/>
      <c r="D995" s="101">
        <v>1920000</v>
      </c>
      <c r="E995" s="102" t="s">
        <v>329</v>
      </c>
      <c r="F995" s="101">
        <f t="shared" si="15"/>
        <v>9775000</v>
      </c>
      <c r="G995" s="103" t="s">
        <v>377</v>
      </c>
      <c r="H995" s="104" t="s">
        <v>109</v>
      </c>
      <c r="I995" s="109" t="s">
        <v>374</v>
      </c>
    </row>
    <row r="996" spans="1:9" x14ac:dyDescent="0.35">
      <c r="A996" s="100">
        <v>45720</v>
      </c>
      <c r="B996" s="101"/>
      <c r="C996" s="102"/>
      <c r="D996" s="101">
        <v>836000</v>
      </c>
      <c r="E996" s="102" t="s">
        <v>329</v>
      </c>
      <c r="F996" s="101">
        <f t="shared" si="15"/>
        <v>10611000</v>
      </c>
      <c r="G996" s="103" t="s">
        <v>377</v>
      </c>
      <c r="H996" s="104" t="s">
        <v>109</v>
      </c>
      <c r="I996" s="109" t="s">
        <v>374</v>
      </c>
    </row>
    <row r="997" spans="1:9" x14ac:dyDescent="0.35">
      <c r="A997" s="100">
        <v>45721</v>
      </c>
      <c r="B997" s="101"/>
      <c r="C997" s="102"/>
      <c r="D997" s="101">
        <v>1450000</v>
      </c>
      <c r="E997" s="102" t="s">
        <v>329</v>
      </c>
      <c r="F997" s="101">
        <f t="shared" si="15"/>
        <v>12061000</v>
      </c>
      <c r="G997" s="103" t="s">
        <v>377</v>
      </c>
      <c r="H997" s="104" t="s">
        <v>109</v>
      </c>
      <c r="I997" s="109" t="s">
        <v>374</v>
      </c>
    </row>
    <row r="998" spans="1:9" x14ac:dyDescent="0.35">
      <c r="A998" s="100">
        <v>45722</v>
      </c>
      <c r="B998" s="101"/>
      <c r="C998" s="102"/>
      <c r="D998" s="101">
        <v>1507000</v>
      </c>
      <c r="E998" s="102" t="s">
        <v>329</v>
      </c>
      <c r="F998" s="101">
        <f t="shared" si="15"/>
        <v>13568000</v>
      </c>
      <c r="G998" s="103" t="s">
        <v>377</v>
      </c>
      <c r="H998" s="104" t="s">
        <v>109</v>
      </c>
      <c r="I998" s="109" t="s">
        <v>374</v>
      </c>
    </row>
    <row r="999" spans="1:9" x14ac:dyDescent="0.35">
      <c r="A999" s="100">
        <v>45716</v>
      </c>
      <c r="B999" s="101">
        <v>410000</v>
      </c>
      <c r="C999" s="102"/>
      <c r="D999" s="101"/>
      <c r="E999" s="102" t="s">
        <v>329</v>
      </c>
      <c r="F999" s="101">
        <f t="shared" si="15"/>
        <v>13158000</v>
      </c>
      <c r="G999" s="103" t="s">
        <v>376</v>
      </c>
      <c r="H999" s="104" t="s">
        <v>323</v>
      </c>
      <c r="I999" s="109" t="s">
        <v>374</v>
      </c>
    </row>
    <row r="1000" spans="1:9" x14ac:dyDescent="0.35">
      <c r="A1000" s="100">
        <v>45717</v>
      </c>
      <c r="B1000" s="101">
        <v>860000</v>
      </c>
      <c r="C1000" s="102"/>
      <c r="D1000" s="101"/>
      <c r="E1000" s="102" t="s">
        <v>329</v>
      </c>
      <c r="F1000" s="101">
        <f t="shared" si="15"/>
        <v>12298000</v>
      </c>
      <c r="G1000" s="103" t="s">
        <v>378</v>
      </c>
      <c r="H1000" s="104" t="s">
        <v>323</v>
      </c>
      <c r="I1000" s="109" t="s">
        <v>374</v>
      </c>
    </row>
    <row r="1001" spans="1:9" x14ac:dyDescent="0.35">
      <c r="A1001" s="100">
        <v>45718</v>
      </c>
      <c r="B1001" s="101">
        <v>860000</v>
      </c>
      <c r="C1001" s="102"/>
      <c r="D1001" s="101"/>
      <c r="E1001" s="102" t="s">
        <v>329</v>
      </c>
      <c r="F1001" s="101">
        <f t="shared" si="15"/>
        <v>11438000</v>
      </c>
      <c r="G1001" s="103" t="s">
        <v>378</v>
      </c>
      <c r="H1001" s="104" t="s">
        <v>323</v>
      </c>
      <c r="I1001" s="109" t="s">
        <v>374</v>
      </c>
    </row>
    <row r="1002" spans="1:9" x14ac:dyDescent="0.35">
      <c r="A1002" s="100">
        <v>45719</v>
      </c>
      <c r="B1002" s="101">
        <v>510000</v>
      </c>
      <c r="C1002" s="102"/>
      <c r="D1002" s="101"/>
      <c r="E1002" s="102" t="s">
        <v>329</v>
      </c>
      <c r="F1002" s="101">
        <f t="shared" si="15"/>
        <v>10928000</v>
      </c>
      <c r="G1002" s="103" t="s">
        <v>375</v>
      </c>
      <c r="H1002" s="104" t="s">
        <v>323</v>
      </c>
      <c r="I1002" s="109" t="s">
        <v>374</v>
      </c>
    </row>
    <row r="1003" spans="1:9" x14ac:dyDescent="0.35">
      <c r="A1003" s="100">
        <v>45720</v>
      </c>
      <c r="B1003" s="101">
        <v>510000</v>
      </c>
      <c r="C1003" s="102"/>
      <c r="D1003" s="101"/>
      <c r="E1003" s="102" t="s">
        <v>329</v>
      </c>
      <c r="F1003" s="101">
        <f t="shared" si="15"/>
        <v>10418000</v>
      </c>
      <c r="G1003" s="103" t="s">
        <v>375</v>
      </c>
      <c r="H1003" s="104" t="s">
        <v>323</v>
      </c>
      <c r="I1003" s="109" t="s">
        <v>374</v>
      </c>
    </row>
    <row r="1004" spans="1:9" x14ac:dyDescent="0.35">
      <c r="A1004" s="100">
        <v>45721</v>
      </c>
      <c r="B1004" s="101">
        <v>510000</v>
      </c>
      <c r="C1004" s="102"/>
      <c r="D1004" s="101"/>
      <c r="E1004" s="102" t="s">
        <v>329</v>
      </c>
      <c r="F1004" s="101">
        <f t="shared" si="15"/>
        <v>9908000</v>
      </c>
      <c r="G1004" s="103" t="s">
        <v>375</v>
      </c>
      <c r="H1004" s="104" t="s">
        <v>323</v>
      </c>
      <c r="I1004" s="109" t="s">
        <v>374</v>
      </c>
    </row>
    <row r="1005" spans="1:9" x14ac:dyDescent="0.35">
      <c r="A1005" s="100">
        <v>45722</v>
      </c>
      <c r="B1005" s="101">
        <v>860000</v>
      </c>
      <c r="C1005" s="102"/>
      <c r="D1005" s="101"/>
      <c r="E1005" s="102" t="s">
        <v>329</v>
      </c>
      <c r="F1005" s="101">
        <f t="shared" si="15"/>
        <v>9048000</v>
      </c>
      <c r="G1005" s="103" t="s">
        <v>378</v>
      </c>
      <c r="H1005" s="104" t="s">
        <v>323</v>
      </c>
      <c r="I1005" s="109" t="s">
        <v>374</v>
      </c>
    </row>
    <row r="1006" spans="1:9" x14ac:dyDescent="0.35">
      <c r="A1006" s="100">
        <v>45723</v>
      </c>
      <c r="B1006" s="101"/>
      <c r="C1006" s="102"/>
      <c r="D1006" s="101">
        <v>1601000</v>
      </c>
      <c r="E1006" s="102" t="s">
        <v>367</v>
      </c>
      <c r="F1006" s="101">
        <f t="shared" si="15"/>
        <v>10649000</v>
      </c>
      <c r="G1006" s="103" t="s">
        <v>377</v>
      </c>
      <c r="H1006" s="104" t="s">
        <v>109</v>
      </c>
      <c r="I1006" s="109" t="s">
        <v>374</v>
      </c>
    </row>
    <row r="1007" spans="1:9" x14ac:dyDescent="0.35">
      <c r="A1007" s="100">
        <v>45724</v>
      </c>
      <c r="B1007" s="101"/>
      <c r="C1007" s="102"/>
      <c r="D1007" s="101">
        <v>1636000</v>
      </c>
      <c r="E1007" s="102" t="s">
        <v>367</v>
      </c>
      <c r="F1007" s="101">
        <f t="shared" si="15"/>
        <v>12285000</v>
      </c>
      <c r="G1007" s="103" t="s">
        <v>377</v>
      </c>
      <c r="H1007" s="104" t="s">
        <v>109</v>
      </c>
      <c r="I1007" s="109" t="s">
        <v>374</v>
      </c>
    </row>
    <row r="1008" spans="1:9" x14ac:dyDescent="0.35">
      <c r="A1008" s="100">
        <v>45725</v>
      </c>
      <c r="B1008" s="101"/>
      <c r="C1008" s="102"/>
      <c r="D1008" s="101">
        <v>1589000</v>
      </c>
      <c r="E1008" s="102" t="s">
        <v>367</v>
      </c>
      <c r="F1008" s="101">
        <f t="shared" si="15"/>
        <v>13874000</v>
      </c>
      <c r="G1008" s="103" t="s">
        <v>377</v>
      </c>
      <c r="H1008" s="104" t="s">
        <v>109</v>
      </c>
      <c r="I1008" s="109" t="s">
        <v>374</v>
      </c>
    </row>
    <row r="1009" spans="1:9" x14ac:dyDescent="0.35">
      <c r="A1009" s="100">
        <v>45726</v>
      </c>
      <c r="B1009" s="101"/>
      <c r="C1009" s="102"/>
      <c r="D1009" s="101">
        <v>1210000</v>
      </c>
      <c r="E1009" s="102" t="s">
        <v>367</v>
      </c>
      <c r="F1009" s="101">
        <f t="shared" si="15"/>
        <v>15084000</v>
      </c>
      <c r="G1009" s="103" t="s">
        <v>377</v>
      </c>
      <c r="H1009" s="104" t="s">
        <v>109</v>
      </c>
      <c r="I1009" s="109" t="s">
        <v>374</v>
      </c>
    </row>
    <row r="1010" spans="1:9" x14ac:dyDescent="0.35">
      <c r="A1010" s="100">
        <v>45726</v>
      </c>
      <c r="B1010" s="101">
        <v>4558000</v>
      </c>
      <c r="C1010" s="102"/>
      <c r="D1010" s="101"/>
      <c r="E1010" s="102" t="s">
        <v>367</v>
      </c>
      <c r="F1010" s="101">
        <f t="shared" si="15"/>
        <v>10526000</v>
      </c>
      <c r="G1010" s="103" t="s">
        <v>379</v>
      </c>
      <c r="H1010" s="104" t="s">
        <v>320</v>
      </c>
      <c r="I1010" s="109" t="s">
        <v>374</v>
      </c>
    </row>
    <row r="1011" spans="1:9" x14ac:dyDescent="0.35">
      <c r="A1011" s="100">
        <v>45723</v>
      </c>
      <c r="B1011" s="101">
        <v>510000</v>
      </c>
      <c r="C1011" s="102"/>
      <c r="D1011" s="101"/>
      <c r="E1011" s="102" t="s">
        <v>367</v>
      </c>
      <c r="F1011" s="101">
        <f t="shared" si="15"/>
        <v>10016000</v>
      </c>
      <c r="G1011" s="103" t="s">
        <v>375</v>
      </c>
      <c r="H1011" s="104" t="s">
        <v>323</v>
      </c>
      <c r="I1011" s="109" t="s">
        <v>374</v>
      </c>
    </row>
    <row r="1012" spans="1:9" x14ac:dyDescent="0.35">
      <c r="A1012" s="100">
        <v>45724</v>
      </c>
      <c r="B1012" s="101">
        <v>860000</v>
      </c>
      <c r="C1012" s="102"/>
      <c r="D1012" s="101"/>
      <c r="E1012" s="102" t="s">
        <v>367</v>
      </c>
      <c r="F1012" s="101">
        <f t="shared" si="15"/>
        <v>9156000</v>
      </c>
      <c r="G1012" s="103" t="s">
        <v>378</v>
      </c>
      <c r="H1012" s="104" t="s">
        <v>323</v>
      </c>
      <c r="I1012" s="109" t="s">
        <v>374</v>
      </c>
    </row>
    <row r="1013" spans="1:9" x14ac:dyDescent="0.35">
      <c r="A1013" s="100">
        <v>45725</v>
      </c>
      <c r="B1013" s="101">
        <v>860000</v>
      </c>
      <c r="C1013" s="102"/>
      <c r="D1013" s="101"/>
      <c r="E1013" s="102" t="s">
        <v>367</v>
      </c>
      <c r="F1013" s="101">
        <f t="shared" si="15"/>
        <v>8296000</v>
      </c>
      <c r="G1013" s="103" t="s">
        <v>378</v>
      </c>
      <c r="H1013" s="104" t="s">
        <v>323</v>
      </c>
      <c r="I1013" s="109" t="s">
        <v>374</v>
      </c>
    </row>
    <row r="1014" spans="1:9" x14ac:dyDescent="0.35">
      <c r="A1014" s="100">
        <v>45726</v>
      </c>
      <c r="B1014" s="101">
        <v>510000</v>
      </c>
      <c r="C1014" s="102"/>
      <c r="D1014" s="101"/>
      <c r="E1014" s="102" t="s">
        <v>367</v>
      </c>
      <c r="F1014" s="101">
        <f t="shared" si="15"/>
        <v>7786000</v>
      </c>
      <c r="G1014" s="103" t="s">
        <v>375</v>
      </c>
      <c r="H1014" s="104" t="s">
        <v>323</v>
      </c>
      <c r="I1014" s="109" t="s">
        <v>374</v>
      </c>
    </row>
    <row r="1015" spans="1:9" x14ac:dyDescent="0.35">
      <c r="A1015" s="100">
        <v>45727</v>
      </c>
      <c r="B1015" s="101"/>
      <c r="C1015" s="102"/>
      <c r="D1015" s="101">
        <v>1608000</v>
      </c>
      <c r="E1015" s="102" t="s">
        <v>367</v>
      </c>
      <c r="F1015" s="101">
        <f t="shared" si="15"/>
        <v>9394000</v>
      </c>
      <c r="G1015" s="103" t="s">
        <v>377</v>
      </c>
      <c r="H1015" s="104" t="s">
        <v>109</v>
      </c>
      <c r="I1015" s="109" t="s">
        <v>374</v>
      </c>
    </row>
    <row r="1016" spans="1:9" x14ac:dyDescent="0.35">
      <c r="A1016" s="100">
        <v>45728</v>
      </c>
      <c r="B1016" s="101"/>
      <c r="C1016" s="102"/>
      <c r="D1016" s="101">
        <v>1404000</v>
      </c>
      <c r="E1016" s="102" t="s">
        <v>367</v>
      </c>
      <c r="F1016" s="101">
        <f t="shared" si="15"/>
        <v>10798000</v>
      </c>
      <c r="G1016" s="103" t="s">
        <v>377</v>
      </c>
      <c r="H1016" s="104" t="s">
        <v>109</v>
      </c>
      <c r="I1016" s="109" t="s">
        <v>374</v>
      </c>
    </row>
    <row r="1017" spans="1:9" x14ac:dyDescent="0.35">
      <c r="A1017" s="100">
        <v>45729</v>
      </c>
      <c r="B1017" s="101"/>
      <c r="C1017" s="102"/>
      <c r="D1017" s="101">
        <v>1150000</v>
      </c>
      <c r="E1017" s="102" t="s">
        <v>367</v>
      </c>
      <c r="F1017" s="101">
        <f t="shared" si="15"/>
        <v>11948000</v>
      </c>
      <c r="G1017" s="103" t="s">
        <v>377</v>
      </c>
      <c r="H1017" s="104" t="s">
        <v>109</v>
      </c>
      <c r="I1017" s="109" t="s">
        <v>374</v>
      </c>
    </row>
    <row r="1018" spans="1:9" x14ac:dyDescent="0.35">
      <c r="A1018" s="100">
        <v>45727</v>
      </c>
      <c r="B1018" s="101">
        <v>510000</v>
      </c>
      <c r="C1018" s="102"/>
      <c r="D1018" s="101"/>
      <c r="E1018" s="102" t="s">
        <v>367</v>
      </c>
      <c r="F1018" s="101">
        <f t="shared" si="15"/>
        <v>11438000</v>
      </c>
      <c r="G1018" s="103" t="s">
        <v>375</v>
      </c>
      <c r="H1018" s="104" t="s">
        <v>323</v>
      </c>
      <c r="I1018" s="109" t="s">
        <v>374</v>
      </c>
    </row>
    <row r="1019" spans="1:9" x14ac:dyDescent="0.35">
      <c r="A1019" s="100">
        <v>45728</v>
      </c>
      <c r="B1019" s="101">
        <v>510000</v>
      </c>
      <c r="C1019" s="102"/>
      <c r="D1019" s="101"/>
      <c r="E1019" s="102" t="s">
        <v>367</v>
      </c>
      <c r="F1019" s="101">
        <f t="shared" si="15"/>
        <v>10928000</v>
      </c>
      <c r="G1019" s="103" t="s">
        <v>375</v>
      </c>
      <c r="H1019" s="104" t="s">
        <v>323</v>
      </c>
      <c r="I1019" s="109" t="s">
        <v>374</v>
      </c>
    </row>
    <row r="1020" spans="1:9" x14ac:dyDescent="0.35">
      <c r="A1020" s="100">
        <v>45729</v>
      </c>
      <c r="B1020" s="101">
        <v>860000</v>
      </c>
      <c r="C1020" s="102"/>
      <c r="D1020" s="101"/>
      <c r="E1020" s="102" t="s">
        <v>367</v>
      </c>
      <c r="F1020" s="101">
        <f t="shared" si="15"/>
        <v>10068000</v>
      </c>
      <c r="G1020" s="103" t="s">
        <v>378</v>
      </c>
      <c r="H1020" s="104" t="s">
        <v>323</v>
      </c>
      <c r="I1020" s="109" t="s">
        <v>374</v>
      </c>
    </row>
    <row r="1021" spans="1:9" x14ac:dyDescent="0.35">
      <c r="A1021" s="100">
        <v>45730</v>
      </c>
      <c r="B1021" s="101"/>
      <c r="C1021" s="102"/>
      <c r="D1021" s="101">
        <v>1120000</v>
      </c>
      <c r="E1021" s="102" t="s">
        <v>398</v>
      </c>
      <c r="F1021" s="101">
        <f t="shared" si="15"/>
        <v>11188000</v>
      </c>
      <c r="G1021" s="103" t="s">
        <v>377</v>
      </c>
      <c r="H1021" s="104" t="s">
        <v>109</v>
      </c>
      <c r="I1021" s="109" t="s">
        <v>374</v>
      </c>
    </row>
    <row r="1022" spans="1:9" x14ac:dyDescent="0.35">
      <c r="A1022" s="100">
        <v>45731</v>
      </c>
      <c r="B1022" s="101"/>
      <c r="C1022" s="102"/>
      <c r="D1022" s="101">
        <v>1147000</v>
      </c>
      <c r="E1022" s="102" t="s">
        <v>398</v>
      </c>
      <c r="F1022" s="101">
        <f t="shared" si="15"/>
        <v>12335000</v>
      </c>
      <c r="G1022" s="103" t="s">
        <v>377</v>
      </c>
      <c r="H1022" s="104" t="s">
        <v>109</v>
      </c>
      <c r="I1022" s="109" t="s">
        <v>374</v>
      </c>
    </row>
    <row r="1023" spans="1:9" x14ac:dyDescent="0.35">
      <c r="A1023" s="100">
        <v>45732</v>
      </c>
      <c r="B1023" s="101"/>
      <c r="C1023" s="102"/>
      <c r="D1023" s="101">
        <v>1107000</v>
      </c>
      <c r="E1023" s="102" t="s">
        <v>398</v>
      </c>
      <c r="F1023" s="101">
        <f t="shared" si="15"/>
        <v>13442000</v>
      </c>
      <c r="G1023" s="103" t="s">
        <v>377</v>
      </c>
      <c r="H1023" s="104" t="s">
        <v>109</v>
      </c>
      <c r="I1023" s="109" t="s">
        <v>374</v>
      </c>
    </row>
    <row r="1024" spans="1:9" x14ac:dyDescent="0.35">
      <c r="A1024" s="100">
        <v>45733</v>
      </c>
      <c r="B1024" s="101"/>
      <c r="C1024" s="102"/>
      <c r="D1024" s="101">
        <v>1140000</v>
      </c>
      <c r="E1024" s="102" t="s">
        <v>398</v>
      </c>
      <c r="F1024" s="101">
        <f t="shared" si="15"/>
        <v>14582000</v>
      </c>
      <c r="G1024" s="103" t="s">
        <v>377</v>
      </c>
      <c r="H1024" s="104" t="s">
        <v>109</v>
      </c>
      <c r="I1024" s="109" t="s">
        <v>374</v>
      </c>
    </row>
    <row r="1025" spans="1:9" x14ac:dyDescent="0.35">
      <c r="A1025" s="100">
        <v>45734</v>
      </c>
      <c r="B1025" s="101"/>
      <c r="C1025" s="102"/>
      <c r="D1025" s="101">
        <v>1086000</v>
      </c>
      <c r="E1025" s="102" t="s">
        <v>398</v>
      </c>
      <c r="F1025" s="101">
        <f t="shared" si="15"/>
        <v>15668000</v>
      </c>
      <c r="G1025" s="103" t="s">
        <v>377</v>
      </c>
      <c r="H1025" s="104" t="s">
        <v>109</v>
      </c>
      <c r="I1025" s="109" t="s">
        <v>374</v>
      </c>
    </row>
    <row r="1026" spans="1:9" x14ac:dyDescent="0.35">
      <c r="A1026" s="100">
        <v>45735</v>
      </c>
      <c r="B1026" s="101"/>
      <c r="C1026" s="102"/>
      <c r="D1026" s="101">
        <v>1217000</v>
      </c>
      <c r="E1026" s="102" t="s">
        <v>398</v>
      </c>
      <c r="F1026" s="101">
        <f t="shared" si="15"/>
        <v>16885000</v>
      </c>
      <c r="G1026" s="103" t="s">
        <v>377</v>
      </c>
      <c r="H1026" s="104" t="s">
        <v>109</v>
      </c>
      <c r="I1026" s="109" t="s">
        <v>374</v>
      </c>
    </row>
    <row r="1027" spans="1:9" x14ac:dyDescent="0.35">
      <c r="A1027" s="100">
        <v>45736</v>
      </c>
      <c r="B1027" s="101"/>
      <c r="C1027" s="102"/>
      <c r="D1027" s="101">
        <v>1650000</v>
      </c>
      <c r="E1027" s="102" t="s">
        <v>398</v>
      </c>
      <c r="F1027" s="101">
        <f t="shared" si="15"/>
        <v>18535000</v>
      </c>
      <c r="G1027" s="103" t="s">
        <v>377</v>
      </c>
      <c r="H1027" s="104" t="s">
        <v>109</v>
      </c>
      <c r="I1027" s="109" t="s">
        <v>374</v>
      </c>
    </row>
    <row r="1028" spans="1:9" x14ac:dyDescent="0.35">
      <c r="A1028" s="100">
        <v>45737</v>
      </c>
      <c r="B1028" s="101"/>
      <c r="C1028" s="102"/>
      <c r="D1028" s="101">
        <v>1104000</v>
      </c>
      <c r="E1028" s="102" t="s">
        <v>422</v>
      </c>
      <c r="F1028" s="101">
        <f t="shared" si="15"/>
        <v>19639000</v>
      </c>
      <c r="G1028" s="103" t="s">
        <v>377</v>
      </c>
      <c r="H1028" s="104" t="s">
        <v>109</v>
      </c>
      <c r="I1028" s="109" t="s">
        <v>374</v>
      </c>
    </row>
    <row r="1029" spans="1:9" x14ac:dyDescent="0.35">
      <c r="A1029" s="100">
        <v>45738</v>
      </c>
      <c r="B1029" s="101"/>
      <c r="C1029" s="102"/>
      <c r="D1029" s="101">
        <v>1750000</v>
      </c>
      <c r="E1029" s="102" t="s">
        <v>422</v>
      </c>
      <c r="F1029" s="101">
        <f t="shared" si="15"/>
        <v>21389000</v>
      </c>
      <c r="G1029" s="103" t="s">
        <v>377</v>
      </c>
      <c r="H1029" s="104" t="s">
        <v>109</v>
      </c>
      <c r="I1029" s="109" t="s">
        <v>374</v>
      </c>
    </row>
    <row r="1030" spans="1:9" x14ac:dyDescent="0.35">
      <c r="A1030" s="100">
        <v>45739</v>
      </c>
      <c r="B1030" s="101"/>
      <c r="C1030" s="102"/>
      <c r="D1030" s="101">
        <v>1602000</v>
      </c>
      <c r="E1030" s="102" t="s">
        <v>422</v>
      </c>
      <c r="F1030" s="101">
        <f t="shared" si="15"/>
        <v>22991000</v>
      </c>
      <c r="G1030" s="103" t="s">
        <v>377</v>
      </c>
      <c r="H1030" s="104" t="s">
        <v>109</v>
      </c>
      <c r="I1030" s="109" t="s">
        <v>374</v>
      </c>
    </row>
    <row r="1031" spans="1:9" x14ac:dyDescent="0.35">
      <c r="A1031" s="100">
        <v>45740</v>
      </c>
      <c r="B1031" s="101"/>
      <c r="C1031" s="102"/>
      <c r="D1031" s="101">
        <v>1564000</v>
      </c>
      <c r="E1031" s="102" t="s">
        <v>422</v>
      </c>
      <c r="F1031" s="101">
        <f t="shared" si="15"/>
        <v>24555000</v>
      </c>
      <c r="G1031" s="103" t="s">
        <v>377</v>
      </c>
      <c r="H1031" s="104" t="s">
        <v>109</v>
      </c>
      <c r="I1031" s="109" t="s">
        <v>374</v>
      </c>
    </row>
    <row r="1032" spans="1:9" x14ac:dyDescent="0.35">
      <c r="A1032" s="100">
        <v>45741</v>
      </c>
      <c r="B1032" s="101"/>
      <c r="C1032" s="102"/>
      <c r="D1032" s="101">
        <v>1338000</v>
      </c>
      <c r="E1032" s="102" t="s">
        <v>422</v>
      </c>
      <c r="F1032" s="101">
        <f t="shared" si="15"/>
        <v>25893000</v>
      </c>
      <c r="G1032" s="103" t="s">
        <v>377</v>
      </c>
      <c r="H1032" s="104" t="s">
        <v>109</v>
      </c>
      <c r="I1032" s="109" t="s">
        <v>374</v>
      </c>
    </row>
    <row r="1033" spans="1:9" x14ac:dyDescent="0.35">
      <c r="A1033" s="100">
        <v>45742</v>
      </c>
      <c r="B1033" s="101"/>
      <c r="C1033" s="102"/>
      <c r="D1033" s="101">
        <v>2380000</v>
      </c>
      <c r="E1033" s="102" t="s">
        <v>422</v>
      </c>
      <c r="F1033" s="101">
        <f t="shared" si="15"/>
        <v>28273000</v>
      </c>
      <c r="G1033" s="103" t="s">
        <v>377</v>
      </c>
      <c r="H1033" s="104" t="s">
        <v>109</v>
      </c>
      <c r="I1033" s="109" t="s">
        <v>374</v>
      </c>
    </row>
    <row r="1034" spans="1:9" x14ac:dyDescent="0.35">
      <c r="A1034" s="100">
        <v>45743</v>
      </c>
      <c r="B1034" s="101"/>
      <c r="C1034" s="102"/>
      <c r="D1034" s="101">
        <v>1784000</v>
      </c>
      <c r="E1034" s="102" t="s">
        <v>422</v>
      </c>
      <c r="F1034" s="101">
        <f t="shared" si="15"/>
        <v>30057000</v>
      </c>
      <c r="G1034" s="103" t="s">
        <v>377</v>
      </c>
      <c r="H1034" s="104" t="s">
        <v>109</v>
      </c>
      <c r="I1034" s="109" t="s">
        <v>374</v>
      </c>
    </row>
    <row r="1035" spans="1:9" x14ac:dyDescent="0.35">
      <c r="A1035" s="100">
        <v>45744</v>
      </c>
      <c r="B1035" s="101"/>
      <c r="C1035" s="102"/>
      <c r="D1035" s="101">
        <v>1950000</v>
      </c>
      <c r="E1035" s="102" t="s">
        <v>474</v>
      </c>
      <c r="F1035" s="101">
        <f t="shared" si="15"/>
        <v>32007000</v>
      </c>
      <c r="G1035" s="103" t="s">
        <v>377</v>
      </c>
      <c r="H1035" s="104" t="s">
        <v>109</v>
      </c>
      <c r="I1035" s="109" t="s">
        <v>374</v>
      </c>
    </row>
    <row r="1036" spans="1:9" x14ac:dyDescent="0.35">
      <c r="A1036" s="100">
        <v>45745</v>
      </c>
      <c r="B1036" s="101"/>
      <c r="C1036" s="102"/>
      <c r="D1036" s="101">
        <v>1740000</v>
      </c>
      <c r="E1036" s="102" t="s">
        <v>474</v>
      </c>
      <c r="F1036" s="101">
        <f t="shared" si="15"/>
        <v>33747000</v>
      </c>
      <c r="G1036" s="103" t="s">
        <v>377</v>
      </c>
      <c r="H1036" s="104" t="s">
        <v>109</v>
      </c>
      <c r="I1036" s="109" t="s">
        <v>374</v>
      </c>
    </row>
    <row r="1037" spans="1:9" x14ac:dyDescent="0.35">
      <c r="A1037" s="100">
        <v>45730</v>
      </c>
      <c r="B1037" s="101">
        <v>510000</v>
      </c>
      <c r="C1037" s="102"/>
      <c r="D1037" s="101"/>
      <c r="E1037" s="102" t="s">
        <v>398</v>
      </c>
      <c r="F1037" s="101">
        <f t="shared" si="15"/>
        <v>33237000</v>
      </c>
      <c r="G1037" s="103" t="s">
        <v>375</v>
      </c>
      <c r="H1037" s="104" t="s">
        <v>323</v>
      </c>
      <c r="I1037" s="109" t="s">
        <v>374</v>
      </c>
    </row>
    <row r="1038" spans="1:9" x14ac:dyDescent="0.35">
      <c r="A1038" s="100">
        <v>45731</v>
      </c>
      <c r="B1038" s="101">
        <v>510000</v>
      </c>
      <c r="C1038" s="102"/>
      <c r="D1038" s="101"/>
      <c r="E1038" s="102" t="s">
        <v>398</v>
      </c>
      <c r="F1038" s="101">
        <f t="shared" si="15"/>
        <v>32727000</v>
      </c>
      <c r="G1038" s="103" t="s">
        <v>375</v>
      </c>
      <c r="H1038" s="104" t="s">
        <v>323</v>
      </c>
      <c r="I1038" s="109" t="s">
        <v>374</v>
      </c>
    </row>
    <row r="1039" spans="1:9" x14ac:dyDescent="0.35">
      <c r="A1039" s="100">
        <v>45732</v>
      </c>
      <c r="B1039" s="101">
        <v>700000</v>
      </c>
      <c r="C1039" s="102"/>
      <c r="D1039" s="101"/>
      <c r="E1039" s="102" t="s">
        <v>398</v>
      </c>
      <c r="F1039" s="101">
        <f t="shared" si="15"/>
        <v>32027000</v>
      </c>
      <c r="G1039" s="103" t="s">
        <v>418</v>
      </c>
      <c r="H1039" s="104" t="s">
        <v>323</v>
      </c>
      <c r="I1039" s="109" t="s">
        <v>374</v>
      </c>
    </row>
    <row r="1040" spans="1:9" x14ac:dyDescent="0.35">
      <c r="A1040" s="100">
        <v>45733</v>
      </c>
      <c r="B1040" s="101">
        <v>350000</v>
      </c>
      <c r="C1040" s="102"/>
      <c r="D1040" s="101"/>
      <c r="E1040" s="102" t="s">
        <v>398</v>
      </c>
      <c r="F1040" s="101">
        <f t="shared" si="15"/>
        <v>31677000</v>
      </c>
      <c r="G1040" s="103" t="s">
        <v>419</v>
      </c>
      <c r="H1040" s="104" t="s">
        <v>323</v>
      </c>
      <c r="I1040" s="109" t="s">
        <v>374</v>
      </c>
    </row>
    <row r="1041" spans="1:9" x14ac:dyDescent="0.35">
      <c r="A1041" s="100">
        <v>45734</v>
      </c>
      <c r="B1041" s="101">
        <v>350000</v>
      </c>
      <c r="C1041" s="102"/>
      <c r="D1041" s="101"/>
      <c r="E1041" s="102" t="s">
        <v>398</v>
      </c>
      <c r="F1041" s="101">
        <f>+F1040+D1041-B1041</f>
        <v>31327000</v>
      </c>
      <c r="G1041" s="103" t="s">
        <v>419</v>
      </c>
      <c r="H1041" s="104" t="s">
        <v>323</v>
      </c>
      <c r="I1041" s="109" t="s">
        <v>374</v>
      </c>
    </row>
    <row r="1042" spans="1:9" x14ac:dyDescent="0.35">
      <c r="A1042" s="100">
        <v>45735</v>
      </c>
      <c r="B1042" s="101">
        <v>350000</v>
      </c>
      <c r="C1042" s="102"/>
      <c r="D1042" s="101"/>
      <c r="E1042" s="102" t="s">
        <v>398</v>
      </c>
      <c r="F1042" s="101">
        <f t="shared" si="15"/>
        <v>30977000</v>
      </c>
      <c r="G1042" s="103" t="s">
        <v>419</v>
      </c>
      <c r="H1042" s="104" t="s">
        <v>323</v>
      </c>
      <c r="I1042" s="109" t="s">
        <v>374</v>
      </c>
    </row>
    <row r="1043" spans="1:9" x14ac:dyDescent="0.35">
      <c r="A1043" s="100">
        <v>45736</v>
      </c>
      <c r="B1043" s="101">
        <v>700000</v>
      </c>
      <c r="C1043" s="102"/>
      <c r="D1043" s="101"/>
      <c r="E1043" s="102" t="s">
        <v>398</v>
      </c>
      <c r="F1043" s="101">
        <f t="shared" ref="F1043:F1081" si="16">+F1042+D1043-B1043</f>
        <v>30277000</v>
      </c>
      <c r="G1043" s="103" t="s">
        <v>418</v>
      </c>
      <c r="H1043" s="104" t="s">
        <v>323</v>
      </c>
      <c r="I1043" s="109" t="s">
        <v>374</v>
      </c>
    </row>
    <row r="1044" spans="1:9" x14ac:dyDescent="0.35">
      <c r="A1044" s="100">
        <v>45733</v>
      </c>
      <c r="B1044" s="101">
        <v>5578000</v>
      </c>
      <c r="C1044" s="102"/>
      <c r="D1044" s="101"/>
      <c r="E1044" s="102" t="s">
        <v>398</v>
      </c>
      <c r="F1044" s="101">
        <f t="shared" si="16"/>
        <v>24699000</v>
      </c>
      <c r="G1044" s="103" t="s">
        <v>379</v>
      </c>
      <c r="H1044" s="104" t="s">
        <v>320</v>
      </c>
      <c r="I1044" s="109" t="s">
        <v>374</v>
      </c>
    </row>
    <row r="1045" spans="1:9" x14ac:dyDescent="0.35">
      <c r="A1045" s="100">
        <v>45737</v>
      </c>
      <c r="B1045" s="101">
        <v>350000</v>
      </c>
      <c r="C1045" s="102"/>
      <c r="D1045" s="101"/>
      <c r="E1045" s="102" t="s">
        <v>422</v>
      </c>
      <c r="F1045" s="101">
        <f t="shared" si="16"/>
        <v>24349000</v>
      </c>
      <c r="G1045" s="103" t="s">
        <v>419</v>
      </c>
      <c r="H1045" s="104" t="s">
        <v>323</v>
      </c>
      <c r="I1045" s="109" t="s">
        <v>374</v>
      </c>
    </row>
    <row r="1046" spans="1:9" x14ac:dyDescent="0.35">
      <c r="A1046" s="100">
        <v>45738</v>
      </c>
      <c r="B1046" s="101">
        <v>700000</v>
      </c>
      <c r="C1046" s="102"/>
      <c r="D1046" s="101"/>
      <c r="E1046" s="102" t="s">
        <v>422</v>
      </c>
      <c r="F1046" s="101">
        <f t="shared" si="16"/>
        <v>23649000</v>
      </c>
      <c r="G1046" s="103" t="s">
        <v>418</v>
      </c>
      <c r="H1046" s="104" t="s">
        <v>323</v>
      </c>
      <c r="I1046" s="109" t="s">
        <v>374</v>
      </c>
    </row>
    <row r="1047" spans="1:9" x14ac:dyDescent="0.35">
      <c r="A1047" s="100">
        <v>45739</v>
      </c>
      <c r="B1047" s="101">
        <v>700000</v>
      </c>
      <c r="C1047" s="102"/>
      <c r="D1047" s="101"/>
      <c r="E1047" s="102" t="s">
        <v>422</v>
      </c>
      <c r="F1047" s="101">
        <f t="shared" si="16"/>
        <v>22949000</v>
      </c>
      <c r="G1047" s="103" t="s">
        <v>418</v>
      </c>
      <c r="H1047" s="104" t="s">
        <v>323</v>
      </c>
      <c r="I1047" s="109" t="s">
        <v>374</v>
      </c>
    </row>
    <row r="1048" spans="1:9" x14ac:dyDescent="0.35">
      <c r="A1048" s="100">
        <v>45740</v>
      </c>
      <c r="B1048" s="101">
        <v>350000</v>
      </c>
      <c r="C1048" s="102"/>
      <c r="D1048" s="101"/>
      <c r="E1048" s="102" t="s">
        <v>422</v>
      </c>
      <c r="F1048" s="101">
        <f t="shared" si="16"/>
        <v>22599000</v>
      </c>
      <c r="G1048" s="103" t="s">
        <v>419</v>
      </c>
      <c r="H1048" s="104" t="s">
        <v>323</v>
      </c>
      <c r="I1048" s="109" t="s">
        <v>374</v>
      </c>
    </row>
    <row r="1049" spans="1:9" x14ac:dyDescent="0.35">
      <c r="A1049" s="100">
        <v>45741</v>
      </c>
      <c r="B1049" s="101">
        <v>350000</v>
      </c>
      <c r="C1049" s="102"/>
      <c r="D1049" s="101"/>
      <c r="E1049" s="102" t="s">
        <v>422</v>
      </c>
      <c r="F1049" s="101">
        <f t="shared" si="16"/>
        <v>22249000</v>
      </c>
      <c r="G1049" s="103" t="s">
        <v>419</v>
      </c>
      <c r="H1049" s="104" t="s">
        <v>323</v>
      </c>
      <c r="I1049" s="109" t="s">
        <v>374</v>
      </c>
    </row>
    <row r="1050" spans="1:9" x14ac:dyDescent="0.35">
      <c r="A1050" s="100">
        <v>45742</v>
      </c>
      <c r="B1050" s="101">
        <v>350000</v>
      </c>
      <c r="C1050" s="102"/>
      <c r="D1050" s="101"/>
      <c r="E1050" s="102" t="s">
        <v>422</v>
      </c>
      <c r="F1050" s="101">
        <f t="shared" si="16"/>
        <v>21899000</v>
      </c>
      <c r="G1050" s="103" t="s">
        <v>419</v>
      </c>
      <c r="H1050" s="104" t="s">
        <v>323</v>
      </c>
      <c r="I1050" s="109" t="s">
        <v>374</v>
      </c>
    </row>
    <row r="1051" spans="1:9" x14ac:dyDescent="0.35">
      <c r="A1051" s="100">
        <v>45743</v>
      </c>
      <c r="B1051" s="101">
        <v>700000</v>
      </c>
      <c r="C1051" s="102"/>
      <c r="D1051" s="101"/>
      <c r="E1051" s="102" t="s">
        <v>422</v>
      </c>
      <c r="F1051" s="101">
        <f t="shared" si="16"/>
        <v>21199000</v>
      </c>
      <c r="G1051" s="103" t="s">
        <v>418</v>
      </c>
      <c r="H1051" s="104" t="s">
        <v>323</v>
      </c>
      <c r="I1051" s="109" t="s">
        <v>374</v>
      </c>
    </row>
    <row r="1052" spans="1:9" x14ac:dyDescent="0.35">
      <c r="A1052" s="100">
        <v>45741</v>
      </c>
      <c r="B1052" s="101">
        <v>5026000</v>
      </c>
      <c r="C1052" s="102"/>
      <c r="D1052" s="101"/>
      <c r="E1052" s="102" t="s">
        <v>422</v>
      </c>
      <c r="F1052" s="101">
        <f t="shared" si="16"/>
        <v>16173000</v>
      </c>
      <c r="G1052" s="103" t="s">
        <v>379</v>
      </c>
      <c r="H1052" s="104" t="s">
        <v>320</v>
      </c>
      <c r="I1052" s="109" t="s">
        <v>374</v>
      </c>
    </row>
    <row r="1053" spans="1:9" x14ac:dyDescent="0.35">
      <c r="A1053" s="100">
        <v>45744</v>
      </c>
      <c r="B1053" s="101">
        <v>350000</v>
      </c>
      <c r="C1053" s="102"/>
      <c r="D1053" s="101"/>
      <c r="E1053" s="102" t="s">
        <v>474</v>
      </c>
      <c r="F1053" s="101">
        <f t="shared" si="16"/>
        <v>15823000</v>
      </c>
      <c r="G1053" s="103" t="s">
        <v>419</v>
      </c>
      <c r="H1053" s="104" t="s">
        <v>323</v>
      </c>
      <c r="I1053" s="109" t="s">
        <v>374</v>
      </c>
    </row>
    <row r="1054" spans="1:9" x14ac:dyDescent="0.35">
      <c r="A1054" s="100">
        <v>45745</v>
      </c>
      <c r="B1054" s="101">
        <v>700000</v>
      </c>
      <c r="C1054" s="102"/>
      <c r="D1054" s="101"/>
      <c r="E1054" s="102" t="s">
        <v>474</v>
      </c>
      <c r="F1054" s="101">
        <f t="shared" si="16"/>
        <v>15123000</v>
      </c>
      <c r="G1054" s="103" t="s">
        <v>419</v>
      </c>
      <c r="H1054" s="104" t="s">
        <v>323</v>
      </c>
      <c r="I1054" s="109" t="s">
        <v>374</v>
      </c>
    </row>
    <row r="1055" spans="1:9" x14ac:dyDescent="0.35">
      <c r="A1055" s="19"/>
      <c r="B1055" s="38"/>
      <c r="C1055" s="32"/>
      <c r="D1055" s="38"/>
      <c r="E1055" s="32"/>
      <c r="F1055" s="38"/>
      <c r="G1055" s="10"/>
      <c r="H1055" s="24"/>
      <c r="I1055" s="175"/>
    </row>
    <row r="1056" spans="1:9" x14ac:dyDescent="0.35">
      <c r="A1056" s="173"/>
      <c r="B1056" s="173"/>
      <c r="C1056" s="173"/>
      <c r="D1056" s="173"/>
      <c r="E1056" s="173"/>
      <c r="F1056" s="173"/>
      <c r="G1056" s="173"/>
      <c r="H1056" s="174"/>
      <c r="I1056" s="174"/>
    </row>
    <row r="1057" spans="1:9" x14ac:dyDescent="0.35">
      <c r="A1057" s="145">
        <v>45733</v>
      </c>
      <c r="B1057" s="146"/>
      <c r="C1057" s="147"/>
      <c r="D1057" s="146">
        <v>1000000</v>
      </c>
      <c r="E1057" s="147" t="s">
        <v>422</v>
      </c>
      <c r="F1057" s="146">
        <f>+F1052+D1057-B1057</f>
        <v>17173000</v>
      </c>
      <c r="G1057" s="148" t="s">
        <v>432</v>
      </c>
      <c r="H1057" s="150" t="s">
        <v>105</v>
      </c>
      <c r="I1057" s="149" t="s">
        <v>431</v>
      </c>
    </row>
    <row r="1058" spans="1:9" x14ac:dyDescent="0.35">
      <c r="A1058" s="145">
        <v>45736</v>
      </c>
      <c r="B1058" s="146"/>
      <c r="C1058" s="147"/>
      <c r="D1058" s="146">
        <v>1000000</v>
      </c>
      <c r="E1058" s="147" t="s">
        <v>422</v>
      </c>
      <c r="F1058" s="146">
        <f t="shared" si="16"/>
        <v>18173000</v>
      </c>
      <c r="G1058" s="148" t="s">
        <v>433</v>
      </c>
      <c r="H1058" s="150" t="s">
        <v>107</v>
      </c>
      <c r="I1058" s="149" t="s">
        <v>431</v>
      </c>
    </row>
    <row r="1059" spans="1:9" x14ac:dyDescent="0.35">
      <c r="A1059" s="145">
        <v>45738</v>
      </c>
      <c r="B1059" s="146"/>
      <c r="C1059" s="147"/>
      <c r="D1059" s="146">
        <v>1000000</v>
      </c>
      <c r="E1059" s="147" t="s">
        <v>422</v>
      </c>
      <c r="F1059" s="146">
        <f t="shared" si="16"/>
        <v>19173000</v>
      </c>
      <c r="G1059" s="148" t="s">
        <v>434</v>
      </c>
      <c r="H1059" s="150" t="s">
        <v>105</v>
      </c>
      <c r="I1059" s="149" t="s">
        <v>431</v>
      </c>
    </row>
    <row r="1060" spans="1:9" x14ac:dyDescent="0.35">
      <c r="A1060" s="145">
        <v>45738</v>
      </c>
      <c r="B1060" s="146"/>
      <c r="C1060" s="147"/>
      <c r="D1060" s="146">
        <v>4000000</v>
      </c>
      <c r="E1060" s="147" t="s">
        <v>422</v>
      </c>
      <c r="F1060" s="146">
        <f t="shared" si="16"/>
        <v>23173000</v>
      </c>
      <c r="G1060" s="148" t="s">
        <v>435</v>
      </c>
      <c r="H1060" s="150" t="s">
        <v>105</v>
      </c>
      <c r="I1060" s="149" t="s">
        <v>431</v>
      </c>
    </row>
    <row r="1061" spans="1:9" x14ac:dyDescent="0.35">
      <c r="A1061" s="145">
        <v>45738</v>
      </c>
      <c r="B1061" s="146"/>
      <c r="C1061" s="147"/>
      <c r="D1061" s="146">
        <v>5000000</v>
      </c>
      <c r="E1061" s="147" t="s">
        <v>422</v>
      </c>
      <c r="F1061" s="146">
        <f t="shared" si="16"/>
        <v>28173000</v>
      </c>
      <c r="G1061" s="148" t="s">
        <v>436</v>
      </c>
      <c r="H1061" s="150" t="s">
        <v>105</v>
      </c>
      <c r="I1061" s="149" t="s">
        <v>431</v>
      </c>
    </row>
    <row r="1062" spans="1:9" x14ac:dyDescent="0.35">
      <c r="A1062" s="145">
        <v>45738</v>
      </c>
      <c r="B1062" s="146"/>
      <c r="C1062" s="147"/>
      <c r="D1062" s="146">
        <v>500000</v>
      </c>
      <c r="E1062" s="147" t="s">
        <v>422</v>
      </c>
      <c r="F1062" s="146">
        <f t="shared" si="16"/>
        <v>28673000</v>
      </c>
      <c r="G1062" s="148" t="s">
        <v>437</v>
      </c>
      <c r="H1062" s="150" t="s">
        <v>105</v>
      </c>
      <c r="I1062" s="149" t="s">
        <v>431</v>
      </c>
    </row>
    <row r="1063" spans="1:9" x14ac:dyDescent="0.35">
      <c r="A1063" s="145">
        <v>45738</v>
      </c>
      <c r="B1063" s="146"/>
      <c r="C1063" s="147"/>
      <c r="D1063" s="146">
        <v>300000</v>
      </c>
      <c r="E1063" s="147" t="s">
        <v>422</v>
      </c>
      <c r="F1063" s="146">
        <f t="shared" si="16"/>
        <v>28973000</v>
      </c>
      <c r="G1063" s="148" t="s">
        <v>438</v>
      </c>
      <c r="H1063" s="150" t="s">
        <v>109</v>
      </c>
      <c r="I1063" s="149" t="s">
        <v>431</v>
      </c>
    </row>
    <row r="1064" spans="1:9" x14ac:dyDescent="0.35">
      <c r="A1064" s="145">
        <v>45740</v>
      </c>
      <c r="B1064" s="146"/>
      <c r="C1064" s="147"/>
      <c r="D1064" s="146">
        <v>4000000</v>
      </c>
      <c r="E1064" s="147" t="s">
        <v>422</v>
      </c>
      <c r="F1064" s="146">
        <f t="shared" si="16"/>
        <v>32973000</v>
      </c>
      <c r="G1064" s="148" t="s">
        <v>450</v>
      </c>
      <c r="H1064" s="150" t="s">
        <v>105</v>
      </c>
      <c r="I1064" s="149" t="s">
        <v>431</v>
      </c>
    </row>
    <row r="1065" spans="1:9" x14ac:dyDescent="0.35">
      <c r="A1065" s="145">
        <v>45740</v>
      </c>
      <c r="B1065" s="146"/>
      <c r="C1065" s="147"/>
      <c r="D1065" s="146">
        <v>2500000</v>
      </c>
      <c r="E1065" s="147" t="s">
        <v>422</v>
      </c>
      <c r="F1065" s="146">
        <f t="shared" si="16"/>
        <v>35473000</v>
      </c>
      <c r="G1065" s="148" t="s">
        <v>451</v>
      </c>
      <c r="H1065" s="150" t="s">
        <v>105</v>
      </c>
      <c r="I1065" s="149" t="s">
        <v>431</v>
      </c>
    </row>
    <row r="1066" spans="1:9" x14ac:dyDescent="0.35">
      <c r="A1066" s="145">
        <v>45740</v>
      </c>
      <c r="B1066" s="146"/>
      <c r="C1066" s="147"/>
      <c r="D1066" s="146">
        <v>2000000</v>
      </c>
      <c r="E1066" s="147" t="s">
        <v>422</v>
      </c>
      <c r="F1066" s="146">
        <f t="shared" si="16"/>
        <v>37473000</v>
      </c>
      <c r="G1066" s="148" t="s">
        <v>452</v>
      </c>
      <c r="H1066" s="150" t="s">
        <v>105</v>
      </c>
      <c r="I1066" s="149" t="s">
        <v>431</v>
      </c>
    </row>
    <row r="1067" spans="1:9" x14ac:dyDescent="0.35">
      <c r="A1067" s="145">
        <v>45741</v>
      </c>
      <c r="B1067" s="146"/>
      <c r="C1067" s="147"/>
      <c r="D1067" s="146">
        <v>2400000</v>
      </c>
      <c r="E1067" s="147" t="s">
        <v>422</v>
      </c>
      <c r="F1067" s="146">
        <f t="shared" si="16"/>
        <v>39873000</v>
      </c>
      <c r="G1067" s="148" t="s">
        <v>465</v>
      </c>
      <c r="H1067" s="150" t="s">
        <v>105</v>
      </c>
      <c r="I1067" s="149" t="s">
        <v>431</v>
      </c>
    </row>
    <row r="1068" spans="1:9" x14ac:dyDescent="0.35">
      <c r="A1068" s="145">
        <v>45742</v>
      </c>
      <c r="B1068" s="146"/>
      <c r="C1068" s="147"/>
      <c r="D1068" s="146">
        <v>50000</v>
      </c>
      <c r="E1068" s="147" t="s">
        <v>422</v>
      </c>
      <c r="F1068" s="146">
        <f t="shared" si="16"/>
        <v>39923000</v>
      </c>
      <c r="G1068" s="148" t="s">
        <v>467</v>
      </c>
      <c r="H1068" s="150" t="s">
        <v>109</v>
      </c>
      <c r="I1068" s="149" t="s">
        <v>431</v>
      </c>
    </row>
    <row r="1069" spans="1:9" x14ac:dyDescent="0.35">
      <c r="A1069" s="145">
        <v>45742</v>
      </c>
      <c r="B1069" s="146"/>
      <c r="C1069" s="147"/>
      <c r="D1069" s="146">
        <v>150000</v>
      </c>
      <c r="E1069" s="147" t="s">
        <v>422</v>
      </c>
      <c r="F1069" s="146">
        <f t="shared" si="16"/>
        <v>40073000</v>
      </c>
      <c r="G1069" s="148" t="s">
        <v>468</v>
      </c>
      <c r="H1069" s="150" t="s">
        <v>109</v>
      </c>
      <c r="I1069" s="149" t="s">
        <v>431</v>
      </c>
    </row>
    <row r="1070" spans="1:9" x14ac:dyDescent="0.35">
      <c r="A1070" s="145">
        <v>45742</v>
      </c>
      <c r="B1070" s="146"/>
      <c r="C1070" s="147"/>
      <c r="D1070" s="146">
        <v>150000</v>
      </c>
      <c r="E1070" s="147" t="s">
        <v>422</v>
      </c>
      <c r="F1070" s="146">
        <f t="shared" si="16"/>
        <v>40223000</v>
      </c>
      <c r="G1070" s="148" t="s">
        <v>469</v>
      </c>
      <c r="H1070" s="150" t="s">
        <v>109</v>
      </c>
      <c r="I1070" s="149" t="s">
        <v>431</v>
      </c>
    </row>
    <row r="1071" spans="1:9" x14ac:dyDescent="0.35">
      <c r="A1071" s="145">
        <v>45742</v>
      </c>
      <c r="B1071" s="146"/>
      <c r="C1071" s="147"/>
      <c r="D1071" s="146">
        <v>500000</v>
      </c>
      <c r="E1071" s="147" t="s">
        <v>422</v>
      </c>
      <c r="F1071" s="146">
        <f t="shared" si="16"/>
        <v>40723000</v>
      </c>
      <c r="G1071" s="148" t="s">
        <v>466</v>
      </c>
      <c r="H1071" s="150" t="s">
        <v>105</v>
      </c>
      <c r="I1071" s="149" t="s">
        <v>431</v>
      </c>
    </row>
    <row r="1072" spans="1:9" x14ac:dyDescent="0.35">
      <c r="A1072" s="145">
        <v>45742</v>
      </c>
      <c r="B1072" s="146"/>
      <c r="C1072" s="147"/>
      <c r="D1072" s="146">
        <v>5000000</v>
      </c>
      <c r="E1072" s="147" t="s">
        <v>422</v>
      </c>
      <c r="F1072" s="146">
        <f t="shared" si="16"/>
        <v>45723000</v>
      </c>
      <c r="G1072" s="148" t="s">
        <v>470</v>
      </c>
      <c r="H1072" s="150" t="s">
        <v>105</v>
      </c>
      <c r="I1072" s="149" t="s">
        <v>431</v>
      </c>
    </row>
    <row r="1073" spans="1:9" x14ac:dyDescent="0.35">
      <c r="A1073" s="145">
        <v>45743</v>
      </c>
      <c r="B1073" s="146"/>
      <c r="C1073" s="147"/>
      <c r="D1073" s="146">
        <v>500000</v>
      </c>
      <c r="E1073" s="147" t="s">
        <v>422</v>
      </c>
      <c r="F1073" s="146">
        <f t="shared" si="16"/>
        <v>46223000</v>
      </c>
      <c r="G1073" s="148" t="s">
        <v>471</v>
      </c>
      <c r="H1073" s="150" t="s">
        <v>105</v>
      </c>
      <c r="I1073" s="149" t="s">
        <v>431</v>
      </c>
    </row>
    <row r="1074" spans="1:9" x14ac:dyDescent="0.35">
      <c r="A1074" s="145">
        <v>45743</v>
      </c>
      <c r="B1074" s="146"/>
      <c r="C1074" s="147"/>
      <c r="D1074" s="146">
        <v>80000</v>
      </c>
      <c r="E1074" s="147" t="s">
        <v>422</v>
      </c>
      <c r="F1074" s="146">
        <f t="shared" si="16"/>
        <v>46303000</v>
      </c>
      <c r="G1074" s="148" t="s">
        <v>469</v>
      </c>
      <c r="H1074" s="150" t="s">
        <v>109</v>
      </c>
      <c r="I1074" s="149" t="s">
        <v>431</v>
      </c>
    </row>
    <row r="1075" spans="1:9" x14ac:dyDescent="0.35">
      <c r="A1075" s="145">
        <v>45743</v>
      </c>
      <c r="B1075" s="146"/>
      <c r="C1075" s="147"/>
      <c r="D1075" s="146">
        <v>400000</v>
      </c>
      <c r="E1075" s="147" t="s">
        <v>422</v>
      </c>
      <c r="F1075" s="146">
        <f t="shared" si="16"/>
        <v>46703000</v>
      </c>
      <c r="G1075" s="148" t="s">
        <v>472</v>
      </c>
      <c r="H1075" s="150" t="s">
        <v>105</v>
      </c>
      <c r="I1075" s="149" t="s">
        <v>431</v>
      </c>
    </row>
    <row r="1076" spans="1:9" x14ac:dyDescent="0.35">
      <c r="A1076" s="145">
        <v>45743</v>
      </c>
      <c r="B1076" s="146"/>
      <c r="C1076" s="147"/>
      <c r="D1076" s="146">
        <v>2000000</v>
      </c>
      <c r="E1076" s="147" t="s">
        <v>422</v>
      </c>
      <c r="F1076" s="146">
        <f t="shared" si="16"/>
        <v>48703000</v>
      </c>
      <c r="G1076" s="148" t="s">
        <v>473</v>
      </c>
      <c r="H1076" s="150" t="s">
        <v>105</v>
      </c>
      <c r="I1076" s="149" t="s">
        <v>431</v>
      </c>
    </row>
    <row r="1077" spans="1:9" x14ac:dyDescent="0.35">
      <c r="A1077" s="145">
        <v>45744</v>
      </c>
      <c r="B1077" s="146"/>
      <c r="C1077" s="147"/>
      <c r="D1077" s="146">
        <v>5000000</v>
      </c>
      <c r="E1077" s="147" t="s">
        <v>474</v>
      </c>
      <c r="F1077" s="146">
        <f t="shared" si="16"/>
        <v>53703000</v>
      </c>
      <c r="G1077" s="148" t="s">
        <v>475</v>
      </c>
      <c r="H1077" s="150" t="s">
        <v>105</v>
      </c>
      <c r="I1077" s="149" t="s">
        <v>431</v>
      </c>
    </row>
    <row r="1078" spans="1:9" x14ac:dyDescent="0.35">
      <c r="A1078" s="145">
        <v>45744</v>
      </c>
      <c r="B1078" s="146"/>
      <c r="C1078" s="147"/>
      <c r="D1078" s="146">
        <v>100000</v>
      </c>
      <c r="E1078" s="147" t="s">
        <v>474</v>
      </c>
      <c r="F1078" s="146">
        <f t="shared" si="16"/>
        <v>53803000</v>
      </c>
      <c r="G1078" s="148" t="s">
        <v>477</v>
      </c>
      <c r="H1078" s="150" t="s">
        <v>109</v>
      </c>
      <c r="I1078" s="149" t="s">
        <v>431</v>
      </c>
    </row>
    <row r="1079" spans="1:9" x14ac:dyDescent="0.35">
      <c r="A1079" s="145">
        <v>45744</v>
      </c>
      <c r="B1079" s="146"/>
      <c r="C1079" s="147"/>
      <c r="D1079" s="146">
        <v>100000</v>
      </c>
      <c r="E1079" s="147" t="s">
        <v>474</v>
      </c>
      <c r="F1079" s="146">
        <f t="shared" si="16"/>
        <v>53903000</v>
      </c>
      <c r="G1079" s="148" t="s">
        <v>478</v>
      </c>
      <c r="H1079" s="150" t="s">
        <v>109</v>
      </c>
      <c r="I1079" s="149" t="s">
        <v>431</v>
      </c>
    </row>
    <row r="1080" spans="1:9" x14ac:dyDescent="0.35">
      <c r="A1080" s="145">
        <v>45744</v>
      </c>
      <c r="B1080" s="146"/>
      <c r="C1080" s="147"/>
      <c r="D1080" s="146">
        <v>2000000</v>
      </c>
      <c r="E1080" s="147" t="s">
        <v>474</v>
      </c>
      <c r="F1080" s="146">
        <f t="shared" si="16"/>
        <v>55903000</v>
      </c>
      <c r="G1080" s="148" t="s">
        <v>479</v>
      </c>
      <c r="H1080" s="150" t="s">
        <v>109</v>
      </c>
      <c r="I1080" s="149" t="s">
        <v>431</v>
      </c>
    </row>
    <row r="1081" spans="1:9" x14ac:dyDescent="0.35">
      <c r="A1081" s="145">
        <v>45745</v>
      </c>
      <c r="B1081" s="146"/>
      <c r="C1081" s="147"/>
      <c r="D1081" s="146">
        <v>5000000</v>
      </c>
      <c r="E1081" s="147" t="s">
        <v>474</v>
      </c>
      <c r="F1081" s="146">
        <f t="shared" si="16"/>
        <v>60903000</v>
      </c>
      <c r="G1081" s="148" t="s">
        <v>476</v>
      </c>
      <c r="H1081" s="150" t="s">
        <v>105</v>
      </c>
      <c r="I1081" s="149" t="s">
        <v>431</v>
      </c>
    </row>
    <row r="1082" spans="1:9" x14ac:dyDescent="0.35">
      <c r="A1082" s="145">
        <v>45745</v>
      </c>
      <c r="B1082" s="146"/>
      <c r="C1082" s="147"/>
      <c r="D1082" s="146">
        <v>500000</v>
      </c>
      <c r="E1082" s="147" t="s">
        <v>508</v>
      </c>
      <c r="F1082" s="146"/>
      <c r="G1082" s="148" t="s">
        <v>509</v>
      </c>
      <c r="H1082" s="150" t="s">
        <v>109</v>
      </c>
      <c r="I1082" s="149" t="s">
        <v>431</v>
      </c>
    </row>
    <row r="1083" spans="1:9" x14ac:dyDescent="0.35">
      <c r="A1083" s="145">
        <v>45745</v>
      </c>
      <c r="B1083" s="146"/>
      <c r="C1083" s="147"/>
      <c r="D1083" s="146">
        <v>450000</v>
      </c>
      <c r="E1083" s="147" t="s">
        <v>508</v>
      </c>
      <c r="F1083" s="146"/>
      <c r="G1083" s="148" t="s">
        <v>510</v>
      </c>
      <c r="H1083" s="150" t="s">
        <v>109</v>
      </c>
      <c r="I1083" s="149" t="s">
        <v>431</v>
      </c>
    </row>
    <row r="1084" spans="1:9" x14ac:dyDescent="0.35">
      <c r="A1084" s="145">
        <v>45745</v>
      </c>
      <c r="B1084" s="146"/>
      <c r="C1084" s="147"/>
      <c r="D1084" s="146">
        <v>1000000</v>
      </c>
      <c r="E1084" s="147" t="s">
        <v>508</v>
      </c>
      <c r="F1084" s="146"/>
      <c r="G1084" s="148"/>
      <c r="H1084" s="150" t="s">
        <v>105</v>
      </c>
      <c r="I1084" s="149" t="s">
        <v>431</v>
      </c>
    </row>
    <row r="1085" spans="1:9" x14ac:dyDescent="0.35">
      <c r="A1085" s="145">
        <v>45745</v>
      </c>
      <c r="B1085" s="146"/>
      <c r="C1085" s="147"/>
      <c r="D1085" s="146">
        <v>200000</v>
      </c>
      <c r="E1085" s="147" t="s">
        <v>508</v>
      </c>
      <c r="F1085" s="146"/>
      <c r="G1085" s="148"/>
      <c r="H1085" s="150" t="s">
        <v>109</v>
      </c>
      <c r="I1085" s="149" t="s">
        <v>431</v>
      </c>
    </row>
  </sheetData>
  <mergeCells count="1">
    <mergeCell ref="A1:G1"/>
  </mergeCell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'D:\ALJABAR\[RK Masjid AL Jabbar Upgrade.xlsx]Akun'!#REF!</xm:f>
          </x14:formula1>
          <xm:sqref>H992:H1055</xm:sqref>
        </x14:dataValidation>
        <x14:dataValidation type="list" allowBlank="1" showInputMessage="1" showErrorMessage="1" xr:uid="{00000000-0002-0000-0700-000001000000}">
          <x14:formula1>
            <xm:f>Akun!$A$1:$A$27</xm:f>
          </x14:formula1>
          <xm:sqref>H1057:H1085</xm:sqref>
        </x14:dataValidation>
        <x14:dataValidation type="list" allowBlank="1" showInputMessage="1" showErrorMessage="1" xr:uid="{00000000-0002-0000-0700-000002000000}">
          <x14:formula1>
            <xm:f>Akun!$A$1:$A$34</xm:f>
          </x14:formula1>
          <xm:sqref>H8:H989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129"/>
  <sheetViews>
    <sheetView zoomScale="85" zoomScaleNormal="85" workbookViewId="0">
      <pane xSplit="1" ySplit="7" topLeftCell="B1357" activePane="bottomRight" state="frozen"/>
      <selection pane="topRight" activeCell="C1" sqref="C1"/>
      <selection pane="bottomLeft" activeCell="A8" sqref="A8"/>
      <selection pane="bottomRight" activeCell="J5" sqref="J5"/>
    </sheetView>
  </sheetViews>
  <sheetFormatPr defaultRowHeight="14.5" x14ac:dyDescent="0.35"/>
  <cols>
    <col min="1" max="1" width="12.1796875" style="18" bestFit="1" customWidth="1"/>
    <col min="2" max="2" width="12.81640625" style="18" bestFit="1" customWidth="1"/>
    <col min="3" max="3" width="11.81640625" style="18" bestFit="1" customWidth="1"/>
    <col min="4" max="4" width="12.54296875" style="18" bestFit="1" customWidth="1"/>
    <col min="5" max="5" width="11.54296875" style="18" customWidth="1"/>
    <col min="6" max="6" width="12.81640625" style="18" bestFit="1" customWidth="1"/>
    <col min="7" max="7" width="45.26953125" style="18" customWidth="1"/>
    <col min="8" max="8" width="29.1796875" style="18" customWidth="1"/>
    <col min="9" max="9" width="30.81640625" style="18" bestFit="1" customWidth="1"/>
    <col min="10" max="10" width="30.54296875" bestFit="1" customWidth="1"/>
    <col min="11" max="11" width="13.54296875" bestFit="1" customWidth="1"/>
    <col min="12" max="12" width="13.1796875" bestFit="1" customWidth="1"/>
    <col min="13" max="13" width="10.54296875" bestFit="1" customWidth="1"/>
  </cols>
  <sheetData>
    <row r="1" spans="1:12" x14ac:dyDescent="0.35">
      <c r="A1" s="244" t="s">
        <v>104</v>
      </c>
      <c r="B1" s="244"/>
      <c r="C1" s="244"/>
      <c r="D1" s="244"/>
      <c r="E1" s="244"/>
      <c r="F1" s="244"/>
      <c r="G1" s="244"/>
      <c r="H1" s="37"/>
      <c r="I1" s="25"/>
      <c r="J1" s="14"/>
    </row>
    <row r="2" spans="1:12" x14ac:dyDescent="0.35">
      <c r="A2" s="2"/>
      <c r="B2" s="2"/>
      <c r="C2" s="2"/>
      <c r="D2" s="2"/>
      <c r="E2" s="2"/>
      <c r="F2" s="2"/>
      <c r="G2" s="2"/>
      <c r="H2" s="37"/>
      <c r="I2" s="25"/>
      <c r="J2" s="14"/>
    </row>
    <row r="3" spans="1:12" x14ac:dyDescent="0.35">
      <c r="A3" s="22" t="s">
        <v>49</v>
      </c>
      <c r="F3" s="182"/>
      <c r="G3" s="13"/>
      <c r="H3" s="37"/>
      <c r="I3" s="25"/>
      <c r="J3" s="14"/>
    </row>
    <row r="4" spans="1:12" x14ac:dyDescent="0.35">
      <c r="A4" s="22" t="s">
        <v>50</v>
      </c>
      <c r="F4" s="206"/>
      <c r="G4" s="13"/>
      <c r="H4" s="37"/>
      <c r="I4" s="25"/>
      <c r="J4" s="14"/>
    </row>
    <row r="5" spans="1:12" ht="14.5" customHeight="1" x14ac:dyDescent="0.35">
      <c r="A5" s="22" t="s">
        <v>744</v>
      </c>
      <c r="F5" s="25"/>
      <c r="H5" s="37"/>
      <c r="J5" t="s">
        <v>192</v>
      </c>
      <c r="K5" s="219">
        <v>38596</v>
      </c>
    </row>
    <row r="6" spans="1:12" x14ac:dyDescent="0.35">
      <c r="A6" s="22"/>
      <c r="F6" s="191"/>
      <c r="H6" s="37"/>
    </row>
    <row r="7" spans="1:12" x14ac:dyDescent="0.35">
      <c r="A7" s="6" t="s">
        <v>2</v>
      </c>
      <c r="B7" s="6" t="s">
        <v>3</v>
      </c>
      <c r="C7" s="6" t="s">
        <v>138</v>
      </c>
      <c r="D7" s="6" t="s">
        <v>4</v>
      </c>
      <c r="E7" s="6" t="s">
        <v>192</v>
      </c>
      <c r="F7" s="6" t="s">
        <v>5</v>
      </c>
      <c r="G7" s="6" t="s">
        <v>6</v>
      </c>
      <c r="H7" s="34" t="s">
        <v>141</v>
      </c>
      <c r="I7" s="34" t="s">
        <v>359</v>
      </c>
      <c r="J7" t="s">
        <v>149</v>
      </c>
      <c r="K7" t="s">
        <v>151</v>
      </c>
      <c r="L7" t="s">
        <v>148</v>
      </c>
    </row>
    <row r="8" spans="1:12" x14ac:dyDescent="0.35">
      <c r="A8" s="19">
        <v>45650</v>
      </c>
      <c r="B8" s="20"/>
      <c r="C8" s="20"/>
      <c r="D8" s="20">
        <v>5000000</v>
      </c>
      <c r="E8" s="43" t="s">
        <v>357</v>
      </c>
      <c r="F8" s="20">
        <v>5000000</v>
      </c>
      <c r="G8" s="10" t="s">
        <v>57</v>
      </c>
      <c r="H8" s="59" t="s">
        <v>204</v>
      </c>
      <c r="I8" s="32" t="s">
        <v>152</v>
      </c>
      <c r="J8" s="13" t="s">
        <v>107</v>
      </c>
      <c r="K8" s="160"/>
      <c r="L8" s="160">
        <v>2813000</v>
      </c>
    </row>
    <row r="9" spans="1:12" x14ac:dyDescent="0.35">
      <c r="A9" s="19">
        <v>45659</v>
      </c>
      <c r="B9" s="43">
        <v>200000</v>
      </c>
      <c r="C9" s="20"/>
      <c r="D9" s="20"/>
      <c r="E9" s="43" t="s">
        <v>357</v>
      </c>
      <c r="F9" s="20">
        <f>+F8+D9-B9</f>
        <v>4800000</v>
      </c>
      <c r="G9" s="10" t="s">
        <v>102</v>
      </c>
      <c r="H9" s="59" t="s">
        <v>320</v>
      </c>
      <c r="I9" s="32" t="s">
        <v>152</v>
      </c>
      <c r="J9" s="13" t="s">
        <v>105</v>
      </c>
      <c r="K9" s="160"/>
      <c r="L9" s="160">
        <v>5000000</v>
      </c>
    </row>
    <row r="10" spans="1:12" x14ac:dyDescent="0.35">
      <c r="A10" s="19">
        <v>45660</v>
      </c>
      <c r="B10" s="43"/>
      <c r="C10" s="20"/>
      <c r="D10" s="43">
        <v>500000</v>
      </c>
      <c r="E10" s="43" t="s">
        <v>357</v>
      </c>
      <c r="F10" s="20">
        <f t="shared" ref="F10:F73" si="0">+F9+D10-B10</f>
        <v>5300000</v>
      </c>
      <c r="G10" s="10" t="s">
        <v>53</v>
      </c>
      <c r="H10" s="59" t="s">
        <v>109</v>
      </c>
      <c r="I10" s="32" t="s">
        <v>152</v>
      </c>
      <c r="J10" s="13" t="s">
        <v>203</v>
      </c>
      <c r="K10" s="160">
        <v>756500</v>
      </c>
      <c r="L10" s="160"/>
    </row>
    <row r="11" spans="1:12" x14ac:dyDescent="0.35">
      <c r="A11" s="19">
        <v>45660</v>
      </c>
      <c r="B11" s="43"/>
      <c r="C11" s="20"/>
      <c r="D11" s="43">
        <v>1800000</v>
      </c>
      <c r="E11" s="43" t="s">
        <v>357</v>
      </c>
      <c r="F11" s="20">
        <f t="shared" si="0"/>
        <v>7100000</v>
      </c>
      <c r="G11" s="10" t="s">
        <v>84</v>
      </c>
      <c r="H11" s="59" t="s">
        <v>109</v>
      </c>
      <c r="I11" s="32" t="s">
        <v>152</v>
      </c>
      <c r="J11" s="13" t="s">
        <v>201</v>
      </c>
      <c r="K11" s="160">
        <v>6713000</v>
      </c>
      <c r="L11" s="160"/>
    </row>
    <row r="12" spans="1:12" x14ac:dyDescent="0.35">
      <c r="A12" s="19">
        <v>45660</v>
      </c>
      <c r="B12" s="43"/>
      <c r="C12" s="20"/>
      <c r="D12" s="43">
        <v>2000000</v>
      </c>
      <c r="E12" s="43" t="s">
        <v>357</v>
      </c>
      <c r="F12" s="20">
        <f t="shared" si="0"/>
        <v>9100000</v>
      </c>
      <c r="G12" s="10" t="s">
        <v>55</v>
      </c>
      <c r="H12" s="59" t="s">
        <v>109</v>
      </c>
      <c r="I12" s="32" t="s">
        <v>152</v>
      </c>
      <c r="J12" s="13" t="s">
        <v>323</v>
      </c>
      <c r="K12" s="160">
        <v>3769500</v>
      </c>
      <c r="L12" s="160"/>
    </row>
    <row r="13" spans="1:12" x14ac:dyDescent="0.35">
      <c r="A13" s="19">
        <v>45663</v>
      </c>
      <c r="B13" s="43"/>
      <c r="C13" s="20"/>
      <c r="D13" s="43">
        <v>400000</v>
      </c>
      <c r="E13" s="43" t="s">
        <v>357</v>
      </c>
      <c r="F13" s="20">
        <f t="shared" si="0"/>
        <v>9500000</v>
      </c>
      <c r="G13" s="10" t="s">
        <v>56</v>
      </c>
      <c r="H13" s="59" t="s">
        <v>109</v>
      </c>
      <c r="I13" s="32" t="s">
        <v>152</v>
      </c>
      <c r="J13" s="13" t="s">
        <v>325</v>
      </c>
      <c r="K13" s="160">
        <v>12582500</v>
      </c>
      <c r="L13" s="160"/>
    </row>
    <row r="14" spans="1:12" x14ac:dyDescent="0.35">
      <c r="A14" s="19">
        <v>45663</v>
      </c>
      <c r="B14" s="43"/>
      <c r="C14" s="23"/>
      <c r="D14" s="23">
        <v>44196050</v>
      </c>
      <c r="E14" s="43" t="s">
        <v>357</v>
      </c>
      <c r="F14" s="20">
        <f t="shared" si="0"/>
        <v>53696050</v>
      </c>
      <c r="G14" s="24" t="s">
        <v>105</v>
      </c>
      <c r="H14" s="59" t="s">
        <v>204</v>
      </c>
      <c r="I14" s="32" t="s">
        <v>152</v>
      </c>
      <c r="J14" s="13" t="s">
        <v>109</v>
      </c>
      <c r="K14" s="160"/>
      <c r="L14" s="160">
        <v>8698022</v>
      </c>
    </row>
    <row r="15" spans="1:12" x14ac:dyDescent="0.35">
      <c r="A15" s="19">
        <v>45663</v>
      </c>
      <c r="B15" s="43"/>
      <c r="C15" s="23"/>
      <c r="D15" s="23">
        <v>33983823</v>
      </c>
      <c r="E15" s="43" t="s">
        <v>357</v>
      </c>
      <c r="F15" s="20">
        <f t="shared" si="0"/>
        <v>87679873</v>
      </c>
      <c r="G15" s="24" t="s">
        <v>106</v>
      </c>
      <c r="H15" s="59" t="s">
        <v>205</v>
      </c>
      <c r="I15" s="32" t="s">
        <v>152</v>
      </c>
      <c r="J15" s="13" t="s">
        <v>150</v>
      </c>
      <c r="K15" s="160">
        <v>23821500</v>
      </c>
      <c r="L15" s="160">
        <v>16511022</v>
      </c>
    </row>
    <row r="16" spans="1:12" x14ac:dyDescent="0.35">
      <c r="A16" s="19"/>
      <c r="B16" s="43"/>
      <c r="C16" s="20">
        <v>78179873</v>
      </c>
      <c r="D16" s="20"/>
      <c r="E16" s="20"/>
      <c r="F16" s="20">
        <f t="shared" si="0"/>
        <v>87679873</v>
      </c>
      <c r="G16" s="10" t="s">
        <v>57</v>
      </c>
      <c r="H16" s="59"/>
      <c r="I16" s="32"/>
    </row>
    <row r="17" spans="1:9" x14ac:dyDescent="0.35">
      <c r="A17" s="19">
        <v>45663</v>
      </c>
      <c r="B17" s="43"/>
      <c r="C17" s="23"/>
      <c r="D17" s="23">
        <v>5594227</v>
      </c>
      <c r="E17" s="43" t="s">
        <v>357</v>
      </c>
      <c r="F17" s="20">
        <f t="shared" si="0"/>
        <v>93274100</v>
      </c>
      <c r="G17" s="24" t="s">
        <v>106</v>
      </c>
      <c r="H17" s="59" t="s">
        <v>205</v>
      </c>
      <c r="I17" s="32" t="s">
        <v>152</v>
      </c>
    </row>
    <row r="18" spans="1:9" x14ac:dyDescent="0.35">
      <c r="A18" s="19">
        <v>45663</v>
      </c>
      <c r="B18" s="43"/>
      <c r="C18" s="23"/>
      <c r="D18" s="23">
        <v>39840773</v>
      </c>
      <c r="E18" s="43" t="s">
        <v>357</v>
      </c>
      <c r="F18" s="20">
        <f t="shared" si="0"/>
        <v>133114873</v>
      </c>
      <c r="G18" s="24" t="s">
        <v>107</v>
      </c>
      <c r="H18" s="59" t="s">
        <v>206</v>
      </c>
      <c r="I18" s="32" t="s">
        <v>152</v>
      </c>
    </row>
    <row r="19" spans="1:9" x14ac:dyDescent="0.35">
      <c r="A19" s="19">
        <v>45663</v>
      </c>
      <c r="B19" s="43"/>
      <c r="C19" s="20">
        <v>45435000</v>
      </c>
      <c r="D19" s="20"/>
      <c r="E19" s="20"/>
      <c r="F19" s="20">
        <f t="shared" si="0"/>
        <v>133114873</v>
      </c>
      <c r="G19" s="10" t="s">
        <v>58</v>
      </c>
      <c r="H19" s="59"/>
      <c r="I19" s="32"/>
    </row>
    <row r="20" spans="1:9" x14ac:dyDescent="0.35">
      <c r="A20" s="19">
        <v>45664</v>
      </c>
      <c r="B20" s="43"/>
      <c r="C20" s="20"/>
      <c r="D20" s="43">
        <v>1000000</v>
      </c>
      <c r="E20" s="43" t="s">
        <v>357</v>
      </c>
      <c r="F20" s="20">
        <f t="shared" si="0"/>
        <v>134114873</v>
      </c>
      <c r="G20" s="10" t="s">
        <v>83</v>
      </c>
      <c r="H20" s="59" t="s">
        <v>139</v>
      </c>
      <c r="I20" s="32" t="s">
        <v>152</v>
      </c>
    </row>
    <row r="21" spans="1:9" x14ac:dyDescent="0.35">
      <c r="A21" s="19">
        <v>45664</v>
      </c>
      <c r="B21" s="43"/>
      <c r="C21" s="20"/>
      <c r="D21" s="43">
        <v>300000</v>
      </c>
      <c r="E21" s="43" t="s">
        <v>357</v>
      </c>
      <c r="F21" s="20">
        <f t="shared" si="0"/>
        <v>134414873</v>
      </c>
      <c r="G21" s="10" t="s">
        <v>60</v>
      </c>
      <c r="H21" s="59" t="s">
        <v>139</v>
      </c>
      <c r="I21" s="32" t="s">
        <v>152</v>
      </c>
    </row>
    <row r="22" spans="1:9" x14ac:dyDescent="0.35">
      <c r="A22" s="19">
        <v>45664</v>
      </c>
      <c r="B22" s="43"/>
      <c r="C22" s="20"/>
      <c r="D22" s="43">
        <v>600000</v>
      </c>
      <c r="E22" s="43" t="s">
        <v>357</v>
      </c>
      <c r="F22" s="20">
        <f t="shared" si="0"/>
        <v>135014873</v>
      </c>
      <c r="G22" s="10" t="s">
        <v>61</v>
      </c>
      <c r="H22" s="59" t="s">
        <v>139</v>
      </c>
      <c r="I22" s="32" t="s">
        <v>152</v>
      </c>
    </row>
    <row r="23" spans="1:9" x14ac:dyDescent="0.35">
      <c r="A23" s="19">
        <v>45664</v>
      </c>
      <c r="B23" s="43">
        <v>1250000</v>
      </c>
      <c r="C23" s="20"/>
      <c r="D23" s="43"/>
      <c r="E23" s="43" t="s">
        <v>357</v>
      </c>
      <c r="F23" s="20">
        <f t="shared" si="0"/>
        <v>133764873</v>
      </c>
      <c r="G23" s="10" t="s">
        <v>62</v>
      </c>
      <c r="H23" s="59" t="s">
        <v>321</v>
      </c>
      <c r="I23" s="32" t="s">
        <v>152</v>
      </c>
    </row>
    <row r="24" spans="1:9" x14ac:dyDescent="0.35">
      <c r="A24" s="19">
        <v>45664</v>
      </c>
      <c r="B24" s="43">
        <v>2500</v>
      </c>
      <c r="C24" s="20"/>
      <c r="D24" s="43"/>
      <c r="E24" s="43" t="s">
        <v>357</v>
      </c>
      <c r="F24" s="20">
        <f t="shared" si="0"/>
        <v>133762373</v>
      </c>
      <c r="G24" s="10" t="s">
        <v>63</v>
      </c>
      <c r="H24" s="59" t="s">
        <v>321</v>
      </c>
      <c r="I24" s="32" t="s">
        <v>152</v>
      </c>
    </row>
    <row r="25" spans="1:9" x14ac:dyDescent="0.35">
      <c r="A25" s="19">
        <v>45664</v>
      </c>
      <c r="B25" s="43"/>
      <c r="C25" s="20"/>
      <c r="D25" s="43">
        <v>600000</v>
      </c>
      <c r="E25" s="43" t="s">
        <v>357</v>
      </c>
      <c r="F25" s="20">
        <f t="shared" si="0"/>
        <v>134362373</v>
      </c>
      <c r="G25" s="10" t="s">
        <v>64</v>
      </c>
      <c r="H25" s="59" t="s">
        <v>139</v>
      </c>
      <c r="I25" s="32" t="s">
        <v>152</v>
      </c>
    </row>
    <row r="26" spans="1:9" x14ac:dyDescent="0.35">
      <c r="A26" s="19">
        <v>45665</v>
      </c>
      <c r="B26" s="43"/>
      <c r="C26" s="20"/>
      <c r="D26" s="43">
        <v>300000</v>
      </c>
      <c r="E26" s="43" t="s">
        <v>357</v>
      </c>
      <c r="F26" s="20">
        <f t="shared" si="0"/>
        <v>134662373</v>
      </c>
      <c r="G26" s="10" t="s">
        <v>65</v>
      </c>
      <c r="H26" s="59" t="s">
        <v>139</v>
      </c>
      <c r="I26" s="32" t="s">
        <v>152</v>
      </c>
    </row>
    <row r="27" spans="1:9" x14ac:dyDescent="0.35">
      <c r="A27" s="19">
        <v>45665</v>
      </c>
      <c r="B27" s="43"/>
      <c r="C27" s="20"/>
      <c r="D27" s="43">
        <v>300000</v>
      </c>
      <c r="E27" s="43" t="s">
        <v>357</v>
      </c>
      <c r="F27" s="20">
        <f t="shared" si="0"/>
        <v>134962373</v>
      </c>
      <c r="G27" s="10" t="s">
        <v>66</v>
      </c>
      <c r="H27" s="59" t="s">
        <v>139</v>
      </c>
      <c r="I27" s="32" t="s">
        <v>152</v>
      </c>
    </row>
    <row r="28" spans="1:9" x14ac:dyDescent="0.35">
      <c r="A28" s="19">
        <v>45665</v>
      </c>
      <c r="B28" s="43"/>
      <c r="C28" s="20"/>
      <c r="D28" s="43">
        <v>300000</v>
      </c>
      <c r="E28" s="43" t="s">
        <v>357</v>
      </c>
      <c r="F28" s="20">
        <f t="shared" si="0"/>
        <v>135262373</v>
      </c>
      <c r="G28" s="10" t="s">
        <v>67</v>
      </c>
      <c r="H28" s="59" t="s">
        <v>139</v>
      </c>
      <c r="I28" s="32" t="s">
        <v>152</v>
      </c>
    </row>
    <row r="29" spans="1:9" x14ac:dyDescent="0.35">
      <c r="A29" s="19">
        <v>45665</v>
      </c>
      <c r="B29" s="43"/>
      <c r="C29" s="20"/>
      <c r="D29" s="43">
        <v>300000</v>
      </c>
      <c r="E29" s="43" t="s">
        <v>357</v>
      </c>
      <c r="F29" s="20">
        <f t="shared" si="0"/>
        <v>135562373</v>
      </c>
      <c r="G29" s="10" t="s">
        <v>68</v>
      </c>
      <c r="H29" s="59" t="s">
        <v>139</v>
      </c>
      <c r="I29" s="32" t="s">
        <v>152</v>
      </c>
    </row>
    <row r="30" spans="1:9" x14ac:dyDescent="0.35">
      <c r="A30" s="19">
        <v>45665</v>
      </c>
      <c r="B30" s="43">
        <v>500000</v>
      </c>
      <c r="C30" s="20"/>
      <c r="D30" s="43"/>
      <c r="E30" s="43" t="s">
        <v>357</v>
      </c>
      <c r="F30" s="20">
        <f t="shared" si="0"/>
        <v>135062373</v>
      </c>
      <c r="G30" s="10" t="s">
        <v>85</v>
      </c>
      <c r="H30" s="59" t="s">
        <v>322</v>
      </c>
      <c r="I30" s="32" t="s">
        <v>152</v>
      </c>
    </row>
    <row r="31" spans="1:9" x14ac:dyDescent="0.35">
      <c r="A31" s="19">
        <v>45665</v>
      </c>
      <c r="B31" s="43">
        <v>2000000</v>
      </c>
      <c r="C31" s="20"/>
      <c r="D31" s="43"/>
      <c r="E31" s="43" t="s">
        <v>357</v>
      </c>
      <c r="F31" s="20">
        <f t="shared" si="0"/>
        <v>133062373</v>
      </c>
      <c r="G31" s="10" t="s">
        <v>69</v>
      </c>
      <c r="H31" s="59" t="s">
        <v>143</v>
      </c>
      <c r="I31" s="32" t="s">
        <v>152</v>
      </c>
    </row>
    <row r="32" spans="1:9" x14ac:dyDescent="0.35">
      <c r="A32" s="19">
        <v>45665</v>
      </c>
      <c r="B32" s="43">
        <v>2500</v>
      </c>
      <c r="C32" s="20"/>
      <c r="D32" s="43"/>
      <c r="E32" s="43" t="s">
        <v>357</v>
      </c>
      <c r="F32" s="20">
        <f t="shared" si="0"/>
        <v>133059873</v>
      </c>
      <c r="G32" s="10" t="s">
        <v>70</v>
      </c>
      <c r="H32" s="59" t="s">
        <v>143</v>
      </c>
      <c r="I32" s="32" t="s">
        <v>152</v>
      </c>
    </row>
    <row r="33" spans="1:9" x14ac:dyDescent="0.35">
      <c r="A33" s="19">
        <v>45665</v>
      </c>
      <c r="B33" s="43"/>
      <c r="C33" s="20"/>
      <c r="D33" s="43">
        <v>504000</v>
      </c>
      <c r="E33" s="43" t="s">
        <v>357</v>
      </c>
      <c r="F33" s="20">
        <f t="shared" si="0"/>
        <v>133563873</v>
      </c>
      <c r="G33" s="10" t="s">
        <v>71</v>
      </c>
      <c r="H33" s="59" t="s">
        <v>139</v>
      </c>
      <c r="I33" s="32" t="s">
        <v>152</v>
      </c>
    </row>
    <row r="34" spans="1:9" x14ac:dyDescent="0.35">
      <c r="A34" s="19">
        <v>45665</v>
      </c>
      <c r="B34" s="43"/>
      <c r="C34" s="20"/>
      <c r="D34" s="43">
        <v>100000</v>
      </c>
      <c r="E34" s="43" t="s">
        <v>357</v>
      </c>
      <c r="F34" s="20">
        <f t="shared" si="0"/>
        <v>133663873</v>
      </c>
      <c r="G34" s="10" t="s">
        <v>72</v>
      </c>
      <c r="H34" s="59" t="s">
        <v>139</v>
      </c>
      <c r="I34" s="32" t="s">
        <v>152</v>
      </c>
    </row>
    <row r="35" spans="1:9" x14ac:dyDescent="0.35">
      <c r="A35" s="17">
        <v>45666</v>
      </c>
      <c r="B35" s="44"/>
      <c r="C35" s="21"/>
      <c r="D35" s="44">
        <v>400000</v>
      </c>
      <c r="E35" s="43" t="s">
        <v>357</v>
      </c>
      <c r="F35" s="20">
        <f t="shared" si="0"/>
        <v>134063873</v>
      </c>
      <c r="G35" s="10" t="s">
        <v>86</v>
      </c>
      <c r="H35" s="59" t="s">
        <v>140</v>
      </c>
      <c r="I35" s="32" t="s">
        <v>152</v>
      </c>
    </row>
    <row r="36" spans="1:9" x14ac:dyDescent="0.35">
      <c r="A36" s="17">
        <v>45666</v>
      </c>
      <c r="B36" s="44"/>
      <c r="C36" s="21"/>
      <c r="D36" s="44">
        <v>300000</v>
      </c>
      <c r="E36" s="43" t="s">
        <v>357</v>
      </c>
      <c r="F36" s="20">
        <f t="shared" si="0"/>
        <v>134363873</v>
      </c>
      <c r="G36" s="10" t="s">
        <v>87</v>
      </c>
      <c r="H36" s="59" t="s">
        <v>139</v>
      </c>
      <c r="I36" s="32" t="s">
        <v>152</v>
      </c>
    </row>
    <row r="37" spans="1:9" x14ac:dyDescent="0.35">
      <c r="A37" s="17">
        <v>45666</v>
      </c>
      <c r="B37" s="44"/>
      <c r="C37" s="21"/>
      <c r="D37" s="44">
        <v>300000</v>
      </c>
      <c r="E37" s="43" t="s">
        <v>357</v>
      </c>
      <c r="F37" s="20">
        <f t="shared" si="0"/>
        <v>134663873</v>
      </c>
      <c r="G37" s="10" t="s">
        <v>88</v>
      </c>
      <c r="H37" s="59" t="s">
        <v>139</v>
      </c>
      <c r="I37" s="32" t="s">
        <v>152</v>
      </c>
    </row>
    <row r="38" spans="1:9" x14ac:dyDescent="0.35">
      <c r="A38" s="17">
        <v>45667</v>
      </c>
      <c r="B38" s="44"/>
      <c r="C38" s="21"/>
      <c r="D38" s="44">
        <v>600000</v>
      </c>
      <c r="E38" s="43" t="s">
        <v>357</v>
      </c>
      <c r="F38" s="20">
        <f t="shared" si="0"/>
        <v>135263873</v>
      </c>
      <c r="G38" s="10" t="s">
        <v>89</v>
      </c>
      <c r="H38" s="59" t="s">
        <v>139</v>
      </c>
      <c r="I38" s="32" t="s">
        <v>152</v>
      </c>
    </row>
    <row r="39" spans="1:9" x14ac:dyDescent="0.35">
      <c r="A39" s="17">
        <v>45667</v>
      </c>
      <c r="B39" s="44"/>
      <c r="C39" s="21"/>
      <c r="D39" s="44">
        <v>350000</v>
      </c>
      <c r="E39" s="43" t="s">
        <v>357</v>
      </c>
      <c r="F39" s="20">
        <f t="shared" si="0"/>
        <v>135613873</v>
      </c>
      <c r="G39" s="10" t="s">
        <v>90</v>
      </c>
      <c r="H39" s="59" t="s">
        <v>139</v>
      </c>
      <c r="I39" s="32" t="s">
        <v>152</v>
      </c>
    </row>
    <row r="40" spans="1:9" x14ac:dyDescent="0.35">
      <c r="A40" s="17">
        <v>45667</v>
      </c>
      <c r="B40" s="44">
        <v>1600000</v>
      </c>
      <c r="C40" s="21"/>
      <c r="D40" s="21"/>
      <c r="E40" s="43" t="s">
        <v>357</v>
      </c>
      <c r="F40" s="20">
        <f t="shared" si="0"/>
        <v>134013873</v>
      </c>
      <c r="G40" s="10" t="s">
        <v>91</v>
      </c>
      <c r="H40" s="59" t="s">
        <v>143</v>
      </c>
      <c r="I40" s="32" t="s">
        <v>152</v>
      </c>
    </row>
    <row r="41" spans="1:9" x14ac:dyDescent="0.35">
      <c r="A41" s="17">
        <v>45667</v>
      </c>
      <c r="B41" s="44">
        <v>2500</v>
      </c>
      <c r="C41" s="21"/>
      <c r="D41" s="21"/>
      <c r="E41" s="43" t="s">
        <v>357</v>
      </c>
      <c r="F41" s="20">
        <f t="shared" si="0"/>
        <v>134011373</v>
      </c>
      <c r="G41" s="10" t="s">
        <v>92</v>
      </c>
      <c r="H41" s="59" t="s">
        <v>143</v>
      </c>
      <c r="I41" s="32" t="s">
        <v>152</v>
      </c>
    </row>
    <row r="42" spans="1:9" x14ac:dyDescent="0.35">
      <c r="A42" s="17">
        <v>45670</v>
      </c>
      <c r="B42" s="39">
        <v>750000</v>
      </c>
      <c r="C42" s="21"/>
      <c r="D42" s="21"/>
      <c r="E42" s="43" t="s">
        <v>357</v>
      </c>
      <c r="F42" s="20">
        <f t="shared" si="0"/>
        <v>133261373</v>
      </c>
      <c r="G42" s="10" t="s">
        <v>93</v>
      </c>
      <c r="H42" s="59" t="s">
        <v>323</v>
      </c>
      <c r="I42" s="32" t="s">
        <v>152</v>
      </c>
    </row>
    <row r="43" spans="1:9" x14ac:dyDescent="0.35">
      <c r="A43" s="17">
        <v>45670</v>
      </c>
      <c r="B43" s="39">
        <v>2500</v>
      </c>
      <c r="C43" s="21"/>
      <c r="D43" s="21"/>
      <c r="E43" s="43" t="s">
        <v>357</v>
      </c>
      <c r="F43" s="20">
        <f t="shared" si="0"/>
        <v>133258873</v>
      </c>
      <c r="G43" s="10" t="s">
        <v>94</v>
      </c>
      <c r="H43" s="59" t="s">
        <v>323</v>
      </c>
      <c r="I43" s="32" t="s">
        <v>152</v>
      </c>
    </row>
    <row r="44" spans="1:9" x14ac:dyDescent="0.35">
      <c r="A44" s="17">
        <v>45670</v>
      </c>
      <c r="B44" s="21"/>
      <c r="C44" s="21"/>
      <c r="D44" s="39">
        <v>300000</v>
      </c>
      <c r="E44" s="43" t="s">
        <v>357</v>
      </c>
      <c r="F44" s="20">
        <f t="shared" si="0"/>
        <v>133558873</v>
      </c>
      <c r="G44" s="10" t="s">
        <v>95</v>
      </c>
      <c r="H44" s="59" t="s">
        <v>109</v>
      </c>
      <c r="I44" s="32" t="s">
        <v>152</v>
      </c>
    </row>
    <row r="45" spans="1:9" x14ac:dyDescent="0.35">
      <c r="A45" s="17">
        <v>45670</v>
      </c>
      <c r="B45" s="21"/>
      <c r="C45" s="21"/>
      <c r="D45" s="39">
        <v>50000</v>
      </c>
      <c r="E45" s="43" t="s">
        <v>357</v>
      </c>
      <c r="F45" s="20">
        <f t="shared" si="0"/>
        <v>133608873</v>
      </c>
      <c r="G45" s="10" t="s">
        <v>56</v>
      </c>
      <c r="H45" s="59" t="s">
        <v>109</v>
      </c>
      <c r="I45" s="32" t="s">
        <v>152</v>
      </c>
    </row>
    <row r="46" spans="1:9" x14ac:dyDescent="0.35">
      <c r="A46" s="17">
        <v>45670</v>
      </c>
      <c r="B46" s="21"/>
      <c r="C46" s="21"/>
      <c r="D46" s="39">
        <v>100000</v>
      </c>
      <c r="E46" s="43" t="s">
        <v>357</v>
      </c>
      <c r="F46" s="20">
        <f t="shared" si="0"/>
        <v>133708873</v>
      </c>
      <c r="G46" s="10" t="s">
        <v>244</v>
      </c>
      <c r="H46" s="59" t="s">
        <v>109</v>
      </c>
      <c r="I46" s="32" t="s">
        <v>152</v>
      </c>
    </row>
    <row r="47" spans="1:9" x14ac:dyDescent="0.35">
      <c r="A47" s="17">
        <v>45670</v>
      </c>
      <c r="B47" s="21"/>
      <c r="C47" s="21"/>
      <c r="D47" s="39">
        <v>3000000</v>
      </c>
      <c r="E47" s="43" t="s">
        <v>357</v>
      </c>
      <c r="F47" s="20">
        <f t="shared" si="0"/>
        <v>136708873</v>
      </c>
      <c r="G47" s="10" t="s">
        <v>245</v>
      </c>
      <c r="H47" s="59" t="s">
        <v>109</v>
      </c>
      <c r="I47" s="32" t="s">
        <v>152</v>
      </c>
    </row>
    <row r="48" spans="1:9" x14ac:dyDescent="0.35">
      <c r="A48" s="17">
        <v>45670</v>
      </c>
      <c r="B48" s="21"/>
      <c r="C48" s="23"/>
      <c r="D48" s="23">
        <v>2773000</v>
      </c>
      <c r="E48" s="43" t="s">
        <v>357</v>
      </c>
      <c r="F48" s="20">
        <f t="shared" si="0"/>
        <v>139481873</v>
      </c>
      <c r="G48" s="24" t="s">
        <v>107</v>
      </c>
      <c r="H48" s="59" t="s">
        <v>107</v>
      </c>
      <c r="I48" s="32" t="s">
        <v>152</v>
      </c>
    </row>
    <row r="49" spans="1:9" x14ac:dyDescent="0.35">
      <c r="A49" s="17">
        <v>45670</v>
      </c>
      <c r="B49" s="21"/>
      <c r="C49" s="23"/>
      <c r="D49" s="23">
        <v>1977000</v>
      </c>
      <c r="E49" s="43" t="s">
        <v>357</v>
      </c>
      <c r="F49" s="20">
        <f t="shared" si="0"/>
        <v>141458873</v>
      </c>
      <c r="G49" s="24" t="s">
        <v>109</v>
      </c>
      <c r="H49" s="59" t="s">
        <v>109</v>
      </c>
      <c r="I49" s="32" t="s">
        <v>152</v>
      </c>
    </row>
    <row r="50" spans="1:9" x14ac:dyDescent="0.35">
      <c r="A50" s="17">
        <v>45670</v>
      </c>
      <c r="B50" s="27">
        <v>200000</v>
      </c>
      <c r="C50" s="27"/>
      <c r="D50" s="39"/>
      <c r="E50" s="43" t="s">
        <v>357</v>
      </c>
      <c r="F50" s="20">
        <f t="shared" si="0"/>
        <v>141258873</v>
      </c>
      <c r="G50" s="28" t="s">
        <v>115</v>
      </c>
      <c r="H50" s="59" t="s">
        <v>320</v>
      </c>
      <c r="I50" s="32" t="s">
        <v>152</v>
      </c>
    </row>
    <row r="51" spans="1:9" x14ac:dyDescent="0.35">
      <c r="A51" s="17"/>
      <c r="B51" s="21"/>
      <c r="C51" s="39">
        <v>4550000</v>
      </c>
      <c r="D51" s="39"/>
      <c r="E51" s="39"/>
      <c r="F51" s="20">
        <f t="shared" si="0"/>
        <v>141258873</v>
      </c>
      <c r="G51" s="10" t="s">
        <v>98</v>
      </c>
      <c r="H51" s="59"/>
      <c r="I51" s="32"/>
    </row>
    <row r="52" spans="1:9" x14ac:dyDescent="0.35">
      <c r="A52" s="17">
        <v>45671</v>
      </c>
      <c r="B52" s="21"/>
      <c r="C52" s="21"/>
      <c r="D52" s="39">
        <v>100000</v>
      </c>
      <c r="E52" s="43" t="s">
        <v>357</v>
      </c>
      <c r="F52" s="20">
        <f t="shared" si="0"/>
        <v>141358873</v>
      </c>
      <c r="G52" s="10" t="s">
        <v>246</v>
      </c>
      <c r="H52" s="59" t="s">
        <v>109</v>
      </c>
      <c r="I52" s="32" t="s">
        <v>152</v>
      </c>
    </row>
    <row r="53" spans="1:9" x14ac:dyDescent="0.35">
      <c r="A53" s="17">
        <v>45671</v>
      </c>
      <c r="B53" s="21"/>
      <c r="C53" s="21"/>
      <c r="D53" s="39">
        <v>7000</v>
      </c>
      <c r="E53" s="43" t="s">
        <v>357</v>
      </c>
      <c r="F53" s="20">
        <f t="shared" si="0"/>
        <v>141365873</v>
      </c>
      <c r="G53" s="10" t="s">
        <v>247</v>
      </c>
      <c r="H53" s="59" t="s">
        <v>109</v>
      </c>
      <c r="I53" s="32" t="s">
        <v>152</v>
      </c>
    </row>
    <row r="54" spans="1:9" x14ac:dyDescent="0.35">
      <c r="A54" s="17">
        <v>45671</v>
      </c>
      <c r="B54" s="21"/>
      <c r="C54" s="21"/>
      <c r="D54" s="39">
        <v>1000000</v>
      </c>
      <c r="E54" s="43" t="s">
        <v>357</v>
      </c>
      <c r="F54" s="20">
        <f t="shared" si="0"/>
        <v>142365873</v>
      </c>
      <c r="G54" s="10" t="s">
        <v>248</v>
      </c>
      <c r="H54" s="59" t="s">
        <v>109</v>
      </c>
      <c r="I54" s="32" t="s">
        <v>152</v>
      </c>
    </row>
    <row r="55" spans="1:9" x14ac:dyDescent="0.35">
      <c r="A55" s="17">
        <v>45672</v>
      </c>
      <c r="B55" s="21"/>
      <c r="C55" s="21"/>
      <c r="D55" s="39">
        <v>600000</v>
      </c>
      <c r="E55" s="43" t="s">
        <v>357</v>
      </c>
      <c r="F55" s="20">
        <f t="shared" si="0"/>
        <v>142965873</v>
      </c>
      <c r="G55" s="10" t="s">
        <v>249</v>
      </c>
      <c r="H55" s="59" t="s">
        <v>140</v>
      </c>
      <c r="I55" s="32" t="s">
        <v>152</v>
      </c>
    </row>
    <row r="56" spans="1:9" x14ac:dyDescent="0.35">
      <c r="A56" s="19">
        <v>45673</v>
      </c>
      <c r="B56" s="9"/>
      <c r="C56" s="9"/>
      <c r="D56" s="40">
        <v>250000</v>
      </c>
      <c r="E56" s="43" t="s">
        <v>357</v>
      </c>
      <c r="F56" s="20">
        <f t="shared" si="0"/>
        <v>143215873</v>
      </c>
      <c r="G56" s="10" t="s">
        <v>61</v>
      </c>
      <c r="H56" s="59" t="s">
        <v>139</v>
      </c>
      <c r="I56" s="32" t="s">
        <v>152</v>
      </c>
    </row>
    <row r="57" spans="1:9" x14ac:dyDescent="0.35">
      <c r="A57" s="19">
        <v>45674</v>
      </c>
      <c r="B57" s="40">
        <v>2500000</v>
      </c>
      <c r="C57" s="9"/>
      <c r="D57" s="9"/>
      <c r="E57" s="43" t="s">
        <v>357</v>
      </c>
      <c r="F57" s="20">
        <f t="shared" si="0"/>
        <v>140715873</v>
      </c>
      <c r="G57" s="10" t="s">
        <v>103</v>
      </c>
      <c r="H57" s="59" t="s">
        <v>143</v>
      </c>
      <c r="I57" s="32" t="s">
        <v>152</v>
      </c>
    </row>
    <row r="58" spans="1:9" x14ac:dyDescent="0.35">
      <c r="A58" s="17">
        <v>45677</v>
      </c>
      <c r="B58" s="9"/>
      <c r="C58" s="32"/>
      <c r="D58" s="47">
        <v>50000</v>
      </c>
      <c r="E58" s="43" t="s">
        <v>357</v>
      </c>
      <c r="F58" s="20">
        <f t="shared" si="0"/>
        <v>140765873</v>
      </c>
      <c r="G58" s="10" t="s">
        <v>250</v>
      </c>
      <c r="H58" s="59" t="s">
        <v>109</v>
      </c>
      <c r="I58" s="32" t="s">
        <v>152</v>
      </c>
    </row>
    <row r="59" spans="1:9" x14ac:dyDescent="0.35">
      <c r="A59" s="17">
        <v>45677</v>
      </c>
      <c r="B59" s="9"/>
      <c r="C59" s="32"/>
      <c r="D59" s="47">
        <v>5000</v>
      </c>
      <c r="E59" s="43" t="s">
        <v>357</v>
      </c>
      <c r="F59" s="20">
        <f t="shared" si="0"/>
        <v>140770873</v>
      </c>
      <c r="G59" s="10" t="s">
        <v>251</v>
      </c>
      <c r="H59" s="59" t="s">
        <v>109</v>
      </c>
      <c r="I59" s="32" t="s">
        <v>152</v>
      </c>
    </row>
    <row r="60" spans="1:9" x14ac:dyDescent="0.35">
      <c r="A60" s="17">
        <v>45677</v>
      </c>
      <c r="B60" s="9"/>
      <c r="C60" s="23"/>
      <c r="D60" s="23">
        <v>4044000</v>
      </c>
      <c r="E60" s="43" t="s">
        <v>357</v>
      </c>
      <c r="F60" s="20">
        <f t="shared" si="0"/>
        <v>144814873</v>
      </c>
      <c r="G60" s="24" t="s">
        <v>107</v>
      </c>
      <c r="H60" s="59" t="s">
        <v>107</v>
      </c>
      <c r="I60" s="32" t="s">
        <v>152</v>
      </c>
    </row>
    <row r="61" spans="1:9" x14ac:dyDescent="0.35">
      <c r="A61" s="17">
        <v>45677</v>
      </c>
      <c r="B61" s="96"/>
      <c r="C61" s="23"/>
      <c r="D61" s="23">
        <f>2967000-3000000</f>
        <v>-33000</v>
      </c>
      <c r="E61" s="43" t="s">
        <v>357</v>
      </c>
      <c r="F61" s="20">
        <f t="shared" si="0"/>
        <v>144781873</v>
      </c>
      <c r="G61" s="24" t="s">
        <v>109</v>
      </c>
      <c r="H61" s="59" t="s">
        <v>109</v>
      </c>
      <c r="I61" s="32" t="s">
        <v>152</v>
      </c>
    </row>
    <row r="62" spans="1:9" x14ac:dyDescent="0.35">
      <c r="A62" s="17">
        <v>45677</v>
      </c>
      <c r="B62" s="23">
        <v>20000</v>
      </c>
      <c r="C62" s="23"/>
      <c r="D62" s="96"/>
      <c r="E62" s="43" t="s">
        <v>357</v>
      </c>
      <c r="F62" s="20">
        <f t="shared" si="0"/>
        <v>144761873</v>
      </c>
      <c r="G62" s="28" t="s">
        <v>115</v>
      </c>
      <c r="H62" s="59" t="s">
        <v>320</v>
      </c>
      <c r="I62" s="32" t="s">
        <v>152</v>
      </c>
    </row>
    <row r="63" spans="1:9" x14ac:dyDescent="0.35">
      <c r="A63" s="17">
        <v>45677</v>
      </c>
      <c r="B63" s="96"/>
      <c r="C63" s="96">
        <v>3991000</v>
      </c>
      <c r="D63" s="96"/>
      <c r="E63" s="9"/>
      <c r="F63" s="20">
        <f t="shared" si="0"/>
        <v>144761873</v>
      </c>
      <c r="G63" s="10" t="s">
        <v>98</v>
      </c>
      <c r="H63" s="59"/>
      <c r="I63" s="32"/>
    </row>
    <row r="64" spans="1:9" x14ac:dyDescent="0.35">
      <c r="A64" s="17"/>
      <c r="B64" s="9"/>
      <c r="C64" s="23">
        <v>6850000</v>
      </c>
      <c r="D64" s="23"/>
      <c r="E64" s="9"/>
      <c r="F64" s="20">
        <f t="shared" si="0"/>
        <v>144761873</v>
      </c>
      <c r="G64" s="24" t="s">
        <v>134</v>
      </c>
      <c r="H64" s="59"/>
      <c r="I64" s="32"/>
    </row>
    <row r="65" spans="1:9" x14ac:dyDescent="0.35">
      <c r="A65" s="17"/>
      <c r="B65" s="27"/>
      <c r="C65" s="27">
        <v>-1000000</v>
      </c>
      <c r="D65" s="9"/>
      <c r="E65" s="9"/>
      <c r="F65" s="20">
        <f t="shared" si="0"/>
        <v>144761873</v>
      </c>
      <c r="G65" s="28" t="s">
        <v>136</v>
      </c>
      <c r="H65" s="59"/>
      <c r="I65" s="32"/>
    </row>
    <row r="66" spans="1:9" x14ac:dyDescent="0.35">
      <c r="A66" s="17"/>
      <c r="B66" s="27"/>
      <c r="C66" s="27">
        <v>-685000</v>
      </c>
      <c r="D66" s="9"/>
      <c r="E66" s="9"/>
      <c r="F66" s="20">
        <f t="shared" si="0"/>
        <v>144761873</v>
      </c>
      <c r="G66" s="28" t="s">
        <v>135</v>
      </c>
      <c r="H66" s="59"/>
      <c r="I66" s="32"/>
    </row>
    <row r="67" spans="1:9" x14ac:dyDescent="0.35">
      <c r="A67" s="17">
        <v>45677</v>
      </c>
      <c r="B67" s="9"/>
      <c r="C67" s="32"/>
      <c r="D67" s="47">
        <v>5165000</v>
      </c>
      <c r="E67" s="43" t="s">
        <v>357</v>
      </c>
      <c r="F67" s="20">
        <f t="shared" si="0"/>
        <v>149926873</v>
      </c>
      <c r="G67" s="10" t="s">
        <v>98</v>
      </c>
      <c r="H67" s="59" t="s">
        <v>109</v>
      </c>
      <c r="I67" s="32" t="s">
        <v>152</v>
      </c>
    </row>
    <row r="68" spans="1:9" x14ac:dyDescent="0.35">
      <c r="A68" s="17">
        <v>45678</v>
      </c>
      <c r="B68" s="9"/>
      <c r="C68" s="32"/>
      <c r="D68" s="47">
        <v>10000</v>
      </c>
      <c r="E68" s="43" t="s">
        <v>357</v>
      </c>
      <c r="F68" s="20">
        <f t="shared" si="0"/>
        <v>149936873</v>
      </c>
      <c r="G68" s="10" t="s">
        <v>251</v>
      </c>
      <c r="H68" s="59" t="s">
        <v>109</v>
      </c>
      <c r="I68" s="32" t="s">
        <v>152</v>
      </c>
    </row>
    <row r="69" spans="1:9" x14ac:dyDescent="0.35">
      <c r="A69" s="17">
        <v>45678</v>
      </c>
      <c r="B69" s="9"/>
      <c r="C69" s="32"/>
      <c r="D69" s="47">
        <v>10000</v>
      </c>
      <c r="E69" s="43" t="s">
        <v>357</v>
      </c>
      <c r="F69" s="20">
        <f t="shared" si="0"/>
        <v>149946873</v>
      </c>
      <c r="G69" s="10" t="s">
        <v>252</v>
      </c>
      <c r="H69" s="59" t="s">
        <v>109</v>
      </c>
      <c r="I69" s="32" t="s">
        <v>152</v>
      </c>
    </row>
    <row r="70" spans="1:9" x14ac:dyDescent="0.35">
      <c r="A70" s="17">
        <v>45678</v>
      </c>
      <c r="B70" s="9">
        <v>750000</v>
      </c>
      <c r="C70" s="32"/>
      <c r="D70" s="47"/>
      <c r="E70" s="43" t="s">
        <v>357</v>
      </c>
      <c r="F70" s="20">
        <f t="shared" si="0"/>
        <v>149196873</v>
      </c>
      <c r="G70" s="7" t="s">
        <v>131</v>
      </c>
      <c r="H70" s="59" t="s">
        <v>323</v>
      </c>
      <c r="I70" s="32" t="s">
        <v>152</v>
      </c>
    </row>
    <row r="71" spans="1:9" x14ac:dyDescent="0.35">
      <c r="A71" s="17">
        <v>45678</v>
      </c>
      <c r="B71" s="9">
        <v>2500</v>
      </c>
      <c r="C71" s="32"/>
      <c r="D71" s="47"/>
      <c r="E71" s="43" t="s">
        <v>357</v>
      </c>
      <c r="F71" s="20">
        <f t="shared" si="0"/>
        <v>149194373</v>
      </c>
      <c r="G71" s="7" t="s">
        <v>130</v>
      </c>
      <c r="H71" s="59" t="s">
        <v>323</v>
      </c>
      <c r="I71" s="32" t="s">
        <v>152</v>
      </c>
    </row>
    <row r="72" spans="1:9" x14ac:dyDescent="0.35">
      <c r="A72" s="17">
        <v>45678</v>
      </c>
      <c r="B72" s="9">
        <v>756500</v>
      </c>
      <c r="C72" s="32"/>
      <c r="D72" s="47"/>
      <c r="E72" s="43" t="s">
        <v>357</v>
      </c>
      <c r="F72" s="20">
        <f t="shared" si="0"/>
        <v>148437873</v>
      </c>
      <c r="G72" s="7" t="s">
        <v>132</v>
      </c>
      <c r="H72" s="59" t="s">
        <v>323</v>
      </c>
      <c r="I72" s="32" t="s">
        <v>152</v>
      </c>
    </row>
    <row r="73" spans="1:9" x14ac:dyDescent="0.35">
      <c r="A73" s="17">
        <v>45678</v>
      </c>
      <c r="B73" s="9">
        <v>2500</v>
      </c>
      <c r="C73" s="32"/>
      <c r="D73" s="47"/>
      <c r="E73" s="43" t="s">
        <v>357</v>
      </c>
      <c r="F73" s="20">
        <f t="shared" si="0"/>
        <v>148435373</v>
      </c>
      <c r="G73" s="7" t="s">
        <v>133</v>
      </c>
      <c r="H73" s="59" t="s">
        <v>323</v>
      </c>
      <c r="I73" s="32" t="s">
        <v>152</v>
      </c>
    </row>
    <row r="74" spans="1:9" x14ac:dyDescent="0.35">
      <c r="A74" s="17">
        <v>45679</v>
      </c>
      <c r="B74" s="9"/>
      <c r="C74" s="32"/>
      <c r="D74" s="47">
        <v>10000</v>
      </c>
      <c r="E74" s="43" t="s">
        <v>357</v>
      </c>
      <c r="F74" s="20">
        <f t="shared" ref="F74:F137" si="1">+F73+D74-B74</f>
        <v>148445373</v>
      </c>
      <c r="G74" s="10" t="s">
        <v>252</v>
      </c>
      <c r="H74" s="59" t="s">
        <v>109</v>
      </c>
      <c r="I74" s="32" t="s">
        <v>152</v>
      </c>
    </row>
    <row r="75" spans="1:9" x14ac:dyDescent="0.35">
      <c r="A75" s="17">
        <v>45679</v>
      </c>
      <c r="B75" s="9"/>
      <c r="C75" s="32"/>
      <c r="D75" s="47">
        <v>1200000</v>
      </c>
      <c r="E75" s="43" t="s">
        <v>357</v>
      </c>
      <c r="F75" s="20">
        <f t="shared" si="1"/>
        <v>149645373</v>
      </c>
      <c r="G75" s="10" t="s">
        <v>253</v>
      </c>
      <c r="H75" s="59" t="s">
        <v>109</v>
      </c>
      <c r="I75" s="32" t="s">
        <v>152</v>
      </c>
    </row>
    <row r="76" spans="1:9" x14ac:dyDescent="0.35">
      <c r="A76" s="17">
        <v>45679</v>
      </c>
      <c r="B76" s="9"/>
      <c r="C76" s="32"/>
      <c r="D76" s="47">
        <v>500000</v>
      </c>
      <c r="E76" s="43" t="s">
        <v>357</v>
      </c>
      <c r="F76" s="20">
        <f t="shared" si="1"/>
        <v>150145373</v>
      </c>
      <c r="G76" s="10" t="s">
        <v>145</v>
      </c>
      <c r="H76" s="59" t="s">
        <v>139</v>
      </c>
      <c r="I76" s="32" t="s">
        <v>152</v>
      </c>
    </row>
    <row r="77" spans="1:9" x14ac:dyDescent="0.35">
      <c r="A77" s="17">
        <v>45680</v>
      </c>
      <c r="B77" s="9"/>
      <c r="C77" s="32"/>
      <c r="D77" s="47">
        <v>10000</v>
      </c>
      <c r="E77" s="43" t="s">
        <v>357</v>
      </c>
      <c r="F77" s="20">
        <f t="shared" si="1"/>
        <v>150155373</v>
      </c>
      <c r="G77" s="10" t="s">
        <v>254</v>
      </c>
      <c r="H77" s="59" t="s">
        <v>109</v>
      </c>
      <c r="I77" s="32" t="s">
        <v>152</v>
      </c>
    </row>
    <row r="78" spans="1:9" x14ac:dyDescent="0.35">
      <c r="A78" s="17">
        <v>45680</v>
      </c>
      <c r="B78" s="9"/>
      <c r="C78" s="32"/>
      <c r="D78" s="47">
        <v>300000</v>
      </c>
      <c r="E78" s="43" t="s">
        <v>357</v>
      </c>
      <c r="F78" s="20">
        <f t="shared" si="1"/>
        <v>150455373</v>
      </c>
      <c r="G78" s="10" t="s">
        <v>147</v>
      </c>
      <c r="H78" s="59" t="s">
        <v>139</v>
      </c>
      <c r="I78" s="32" t="s">
        <v>152</v>
      </c>
    </row>
    <row r="79" spans="1:9" x14ac:dyDescent="0.35">
      <c r="A79" s="17">
        <v>45681</v>
      </c>
      <c r="B79" s="9"/>
      <c r="C79" s="32"/>
      <c r="D79" s="47">
        <v>300000</v>
      </c>
      <c r="E79" s="43" t="s">
        <v>357</v>
      </c>
      <c r="F79" s="20">
        <f t="shared" si="1"/>
        <v>150755373</v>
      </c>
      <c r="G79" s="10" t="s">
        <v>61</v>
      </c>
      <c r="H79" s="59" t="s">
        <v>139</v>
      </c>
      <c r="I79" s="32" t="s">
        <v>152</v>
      </c>
    </row>
    <row r="80" spans="1:9" x14ac:dyDescent="0.35">
      <c r="A80" s="17">
        <v>45681</v>
      </c>
      <c r="B80" s="9"/>
      <c r="C80" s="32"/>
      <c r="D80" s="47">
        <v>150000</v>
      </c>
      <c r="E80" s="43" t="s">
        <v>357</v>
      </c>
      <c r="F80" s="20">
        <f t="shared" si="1"/>
        <v>150905373</v>
      </c>
      <c r="G80" s="10" t="s">
        <v>255</v>
      </c>
      <c r="H80" s="59" t="s">
        <v>109</v>
      </c>
      <c r="I80" s="32" t="s">
        <v>152</v>
      </c>
    </row>
    <row r="81" spans="1:9" x14ac:dyDescent="0.35">
      <c r="A81" s="17">
        <v>45681</v>
      </c>
      <c r="B81" s="9"/>
      <c r="C81" s="32"/>
      <c r="D81" s="47">
        <v>10000</v>
      </c>
      <c r="E81" s="43" t="s">
        <v>357</v>
      </c>
      <c r="F81" s="20">
        <f t="shared" si="1"/>
        <v>150915373</v>
      </c>
      <c r="G81" s="10" t="s">
        <v>256</v>
      </c>
      <c r="H81" s="59" t="s">
        <v>109</v>
      </c>
      <c r="I81" s="32" t="s">
        <v>152</v>
      </c>
    </row>
    <row r="82" spans="1:9" x14ac:dyDescent="0.35">
      <c r="A82" s="17">
        <v>45681</v>
      </c>
      <c r="B82" s="9"/>
      <c r="C82" s="32"/>
      <c r="D82" s="47">
        <v>300000</v>
      </c>
      <c r="E82" s="43" t="s">
        <v>357</v>
      </c>
      <c r="F82" s="20">
        <f t="shared" si="1"/>
        <v>151215373</v>
      </c>
      <c r="G82" s="10" t="s">
        <v>87</v>
      </c>
      <c r="H82" s="59" t="s">
        <v>139</v>
      </c>
      <c r="I82" s="32" t="s">
        <v>152</v>
      </c>
    </row>
    <row r="83" spans="1:9" x14ac:dyDescent="0.35">
      <c r="A83" s="17">
        <v>45681</v>
      </c>
      <c r="B83" s="9"/>
      <c r="C83" s="32"/>
      <c r="D83" s="47">
        <v>300000</v>
      </c>
      <c r="E83" s="43" t="s">
        <v>357</v>
      </c>
      <c r="F83" s="20">
        <f t="shared" si="1"/>
        <v>151515373</v>
      </c>
      <c r="G83" s="10" t="s">
        <v>256</v>
      </c>
      <c r="H83" s="59" t="s">
        <v>109</v>
      </c>
      <c r="I83" s="32" t="s">
        <v>152</v>
      </c>
    </row>
    <row r="84" spans="1:9" x14ac:dyDescent="0.35">
      <c r="A84" s="48">
        <v>45681</v>
      </c>
      <c r="B84" s="49">
        <v>1400000</v>
      </c>
      <c r="C84" s="50"/>
      <c r="D84" s="51"/>
      <c r="E84" s="52" t="s">
        <v>357</v>
      </c>
      <c r="F84" s="53">
        <f t="shared" si="1"/>
        <v>150115373</v>
      </c>
      <c r="G84" s="54" t="s">
        <v>158</v>
      </c>
      <c r="H84" s="105" t="s">
        <v>143</v>
      </c>
      <c r="I84" s="32" t="s">
        <v>152</v>
      </c>
    </row>
    <row r="85" spans="1:9" x14ac:dyDescent="0.35">
      <c r="A85" s="17">
        <v>45687</v>
      </c>
      <c r="B85" s="9"/>
      <c r="C85" s="32"/>
      <c r="D85" s="57">
        <v>100000</v>
      </c>
      <c r="E85" s="43" t="s">
        <v>357</v>
      </c>
      <c r="F85" s="20">
        <f t="shared" si="1"/>
        <v>150215373</v>
      </c>
      <c r="G85" s="10" t="s">
        <v>256</v>
      </c>
      <c r="H85" s="59" t="s">
        <v>109</v>
      </c>
      <c r="I85" s="32" t="s">
        <v>152</v>
      </c>
    </row>
    <row r="86" spans="1:9" x14ac:dyDescent="0.35">
      <c r="A86" s="17">
        <v>45687</v>
      </c>
      <c r="B86" s="9"/>
      <c r="C86" s="32"/>
      <c r="D86" s="57">
        <v>10000</v>
      </c>
      <c r="E86" s="43" t="s">
        <v>357</v>
      </c>
      <c r="F86" s="20">
        <f t="shared" si="1"/>
        <v>150225373</v>
      </c>
      <c r="G86" s="10" t="s">
        <v>256</v>
      </c>
      <c r="H86" s="59" t="s">
        <v>109</v>
      </c>
      <c r="I86" s="32" t="s">
        <v>152</v>
      </c>
    </row>
    <row r="87" spans="1:9" x14ac:dyDescent="0.35">
      <c r="A87" s="17">
        <v>45687</v>
      </c>
      <c r="B87" s="9">
        <v>750000</v>
      </c>
      <c r="C87" s="32"/>
      <c r="D87" s="57"/>
      <c r="E87" s="43" t="s">
        <v>357</v>
      </c>
      <c r="F87" s="20">
        <f t="shared" si="1"/>
        <v>149475373</v>
      </c>
      <c r="G87" s="10" t="s">
        <v>160</v>
      </c>
      <c r="H87" s="59" t="s">
        <v>323</v>
      </c>
      <c r="I87" s="32" t="s">
        <v>152</v>
      </c>
    </row>
    <row r="88" spans="1:9" x14ac:dyDescent="0.35">
      <c r="A88" s="17">
        <v>45687</v>
      </c>
      <c r="B88" s="9">
        <v>2500</v>
      </c>
      <c r="C88" s="32"/>
      <c r="D88" s="57"/>
      <c r="E88" s="43" t="s">
        <v>357</v>
      </c>
      <c r="F88" s="20">
        <f t="shared" si="1"/>
        <v>149472873</v>
      </c>
      <c r="G88" s="10" t="s">
        <v>161</v>
      </c>
      <c r="H88" s="59" t="s">
        <v>323</v>
      </c>
      <c r="I88" s="32" t="s">
        <v>152</v>
      </c>
    </row>
    <row r="89" spans="1:9" x14ac:dyDescent="0.35">
      <c r="A89" s="17">
        <v>45687</v>
      </c>
      <c r="B89" s="9"/>
      <c r="C89" s="32"/>
      <c r="D89" s="57">
        <v>100000</v>
      </c>
      <c r="E89" s="43" t="s">
        <v>357</v>
      </c>
      <c r="F89" s="20">
        <f t="shared" si="1"/>
        <v>149572873</v>
      </c>
      <c r="G89" s="10" t="s">
        <v>257</v>
      </c>
      <c r="H89" s="59" t="s">
        <v>109</v>
      </c>
      <c r="I89" s="32" t="s">
        <v>152</v>
      </c>
    </row>
    <row r="90" spans="1:9" x14ac:dyDescent="0.35">
      <c r="A90" s="17">
        <v>45687</v>
      </c>
      <c r="B90" s="9"/>
      <c r="C90" s="32"/>
      <c r="D90" s="57">
        <v>200000</v>
      </c>
      <c r="E90" s="43" t="s">
        <v>357</v>
      </c>
      <c r="F90" s="20">
        <f t="shared" si="1"/>
        <v>149772873</v>
      </c>
      <c r="G90" s="10" t="s">
        <v>258</v>
      </c>
      <c r="H90" s="59" t="s">
        <v>140</v>
      </c>
      <c r="I90" s="32" t="s">
        <v>152</v>
      </c>
    </row>
    <row r="91" spans="1:9" x14ac:dyDescent="0.35">
      <c r="A91" s="17">
        <v>45687</v>
      </c>
      <c r="B91" s="9"/>
      <c r="C91" s="32"/>
      <c r="D91" s="57">
        <v>300000</v>
      </c>
      <c r="E91" s="43" t="s">
        <v>357</v>
      </c>
      <c r="F91" s="20">
        <f t="shared" si="1"/>
        <v>150072873</v>
      </c>
      <c r="G91" s="10" t="s">
        <v>259</v>
      </c>
      <c r="H91" s="59" t="s">
        <v>109</v>
      </c>
      <c r="I91" s="32" t="s">
        <v>152</v>
      </c>
    </row>
    <row r="92" spans="1:9" x14ac:dyDescent="0.35">
      <c r="A92" s="17">
        <v>45687</v>
      </c>
      <c r="B92" s="9">
        <v>1000000</v>
      </c>
      <c r="C92" s="32"/>
      <c r="D92" s="57"/>
      <c r="E92" s="43" t="s">
        <v>357</v>
      </c>
      <c r="F92" s="20">
        <f t="shared" si="1"/>
        <v>149072873</v>
      </c>
      <c r="G92" s="10" t="s">
        <v>165</v>
      </c>
      <c r="H92" s="59" t="s">
        <v>323</v>
      </c>
      <c r="I92" s="32" t="s">
        <v>152</v>
      </c>
    </row>
    <row r="93" spans="1:9" x14ac:dyDescent="0.35">
      <c r="A93" s="17">
        <v>45687</v>
      </c>
      <c r="B93" s="9">
        <v>2500</v>
      </c>
      <c r="C93" s="32"/>
      <c r="D93" s="57"/>
      <c r="E93" s="43" t="s">
        <v>357</v>
      </c>
      <c r="F93" s="20">
        <f t="shared" si="1"/>
        <v>149070373</v>
      </c>
      <c r="G93" s="10" t="s">
        <v>166</v>
      </c>
      <c r="H93" s="59" t="s">
        <v>323</v>
      </c>
      <c r="I93" s="32" t="s">
        <v>152</v>
      </c>
    </row>
    <row r="94" spans="1:9" x14ac:dyDescent="0.35">
      <c r="A94" s="17">
        <v>45687</v>
      </c>
      <c r="B94" s="9"/>
      <c r="C94" s="32"/>
      <c r="D94" s="57">
        <v>10000</v>
      </c>
      <c r="E94" s="43" t="s">
        <v>357</v>
      </c>
      <c r="F94" s="20">
        <f t="shared" si="1"/>
        <v>149080373</v>
      </c>
      <c r="G94" s="10" t="s">
        <v>256</v>
      </c>
      <c r="H94" s="59" t="s">
        <v>109</v>
      </c>
      <c r="I94" s="32" t="s">
        <v>152</v>
      </c>
    </row>
    <row r="95" spans="1:9" x14ac:dyDescent="0.35">
      <c r="A95" s="17">
        <v>45687</v>
      </c>
      <c r="B95" s="9"/>
      <c r="C95" s="32"/>
      <c r="D95" s="57">
        <v>5000</v>
      </c>
      <c r="E95" s="43" t="s">
        <v>357</v>
      </c>
      <c r="F95" s="20">
        <f t="shared" si="1"/>
        <v>149085373</v>
      </c>
      <c r="G95" s="10" t="s">
        <v>256</v>
      </c>
      <c r="H95" s="59" t="s">
        <v>109</v>
      </c>
      <c r="I95" s="32" t="s">
        <v>152</v>
      </c>
    </row>
    <row r="96" spans="1:9" x14ac:dyDescent="0.35">
      <c r="A96" s="17">
        <v>45687</v>
      </c>
      <c r="B96" s="9"/>
      <c r="C96" s="32"/>
      <c r="D96" s="57">
        <v>200000</v>
      </c>
      <c r="E96" s="43" t="s">
        <v>357</v>
      </c>
      <c r="F96" s="20">
        <f t="shared" si="1"/>
        <v>149285373</v>
      </c>
      <c r="G96" t="s">
        <v>240</v>
      </c>
      <c r="H96" s="59" t="s">
        <v>109</v>
      </c>
      <c r="I96" s="32" t="s">
        <v>152</v>
      </c>
    </row>
    <row r="97" spans="1:9" x14ac:dyDescent="0.35">
      <c r="A97" s="17">
        <v>45687</v>
      </c>
      <c r="B97" s="9"/>
      <c r="C97" s="32"/>
      <c r="D97" s="57">
        <v>10000</v>
      </c>
      <c r="E97" s="43" t="s">
        <v>357</v>
      </c>
      <c r="F97" s="20">
        <f t="shared" si="1"/>
        <v>149295373</v>
      </c>
      <c r="G97" s="10" t="s">
        <v>256</v>
      </c>
      <c r="H97" s="59" t="s">
        <v>109</v>
      </c>
      <c r="I97" s="32" t="s">
        <v>152</v>
      </c>
    </row>
    <row r="98" spans="1:9" x14ac:dyDescent="0.35">
      <c r="A98" s="17">
        <v>45687</v>
      </c>
      <c r="B98" s="9">
        <v>3250000</v>
      </c>
      <c r="C98" s="32"/>
      <c r="D98" s="57"/>
      <c r="E98" s="43" t="s">
        <v>357</v>
      </c>
      <c r="F98" s="20">
        <f t="shared" si="1"/>
        <v>146045373</v>
      </c>
      <c r="G98" s="10" t="s">
        <v>169</v>
      </c>
      <c r="H98" s="59" t="s">
        <v>325</v>
      </c>
      <c r="I98" s="32" t="s">
        <v>152</v>
      </c>
    </row>
    <row r="99" spans="1:9" x14ac:dyDescent="0.35">
      <c r="A99" s="17">
        <v>45687</v>
      </c>
      <c r="B99" s="9">
        <v>6500</v>
      </c>
      <c r="C99" s="32"/>
      <c r="D99" s="57"/>
      <c r="E99" s="43" t="s">
        <v>357</v>
      </c>
      <c r="F99" s="20">
        <f t="shared" si="1"/>
        <v>146038873</v>
      </c>
      <c r="G99" s="10" t="s">
        <v>170</v>
      </c>
      <c r="H99" s="59" t="s">
        <v>325</v>
      </c>
      <c r="I99" s="32" t="s">
        <v>152</v>
      </c>
    </row>
    <row r="100" spans="1:9" x14ac:dyDescent="0.35">
      <c r="A100" s="17">
        <v>45687</v>
      </c>
      <c r="B100" s="9">
        <v>2000000</v>
      </c>
      <c r="C100" s="32"/>
      <c r="D100" s="57"/>
      <c r="E100" s="43" t="s">
        <v>357</v>
      </c>
      <c r="F100" s="20">
        <f t="shared" si="1"/>
        <v>144038873</v>
      </c>
      <c r="G100" s="10" t="s">
        <v>171</v>
      </c>
      <c r="H100" s="59" t="s">
        <v>325</v>
      </c>
      <c r="I100" s="32" t="s">
        <v>152</v>
      </c>
    </row>
    <row r="101" spans="1:9" x14ac:dyDescent="0.35">
      <c r="A101" s="17">
        <v>45687</v>
      </c>
      <c r="B101" s="9">
        <v>6500</v>
      </c>
      <c r="C101" s="32"/>
      <c r="D101" s="57"/>
      <c r="E101" s="43" t="s">
        <v>357</v>
      </c>
      <c r="F101" s="20">
        <f t="shared" si="1"/>
        <v>144032373</v>
      </c>
      <c r="G101" s="10" t="s">
        <v>172</v>
      </c>
      <c r="H101" s="59" t="s">
        <v>325</v>
      </c>
      <c r="I101" s="32" t="s">
        <v>152</v>
      </c>
    </row>
    <row r="102" spans="1:9" x14ac:dyDescent="0.35">
      <c r="A102" s="17">
        <v>45687</v>
      </c>
      <c r="B102" s="9">
        <v>2500000</v>
      </c>
      <c r="C102" s="32"/>
      <c r="D102" s="57"/>
      <c r="E102" s="43" t="s">
        <v>357</v>
      </c>
      <c r="F102" s="20">
        <f t="shared" si="1"/>
        <v>141532373</v>
      </c>
      <c r="G102" s="10" t="s">
        <v>173</v>
      </c>
      <c r="H102" s="59" t="s">
        <v>325</v>
      </c>
      <c r="I102" s="32" t="s">
        <v>152</v>
      </c>
    </row>
    <row r="103" spans="1:9" x14ac:dyDescent="0.35">
      <c r="A103" s="17">
        <v>45687</v>
      </c>
      <c r="B103" s="9">
        <v>6500</v>
      </c>
      <c r="C103" s="32"/>
      <c r="D103" s="57"/>
      <c r="E103" s="43" t="s">
        <v>357</v>
      </c>
      <c r="F103" s="20">
        <f t="shared" si="1"/>
        <v>141525873</v>
      </c>
      <c r="G103" s="10" t="s">
        <v>174</v>
      </c>
      <c r="H103" s="59" t="s">
        <v>325</v>
      </c>
      <c r="I103" s="32" t="s">
        <v>152</v>
      </c>
    </row>
    <row r="104" spans="1:9" x14ac:dyDescent="0.35">
      <c r="A104" s="17">
        <v>45687</v>
      </c>
      <c r="B104" s="9">
        <f>2700000</f>
        <v>2700000</v>
      </c>
      <c r="C104" s="32"/>
      <c r="D104" s="57"/>
      <c r="E104" s="43" t="s">
        <v>357</v>
      </c>
      <c r="F104" s="20">
        <f t="shared" si="1"/>
        <v>138825873</v>
      </c>
      <c r="G104" s="10" t="s">
        <v>175</v>
      </c>
      <c r="H104" s="59" t="s">
        <v>201</v>
      </c>
      <c r="I104" s="32" t="s">
        <v>152</v>
      </c>
    </row>
    <row r="105" spans="1:9" x14ac:dyDescent="0.35">
      <c r="A105" s="17">
        <v>45687</v>
      </c>
      <c r="B105" s="9">
        <v>6500</v>
      </c>
      <c r="C105" s="32"/>
      <c r="D105" s="57"/>
      <c r="E105" s="43" t="s">
        <v>357</v>
      </c>
      <c r="F105" s="20">
        <f t="shared" si="1"/>
        <v>138819373</v>
      </c>
      <c r="G105" s="10" t="s">
        <v>176</v>
      </c>
      <c r="H105" s="59" t="s">
        <v>201</v>
      </c>
      <c r="I105" s="32" t="s">
        <v>152</v>
      </c>
    </row>
    <row r="106" spans="1:9" x14ac:dyDescent="0.35">
      <c r="A106" s="17">
        <v>45687</v>
      </c>
      <c r="B106" s="9">
        <v>2000000</v>
      </c>
      <c r="C106" s="32"/>
      <c r="D106" s="57"/>
      <c r="E106" s="43" t="s">
        <v>357</v>
      </c>
      <c r="F106" s="20">
        <f t="shared" si="1"/>
        <v>136819373</v>
      </c>
      <c r="G106" s="10" t="s">
        <v>180</v>
      </c>
      <c r="H106" s="59" t="s">
        <v>325</v>
      </c>
      <c r="I106" s="32" t="s">
        <v>152</v>
      </c>
    </row>
    <row r="107" spans="1:9" x14ac:dyDescent="0.35">
      <c r="A107" s="17">
        <v>45687</v>
      </c>
      <c r="B107" s="9">
        <v>6500</v>
      </c>
      <c r="C107" s="32"/>
      <c r="D107" s="57"/>
      <c r="E107" s="43" t="s">
        <v>357</v>
      </c>
      <c r="F107" s="20">
        <f t="shared" si="1"/>
        <v>136812873</v>
      </c>
      <c r="G107" s="10" t="s">
        <v>177</v>
      </c>
      <c r="H107" s="59" t="s">
        <v>325</v>
      </c>
      <c r="I107" s="32" t="s">
        <v>152</v>
      </c>
    </row>
    <row r="108" spans="1:9" x14ac:dyDescent="0.35">
      <c r="A108" s="17">
        <v>45687</v>
      </c>
      <c r="B108" s="9">
        <v>1500000</v>
      </c>
      <c r="C108" s="32"/>
      <c r="D108" s="57"/>
      <c r="E108" s="43" t="s">
        <v>357</v>
      </c>
      <c r="F108" s="20">
        <f t="shared" si="1"/>
        <v>135312873</v>
      </c>
      <c r="G108" s="10" t="s">
        <v>178</v>
      </c>
      <c r="H108" s="59" t="s">
        <v>325</v>
      </c>
      <c r="I108" s="32" t="s">
        <v>152</v>
      </c>
    </row>
    <row r="109" spans="1:9" x14ac:dyDescent="0.35">
      <c r="A109" s="17">
        <v>45687</v>
      </c>
      <c r="B109" s="9">
        <v>6500</v>
      </c>
      <c r="C109" s="32"/>
      <c r="D109" s="57"/>
      <c r="E109" s="43" t="s">
        <v>357</v>
      </c>
      <c r="F109" s="20">
        <f t="shared" si="1"/>
        <v>135306373</v>
      </c>
      <c r="G109" s="10" t="s">
        <v>179</v>
      </c>
      <c r="H109" s="59" t="s">
        <v>325</v>
      </c>
      <c r="I109" s="32" t="s">
        <v>152</v>
      </c>
    </row>
    <row r="110" spans="1:9" x14ac:dyDescent="0.35">
      <c r="A110" s="17">
        <v>45687</v>
      </c>
      <c r="B110" s="9">
        <v>2500000</v>
      </c>
      <c r="C110" s="32"/>
      <c r="D110" s="57"/>
      <c r="E110" s="43" t="s">
        <v>357</v>
      </c>
      <c r="F110" s="20">
        <f t="shared" si="1"/>
        <v>132806373</v>
      </c>
      <c r="G110" s="10" t="s">
        <v>181</v>
      </c>
      <c r="H110" s="59" t="s">
        <v>325</v>
      </c>
      <c r="I110" s="32" t="s">
        <v>152</v>
      </c>
    </row>
    <row r="111" spans="1:9" x14ac:dyDescent="0.35">
      <c r="A111" s="17">
        <v>45687</v>
      </c>
      <c r="B111" s="9"/>
      <c r="C111" s="32"/>
      <c r="D111" s="9">
        <v>6000000</v>
      </c>
      <c r="E111" s="43" t="s">
        <v>357</v>
      </c>
      <c r="F111" s="20">
        <f t="shared" si="1"/>
        <v>138806373</v>
      </c>
      <c r="G111" s="10" t="s">
        <v>260</v>
      </c>
      <c r="H111" s="59" t="s">
        <v>109</v>
      </c>
      <c r="I111" s="32" t="s">
        <v>152</v>
      </c>
    </row>
    <row r="112" spans="1:9" x14ac:dyDescent="0.35">
      <c r="A112" s="17">
        <v>45687</v>
      </c>
      <c r="B112" s="9"/>
      <c r="C112" s="32"/>
      <c r="D112" s="57">
        <v>10000</v>
      </c>
      <c r="E112" s="43" t="s">
        <v>357</v>
      </c>
      <c r="F112" s="20">
        <f t="shared" si="1"/>
        <v>138816373</v>
      </c>
      <c r="G112" s="10" t="s">
        <v>256</v>
      </c>
      <c r="H112" s="59" t="s">
        <v>109</v>
      </c>
      <c r="I112" s="32" t="s">
        <v>152</v>
      </c>
    </row>
    <row r="113" spans="1:9" x14ac:dyDescent="0.35">
      <c r="A113" s="17">
        <v>45687</v>
      </c>
      <c r="B113" s="9">
        <v>3000000</v>
      </c>
      <c r="C113" s="32"/>
      <c r="D113" s="57"/>
      <c r="E113" s="43" t="s">
        <v>357</v>
      </c>
      <c r="F113" s="20">
        <f t="shared" si="1"/>
        <v>135816373</v>
      </c>
      <c r="G113" s="10" t="s">
        <v>183</v>
      </c>
      <c r="H113" s="59" t="s">
        <v>203</v>
      </c>
      <c r="I113" s="32" t="s">
        <v>152</v>
      </c>
    </row>
    <row r="114" spans="1:9" x14ac:dyDescent="0.35">
      <c r="A114" s="17">
        <v>45687</v>
      </c>
      <c r="B114" s="9">
        <v>2000000</v>
      </c>
      <c r="C114" s="32"/>
      <c r="D114" s="57"/>
      <c r="E114" s="43" t="s">
        <v>357</v>
      </c>
      <c r="F114" s="20">
        <f t="shared" si="1"/>
        <v>133816373</v>
      </c>
      <c r="G114" s="10" t="s">
        <v>184</v>
      </c>
      <c r="H114" s="59" t="s">
        <v>323</v>
      </c>
      <c r="I114" s="32" t="s">
        <v>152</v>
      </c>
    </row>
    <row r="115" spans="1:9" x14ac:dyDescent="0.35">
      <c r="A115" s="17">
        <v>45687</v>
      </c>
      <c r="B115" s="9">
        <v>2500</v>
      </c>
      <c r="C115" s="32"/>
      <c r="D115" s="57"/>
      <c r="E115" s="43" t="s">
        <v>357</v>
      </c>
      <c r="F115" s="20">
        <f t="shared" si="1"/>
        <v>133813873</v>
      </c>
      <c r="G115" s="10" t="s">
        <v>185</v>
      </c>
      <c r="H115" s="59" t="s">
        <v>323</v>
      </c>
      <c r="I115" s="32" t="s">
        <v>152</v>
      </c>
    </row>
    <row r="116" spans="1:9" x14ac:dyDescent="0.35">
      <c r="A116" s="17">
        <v>45687</v>
      </c>
      <c r="B116" s="9"/>
      <c r="C116" s="32"/>
      <c r="D116" s="57">
        <v>1000</v>
      </c>
      <c r="E116" s="43" t="s">
        <v>357</v>
      </c>
      <c r="F116" s="20">
        <f t="shared" si="1"/>
        <v>133814873</v>
      </c>
      <c r="G116" s="10" t="s">
        <v>168</v>
      </c>
      <c r="H116" s="59" t="s">
        <v>139</v>
      </c>
      <c r="I116" s="32" t="s">
        <v>152</v>
      </c>
    </row>
    <row r="117" spans="1:9" x14ac:dyDescent="0.35">
      <c r="A117" s="17">
        <v>45687</v>
      </c>
      <c r="B117" s="9"/>
      <c r="C117" s="32"/>
      <c r="D117" s="57">
        <v>750000</v>
      </c>
      <c r="E117" s="43" t="s">
        <v>357</v>
      </c>
      <c r="F117" s="20">
        <f t="shared" si="1"/>
        <v>134564873</v>
      </c>
      <c r="G117" s="10" t="s">
        <v>261</v>
      </c>
      <c r="H117" s="59" t="s">
        <v>109</v>
      </c>
      <c r="I117" s="32" t="s">
        <v>152</v>
      </c>
    </row>
    <row r="118" spans="1:9" x14ac:dyDescent="0.35">
      <c r="A118" s="17">
        <v>45687</v>
      </c>
      <c r="B118" s="9"/>
      <c r="C118" s="32"/>
      <c r="D118" s="57">
        <v>10000</v>
      </c>
      <c r="E118" s="43" t="s">
        <v>357</v>
      </c>
      <c r="F118" s="20">
        <f t="shared" si="1"/>
        <v>134574873</v>
      </c>
      <c r="G118" s="10" t="s">
        <v>256</v>
      </c>
      <c r="H118" s="59" t="s">
        <v>109</v>
      </c>
      <c r="I118" s="32" t="s">
        <v>152</v>
      </c>
    </row>
    <row r="119" spans="1:9" x14ac:dyDescent="0.35">
      <c r="A119" s="17">
        <v>45687</v>
      </c>
      <c r="B119" s="9"/>
      <c r="C119" s="32"/>
      <c r="D119" s="57"/>
      <c r="E119" s="43" t="s">
        <v>357</v>
      </c>
      <c r="F119" s="20">
        <f t="shared" si="1"/>
        <v>134574873</v>
      </c>
      <c r="G119" s="10" t="s">
        <v>256</v>
      </c>
      <c r="H119" s="59" t="s">
        <v>109</v>
      </c>
      <c r="I119" s="32" t="s">
        <v>152</v>
      </c>
    </row>
    <row r="120" spans="1:9" x14ac:dyDescent="0.35">
      <c r="A120" s="17">
        <v>45687</v>
      </c>
      <c r="B120" s="9"/>
      <c r="C120" s="32"/>
      <c r="D120" s="57"/>
      <c r="E120" s="43" t="s">
        <v>357</v>
      </c>
      <c r="F120" s="20">
        <f t="shared" si="1"/>
        <v>134574873</v>
      </c>
      <c r="G120" s="10" t="s">
        <v>256</v>
      </c>
      <c r="H120" s="59" t="s">
        <v>109</v>
      </c>
      <c r="I120" s="32" t="s">
        <v>152</v>
      </c>
    </row>
    <row r="121" spans="1:9" x14ac:dyDescent="0.35">
      <c r="A121" s="17">
        <v>45687</v>
      </c>
      <c r="B121" s="32"/>
      <c r="C121" s="23"/>
      <c r="D121" s="23">
        <v>2643000</v>
      </c>
      <c r="E121" s="43" t="s">
        <v>357</v>
      </c>
      <c r="F121" s="20">
        <f t="shared" si="1"/>
        <v>137217873</v>
      </c>
      <c r="G121" s="24" t="s">
        <v>107</v>
      </c>
      <c r="H121" s="59" t="s">
        <v>107</v>
      </c>
      <c r="I121" s="32" t="s">
        <v>152</v>
      </c>
    </row>
    <row r="122" spans="1:9" x14ac:dyDescent="0.35">
      <c r="A122" s="17">
        <v>45687</v>
      </c>
      <c r="B122" s="32"/>
      <c r="C122" s="23"/>
      <c r="D122" s="23">
        <v>2823000</v>
      </c>
      <c r="E122" s="43" t="s">
        <v>357</v>
      </c>
      <c r="F122" s="20">
        <f t="shared" si="1"/>
        <v>140040873</v>
      </c>
      <c r="G122" s="24" t="s">
        <v>109</v>
      </c>
      <c r="H122" s="59" t="s">
        <v>109</v>
      </c>
      <c r="I122" s="32" t="s">
        <v>152</v>
      </c>
    </row>
    <row r="123" spans="1:9" x14ac:dyDescent="0.35">
      <c r="A123" s="17">
        <v>45687</v>
      </c>
      <c r="B123" s="27">
        <v>50000</v>
      </c>
      <c r="C123" s="27"/>
      <c r="D123" s="20"/>
      <c r="E123" s="43" t="s">
        <v>357</v>
      </c>
      <c r="F123" s="20">
        <f t="shared" si="1"/>
        <v>139990873</v>
      </c>
      <c r="G123" s="28" t="s">
        <v>115</v>
      </c>
      <c r="H123" s="59" t="s">
        <v>320</v>
      </c>
      <c r="I123" s="32" t="s">
        <v>152</v>
      </c>
    </row>
    <row r="124" spans="1:9" x14ac:dyDescent="0.35">
      <c r="A124" s="17"/>
      <c r="B124" s="32"/>
      <c r="C124" s="20">
        <v>5416000</v>
      </c>
      <c r="D124" s="20"/>
      <c r="E124" s="56"/>
      <c r="F124" s="20">
        <f t="shared" si="1"/>
        <v>139990873</v>
      </c>
      <c r="G124" s="10" t="s">
        <v>98</v>
      </c>
      <c r="H124" s="59"/>
      <c r="I124" s="32"/>
    </row>
    <row r="125" spans="1:9" x14ac:dyDescent="0.35">
      <c r="A125" s="17">
        <v>45687</v>
      </c>
      <c r="B125" s="9">
        <v>4613000</v>
      </c>
      <c r="C125" s="32"/>
      <c r="D125" s="57"/>
      <c r="E125" s="43" t="s">
        <v>357</v>
      </c>
      <c r="F125" s="20">
        <f t="shared" si="1"/>
        <v>135377873</v>
      </c>
      <c r="G125" s="10" t="s">
        <v>195</v>
      </c>
      <c r="H125" s="59" t="s">
        <v>203</v>
      </c>
      <c r="I125" s="32" t="s">
        <v>152</v>
      </c>
    </row>
    <row r="126" spans="1:9" x14ac:dyDescent="0.35">
      <c r="A126" s="17">
        <v>45687</v>
      </c>
      <c r="B126" s="9">
        <v>2500</v>
      </c>
      <c r="C126" s="32"/>
      <c r="D126" s="57"/>
      <c r="E126" s="43" t="s">
        <v>357</v>
      </c>
      <c r="F126" s="20">
        <f t="shared" si="1"/>
        <v>135375373</v>
      </c>
      <c r="G126" s="10" t="s">
        <v>194</v>
      </c>
      <c r="H126" s="59" t="s">
        <v>203</v>
      </c>
      <c r="I126" s="32" t="s">
        <v>152</v>
      </c>
    </row>
    <row r="127" spans="1:9" x14ac:dyDescent="0.35">
      <c r="A127" s="17">
        <v>45687</v>
      </c>
      <c r="B127" s="9">
        <v>4000000</v>
      </c>
      <c r="C127" s="32"/>
      <c r="D127" s="57"/>
      <c r="E127" s="43" t="s">
        <v>357</v>
      </c>
      <c r="F127" s="20">
        <f t="shared" si="1"/>
        <v>131375373</v>
      </c>
      <c r="G127" s="10" t="s">
        <v>196</v>
      </c>
      <c r="H127" s="59" t="s">
        <v>201</v>
      </c>
      <c r="I127" s="32" t="s">
        <v>152</v>
      </c>
    </row>
    <row r="128" spans="1:9" x14ac:dyDescent="0.35">
      <c r="A128" s="17">
        <v>45687</v>
      </c>
      <c r="B128" s="9">
        <v>2500</v>
      </c>
      <c r="C128" s="32"/>
      <c r="D128" s="57"/>
      <c r="E128" s="43" t="s">
        <v>357</v>
      </c>
      <c r="F128" s="20">
        <f t="shared" si="1"/>
        <v>131372873</v>
      </c>
      <c r="G128" s="10" t="s">
        <v>197</v>
      </c>
      <c r="H128" s="59" t="s">
        <v>201</v>
      </c>
      <c r="I128" s="32" t="s">
        <v>152</v>
      </c>
    </row>
    <row r="129" spans="1:9" x14ac:dyDescent="0.35">
      <c r="A129" s="17">
        <v>45687</v>
      </c>
      <c r="B129" s="155">
        <v>4950000</v>
      </c>
      <c r="C129" s="32"/>
      <c r="D129" s="156"/>
      <c r="E129" s="157" t="s">
        <v>357</v>
      </c>
      <c r="F129" s="38">
        <f t="shared" si="1"/>
        <v>126422873</v>
      </c>
      <c r="G129" s="10" t="s">
        <v>216</v>
      </c>
      <c r="H129" s="59" t="s">
        <v>322</v>
      </c>
      <c r="I129" s="32" t="s">
        <v>152</v>
      </c>
    </row>
    <row r="130" spans="1:9" x14ac:dyDescent="0.35">
      <c r="A130" s="17">
        <v>45688</v>
      </c>
      <c r="B130" s="9"/>
      <c r="C130" s="32"/>
      <c r="D130" s="57">
        <v>100000</v>
      </c>
      <c r="E130" s="43" t="s">
        <v>357</v>
      </c>
      <c r="F130" s="20">
        <f t="shared" si="1"/>
        <v>126522873</v>
      </c>
      <c r="G130" s="10" t="s">
        <v>219</v>
      </c>
      <c r="H130" s="59" t="s">
        <v>105</v>
      </c>
      <c r="I130" s="32" t="s">
        <v>152</v>
      </c>
    </row>
    <row r="131" spans="1:9" x14ac:dyDescent="0.35">
      <c r="A131" s="19">
        <v>45691</v>
      </c>
      <c r="B131" s="20">
        <v>1000000</v>
      </c>
      <c r="C131" s="32"/>
      <c r="D131" s="20"/>
      <c r="E131" s="56" t="s">
        <v>358</v>
      </c>
      <c r="F131" s="20">
        <f t="shared" si="1"/>
        <v>125522873</v>
      </c>
      <c r="G131" s="10" t="s">
        <v>230</v>
      </c>
      <c r="H131" s="59" t="s">
        <v>323</v>
      </c>
      <c r="I131" s="32" t="s">
        <v>152</v>
      </c>
    </row>
    <row r="132" spans="1:9" x14ac:dyDescent="0.35">
      <c r="A132" s="19">
        <v>45691</v>
      </c>
      <c r="B132" s="20">
        <v>2500</v>
      </c>
      <c r="C132" s="32"/>
      <c r="D132" s="20"/>
      <c r="E132" s="56" t="s">
        <v>358</v>
      </c>
      <c r="F132" s="20">
        <f t="shared" si="1"/>
        <v>125520373</v>
      </c>
      <c r="G132" s="10" t="s">
        <v>231</v>
      </c>
      <c r="H132" s="59" t="s">
        <v>323</v>
      </c>
      <c r="I132" s="32" t="s">
        <v>152</v>
      </c>
    </row>
    <row r="133" spans="1:9" x14ac:dyDescent="0.35">
      <c r="A133" s="19">
        <v>45691</v>
      </c>
      <c r="B133" s="20"/>
      <c r="C133" s="32"/>
      <c r="D133" s="20">
        <v>1000</v>
      </c>
      <c r="E133" s="56" t="s">
        <v>358</v>
      </c>
      <c r="F133" s="20">
        <f t="shared" si="1"/>
        <v>125521373</v>
      </c>
      <c r="G133" s="7" t="s">
        <v>252</v>
      </c>
      <c r="H133" s="59" t="s">
        <v>109</v>
      </c>
      <c r="I133" s="32" t="s">
        <v>152</v>
      </c>
    </row>
    <row r="134" spans="1:9" x14ac:dyDescent="0.35">
      <c r="A134" s="19">
        <v>45691</v>
      </c>
      <c r="B134" s="20"/>
      <c r="C134" s="32"/>
      <c r="D134" s="20">
        <v>75000</v>
      </c>
      <c r="E134" s="56" t="s">
        <v>358</v>
      </c>
      <c r="F134" s="20">
        <f t="shared" si="1"/>
        <v>125596373</v>
      </c>
      <c r="G134" s="7" t="s">
        <v>264</v>
      </c>
      <c r="H134" s="59" t="s">
        <v>109</v>
      </c>
      <c r="I134" s="32" t="s">
        <v>152</v>
      </c>
    </row>
    <row r="135" spans="1:9" x14ac:dyDescent="0.35">
      <c r="A135" s="19">
        <v>45691</v>
      </c>
      <c r="B135" s="20"/>
      <c r="C135" s="32"/>
      <c r="D135" s="20">
        <v>500000</v>
      </c>
      <c r="E135" s="56" t="s">
        <v>358</v>
      </c>
      <c r="F135" s="20">
        <f t="shared" si="1"/>
        <v>126096373</v>
      </c>
      <c r="G135" s="7" t="s">
        <v>233</v>
      </c>
      <c r="H135" s="59" t="s">
        <v>109</v>
      </c>
      <c r="I135" s="32" t="s">
        <v>152</v>
      </c>
    </row>
    <row r="136" spans="1:9" x14ac:dyDescent="0.35">
      <c r="A136" s="19">
        <v>45691</v>
      </c>
      <c r="B136" s="20"/>
      <c r="C136" s="32"/>
      <c r="D136" s="20">
        <v>200000</v>
      </c>
      <c r="E136" s="56" t="s">
        <v>358</v>
      </c>
      <c r="F136" s="20">
        <f t="shared" si="1"/>
        <v>126296373</v>
      </c>
      <c r="G136" s="7" t="s">
        <v>232</v>
      </c>
      <c r="H136" s="59" t="s">
        <v>109</v>
      </c>
      <c r="I136" s="32" t="s">
        <v>152</v>
      </c>
    </row>
    <row r="137" spans="1:9" x14ac:dyDescent="0.35">
      <c r="A137" s="19">
        <v>45691</v>
      </c>
      <c r="B137" s="20"/>
      <c r="C137" s="32"/>
      <c r="D137" s="20">
        <v>15000</v>
      </c>
      <c r="E137" s="56" t="s">
        <v>358</v>
      </c>
      <c r="F137" s="20">
        <f t="shared" si="1"/>
        <v>126311373</v>
      </c>
      <c r="G137" s="7" t="s">
        <v>263</v>
      </c>
      <c r="H137" s="59" t="s">
        <v>109</v>
      </c>
      <c r="I137" s="32" t="s">
        <v>152</v>
      </c>
    </row>
    <row r="138" spans="1:9" x14ac:dyDescent="0.35">
      <c r="A138" s="19">
        <v>45691</v>
      </c>
      <c r="B138" s="20"/>
      <c r="C138" s="32"/>
      <c r="D138" s="20">
        <v>300000</v>
      </c>
      <c r="E138" s="56" t="s">
        <v>358</v>
      </c>
      <c r="F138" s="20">
        <f t="shared" ref="F138:F201" si="2">+F137+D138-B138</f>
        <v>126611373</v>
      </c>
      <c r="G138" s="7" t="s">
        <v>243</v>
      </c>
      <c r="H138" s="59" t="s">
        <v>109</v>
      </c>
      <c r="I138" s="32" t="s">
        <v>152</v>
      </c>
    </row>
    <row r="139" spans="1:9" x14ac:dyDescent="0.35">
      <c r="A139" s="19">
        <v>45691</v>
      </c>
      <c r="B139" s="20"/>
      <c r="C139" s="32"/>
      <c r="D139" s="20">
        <v>200000</v>
      </c>
      <c r="E139" s="56" t="s">
        <v>358</v>
      </c>
      <c r="F139" s="20">
        <f t="shared" si="2"/>
        <v>126811373</v>
      </c>
      <c r="G139" s="7" t="s">
        <v>262</v>
      </c>
      <c r="H139" s="59" t="s">
        <v>109</v>
      </c>
      <c r="I139" s="32" t="s">
        <v>152</v>
      </c>
    </row>
    <row r="140" spans="1:9" x14ac:dyDescent="0.35">
      <c r="A140" s="19">
        <v>45691</v>
      </c>
      <c r="B140" s="20"/>
      <c r="C140" s="32"/>
      <c r="D140" s="20">
        <v>300000</v>
      </c>
      <c r="E140" s="56" t="s">
        <v>358</v>
      </c>
      <c r="F140" s="20">
        <f t="shared" si="2"/>
        <v>127111373</v>
      </c>
      <c r="G140" s="7" t="s">
        <v>234</v>
      </c>
      <c r="H140" s="59" t="s">
        <v>109</v>
      </c>
      <c r="I140" s="32" t="s">
        <v>152</v>
      </c>
    </row>
    <row r="141" spans="1:9" x14ac:dyDescent="0.35">
      <c r="A141" s="19">
        <v>45691</v>
      </c>
      <c r="B141" s="20">
        <v>750000</v>
      </c>
      <c r="C141" s="32"/>
      <c r="D141" s="20"/>
      <c r="E141" s="56" t="s">
        <v>358</v>
      </c>
      <c r="F141" s="20">
        <f t="shared" si="2"/>
        <v>126361373</v>
      </c>
      <c r="G141" s="10" t="s">
        <v>235</v>
      </c>
      <c r="H141" s="59" t="s">
        <v>323</v>
      </c>
      <c r="I141" s="32" t="s">
        <v>152</v>
      </c>
    </row>
    <row r="142" spans="1:9" x14ac:dyDescent="0.35">
      <c r="A142" s="19">
        <v>45691</v>
      </c>
      <c r="B142" s="20">
        <v>2500</v>
      </c>
      <c r="C142" s="32"/>
      <c r="D142" s="20"/>
      <c r="E142" s="56" t="s">
        <v>358</v>
      </c>
      <c r="F142" s="20">
        <f t="shared" si="2"/>
        <v>126358873</v>
      </c>
      <c r="G142" s="10" t="s">
        <v>236</v>
      </c>
      <c r="H142" s="59" t="s">
        <v>323</v>
      </c>
      <c r="I142" s="32" t="s">
        <v>152</v>
      </c>
    </row>
    <row r="143" spans="1:9" x14ac:dyDescent="0.35">
      <c r="A143" s="19">
        <v>45691</v>
      </c>
      <c r="B143" s="20"/>
      <c r="C143" s="32"/>
      <c r="D143" s="20">
        <v>500000</v>
      </c>
      <c r="E143" s="56" t="s">
        <v>358</v>
      </c>
      <c r="F143" s="20">
        <f t="shared" si="2"/>
        <v>126858873</v>
      </c>
      <c r="G143" s="7" t="s">
        <v>242</v>
      </c>
      <c r="H143" s="59" t="s">
        <v>109</v>
      </c>
      <c r="I143" s="32" t="s">
        <v>152</v>
      </c>
    </row>
    <row r="144" spans="1:9" x14ac:dyDescent="0.35">
      <c r="A144" s="19">
        <v>45691</v>
      </c>
      <c r="B144" s="20"/>
      <c r="C144" s="32"/>
      <c r="D144" s="20">
        <v>200000</v>
      </c>
      <c r="E144" s="56" t="s">
        <v>358</v>
      </c>
      <c r="F144" s="20">
        <f t="shared" si="2"/>
        <v>127058873</v>
      </c>
      <c r="G144" s="7" t="s">
        <v>237</v>
      </c>
      <c r="H144" s="59" t="s">
        <v>109</v>
      </c>
      <c r="I144" s="32" t="s">
        <v>152</v>
      </c>
    </row>
    <row r="145" spans="1:9" x14ac:dyDescent="0.35">
      <c r="A145" s="19">
        <v>45691</v>
      </c>
      <c r="B145" s="20"/>
      <c r="C145" s="32"/>
      <c r="D145" s="20">
        <v>400000</v>
      </c>
      <c r="E145" s="56" t="s">
        <v>358</v>
      </c>
      <c r="F145" s="20">
        <f t="shared" si="2"/>
        <v>127458873</v>
      </c>
      <c r="G145" s="7" t="s">
        <v>238</v>
      </c>
      <c r="H145" s="59" t="s">
        <v>109</v>
      </c>
      <c r="I145" s="32" t="s">
        <v>152</v>
      </c>
    </row>
    <row r="146" spans="1:9" x14ac:dyDescent="0.35">
      <c r="A146" s="19">
        <v>45691</v>
      </c>
      <c r="B146" s="20"/>
      <c r="C146" s="32"/>
      <c r="D146" s="20">
        <v>200000</v>
      </c>
      <c r="E146" s="56" t="s">
        <v>358</v>
      </c>
      <c r="F146" s="20">
        <f t="shared" si="2"/>
        <v>127658873</v>
      </c>
      <c r="G146" s="7" t="s">
        <v>232</v>
      </c>
      <c r="H146" s="59" t="s">
        <v>109</v>
      </c>
      <c r="I146" s="32" t="s">
        <v>152</v>
      </c>
    </row>
    <row r="147" spans="1:9" x14ac:dyDescent="0.35">
      <c r="A147" s="19">
        <v>45691</v>
      </c>
      <c r="B147" s="20"/>
      <c r="C147" s="32"/>
      <c r="D147" s="20">
        <v>500000</v>
      </c>
      <c r="E147" s="56" t="s">
        <v>358</v>
      </c>
      <c r="F147" s="20">
        <f t="shared" si="2"/>
        <v>128158873</v>
      </c>
      <c r="G147" s="7" t="s">
        <v>53</v>
      </c>
      <c r="H147" s="59" t="s">
        <v>109</v>
      </c>
      <c r="I147" s="32" t="s">
        <v>152</v>
      </c>
    </row>
    <row r="148" spans="1:9" x14ac:dyDescent="0.35">
      <c r="A148" s="19">
        <v>45691</v>
      </c>
      <c r="B148" s="20"/>
      <c r="C148" s="23"/>
      <c r="D148" s="23">
        <v>2412000</v>
      </c>
      <c r="E148" s="56" t="s">
        <v>358</v>
      </c>
      <c r="F148" s="20">
        <f t="shared" si="2"/>
        <v>130570873</v>
      </c>
      <c r="G148" s="24" t="s">
        <v>107</v>
      </c>
      <c r="H148" s="59" t="s">
        <v>107</v>
      </c>
      <c r="I148" s="32" t="s">
        <v>152</v>
      </c>
    </row>
    <row r="149" spans="1:9" x14ac:dyDescent="0.35">
      <c r="A149" s="19">
        <v>45691</v>
      </c>
      <c r="B149" s="20"/>
      <c r="C149" s="23"/>
      <c r="D149" s="23">
        <v>3924000</v>
      </c>
      <c r="E149" s="56" t="s">
        <v>358</v>
      </c>
      <c r="F149" s="20">
        <f t="shared" si="2"/>
        <v>134494873</v>
      </c>
      <c r="G149" s="24" t="s">
        <v>109</v>
      </c>
      <c r="H149" s="59" t="s">
        <v>109</v>
      </c>
      <c r="I149" s="32" t="s">
        <v>152</v>
      </c>
    </row>
    <row r="150" spans="1:9" x14ac:dyDescent="0.35">
      <c r="A150" s="19"/>
      <c r="B150" s="20"/>
      <c r="C150" s="23">
        <v>6336000</v>
      </c>
      <c r="D150" s="20"/>
      <c r="E150" s="56"/>
      <c r="F150" s="20">
        <f t="shared" si="2"/>
        <v>134494873</v>
      </c>
      <c r="G150" s="10" t="s">
        <v>98</v>
      </c>
      <c r="H150" s="59"/>
      <c r="I150" s="32"/>
    </row>
    <row r="151" spans="1:9" x14ac:dyDescent="0.35">
      <c r="A151" s="19">
        <v>45693</v>
      </c>
      <c r="B151" s="20"/>
      <c r="C151" s="32"/>
      <c r="D151" s="20">
        <v>1000000</v>
      </c>
      <c r="E151" s="56" t="s">
        <v>358</v>
      </c>
      <c r="F151" s="20">
        <f t="shared" si="2"/>
        <v>135494873</v>
      </c>
      <c r="G151" s="7" t="s">
        <v>241</v>
      </c>
      <c r="H151" s="59" t="s">
        <v>109</v>
      </c>
      <c r="I151" s="32" t="s">
        <v>152</v>
      </c>
    </row>
    <row r="152" spans="1:9" x14ac:dyDescent="0.35">
      <c r="A152" s="19">
        <v>45694</v>
      </c>
      <c r="B152" s="20"/>
      <c r="C152" s="32"/>
      <c r="D152" s="20">
        <v>200000</v>
      </c>
      <c r="E152" s="56" t="s">
        <v>358</v>
      </c>
      <c r="F152" s="20">
        <f t="shared" si="2"/>
        <v>135694873</v>
      </c>
      <c r="G152" s="7" t="s">
        <v>240</v>
      </c>
      <c r="H152" s="59" t="s">
        <v>109</v>
      </c>
      <c r="I152" s="32" t="s">
        <v>152</v>
      </c>
    </row>
    <row r="153" spans="1:9" x14ac:dyDescent="0.35">
      <c r="A153" s="19">
        <v>45694</v>
      </c>
      <c r="B153" s="20"/>
      <c r="C153" s="32"/>
      <c r="D153" s="20">
        <v>100000</v>
      </c>
      <c r="E153" s="56" t="s">
        <v>358</v>
      </c>
      <c r="F153" s="20">
        <f t="shared" si="2"/>
        <v>135794873</v>
      </c>
      <c r="G153" s="7" t="s">
        <v>239</v>
      </c>
      <c r="H153" s="59" t="s">
        <v>109</v>
      </c>
      <c r="I153" s="32" t="s">
        <v>152</v>
      </c>
    </row>
    <row r="154" spans="1:9" x14ac:dyDescent="0.35">
      <c r="A154" s="19">
        <v>45694</v>
      </c>
      <c r="B154" s="20">
        <v>2000000</v>
      </c>
      <c r="C154" s="20"/>
      <c r="D154" s="20"/>
      <c r="E154" s="56" t="s">
        <v>358</v>
      </c>
      <c r="F154" s="20">
        <f t="shared" si="2"/>
        <v>133794873</v>
      </c>
      <c r="G154" s="7" t="s">
        <v>269</v>
      </c>
      <c r="H154" s="59" t="s">
        <v>323</v>
      </c>
      <c r="I154" s="32" t="s">
        <v>152</v>
      </c>
    </row>
    <row r="155" spans="1:9" x14ac:dyDescent="0.35">
      <c r="A155" s="19">
        <v>45694</v>
      </c>
      <c r="B155" s="20">
        <v>2500</v>
      </c>
      <c r="C155" s="20"/>
      <c r="D155" s="20"/>
      <c r="E155" s="56" t="s">
        <v>358</v>
      </c>
      <c r="F155" s="20">
        <f t="shared" si="2"/>
        <v>133792373</v>
      </c>
      <c r="G155" s="7" t="s">
        <v>270</v>
      </c>
      <c r="H155" s="59" t="s">
        <v>323</v>
      </c>
      <c r="I155" s="32" t="s">
        <v>152</v>
      </c>
    </row>
    <row r="156" spans="1:9" x14ac:dyDescent="0.35">
      <c r="A156" s="19">
        <v>45695</v>
      </c>
      <c r="B156" s="20"/>
      <c r="C156" s="20"/>
      <c r="D156" s="20">
        <v>2000000</v>
      </c>
      <c r="E156" s="56" t="s">
        <v>358</v>
      </c>
      <c r="F156" s="20">
        <f t="shared" si="2"/>
        <v>135792373</v>
      </c>
      <c r="G156" s="7" t="s">
        <v>55</v>
      </c>
      <c r="H156" s="59" t="s">
        <v>109</v>
      </c>
      <c r="I156" s="32" t="s">
        <v>152</v>
      </c>
    </row>
    <row r="157" spans="1:9" x14ac:dyDescent="0.35">
      <c r="A157" s="19">
        <v>45695</v>
      </c>
      <c r="B157" s="20"/>
      <c r="C157" s="20"/>
      <c r="D157" s="20">
        <v>250000</v>
      </c>
      <c r="E157" s="56" t="s">
        <v>358</v>
      </c>
      <c r="F157" s="20">
        <f t="shared" si="2"/>
        <v>136042373</v>
      </c>
      <c r="G157" s="7" t="s">
        <v>271</v>
      </c>
      <c r="H157" s="59" t="s">
        <v>109</v>
      </c>
      <c r="I157" s="32" t="s">
        <v>152</v>
      </c>
    </row>
    <row r="158" spans="1:9" x14ac:dyDescent="0.35">
      <c r="A158" s="19">
        <v>45695</v>
      </c>
      <c r="B158" s="20"/>
      <c r="C158" s="20"/>
      <c r="D158" s="20">
        <v>66500</v>
      </c>
      <c r="E158" s="56" t="s">
        <v>358</v>
      </c>
      <c r="F158" s="20">
        <f t="shared" si="2"/>
        <v>136108873</v>
      </c>
      <c r="G158" s="7" t="s">
        <v>274</v>
      </c>
      <c r="H158" s="59" t="s">
        <v>109</v>
      </c>
      <c r="I158" s="32" t="s">
        <v>152</v>
      </c>
    </row>
    <row r="159" spans="1:9" x14ac:dyDescent="0.35">
      <c r="A159" s="19">
        <v>45696</v>
      </c>
      <c r="B159" s="20">
        <v>750000</v>
      </c>
      <c r="C159" s="20"/>
      <c r="D159" s="20"/>
      <c r="E159" s="56" t="s">
        <v>358</v>
      </c>
      <c r="F159" s="20">
        <f t="shared" si="2"/>
        <v>135358873</v>
      </c>
      <c r="G159" s="10" t="s">
        <v>93</v>
      </c>
      <c r="H159" s="59" t="s">
        <v>323</v>
      </c>
      <c r="I159" s="32" t="s">
        <v>152</v>
      </c>
    </row>
    <row r="160" spans="1:9" x14ac:dyDescent="0.35">
      <c r="A160" s="19">
        <v>45696</v>
      </c>
      <c r="B160" s="20">
        <v>2500</v>
      </c>
      <c r="C160" s="20"/>
      <c r="D160" s="20"/>
      <c r="E160" s="56" t="s">
        <v>358</v>
      </c>
      <c r="F160" s="20">
        <f t="shared" si="2"/>
        <v>135356373</v>
      </c>
      <c r="G160" s="10" t="s">
        <v>94</v>
      </c>
      <c r="H160" s="59" t="s">
        <v>323</v>
      </c>
      <c r="I160" s="32" t="s">
        <v>152</v>
      </c>
    </row>
    <row r="161" spans="1:9" x14ac:dyDescent="0.35">
      <c r="A161" s="19">
        <v>45696</v>
      </c>
      <c r="B161" s="20"/>
      <c r="C161" s="20"/>
      <c r="D161" s="20">
        <v>20000</v>
      </c>
      <c r="E161" s="56" t="s">
        <v>358</v>
      </c>
      <c r="F161" s="20">
        <f t="shared" si="2"/>
        <v>135376373</v>
      </c>
      <c r="G161" s="7" t="s">
        <v>252</v>
      </c>
      <c r="H161" s="59" t="s">
        <v>109</v>
      </c>
      <c r="I161" s="32" t="s">
        <v>152</v>
      </c>
    </row>
    <row r="162" spans="1:9" x14ac:dyDescent="0.35">
      <c r="A162" s="19">
        <v>45696</v>
      </c>
      <c r="B162" s="20"/>
      <c r="C162" s="20"/>
      <c r="D162" s="20">
        <v>75000</v>
      </c>
      <c r="E162" s="56" t="s">
        <v>358</v>
      </c>
      <c r="F162" s="20">
        <f t="shared" si="2"/>
        <v>135451373</v>
      </c>
      <c r="G162" s="7" t="s">
        <v>264</v>
      </c>
      <c r="H162" s="59" t="s">
        <v>109</v>
      </c>
      <c r="I162" s="32" t="s">
        <v>152</v>
      </c>
    </row>
    <row r="163" spans="1:9" x14ac:dyDescent="0.35">
      <c r="A163" s="19">
        <v>45696</v>
      </c>
      <c r="B163" s="20"/>
      <c r="C163" s="20"/>
      <c r="D163" s="20">
        <v>1500</v>
      </c>
      <c r="E163" s="56" t="s">
        <v>358</v>
      </c>
      <c r="F163" s="20">
        <f t="shared" si="2"/>
        <v>135452873</v>
      </c>
      <c r="G163" s="7" t="s">
        <v>251</v>
      </c>
      <c r="H163" s="59" t="s">
        <v>109</v>
      </c>
      <c r="I163" s="32" t="s">
        <v>152</v>
      </c>
    </row>
    <row r="164" spans="1:9" x14ac:dyDescent="0.35">
      <c r="A164" s="19">
        <v>45696</v>
      </c>
      <c r="B164" s="20"/>
      <c r="C164" s="20"/>
      <c r="D164" s="20">
        <v>1250000</v>
      </c>
      <c r="E164" s="56" t="s">
        <v>358</v>
      </c>
      <c r="F164" s="20">
        <f t="shared" si="2"/>
        <v>136702873</v>
      </c>
      <c r="G164" s="7" t="s">
        <v>275</v>
      </c>
      <c r="H164" s="59" t="s">
        <v>109</v>
      </c>
      <c r="I164" s="32" t="s">
        <v>152</v>
      </c>
    </row>
    <row r="165" spans="1:9" x14ac:dyDescent="0.35">
      <c r="A165" s="19">
        <v>45697</v>
      </c>
      <c r="B165" s="20">
        <v>750000</v>
      </c>
      <c r="C165" s="20"/>
      <c r="D165" s="20"/>
      <c r="E165" s="56" t="s">
        <v>358</v>
      </c>
      <c r="F165" s="20">
        <f t="shared" si="2"/>
        <v>135952873</v>
      </c>
      <c r="G165" s="10" t="s">
        <v>276</v>
      </c>
      <c r="H165" s="59" t="s">
        <v>323</v>
      </c>
      <c r="I165" s="32" t="s">
        <v>152</v>
      </c>
    </row>
    <row r="166" spans="1:9" x14ac:dyDescent="0.35">
      <c r="A166" s="19">
        <v>45697</v>
      </c>
      <c r="B166" s="20"/>
      <c r="C166" s="20"/>
      <c r="D166" s="20">
        <v>2000000</v>
      </c>
      <c r="E166" s="56" t="s">
        <v>358</v>
      </c>
      <c r="F166" s="20">
        <f t="shared" si="2"/>
        <v>137952873</v>
      </c>
      <c r="G166" s="7" t="s">
        <v>277</v>
      </c>
      <c r="H166" s="59" t="s">
        <v>109</v>
      </c>
      <c r="I166" s="32" t="s">
        <v>152</v>
      </c>
    </row>
    <row r="167" spans="1:9" x14ac:dyDescent="0.35">
      <c r="A167" s="19">
        <v>45698</v>
      </c>
      <c r="B167" s="20"/>
      <c r="C167" s="20"/>
      <c r="D167" s="20">
        <v>20000</v>
      </c>
      <c r="E167" s="56" t="s">
        <v>358</v>
      </c>
      <c r="F167" s="20">
        <f t="shared" si="2"/>
        <v>137972873</v>
      </c>
      <c r="G167" s="7" t="s">
        <v>279</v>
      </c>
      <c r="H167" s="59" t="s">
        <v>109</v>
      </c>
      <c r="I167" s="32" t="s">
        <v>152</v>
      </c>
    </row>
    <row r="168" spans="1:9" x14ac:dyDescent="0.35">
      <c r="A168" s="19">
        <v>45698</v>
      </c>
      <c r="B168" s="20"/>
      <c r="C168" s="23"/>
      <c r="D168" s="23">
        <v>3222000</v>
      </c>
      <c r="E168" s="56" t="s">
        <v>358</v>
      </c>
      <c r="F168" s="20">
        <f t="shared" si="2"/>
        <v>141194873</v>
      </c>
      <c r="G168" s="24" t="s">
        <v>107</v>
      </c>
      <c r="H168" s="59" t="s">
        <v>107</v>
      </c>
      <c r="I168" s="32" t="s">
        <v>152</v>
      </c>
    </row>
    <row r="169" spans="1:9" x14ac:dyDescent="0.35">
      <c r="A169" s="19">
        <v>45698</v>
      </c>
      <c r="B169" s="20"/>
      <c r="C169" s="23"/>
      <c r="D169" s="23">
        <v>4084000</v>
      </c>
      <c r="E169" s="56" t="s">
        <v>358</v>
      </c>
      <c r="F169" s="20">
        <f t="shared" si="2"/>
        <v>145278873</v>
      </c>
      <c r="G169" s="24" t="s">
        <v>109</v>
      </c>
      <c r="H169" s="59" t="s">
        <v>109</v>
      </c>
      <c r="I169" s="32" t="s">
        <v>152</v>
      </c>
    </row>
    <row r="170" spans="1:9" x14ac:dyDescent="0.35">
      <c r="A170" s="19"/>
      <c r="B170" s="20"/>
      <c r="C170" s="23">
        <v>7306000</v>
      </c>
      <c r="D170" s="20"/>
      <c r="E170" s="56"/>
      <c r="F170" s="20">
        <f t="shared" si="2"/>
        <v>145278873</v>
      </c>
      <c r="G170" s="7" t="s">
        <v>98</v>
      </c>
      <c r="H170" s="59"/>
      <c r="I170" s="32"/>
    </row>
    <row r="171" spans="1:9" x14ac:dyDescent="0.35">
      <c r="A171" s="19">
        <v>45698</v>
      </c>
      <c r="B171" s="20">
        <v>840000</v>
      </c>
      <c r="C171" s="20"/>
      <c r="D171" s="20"/>
      <c r="E171" s="56" t="s">
        <v>358</v>
      </c>
      <c r="F171" s="20">
        <f t="shared" si="2"/>
        <v>144438873</v>
      </c>
      <c r="G171" s="7" t="s">
        <v>272</v>
      </c>
      <c r="H171" s="59" t="s">
        <v>322</v>
      </c>
      <c r="I171" s="32" t="s">
        <v>152</v>
      </c>
    </row>
    <row r="172" spans="1:9" x14ac:dyDescent="0.35">
      <c r="A172" s="19">
        <v>45698</v>
      </c>
      <c r="B172" s="20">
        <v>2500</v>
      </c>
      <c r="C172" s="20"/>
      <c r="D172" s="20"/>
      <c r="E172" s="56" t="s">
        <v>358</v>
      </c>
      <c r="F172" s="20">
        <f t="shared" si="2"/>
        <v>144436373</v>
      </c>
      <c r="G172" s="7" t="s">
        <v>272</v>
      </c>
      <c r="H172" s="59" t="s">
        <v>322</v>
      </c>
      <c r="I172" s="32" t="s">
        <v>152</v>
      </c>
    </row>
    <row r="173" spans="1:9" x14ac:dyDescent="0.35">
      <c r="A173" s="19">
        <v>45699</v>
      </c>
      <c r="B173" s="20">
        <v>1000000</v>
      </c>
      <c r="C173" s="20"/>
      <c r="D173" s="20"/>
      <c r="E173" s="56" t="s">
        <v>358</v>
      </c>
      <c r="F173" s="20">
        <f t="shared" si="2"/>
        <v>143436373</v>
      </c>
      <c r="G173" s="7" t="s">
        <v>273</v>
      </c>
      <c r="H173" s="59" t="s">
        <v>322</v>
      </c>
      <c r="I173" s="32" t="s">
        <v>152</v>
      </c>
    </row>
    <row r="174" spans="1:9" x14ac:dyDescent="0.35">
      <c r="A174" s="19">
        <v>45699</v>
      </c>
      <c r="B174" s="20">
        <v>2500</v>
      </c>
      <c r="C174" s="20"/>
      <c r="D174" s="20"/>
      <c r="E174" s="56" t="s">
        <v>358</v>
      </c>
      <c r="F174" s="20">
        <f t="shared" si="2"/>
        <v>143433873</v>
      </c>
      <c r="G174" s="7" t="s">
        <v>273</v>
      </c>
      <c r="H174" s="59" t="s">
        <v>322</v>
      </c>
      <c r="I174" s="32" t="s">
        <v>152</v>
      </c>
    </row>
    <row r="175" spans="1:9" x14ac:dyDescent="0.35">
      <c r="A175" s="19">
        <v>45699</v>
      </c>
      <c r="B175" s="20"/>
      <c r="C175" s="20"/>
      <c r="D175" s="20">
        <v>1800000</v>
      </c>
      <c r="E175" s="56" t="s">
        <v>358</v>
      </c>
      <c r="F175" s="20">
        <f t="shared" si="2"/>
        <v>145233873</v>
      </c>
      <c r="G175" s="7" t="s">
        <v>278</v>
      </c>
      <c r="H175" s="59" t="s">
        <v>109</v>
      </c>
      <c r="I175" s="32" t="s">
        <v>152</v>
      </c>
    </row>
    <row r="176" spans="1:9" x14ac:dyDescent="0.35">
      <c r="A176" s="19">
        <v>45701</v>
      </c>
      <c r="B176" s="20"/>
      <c r="C176" s="20"/>
      <c r="D176" s="20">
        <v>10000</v>
      </c>
      <c r="E176" s="56" t="s">
        <v>358</v>
      </c>
      <c r="F176" s="20">
        <f t="shared" si="2"/>
        <v>145243873</v>
      </c>
      <c r="G176" s="7" t="s">
        <v>252</v>
      </c>
      <c r="H176" s="59" t="s">
        <v>109</v>
      </c>
      <c r="I176" s="32" t="s">
        <v>152</v>
      </c>
    </row>
    <row r="177" spans="1:9" x14ac:dyDescent="0.35">
      <c r="A177" s="19">
        <v>45702</v>
      </c>
      <c r="B177" s="20"/>
      <c r="C177" s="20"/>
      <c r="D177" s="9">
        <v>20000</v>
      </c>
      <c r="E177" s="56" t="s">
        <v>358</v>
      </c>
      <c r="F177" s="20">
        <f t="shared" si="2"/>
        <v>145263873</v>
      </c>
      <c r="G177" s="7" t="s">
        <v>282</v>
      </c>
      <c r="H177" s="59" t="s">
        <v>109</v>
      </c>
      <c r="I177" s="32" t="s">
        <v>152</v>
      </c>
    </row>
    <row r="178" spans="1:9" x14ac:dyDescent="0.35">
      <c r="A178" s="19">
        <v>45702</v>
      </c>
      <c r="B178" s="20"/>
      <c r="C178" s="20"/>
      <c r="D178" s="9">
        <v>10000</v>
      </c>
      <c r="E178" s="56" t="s">
        <v>358</v>
      </c>
      <c r="F178" s="20">
        <f t="shared" si="2"/>
        <v>145273873</v>
      </c>
      <c r="G178" s="7" t="s">
        <v>282</v>
      </c>
      <c r="H178" s="59" t="s">
        <v>109</v>
      </c>
      <c r="I178" s="32" t="s">
        <v>152</v>
      </c>
    </row>
    <row r="179" spans="1:9" x14ac:dyDescent="0.35">
      <c r="A179" s="19">
        <v>45702</v>
      </c>
      <c r="B179" s="20"/>
      <c r="C179" s="20"/>
      <c r="D179" s="9">
        <v>25000</v>
      </c>
      <c r="E179" s="56" t="s">
        <v>358</v>
      </c>
      <c r="F179" s="20">
        <f t="shared" si="2"/>
        <v>145298873</v>
      </c>
      <c r="G179" s="7" t="s">
        <v>282</v>
      </c>
      <c r="H179" s="59" t="s">
        <v>109</v>
      </c>
      <c r="I179" s="32" t="s">
        <v>152</v>
      </c>
    </row>
    <row r="180" spans="1:9" x14ac:dyDescent="0.35">
      <c r="A180" s="19">
        <v>45702</v>
      </c>
      <c r="B180" s="20"/>
      <c r="C180" s="20"/>
      <c r="D180" s="9">
        <v>400000</v>
      </c>
      <c r="E180" s="56" t="s">
        <v>358</v>
      </c>
      <c r="F180" s="20">
        <f t="shared" si="2"/>
        <v>145698873</v>
      </c>
      <c r="G180" s="7" t="s">
        <v>290</v>
      </c>
      <c r="H180" s="59" t="s">
        <v>140</v>
      </c>
      <c r="I180" s="32" t="s">
        <v>152</v>
      </c>
    </row>
    <row r="181" spans="1:9" x14ac:dyDescent="0.35">
      <c r="A181" s="19">
        <v>45705</v>
      </c>
      <c r="B181" s="20"/>
      <c r="C181" s="20"/>
      <c r="D181" s="9">
        <v>100000</v>
      </c>
      <c r="E181" s="56" t="s">
        <v>358</v>
      </c>
      <c r="F181" s="20">
        <f t="shared" si="2"/>
        <v>145798873</v>
      </c>
      <c r="G181" s="7" t="s">
        <v>282</v>
      </c>
      <c r="H181" s="59" t="s">
        <v>109</v>
      </c>
      <c r="I181" s="32" t="s">
        <v>152</v>
      </c>
    </row>
    <row r="182" spans="1:9" x14ac:dyDescent="0.35">
      <c r="A182" s="19">
        <v>45705</v>
      </c>
      <c r="B182" s="20"/>
      <c r="C182" s="20"/>
      <c r="D182" s="9">
        <v>10000</v>
      </c>
      <c r="E182" s="56" t="s">
        <v>358</v>
      </c>
      <c r="F182" s="20">
        <f t="shared" si="2"/>
        <v>145808873</v>
      </c>
      <c r="G182" s="7" t="s">
        <v>282</v>
      </c>
      <c r="H182" s="59" t="s">
        <v>109</v>
      </c>
      <c r="I182" s="32" t="s">
        <v>152</v>
      </c>
    </row>
    <row r="183" spans="1:9" x14ac:dyDescent="0.35">
      <c r="A183" s="19">
        <v>45705</v>
      </c>
      <c r="B183" s="20"/>
      <c r="C183" s="20"/>
      <c r="D183" s="9">
        <v>1700</v>
      </c>
      <c r="E183" s="56" t="s">
        <v>358</v>
      </c>
      <c r="F183" s="20">
        <f t="shared" si="2"/>
        <v>145810573</v>
      </c>
      <c r="G183" s="7" t="s">
        <v>282</v>
      </c>
      <c r="H183" s="59" t="s">
        <v>109</v>
      </c>
      <c r="I183" s="32" t="s">
        <v>152</v>
      </c>
    </row>
    <row r="184" spans="1:9" x14ac:dyDescent="0.35">
      <c r="A184" s="19">
        <v>45705</v>
      </c>
      <c r="B184" s="20">
        <v>750000</v>
      </c>
      <c r="C184" s="20"/>
      <c r="D184" s="9"/>
      <c r="E184" s="56" t="s">
        <v>358</v>
      </c>
      <c r="F184" s="20">
        <f t="shared" si="2"/>
        <v>145060573</v>
      </c>
      <c r="G184" s="7" t="s">
        <v>283</v>
      </c>
      <c r="H184" s="59" t="s">
        <v>323</v>
      </c>
      <c r="I184" s="32" t="s">
        <v>152</v>
      </c>
    </row>
    <row r="185" spans="1:9" x14ac:dyDescent="0.35">
      <c r="A185" s="19">
        <v>45705</v>
      </c>
      <c r="B185" s="20">
        <v>2500</v>
      </c>
      <c r="C185" s="20"/>
      <c r="D185" s="9"/>
      <c r="E185" s="56" t="s">
        <v>358</v>
      </c>
      <c r="F185" s="20">
        <f t="shared" si="2"/>
        <v>145058073</v>
      </c>
      <c r="G185" s="7" t="s">
        <v>284</v>
      </c>
      <c r="H185" s="59" t="s">
        <v>323</v>
      </c>
      <c r="I185" s="32" t="s">
        <v>152</v>
      </c>
    </row>
    <row r="186" spans="1:9" x14ac:dyDescent="0.35">
      <c r="A186" s="19">
        <v>45705</v>
      </c>
      <c r="B186" s="20">
        <v>750000</v>
      </c>
      <c r="C186" s="20"/>
      <c r="D186" s="9"/>
      <c r="E186" s="56" t="s">
        <v>358</v>
      </c>
      <c r="F186" s="20">
        <f t="shared" si="2"/>
        <v>144308073</v>
      </c>
      <c r="G186" s="7" t="s">
        <v>285</v>
      </c>
      <c r="H186" s="59" t="s">
        <v>323</v>
      </c>
      <c r="I186" s="32" t="s">
        <v>152</v>
      </c>
    </row>
    <row r="187" spans="1:9" x14ac:dyDescent="0.35">
      <c r="A187" s="19">
        <v>45705</v>
      </c>
      <c r="B187" s="20">
        <v>2500</v>
      </c>
      <c r="C187" s="20"/>
      <c r="D187" s="9"/>
      <c r="E187" s="56" t="s">
        <v>358</v>
      </c>
      <c r="F187" s="20">
        <f t="shared" si="2"/>
        <v>144305573</v>
      </c>
      <c r="G187" s="7" t="s">
        <v>284</v>
      </c>
      <c r="H187" s="59" t="s">
        <v>323</v>
      </c>
      <c r="I187" s="32" t="s">
        <v>152</v>
      </c>
    </row>
    <row r="188" spans="1:9" x14ac:dyDescent="0.35">
      <c r="A188" s="19">
        <v>45705</v>
      </c>
      <c r="B188" s="20"/>
      <c r="C188" s="20"/>
      <c r="D188" s="9">
        <v>10000</v>
      </c>
      <c r="E188" s="56" t="s">
        <v>358</v>
      </c>
      <c r="F188" s="20">
        <f t="shared" si="2"/>
        <v>144315573</v>
      </c>
      <c r="G188" s="7" t="s">
        <v>282</v>
      </c>
      <c r="H188" s="59" t="s">
        <v>109</v>
      </c>
      <c r="I188" s="32" t="s">
        <v>152</v>
      </c>
    </row>
    <row r="189" spans="1:9" x14ac:dyDescent="0.35">
      <c r="A189" s="19">
        <v>45705</v>
      </c>
      <c r="B189" s="20"/>
      <c r="C189" s="20"/>
      <c r="D189" s="9">
        <v>1550000</v>
      </c>
      <c r="E189" s="56" t="s">
        <v>358</v>
      </c>
      <c r="F189" s="20">
        <f t="shared" si="2"/>
        <v>145865573</v>
      </c>
      <c r="G189" s="7" t="s">
        <v>293</v>
      </c>
      <c r="H189" s="59" t="s">
        <v>109</v>
      </c>
      <c r="I189" s="32" t="s">
        <v>152</v>
      </c>
    </row>
    <row r="190" spans="1:9" x14ac:dyDescent="0.35">
      <c r="A190" s="19">
        <v>45705</v>
      </c>
      <c r="B190" s="20"/>
      <c r="C190" s="20"/>
      <c r="D190" s="9">
        <v>10000</v>
      </c>
      <c r="E190" s="56" t="s">
        <v>358</v>
      </c>
      <c r="F190" s="20">
        <f t="shared" si="2"/>
        <v>145875573</v>
      </c>
      <c r="G190" s="7" t="s">
        <v>282</v>
      </c>
      <c r="H190" s="59" t="s">
        <v>109</v>
      </c>
      <c r="I190" s="32" t="s">
        <v>152</v>
      </c>
    </row>
    <row r="191" spans="1:9" x14ac:dyDescent="0.35">
      <c r="A191" s="19">
        <v>45706</v>
      </c>
      <c r="B191" s="20"/>
      <c r="C191" s="20"/>
      <c r="D191" s="23">
        <v>3264000</v>
      </c>
      <c r="E191" s="56" t="s">
        <v>358</v>
      </c>
      <c r="F191" s="20">
        <f t="shared" si="2"/>
        <v>149139573</v>
      </c>
      <c r="G191" s="24" t="s">
        <v>107</v>
      </c>
      <c r="H191" s="59" t="s">
        <v>107</v>
      </c>
      <c r="I191" s="32" t="s">
        <v>152</v>
      </c>
    </row>
    <row r="192" spans="1:9" x14ac:dyDescent="0.35">
      <c r="A192" s="19">
        <v>45706</v>
      </c>
      <c r="B192" s="20"/>
      <c r="C192" s="20"/>
      <c r="D192" s="23">
        <v>1961000</v>
      </c>
      <c r="E192" s="56" t="s">
        <v>358</v>
      </c>
      <c r="F192" s="20">
        <f t="shared" si="2"/>
        <v>151100573</v>
      </c>
      <c r="G192" s="24" t="s">
        <v>109</v>
      </c>
      <c r="H192" s="59" t="s">
        <v>109</v>
      </c>
      <c r="I192" s="32" t="s">
        <v>152</v>
      </c>
    </row>
    <row r="193" spans="1:9" x14ac:dyDescent="0.35">
      <c r="A193" s="19"/>
      <c r="B193" s="20"/>
      <c r="C193" s="9">
        <v>5225000</v>
      </c>
      <c r="D193" s="9"/>
      <c r="E193" s="56"/>
      <c r="F193" s="20">
        <f t="shared" si="2"/>
        <v>151100573</v>
      </c>
      <c r="G193" s="7" t="s">
        <v>98</v>
      </c>
      <c r="H193" s="59"/>
      <c r="I193" s="32"/>
    </row>
    <row r="194" spans="1:9" x14ac:dyDescent="0.35">
      <c r="A194" s="19">
        <v>45706</v>
      </c>
      <c r="B194" s="20">
        <v>625000</v>
      </c>
      <c r="C194" s="20"/>
      <c r="D194" s="9"/>
      <c r="E194" s="56" t="s">
        <v>358</v>
      </c>
      <c r="F194" s="20">
        <f t="shared" si="2"/>
        <v>150475573</v>
      </c>
      <c r="G194" s="7" t="s">
        <v>286</v>
      </c>
      <c r="H194" s="59" t="s">
        <v>320</v>
      </c>
      <c r="I194" s="32" t="s">
        <v>152</v>
      </c>
    </row>
    <row r="195" spans="1:9" x14ac:dyDescent="0.35">
      <c r="A195" s="19">
        <v>45706</v>
      </c>
      <c r="B195" s="20">
        <v>2500</v>
      </c>
      <c r="C195" s="20"/>
      <c r="D195" s="9"/>
      <c r="E195" s="56" t="s">
        <v>358</v>
      </c>
      <c r="F195" s="20">
        <f t="shared" si="2"/>
        <v>150473073</v>
      </c>
      <c r="G195" s="7" t="s">
        <v>287</v>
      </c>
      <c r="H195" s="59" t="s">
        <v>320</v>
      </c>
      <c r="I195" s="32" t="s">
        <v>152</v>
      </c>
    </row>
    <row r="196" spans="1:9" x14ac:dyDescent="0.35">
      <c r="A196" s="19">
        <v>45706</v>
      </c>
      <c r="B196" s="20"/>
      <c r="C196" s="20"/>
      <c r="D196" s="9">
        <v>150000</v>
      </c>
      <c r="E196" s="56" t="s">
        <v>358</v>
      </c>
      <c r="F196" s="20">
        <f t="shared" si="2"/>
        <v>150623073</v>
      </c>
      <c r="G196" s="7" t="s">
        <v>291</v>
      </c>
      <c r="H196" s="59" t="s">
        <v>109</v>
      </c>
      <c r="I196" s="32" t="s">
        <v>152</v>
      </c>
    </row>
    <row r="197" spans="1:9" x14ac:dyDescent="0.35">
      <c r="A197" s="19">
        <v>45707</v>
      </c>
      <c r="B197" s="20"/>
      <c r="C197" s="20"/>
      <c r="D197" s="9">
        <v>20000</v>
      </c>
      <c r="E197" s="56" t="s">
        <v>358</v>
      </c>
      <c r="F197" s="20">
        <f t="shared" si="2"/>
        <v>150643073</v>
      </c>
      <c r="G197" s="7" t="s">
        <v>282</v>
      </c>
      <c r="H197" s="59" t="s">
        <v>109</v>
      </c>
      <c r="I197" s="32" t="s">
        <v>152</v>
      </c>
    </row>
    <row r="198" spans="1:9" x14ac:dyDescent="0.35">
      <c r="A198" s="19">
        <v>45707</v>
      </c>
      <c r="B198" s="20"/>
      <c r="C198" s="20"/>
      <c r="D198" s="9">
        <v>1000000</v>
      </c>
      <c r="E198" s="56" t="s">
        <v>358</v>
      </c>
      <c r="F198" s="20">
        <f t="shared" si="2"/>
        <v>151643073</v>
      </c>
      <c r="G198" s="7" t="s">
        <v>292</v>
      </c>
      <c r="H198" s="59" t="s">
        <v>109</v>
      </c>
      <c r="I198" s="32" t="s">
        <v>152</v>
      </c>
    </row>
    <row r="199" spans="1:9" x14ac:dyDescent="0.35">
      <c r="A199" s="19">
        <v>45707</v>
      </c>
      <c r="B199" s="20"/>
      <c r="C199" s="20"/>
      <c r="D199" s="9">
        <v>400000</v>
      </c>
      <c r="E199" s="56" t="s">
        <v>358</v>
      </c>
      <c r="F199" s="20">
        <f t="shared" si="2"/>
        <v>152043073</v>
      </c>
      <c r="G199" s="7" t="s">
        <v>288</v>
      </c>
      <c r="H199" s="59" t="s">
        <v>140</v>
      </c>
      <c r="I199" s="32" t="s">
        <v>152</v>
      </c>
    </row>
    <row r="200" spans="1:9" x14ac:dyDescent="0.35">
      <c r="A200" s="19">
        <v>45708</v>
      </c>
      <c r="B200" s="20"/>
      <c r="C200" s="20"/>
      <c r="D200" s="9">
        <v>20000</v>
      </c>
      <c r="E200" s="56" t="s">
        <v>358</v>
      </c>
      <c r="F200" s="20">
        <f t="shared" si="2"/>
        <v>152063073</v>
      </c>
      <c r="G200" s="7" t="s">
        <v>282</v>
      </c>
      <c r="H200" s="59" t="s">
        <v>109</v>
      </c>
      <c r="I200" s="32" t="s">
        <v>152</v>
      </c>
    </row>
    <row r="201" spans="1:9" x14ac:dyDescent="0.35">
      <c r="A201" s="19"/>
      <c r="B201" s="20"/>
      <c r="C201" s="23">
        <v>2650000</v>
      </c>
      <c r="D201" s="9"/>
      <c r="E201" s="56"/>
      <c r="F201" s="20">
        <f t="shared" si="2"/>
        <v>152063073</v>
      </c>
      <c r="G201" s="7" t="s">
        <v>294</v>
      </c>
      <c r="H201" s="59"/>
      <c r="I201" s="32"/>
    </row>
    <row r="202" spans="1:9" x14ac:dyDescent="0.35">
      <c r="A202" s="19"/>
      <c r="B202" s="20"/>
      <c r="C202" s="27">
        <v>-265000</v>
      </c>
      <c r="D202" s="9"/>
      <c r="E202" s="56"/>
      <c r="F202" s="20">
        <f t="shared" ref="F202:F265" si="3">+F201+D202-B202</f>
        <v>152063073</v>
      </c>
      <c r="G202" s="7" t="s">
        <v>295</v>
      </c>
      <c r="H202" s="59"/>
      <c r="I202" s="32"/>
    </row>
    <row r="203" spans="1:9" x14ac:dyDescent="0.35">
      <c r="A203" s="19">
        <v>45708</v>
      </c>
      <c r="B203" s="20"/>
      <c r="C203" s="20"/>
      <c r="D203" s="9">
        <v>2385000</v>
      </c>
      <c r="E203" s="56" t="s">
        <v>358</v>
      </c>
      <c r="F203" s="20">
        <f t="shared" si="3"/>
        <v>154448073</v>
      </c>
      <c r="G203" s="7" t="s">
        <v>289</v>
      </c>
      <c r="H203" s="59" t="s">
        <v>109</v>
      </c>
      <c r="I203" s="32" t="s">
        <v>152</v>
      </c>
    </row>
    <row r="204" spans="1:9" x14ac:dyDescent="0.35">
      <c r="A204" s="19">
        <v>45709</v>
      </c>
      <c r="B204" s="20"/>
      <c r="C204" s="20"/>
      <c r="D204" s="9">
        <v>100000</v>
      </c>
      <c r="E204" s="56" t="s">
        <v>358</v>
      </c>
      <c r="F204" s="20">
        <f t="shared" si="3"/>
        <v>154548073</v>
      </c>
      <c r="G204" s="7" t="s">
        <v>255</v>
      </c>
      <c r="H204" s="59" t="s">
        <v>109</v>
      </c>
      <c r="I204" s="32" t="s">
        <v>152</v>
      </c>
    </row>
    <row r="205" spans="1:9" x14ac:dyDescent="0.35">
      <c r="A205" s="19">
        <v>45712</v>
      </c>
      <c r="B205" s="20">
        <v>750000</v>
      </c>
      <c r="C205" s="20"/>
      <c r="D205" s="9"/>
      <c r="E205" s="56" t="s">
        <v>358</v>
      </c>
      <c r="F205" s="20">
        <f t="shared" si="3"/>
        <v>153798073</v>
      </c>
      <c r="G205" s="7" t="s">
        <v>160</v>
      </c>
      <c r="H205" s="59" t="s">
        <v>323</v>
      </c>
      <c r="I205" s="32" t="s">
        <v>152</v>
      </c>
    </row>
    <row r="206" spans="1:9" x14ac:dyDescent="0.35">
      <c r="A206" s="19">
        <v>45712</v>
      </c>
      <c r="B206" s="20">
        <v>2500</v>
      </c>
      <c r="C206" s="20"/>
      <c r="D206" s="9"/>
      <c r="E206" s="56" t="s">
        <v>358</v>
      </c>
      <c r="F206" s="20">
        <f t="shared" si="3"/>
        <v>153795573</v>
      </c>
      <c r="G206" s="7" t="s">
        <v>161</v>
      </c>
      <c r="H206" s="59" t="s">
        <v>323</v>
      </c>
      <c r="I206" s="32" t="s">
        <v>152</v>
      </c>
    </row>
    <row r="207" spans="1:9" x14ac:dyDescent="0.35">
      <c r="A207" s="19">
        <v>45712</v>
      </c>
      <c r="B207" s="20"/>
      <c r="C207" s="20"/>
      <c r="D207" s="9">
        <v>50000</v>
      </c>
      <c r="E207" s="56" t="s">
        <v>358</v>
      </c>
      <c r="F207" s="20">
        <f t="shared" si="3"/>
        <v>153845573</v>
      </c>
      <c r="G207" s="7" t="s">
        <v>282</v>
      </c>
      <c r="H207" s="59" t="s">
        <v>109</v>
      </c>
      <c r="I207" s="32" t="s">
        <v>152</v>
      </c>
    </row>
    <row r="208" spans="1:9" x14ac:dyDescent="0.35">
      <c r="A208" s="19">
        <v>45712</v>
      </c>
      <c r="B208" s="20"/>
      <c r="C208" s="20"/>
      <c r="D208" s="9">
        <v>20000</v>
      </c>
      <c r="E208" s="56" t="s">
        <v>358</v>
      </c>
      <c r="F208" s="20">
        <f t="shared" si="3"/>
        <v>153865573</v>
      </c>
      <c r="G208" s="7" t="s">
        <v>282</v>
      </c>
      <c r="H208" s="59" t="s">
        <v>109</v>
      </c>
      <c r="I208" s="32" t="s">
        <v>152</v>
      </c>
    </row>
    <row r="209" spans="1:9" x14ac:dyDescent="0.35">
      <c r="A209" s="19">
        <v>45712</v>
      </c>
      <c r="B209" s="20"/>
      <c r="C209" s="20"/>
      <c r="D209" s="9">
        <v>150000</v>
      </c>
      <c r="E209" s="56" t="s">
        <v>358</v>
      </c>
      <c r="F209" s="20">
        <f t="shared" si="3"/>
        <v>154015573</v>
      </c>
      <c r="G209" s="7" t="s">
        <v>282</v>
      </c>
      <c r="H209" s="59" t="s">
        <v>109</v>
      </c>
      <c r="I209" s="32" t="s">
        <v>152</v>
      </c>
    </row>
    <row r="210" spans="1:9" x14ac:dyDescent="0.35">
      <c r="A210" s="19">
        <v>45712</v>
      </c>
      <c r="B210" s="20"/>
      <c r="C210" s="20"/>
      <c r="D210" s="9">
        <v>1904</v>
      </c>
      <c r="E210" s="56" t="s">
        <v>358</v>
      </c>
      <c r="F210" s="20">
        <f t="shared" si="3"/>
        <v>154017477</v>
      </c>
      <c r="G210" s="7" t="s">
        <v>282</v>
      </c>
      <c r="H210" s="59" t="s">
        <v>109</v>
      </c>
      <c r="I210" s="32" t="s">
        <v>152</v>
      </c>
    </row>
    <row r="211" spans="1:9" x14ac:dyDescent="0.35">
      <c r="A211" s="19">
        <v>45712</v>
      </c>
      <c r="B211" s="20">
        <v>1000000</v>
      </c>
      <c r="C211" s="20"/>
      <c r="D211" s="9"/>
      <c r="E211" s="56" t="s">
        <v>358</v>
      </c>
      <c r="F211" s="20">
        <f t="shared" si="3"/>
        <v>153017477</v>
      </c>
      <c r="G211" s="7" t="s">
        <v>165</v>
      </c>
      <c r="H211" s="59" t="s">
        <v>323</v>
      </c>
      <c r="I211" s="32" t="s">
        <v>152</v>
      </c>
    </row>
    <row r="212" spans="1:9" x14ac:dyDescent="0.35">
      <c r="A212" s="19">
        <v>45712</v>
      </c>
      <c r="B212" s="20">
        <v>2500</v>
      </c>
      <c r="C212" s="20"/>
      <c r="D212" s="9"/>
      <c r="E212" s="56" t="s">
        <v>358</v>
      </c>
      <c r="F212" s="20">
        <f t="shared" si="3"/>
        <v>153014977</v>
      </c>
      <c r="G212" s="7" t="s">
        <v>166</v>
      </c>
      <c r="H212" s="59" t="s">
        <v>323</v>
      </c>
      <c r="I212" s="32" t="s">
        <v>152</v>
      </c>
    </row>
    <row r="213" spans="1:9" x14ac:dyDescent="0.35">
      <c r="A213" s="19">
        <v>45712</v>
      </c>
      <c r="B213" s="20">
        <v>1500000</v>
      </c>
      <c r="C213" s="20"/>
      <c r="D213" s="9"/>
      <c r="E213" s="56" t="s">
        <v>358</v>
      </c>
      <c r="F213" s="20">
        <f t="shared" si="3"/>
        <v>151514977</v>
      </c>
      <c r="G213" s="7" t="s">
        <v>303</v>
      </c>
      <c r="H213" s="59" t="s">
        <v>323</v>
      </c>
      <c r="I213" s="32" t="s">
        <v>152</v>
      </c>
    </row>
    <row r="214" spans="1:9" x14ac:dyDescent="0.35">
      <c r="A214" s="19">
        <v>45712</v>
      </c>
      <c r="B214" s="20">
        <v>6500</v>
      </c>
      <c r="C214" s="20"/>
      <c r="D214" s="9"/>
      <c r="E214" s="56" t="s">
        <v>358</v>
      </c>
      <c r="F214" s="20">
        <f t="shared" si="3"/>
        <v>151508477</v>
      </c>
      <c r="G214" s="7" t="s">
        <v>304</v>
      </c>
      <c r="H214" s="59" t="s">
        <v>323</v>
      </c>
      <c r="I214" s="32" t="s">
        <v>152</v>
      </c>
    </row>
    <row r="215" spans="1:9" x14ac:dyDescent="0.35">
      <c r="A215" s="19">
        <v>45712</v>
      </c>
      <c r="B215" s="20"/>
      <c r="C215" s="20"/>
      <c r="D215" s="9">
        <v>5000</v>
      </c>
      <c r="E215" s="56" t="s">
        <v>358</v>
      </c>
      <c r="F215" s="20">
        <f t="shared" si="3"/>
        <v>151513477</v>
      </c>
      <c r="G215" s="7" t="s">
        <v>282</v>
      </c>
      <c r="H215" s="59" t="s">
        <v>109</v>
      </c>
      <c r="I215" s="32" t="s">
        <v>152</v>
      </c>
    </row>
    <row r="216" spans="1:9" x14ac:dyDescent="0.35">
      <c r="A216" s="19">
        <v>45712</v>
      </c>
      <c r="B216" s="20"/>
      <c r="C216" s="20"/>
      <c r="D216" s="9">
        <v>1000</v>
      </c>
      <c r="E216" s="56" t="s">
        <v>358</v>
      </c>
      <c r="F216" s="20">
        <f t="shared" si="3"/>
        <v>151514477</v>
      </c>
      <c r="G216" s="7" t="s">
        <v>282</v>
      </c>
      <c r="H216" s="59" t="s">
        <v>109</v>
      </c>
      <c r="I216" s="32" t="s">
        <v>152</v>
      </c>
    </row>
    <row r="217" spans="1:9" x14ac:dyDescent="0.35">
      <c r="A217" s="19">
        <v>45712</v>
      </c>
      <c r="B217" s="20"/>
      <c r="C217" s="20"/>
      <c r="D217" s="23">
        <v>2641000</v>
      </c>
      <c r="E217" s="56" t="s">
        <v>358</v>
      </c>
      <c r="F217" s="20">
        <f t="shared" si="3"/>
        <v>154155477</v>
      </c>
      <c r="G217" s="24" t="s">
        <v>107</v>
      </c>
      <c r="H217" s="59" t="s">
        <v>107</v>
      </c>
      <c r="I217" s="32" t="s">
        <v>152</v>
      </c>
    </row>
    <row r="218" spans="1:9" x14ac:dyDescent="0.35">
      <c r="A218" s="19">
        <v>45712</v>
      </c>
      <c r="B218" s="20"/>
      <c r="C218" s="20"/>
      <c r="D218" s="23">
        <v>2441000</v>
      </c>
      <c r="E218" s="56" t="s">
        <v>358</v>
      </c>
      <c r="F218" s="20">
        <f t="shared" si="3"/>
        <v>156596477</v>
      </c>
      <c r="G218" s="24" t="s">
        <v>109</v>
      </c>
      <c r="H218" s="59" t="s">
        <v>109</v>
      </c>
      <c r="I218" s="32" t="s">
        <v>152</v>
      </c>
    </row>
    <row r="219" spans="1:9" x14ac:dyDescent="0.35">
      <c r="A219" s="19">
        <v>45712</v>
      </c>
      <c r="B219" s="23">
        <v>62000</v>
      </c>
      <c r="C219" s="20"/>
      <c r="D219" s="9"/>
      <c r="E219" s="56" t="s">
        <v>358</v>
      </c>
      <c r="F219" s="20">
        <f t="shared" si="3"/>
        <v>156534477</v>
      </c>
      <c r="G219" s="24" t="s">
        <v>115</v>
      </c>
      <c r="H219" s="59" t="s">
        <v>320</v>
      </c>
      <c r="I219" s="32" t="s">
        <v>152</v>
      </c>
    </row>
    <row r="220" spans="1:9" x14ac:dyDescent="0.35">
      <c r="A220" s="19"/>
      <c r="B220" s="20"/>
      <c r="C220" s="95">
        <v>5020000</v>
      </c>
      <c r="D220" s="9"/>
      <c r="E220" s="56"/>
      <c r="F220" s="20">
        <f t="shared" si="3"/>
        <v>156534477</v>
      </c>
      <c r="G220" s="7" t="s">
        <v>305</v>
      </c>
      <c r="H220" s="59"/>
      <c r="I220" s="32"/>
    </row>
    <row r="221" spans="1:9" x14ac:dyDescent="0.35">
      <c r="A221" s="19">
        <v>45713</v>
      </c>
      <c r="B221" s="20"/>
      <c r="C221" s="20"/>
      <c r="D221" s="9">
        <v>50000</v>
      </c>
      <c r="E221" s="56" t="s">
        <v>358</v>
      </c>
      <c r="F221" s="20">
        <f t="shared" si="3"/>
        <v>156584477</v>
      </c>
      <c r="G221" s="7" t="s">
        <v>282</v>
      </c>
      <c r="H221" s="59" t="s">
        <v>109</v>
      </c>
      <c r="I221" s="32" t="s">
        <v>152</v>
      </c>
    </row>
    <row r="222" spans="1:9" x14ac:dyDescent="0.35">
      <c r="A222" s="19">
        <v>45713</v>
      </c>
      <c r="B222" s="20"/>
      <c r="C222" s="20"/>
      <c r="D222" s="9">
        <v>10000</v>
      </c>
      <c r="E222" s="56" t="s">
        <v>358</v>
      </c>
      <c r="F222" s="20">
        <f t="shared" si="3"/>
        <v>156594477</v>
      </c>
      <c r="G222" s="7" t="s">
        <v>282</v>
      </c>
      <c r="H222" s="59" t="s">
        <v>109</v>
      </c>
      <c r="I222" s="32" t="s">
        <v>152</v>
      </c>
    </row>
    <row r="223" spans="1:9" x14ac:dyDescent="0.35">
      <c r="A223" s="19">
        <v>45713</v>
      </c>
      <c r="B223" s="20"/>
      <c r="C223" s="20"/>
      <c r="D223" s="9">
        <v>200000</v>
      </c>
      <c r="E223" s="56" t="s">
        <v>358</v>
      </c>
      <c r="F223" s="20">
        <f t="shared" si="3"/>
        <v>156794477</v>
      </c>
      <c r="G223" s="7" t="s">
        <v>306</v>
      </c>
      <c r="H223" s="59" t="s">
        <v>109</v>
      </c>
      <c r="I223" s="32" t="s">
        <v>152</v>
      </c>
    </row>
    <row r="224" spans="1:9" x14ac:dyDescent="0.35">
      <c r="A224" s="19">
        <v>45713</v>
      </c>
      <c r="B224" s="20">
        <v>15000</v>
      </c>
      <c r="C224" s="20"/>
      <c r="D224" s="9"/>
      <c r="E224" s="56" t="s">
        <v>358</v>
      </c>
      <c r="F224" s="20">
        <f t="shared" si="3"/>
        <v>156779477</v>
      </c>
      <c r="G224" s="7" t="s">
        <v>307</v>
      </c>
      <c r="H224" s="59" t="s">
        <v>320</v>
      </c>
      <c r="I224" s="32" t="s">
        <v>152</v>
      </c>
    </row>
    <row r="225" spans="1:9" x14ac:dyDescent="0.35">
      <c r="A225" s="19">
        <v>45713</v>
      </c>
      <c r="B225" s="20">
        <v>2500</v>
      </c>
      <c r="C225" s="20"/>
      <c r="D225" s="9"/>
      <c r="E225" s="56" t="s">
        <v>358</v>
      </c>
      <c r="F225" s="20">
        <f t="shared" si="3"/>
        <v>156776977</v>
      </c>
      <c r="G225" s="7" t="s">
        <v>308</v>
      </c>
      <c r="H225" s="59" t="s">
        <v>320</v>
      </c>
      <c r="I225" s="32" t="s">
        <v>152</v>
      </c>
    </row>
    <row r="226" spans="1:9" x14ac:dyDescent="0.35">
      <c r="A226" s="19">
        <v>45714</v>
      </c>
      <c r="B226" s="20"/>
      <c r="C226" s="20"/>
      <c r="D226" s="9">
        <v>10000</v>
      </c>
      <c r="E226" s="56" t="s">
        <v>358</v>
      </c>
      <c r="F226" s="20">
        <f t="shared" si="3"/>
        <v>156786977</v>
      </c>
      <c r="G226" s="7" t="s">
        <v>282</v>
      </c>
      <c r="H226" s="59" t="s">
        <v>109</v>
      </c>
      <c r="I226" s="32" t="s">
        <v>152</v>
      </c>
    </row>
    <row r="227" spans="1:9" x14ac:dyDescent="0.35">
      <c r="A227" s="19">
        <v>45715</v>
      </c>
      <c r="B227" s="20"/>
      <c r="C227" s="20"/>
      <c r="D227" s="9">
        <v>10000</v>
      </c>
      <c r="E227" s="56" t="s">
        <v>358</v>
      </c>
      <c r="F227" s="20">
        <f t="shared" si="3"/>
        <v>156796977</v>
      </c>
      <c r="G227" s="7" t="s">
        <v>282</v>
      </c>
      <c r="H227" s="59" t="s">
        <v>109</v>
      </c>
      <c r="I227" s="32" t="s">
        <v>152</v>
      </c>
    </row>
    <row r="228" spans="1:9" x14ac:dyDescent="0.35">
      <c r="A228" s="19">
        <v>45715</v>
      </c>
      <c r="B228" s="20"/>
      <c r="C228" s="20"/>
      <c r="D228" s="9">
        <v>20000</v>
      </c>
      <c r="E228" s="56" t="s">
        <v>358</v>
      </c>
      <c r="F228" s="20">
        <f t="shared" si="3"/>
        <v>156816977</v>
      </c>
      <c r="G228" s="7" t="s">
        <v>282</v>
      </c>
      <c r="H228" s="59" t="s">
        <v>109</v>
      </c>
      <c r="I228" s="32" t="s">
        <v>152</v>
      </c>
    </row>
    <row r="229" spans="1:9" x14ac:dyDescent="0.35">
      <c r="A229" s="19">
        <v>45715</v>
      </c>
      <c r="B229" s="20"/>
      <c r="C229" s="20"/>
      <c r="D229" s="9">
        <v>10000</v>
      </c>
      <c r="E229" s="56" t="s">
        <v>358</v>
      </c>
      <c r="F229" s="20">
        <f t="shared" si="3"/>
        <v>156826977</v>
      </c>
      <c r="G229" s="7" t="s">
        <v>282</v>
      </c>
      <c r="H229" s="59" t="s">
        <v>109</v>
      </c>
      <c r="I229" s="32" t="s">
        <v>152</v>
      </c>
    </row>
    <row r="230" spans="1:9" x14ac:dyDescent="0.35">
      <c r="A230" s="19">
        <v>45715</v>
      </c>
      <c r="B230" s="20"/>
      <c r="C230" s="20"/>
      <c r="D230" s="20">
        <v>1000000</v>
      </c>
      <c r="E230" s="56" t="s">
        <v>358</v>
      </c>
      <c r="F230" s="20">
        <f t="shared" si="3"/>
        <v>157826977</v>
      </c>
      <c r="G230" s="7" t="s">
        <v>314</v>
      </c>
      <c r="H230" s="59" t="s">
        <v>109</v>
      </c>
      <c r="I230" s="32" t="s">
        <v>152</v>
      </c>
    </row>
    <row r="231" spans="1:9" x14ac:dyDescent="0.35">
      <c r="A231" s="19">
        <v>45715</v>
      </c>
      <c r="B231" s="20">
        <v>2000000</v>
      </c>
      <c r="C231" s="20"/>
      <c r="D231" s="20"/>
      <c r="E231" s="56" t="s">
        <v>358</v>
      </c>
      <c r="F231" s="20">
        <f t="shared" si="3"/>
        <v>155826977</v>
      </c>
      <c r="G231" s="7" t="s">
        <v>171</v>
      </c>
      <c r="H231" s="59" t="s">
        <v>325</v>
      </c>
      <c r="I231" s="32" t="s">
        <v>152</v>
      </c>
    </row>
    <row r="232" spans="1:9" x14ac:dyDescent="0.35">
      <c r="A232" s="19">
        <v>45715</v>
      </c>
      <c r="B232" s="20">
        <v>6500</v>
      </c>
      <c r="C232" s="20"/>
      <c r="D232" s="20"/>
      <c r="E232" s="56" t="s">
        <v>358</v>
      </c>
      <c r="F232" s="20">
        <f t="shared" si="3"/>
        <v>155820477</v>
      </c>
      <c r="G232" s="7" t="s">
        <v>171</v>
      </c>
      <c r="H232" s="59" t="s">
        <v>325</v>
      </c>
      <c r="I232" s="32" t="s">
        <v>152</v>
      </c>
    </row>
    <row r="233" spans="1:9" x14ac:dyDescent="0.35">
      <c r="A233" s="19">
        <v>45715</v>
      </c>
      <c r="B233" s="20">
        <v>2000000</v>
      </c>
      <c r="C233" s="20"/>
      <c r="D233" s="20"/>
      <c r="E233" s="56" t="s">
        <v>358</v>
      </c>
      <c r="F233" s="20">
        <f t="shared" si="3"/>
        <v>153820477</v>
      </c>
      <c r="G233" s="7" t="s">
        <v>180</v>
      </c>
      <c r="H233" s="59" t="s">
        <v>325</v>
      </c>
      <c r="I233" s="32" t="s">
        <v>152</v>
      </c>
    </row>
    <row r="234" spans="1:9" x14ac:dyDescent="0.35">
      <c r="A234" s="19">
        <v>45715</v>
      </c>
      <c r="B234" s="20">
        <v>6500</v>
      </c>
      <c r="C234" s="20"/>
      <c r="D234" s="20"/>
      <c r="E234" s="56" t="s">
        <v>358</v>
      </c>
      <c r="F234" s="20">
        <f t="shared" si="3"/>
        <v>153813977</v>
      </c>
      <c r="G234" s="7" t="s">
        <v>180</v>
      </c>
      <c r="H234" s="59" t="s">
        <v>325</v>
      </c>
      <c r="I234" s="32" t="s">
        <v>152</v>
      </c>
    </row>
    <row r="235" spans="1:9" x14ac:dyDescent="0.35">
      <c r="A235" s="19">
        <v>45715</v>
      </c>
      <c r="B235" s="20">
        <v>2500000</v>
      </c>
      <c r="C235" s="20"/>
      <c r="D235" s="20"/>
      <c r="E235" s="56" t="s">
        <v>358</v>
      </c>
      <c r="F235" s="20">
        <f t="shared" si="3"/>
        <v>151313977</v>
      </c>
      <c r="G235" s="7" t="s">
        <v>315</v>
      </c>
      <c r="H235" s="59" t="s">
        <v>325</v>
      </c>
      <c r="I235" s="32" t="s">
        <v>152</v>
      </c>
    </row>
    <row r="236" spans="1:9" x14ac:dyDescent="0.35">
      <c r="A236" s="19">
        <v>45715</v>
      </c>
      <c r="B236" s="20">
        <v>6500</v>
      </c>
      <c r="C236" s="20"/>
      <c r="D236" s="20"/>
      <c r="E236" s="56" t="s">
        <v>358</v>
      </c>
      <c r="F236" s="20">
        <f t="shared" si="3"/>
        <v>151307477</v>
      </c>
      <c r="G236" s="7" t="s">
        <v>315</v>
      </c>
      <c r="H236" s="59" t="s">
        <v>325</v>
      </c>
      <c r="I236" s="32" t="s">
        <v>152</v>
      </c>
    </row>
    <row r="237" spans="1:9" x14ac:dyDescent="0.35">
      <c r="A237" s="19">
        <v>45715</v>
      </c>
      <c r="B237" s="20">
        <v>3250000</v>
      </c>
      <c r="C237" s="20"/>
      <c r="D237" s="20"/>
      <c r="E237" s="56" t="s">
        <v>358</v>
      </c>
      <c r="F237" s="20">
        <f t="shared" si="3"/>
        <v>148057477</v>
      </c>
      <c r="G237" s="7" t="s">
        <v>169</v>
      </c>
      <c r="H237" s="59" t="s">
        <v>325</v>
      </c>
      <c r="I237" s="32" t="s">
        <v>152</v>
      </c>
    </row>
    <row r="238" spans="1:9" x14ac:dyDescent="0.35">
      <c r="A238" s="19">
        <v>45715</v>
      </c>
      <c r="B238" s="20">
        <v>6500</v>
      </c>
      <c r="C238" s="20"/>
      <c r="D238" s="20"/>
      <c r="E238" s="56" t="s">
        <v>358</v>
      </c>
      <c r="F238" s="20">
        <f t="shared" si="3"/>
        <v>148050977</v>
      </c>
      <c r="G238" s="7" t="s">
        <v>169</v>
      </c>
      <c r="H238" s="59" t="s">
        <v>325</v>
      </c>
      <c r="I238" s="32" t="s">
        <v>152</v>
      </c>
    </row>
    <row r="239" spans="1:9" x14ac:dyDescent="0.35">
      <c r="A239" s="19">
        <v>45715</v>
      </c>
      <c r="B239" s="20">
        <v>2700000</v>
      </c>
      <c r="C239" s="20"/>
      <c r="D239" s="20"/>
      <c r="E239" s="56" t="s">
        <v>358</v>
      </c>
      <c r="F239" s="20">
        <f t="shared" si="3"/>
        <v>145350977</v>
      </c>
      <c r="G239" s="7" t="s">
        <v>175</v>
      </c>
      <c r="H239" s="59" t="s">
        <v>201</v>
      </c>
      <c r="I239" s="32" t="s">
        <v>152</v>
      </c>
    </row>
    <row r="240" spans="1:9" x14ac:dyDescent="0.35">
      <c r="A240" s="19">
        <v>45715</v>
      </c>
      <c r="B240" s="20">
        <v>6500</v>
      </c>
      <c r="C240" s="20"/>
      <c r="D240" s="20"/>
      <c r="E240" s="56" t="s">
        <v>358</v>
      </c>
      <c r="F240" s="20">
        <f t="shared" si="3"/>
        <v>145344477</v>
      </c>
      <c r="G240" s="7" t="s">
        <v>175</v>
      </c>
      <c r="H240" s="59" t="s">
        <v>201</v>
      </c>
      <c r="I240" s="32" t="s">
        <v>152</v>
      </c>
    </row>
    <row r="241" spans="1:9" x14ac:dyDescent="0.35">
      <c r="A241" s="19">
        <v>45715</v>
      </c>
      <c r="B241" s="20">
        <v>1500000</v>
      </c>
      <c r="C241" s="20"/>
      <c r="D241" s="20"/>
      <c r="E241" s="56" t="s">
        <v>358</v>
      </c>
      <c r="F241" s="20">
        <f t="shared" si="3"/>
        <v>143844477</v>
      </c>
      <c r="G241" s="7" t="s">
        <v>178</v>
      </c>
      <c r="H241" s="59" t="s">
        <v>325</v>
      </c>
      <c r="I241" s="32" t="s">
        <v>152</v>
      </c>
    </row>
    <row r="242" spans="1:9" x14ac:dyDescent="0.35">
      <c r="A242" s="19">
        <v>45715</v>
      </c>
      <c r="B242" s="20">
        <v>6500</v>
      </c>
      <c r="C242" s="20"/>
      <c r="D242" s="20"/>
      <c r="E242" s="56" t="s">
        <v>358</v>
      </c>
      <c r="F242" s="20">
        <f t="shared" si="3"/>
        <v>143837977</v>
      </c>
      <c r="G242" s="7" t="s">
        <v>178</v>
      </c>
      <c r="H242" s="59" t="s">
        <v>325</v>
      </c>
      <c r="I242" s="32" t="s">
        <v>152</v>
      </c>
    </row>
    <row r="243" spans="1:9" x14ac:dyDescent="0.35">
      <c r="A243" s="19">
        <v>45715</v>
      </c>
      <c r="B243" s="20">
        <v>2500000</v>
      </c>
      <c r="C243" s="20"/>
      <c r="D243" s="20"/>
      <c r="E243" s="56" t="s">
        <v>358</v>
      </c>
      <c r="F243" s="20">
        <f t="shared" si="3"/>
        <v>141337977</v>
      </c>
      <c r="G243" s="7" t="s">
        <v>181</v>
      </c>
      <c r="H243" s="59" t="s">
        <v>325</v>
      </c>
      <c r="I243" s="32" t="s">
        <v>152</v>
      </c>
    </row>
    <row r="244" spans="1:9" x14ac:dyDescent="0.35">
      <c r="A244" s="19">
        <v>45715</v>
      </c>
      <c r="B244" s="20"/>
      <c r="C244" s="20"/>
      <c r="D244" s="20">
        <v>1250000</v>
      </c>
      <c r="E244" s="56" t="s">
        <v>358</v>
      </c>
      <c r="F244" s="20">
        <f t="shared" si="3"/>
        <v>142587977</v>
      </c>
      <c r="G244" s="7" t="s">
        <v>316</v>
      </c>
      <c r="H244" s="59" t="s">
        <v>109</v>
      </c>
      <c r="I244" s="32" t="s">
        <v>152</v>
      </c>
    </row>
    <row r="245" spans="1:9" x14ac:dyDescent="0.35">
      <c r="A245" s="19">
        <v>45716</v>
      </c>
      <c r="B245" s="20"/>
      <c r="C245" s="20"/>
      <c r="D245" s="20">
        <v>10000</v>
      </c>
      <c r="E245" s="56" t="s">
        <v>358</v>
      </c>
      <c r="F245" s="20">
        <f t="shared" si="3"/>
        <v>142597977</v>
      </c>
      <c r="G245" s="7" t="s">
        <v>282</v>
      </c>
      <c r="H245" s="59" t="s">
        <v>109</v>
      </c>
      <c r="I245" s="32" t="s">
        <v>152</v>
      </c>
    </row>
    <row r="246" spans="1:9" x14ac:dyDescent="0.35">
      <c r="A246" s="19">
        <v>45716</v>
      </c>
      <c r="B246" s="20"/>
      <c r="C246" s="20"/>
      <c r="D246" s="20">
        <v>50000</v>
      </c>
      <c r="E246" s="56" t="s">
        <v>358</v>
      </c>
      <c r="F246" s="20">
        <f t="shared" si="3"/>
        <v>142647977</v>
      </c>
      <c r="G246" s="7" t="s">
        <v>282</v>
      </c>
      <c r="H246" s="59" t="s">
        <v>109</v>
      </c>
      <c r="I246" s="32" t="s">
        <v>152</v>
      </c>
    </row>
    <row r="247" spans="1:9" x14ac:dyDescent="0.35">
      <c r="A247" s="19">
        <v>45716</v>
      </c>
      <c r="B247" s="20">
        <v>4000000</v>
      </c>
      <c r="C247" s="20"/>
      <c r="D247" s="20"/>
      <c r="E247" s="56" t="s">
        <v>358</v>
      </c>
      <c r="F247" s="20">
        <f t="shared" si="3"/>
        <v>138647977</v>
      </c>
      <c r="G247" s="7" t="s">
        <v>317</v>
      </c>
      <c r="H247" s="59" t="s">
        <v>201</v>
      </c>
      <c r="I247" s="32" t="s">
        <v>152</v>
      </c>
    </row>
    <row r="248" spans="1:9" x14ac:dyDescent="0.35">
      <c r="A248" s="19">
        <v>45716</v>
      </c>
      <c r="B248" s="20">
        <v>2500</v>
      </c>
      <c r="C248" s="20"/>
      <c r="D248" s="20"/>
      <c r="E248" s="56" t="s">
        <v>358</v>
      </c>
      <c r="F248" s="20">
        <f t="shared" si="3"/>
        <v>138645477</v>
      </c>
      <c r="G248" s="7" t="s">
        <v>318</v>
      </c>
      <c r="H248" s="59" t="s">
        <v>201</v>
      </c>
      <c r="I248" s="32" t="s">
        <v>152</v>
      </c>
    </row>
    <row r="249" spans="1:9" x14ac:dyDescent="0.35">
      <c r="A249" s="19">
        <v>45716</v>
      </c>
      <c r="B249" s="20">
        <v>7000</v>
      </c>
      <c r="C249" s="20"/>
      <c r="D249" s="20"/>
      <c r="E249" s="56" t="s">
        <v>358</v>
      </c>
      <c r="F249" s="20">
        <f t="shared" si="3"/>
        <v>138638477</v>
      </c>
      <c r="G249" s="7" t="s">
        <v>319</v>
      </c>
      <c r="H249" s="59" t="s">
        <v>320</v>
      </c>
      <c r="I249" s="32" t="s">
        <v>152</v>
      </c>
    </row>
    <row r="250" spans="1:9" x14ac:dyDescent="0.35">
      <c r="A250" s="19">
        <v>45719</v>
      </c>
      <c r="B250" s="20"/>
      <c r="C250" s="20"/>
      <c r="D250" s="20">
        <v>50000</v>
      </c>
      <c r="E250" s="99" t="s">
        <v>521</v>
      </c>
      <c r="F250" s="20">
        <f t="shared" si="3"/>
        <v>138688477</v>
      </c>
      <c r="G250" s="7" t="s">
        <v>330</v>
      </c>
      <c r="H250" s="24" t="s">
        <v>109</v>
      </c>
      <c r="I250" s="32" t="s">
        <v>152</v>
      </c>
    </row>
    <row r="251" spans="1:9" x14ac:dyDescent="0.35">
      <c r="A251" s="19">
        <v>45719</v>
      </c>
      <c r="B251" s="20"/>
      <c r="C251" s="20"/>
      <c r="D251" s="20">
        <v>20000</v>
      </c>
      <c r="E251" s="99" t="s">
        <v>521</v>
      </c>
      <c r="F251" s="20">
        <f t="shared" si="3"/>
        <v>138708477</v>
      </c>
      <c r="G251" s="7" t="s">
        <v>330</v>
      </c>
      <c r="H251" s="24" t="s">
        <v>109</v>
      </c>
      <c r="I251" s="32" t="s">
        <v>152</v>
      </c>
    </row>
    <row r="252" spans="1:9" x14ac:dyDescent="0.35">
      <c r="A252" s="19">
        <v>45719</v>
      </c>
      <c r="B252" s="20"/>
      <c r="C252" s="20"/>
      <c r="D252" s="20">
        <v>10000</v>
      </c>
      <c r="E252" s="99" t="s">
        <v>521</v>
      </c>
      <c r="F252" s="20">
        <f t="shared" si="3"/>
        <v>138718477</v>
      </c>
      <c r="G252" s="7" t="s">
        <v>330</v>
      </c>
      <c r="H252" s="24" t="s">
        <v>109</v>
      </c>
      <c r="I252" s="32" t="s">
        <v>152</v>
      </c>
    </row>
    <row r="253" spans="1:9" x14ac:dyDescent="0.35">
      <c r="A253" s="19">
        <v>45719</v>
      </c>
      <c r="B253" s="20"/>
      <c r="C253" s="20"/>
      <c r="D253" s="20">
        <v>75000</v>
      </c>
      <c r="E253" s="99" t="s">
        <v>521</v>
      </c>
      <c r="F253" s="20">
        <f t="shared" si="3"/>
        <v>138793477</v>
      </c>
      <c r="G253" s="7" t="s">
        <v>330</v>
      </c>
      <c r="H253" s="24" t="s">
        <v>109</v>
      </c>
      <c r="I253" s="32" t="s">
        <v>152</v>
      </c>
    </row>
    <row r="254" spans="1:9" x14ac:dyDescent="0.35">
      <c r="A254" s="19">
        <v>45719</v>
      </c>
      <c r="B254" s="20"/>
      <c r="C254" s="20"/>
      <c r="D254" s="20">
        <v>10000</v>
      </c>
      <c r="E254" s="99" t="s">
        <v>521</v>
      </c>
      <c r="F254" s="20">
        <f t="shared" si="3"/>
        <v>138803477</v>
      </c>
      <c r="G254" s="7" t="s">
        <v>330</v>
      </c>
      <c r="H254" s="24" t="s">
        <v>109</v>
      </c>
      <c r="I254" s="32" t="s">
        <v>152</v>
      </c>
    </row>
    <row r="255" spans="1:9" x14ac:dyDescent="0.35">
      <c r="A255" s="19">
        <v>45719</v>
      </c>
      <c r="B255" s="20"/>
      <c r="C255" s="20"/>
      <c r="D255" s="20">
        <v>800</v>
      </c>
      <c r="E255" s="99" t="s">
        <v>521</v>
      </c>
      <c r="F255" s="20">
        <f t="shared" si="3"/>
        <v>138804277</v>
      </c>
      <c r="G255" s="7" t="s">
        <v>330</v>
      </c>
      <c r="H255" s="24" t="s">
        <v>109</v>
      </c>
      <c r="I255" s="32" t="s">
        <v>152</v>
      </c>
    </row>
    <row r="256" spans="1:9" x14ac:dyDescent="0.35">
      <c r="A256" s="19">
        <v>45719</v>
      </c>
      <c r="B256" s="20"/>
      <c r="C256" s="20"/>
      <c r="D256" s="20">
        <v>200000</v>
      </c>
      <c r="E256" s="99" t="s">
        <v>521</v>
      </c>
      <c r="F256" s="20">
        <f t="shared" si="3"/>
        <v>139004277</v>
      </c>
      <c r="G256" s="7" t="s">
        <v>331</v>
      </c>
      <c r="H256" s="24" t="s">
        <v>109</v>
      </c>
      <c r="I256" s="32" t="s">
        <v>152</v>
      </c>
    </row>
    <row r="257" spans="1:9" x14ac:dyDescent="0.35">
      <c r="A257" s="19">
        <v>45719</v>
      </c>
      <c r="B257" s="20">
        <v>4002500</v>
      </c>
      <c r="C257" s="20"/>
      <c r="D257" s="20"/>
      <c r="E257" s="99" t="s">
        <v>521</v>
      </c>
      <c r="F257" s="20">
        <f t="shared" si="3"/>
        <v>135001777</v>
      </c>
      <c r="G257" s="7" t="s">
        <v>332</v>
      </c>
      <c r="H257" s="24" t="s">
        <v>327</v>
      </c>
      <c r="I257" s="32" t="s">
        <v>152</v>
      </c>
    </row>
    <row r="258" spans="1:9" x14ac:dyDescent="0.35">
      <c r="A258" s="19">
        <v>45719</v>
      </c>
      <c r="B258" s="20"/>
      <c r="C258" s="20"/>
      <c r="D258" s="20">
        <v>10000</v>
      </c>
      <c r="E258" s="99" t="s">
        <v>521</v>
      </c>
      <c r="F258" s="20">
        <f t="shared" si="3"/>
        <v>135011777</v>
      </c>
      <c r="G258" s="7" t="s">
        <v>330</v>
      </c>
      <c r="H258" s="24" t="s">
        <v>109</v>
      </c>
      <c r="I258" s="32" t="s">
        <v>152</v>
      </c>
    </row>
    <row r="259" spans="1:9" x14ac:dyDescent="0.35">
      <c r="A259" s="19">
        <v>45719</v>
      </c>
      <c r="B259" s="20"/>
      <c r="C259" s="20"/>
      <c r="D259" s="20">
        <v>50000</v>
      </c>
      <c r="E259" s="99" t="s">
        <v>521</v>
      </c>
      <c r="F259" s="20">
        <f t="shared" si="3"/>
        <v>135061777</v>
      </c>
      <c r="G259" s="7" t="s">
        <v>330</v>
      </c>
      <c r="H259" s="24" t="s">
        <v>109</v>
      </c>
      <c r="I259" s="32" t="s">
        <v>152</v>
      </c>
    </row>
    <row r="260" spans="1:9" x14ac:dyDescent="0.35">
      <c r="A260" s="19">
        <v>45719</v>
      </c>
      <c r="B260" s="20"/>
      <c r="C260" s="20"/>
      <c r="D260" s="20">
        <v>5000</v>
      </c>
      <c r="E260" s="99" t="s">
        <v>521</v>
      </c>
      <c r="F260" s="20">
        <f t="shared" si="3"/>
        <v>135066777</v>
      </c>
      <c r="G260" s="7" t="s">
        <v>330</v>
      </c>
      <c r="H260" s="24" t="s">
        <v>109</v>
      </c>
      <c r="I260" s="32" t="s">
        <v>152</v>
      </c>
    </row>
    <row r="261" spans="1:9" x14ac:dyDescent="0.35">
      <c r="A261" s="19">
        <v>45719</v>
      </c>
      <c r="B261" s="20"/>
      <c r="C261" s="20"/>
      <c r="D261" s="20">
        <v>50000</v>
      </c>
      <c r="E261" s="99" t="s">
        <v>521</v>
      </c>
      <c r="F261" s="20">
        <f t="shared" si="3"/>
        <v>135116777</v>
      </c>
      <c r="G261" s="7" t="s">
        <v>330</v>
      </c>
      <c r="H261" s="24" t="s">
        <v>109</v>
      </c>
      <c r="I261" s="32" t="s">
        <v>152</v>
      </c>
    </row>
    <row r="262" spans="1:9" x14ac:dyDescent="0.35">
      <c r="A262" s="19">
        <v>45719</v>
      </c>
      <c r="B262" s="20"/>
      <c r="C262" s="20"/>
      <c r="D262" s="20">
        <v>10000</v>
      </c>
      <c r="E262" s="99" t="s">
        <v>521</v>
      </c>
      <c r="F262" s="20">
        <f t="shared" si="3"/>
        <v>135126777</v>
      </c>
      <c r="G262" s="7" t="s">
        <v>330</v>
      </c>
      <c r="H262" s="24" t="s">
        <v>109</v>
      </c>
      <c r="I262" s="32" t="s">
        <v>152</v>
      </c>
    </row>
    <row r="263" spans="1:9" x14ac:dyDescent="0.35">
      <c r="A263" s="19">
        <v>45719</v>
      </c>
      <c r="B263" s="20"/>
      <c r="C263" s="20"/>
      <c r="D263" s="20">
        <v>20000</v>
      </c>
      <c r="E263" s="99" t="s">
        <v>521</v>
      </c>
      <c r="F263" s="20">
        <f t="shared" si="3"/>
        <v>135146777</v>
      </c>
      <c r="G263" s="7" t="s">
        <v>330</v>
      </c>
      <c r="H263" s="24" t="s">
        <v>109</v>
      </c>
      <c r="I263" s="32" t="s">
        <v>152</v>
      </c>
    </row>
    <row r="264" spans="1:9" x14ac:dyDescent="0.35">
      <c r="A264" s="19">
        <v>45719</v>
      </c>
      <c r="B264" s="20"/>
      <c r="C264" s="20"/>
      <c r="D264" s="20">
        <v>10000</v>
      </c>
      <c r="E264" s="99" t="s">
        <v>521</v>
      </c>
      <c r="F264" s="20">
        <f t="shared" si="3"/>
        <v>135156777</v>
      </c>
      <c r="G264" s="7" t="s">
        <v>330</v>
      </c>
      <c r="H264" s="24" t="s">
        <v>109</v>
      </c>
      <c r="I264" s="32" t="s">
        <v>152</v>
      </c>
    </row>
    <row r="265" spans="1:9" x14ac:dyDescent="0.35">
      <c r="A265" s="19">
        <v>45719</v>
      </c>
      <c r="B265" s="20"/>
      <c r="C265" s="20"/>
      <c r="D265" s="20">
        <v>5000</v>
      </c>
      <c r="E265" s="99" t="s">
        <v>521</v>
      </c>
      <c r="F265" s="20">
        <f t="shared" si="3"/>
        <v>135161777</v>
      </c>
      <c r="G265" s="7" t="s">
        <v>330</v>
      </c>
      <c r="H265" s="24" t="s">
        <v>109</v>
      </c>
      <c r="I265" s="32" t="s">
        <v>152</v>
      </c>
    </row>
    <row r="266" spans="1:9" x14ac:dyDescent="0.35">
      <c r="A266" s="19">
        <v>45719</v>
      </c>
      <c r="B266" s="20"/>
      <c r="C266" s="20"/>
      <c r="D266" s="20">
        <v>100000</v>
      </c>
      <c r="E266" s="99" t="s">
        <v>521</v>
      </c>
      <c r="F266" s="20">
        <f t="shared" ref="F266:F329" si="4">+F265+D266-B266</f>
        <v>135261777</v>
      </c>
      <c r="G266" s="7" t="s">
        <v>330</v>
      </c>
      <c r="H266" s="24" t="s">
        <v>109</v>
      </c>
      <c r="I266" s="32" t="s">
        <v>152</v>
      </c>
    </row>
    <row r="267" spans="1:9" x14ac:dyDescent="0.35">
      <c r="A267" s="19">
        <v>45719</v>
      </c>
      <c r="B267" s="20"/>
      <c r="C267" s="20"/>
      <c r="D267" s="20">
        <v>20000</v>
      </c>
      <c r="E267" s="99" t="s">
        <v>521</v>
      </c>
      <c r="F267" s="20">
        <f t="shared" si="4"/>
        <v>135281777</v>
      </c>
      <c r="G267" s="7" t="s">
        <v>330</v>
      </c>
      <c r="H267" s="24" t="s">
        <v>109</v>
      </c>
      <c r="I267" s="32" t="s">
        <v>152</v>
      </c>
    </row>
    <row r="268" spans="1:9" x14ac:dyDescent="0.35">
      <c r="A268" s="19">
        <v>45719</v>
      </c>
      <c r="B268" s="20"/>
      <c r="C268" s="20"/>
      <c r="D268" s="20">
        <v>10000</v>
      </c>
      <c r="E268" s="99" t="s">
        <v>521</v>
      </c>
      <c r="F268" s="20">
        <f t="shared" si="4"/>
        <v>135291777</v>
      </c>
      <c r="G268" s="7" t="s">
        <v>330</v>
      </c>
      <c r="H268" s="24" t="s">
        <v>109</v>
      </c>
      <c r="I268" s="32" t="s">
        <v>152</v>
      </c>
    </row>
    <row r="269" spans="1:9" x14ac:dyDescent="0.35">
      <c r="A269" s="19">
        <v>45719</v>
      </c>
      <c r="B269" s="20"/>
      <c r="C269" s="20"/>
      <c r="D269" s="20">
        <v>5000</v>
      </c>
      <c r="E269" s="99" t="s">
        <v>521</v>
      </c>
      <c r="F269" s="20">
        <f t="shared" si="4"/>
        <v>135296777</v>
      </c>
      <c r="G269" s="7" t="s">
        <v>330</v>
      </c>
      <c r="H269" s="24" t="s">
        <v>109</v>
      </c>
      <c r="I269" s="32" t="s">
        <v>152</v>
      </c>
    </row>
    <row r="270" spans="1:9" x14ac:dyDescent="0.35">
      <c r="A270" s="19">
        <v>45719</v>
      </c>
      <c r="B270" s="20"/>
      <c r="C270" s="20"/>
      <c r="D270" s="20">
        <v>5000</v>
      </c>
      <c r="E270" s="99" t="s">
        <v>521</v>
      </c>
      <c r="F270" s="20">
        <f t="shared" si="4"/>
        <v>135301777</v>
      </c>
      <c r="G270" s="7" t="s">
        <v>330</v>
      </c>
      <c r="H270" s="24" t="s">
        <v>109</v>
      </c>
      <c r="I270" s="32" t="s">
        <v>152</v>
      </c>
    </row>
    <row r="271" spans="1:9" x14ac:dyDescent="0.35">
      <c r="A271" s="19">
        <v>45719</v>
      </c>
      <c r="B271" s="20"/>
      <c r="C271" s="20"/>
      <c r="D271" s="20">
        <v>200000</v>
      </c>
      <c r="E271" s="99" t="s">
        <v>521</v>
      </c>
      <c r="F271" s="20">
        <f t="shared" si="4"/>
        <v>135501777</v>
      </c>
      <c r="G271" s="7" t="s">
        <v>333</v>
      </c>
      <c r="H271" s="24" t="s">
        <v>109</v>
      </c>
      <c r="I271" s="32" t="s">
        <v>152</v>
      </c>
    </row>
    <row r="272" spans="1:9" x14ac:dyDescent="0.35">
      <c r="A272" s="19">
        <v>45719</v>
      </c>
      <c r="B272" s="20"/>
      <c r="C272" s="20"/>
      <c r="D272" s="20">
        <v>550000</v>
      </c>
      <c r="E272" s="99" t="s">
        <v>521</v>
      </c>
      <c r="F272" s="20">
        <f t="shared" si="4"/>
        <v>136051777</v>
      </c>
      <c r="G272" s="7" t="s">
        <v>330</v>
      </c>
      <c r="H272" s="24" t="s">
        <v>109</v>
      </c>
      <c r="I272" s="32" t="s">
        <v>152</v>
      </c>
    </row>
    <row r="273" spans="1:9" x14ac:dyDescent="0.35">
      <c r="A273" s="19">
        <v>45719</v>
      </c>
      <c r="B273" s="20"/>
      <c r="C273" s="20"/>
      <c r="D273" s="20">
        <v>50000</v>
      </c>
      <c r="E273" s="99" t="s">
        <v>521</v>
      </c>
      <c r="F273" s="20">
        <f t="shared" si="4"/>
        <v>136101777</v>
      </c>
      <c r="G273" s="7" t="s">
        <v>330</v>
      </c>
      <c r="H273" s="24" t="s">
        <v>109</v>
      </c>
      <c r="I273" s="32" t="s">
        <v>152</v>
      </c>
    </row>
    <row r="274" spans="1:9" x14ac:dyDescent="0.35">
      <c r="A274" s="19">
        <v>45719</v>
      </c>
      <c r="B274" s="20"/>
      <c r="C274" s="20"/>
      <c r="D274" s="20">
        <v>21439</v>
      </c>
      <c r="E274" s="99" t="s">
        <v>521</v>
      </c>
      <c r="F274" s="20">
        <f t="shared" si="4"/>
        <v>136123216</v>
      </c>
      <c r="G274" s="7" t="s">
        <v>330</v>
      </c>
      <c r="H274" s="24" t="s">
        <v>109</v>
      </c>
      <c r="I274" s="32" t="s">
        <v>152</v>
      </c>
    </row>
    <row r="275" spans="1:9" x14ac:dyDescent="0.35">
      <c r="A275" s="19">
        <v>45719</v>
      </c>
      <c r="B275" s="20"/>
      <c r="C275" s="20"/>
      <c r="D275" s="20">
        <v>50000</v>
      </c>
      <c r="E275" s="99" t="s">
        <v>521</v>
      </c>
      <c r="F275" s="20">
        <f t="shared" si="4"/>
        <v>136173216</v>
      </c>
      <c r="G275" s="7" t="s">
        <v>330</v>
      </c>
      <c r="H275" s="24" t="s">
        <v>109</v>
      </c>
      <c r="I275" s="32" t="s">
        <v>152</v>
      </c>
    </row>
    <row r="276" spans="1:9" x14ac:dyDescent="0.35">
      <c r="A276" s="19">
        <v>45719</v>
      </c>
      <c r="B276" s="20"/>
      <c r="C276" s="20"/>
      <c r="D276" s="20">
        <v>10000</v>
      </c>
      <c r="E276" s="99" t="s">
        <v>521</v>
      </c>
      <c r="F276" s="20">
        <f t="shared" si="4"/>
        <v>136183216</v>
      </c>
      <c r="G276" s="7" t="s">
        <v>330</v>
      </c>
      <c r="H276" s="24" t="s">
        <v>109</v>
      </c>
      <c r="I276" s="32" t="s">
        <v>152</v>
      </c>
    </row>
    <row r="277" spans="1:9" x14ac:dyDescent="0.35">
      <c r="A277" s="19">
        <v>45719</v>
      </c>
      <c r="B277" s="20"/>
      <c r="C277" s="20"/>
      <c r="D277" s="20">
        <v>10000</v>
      </c>
      <c r="E277" s="99" t="s">
        <v>521</v>
      </c>
      <c r="F277" s="20">
        <f t="shared" si="4"/>
        <v>136193216</v>
      </c>
      <c r="G277" s="7" t="s">
        <v>330</v>
      </c>
      <c r="H277" s="24" t="s">
        <v>109</v>
      </c>
      <c r="I277" s="32" t="s">
        <v>152</v>
      </c>
    </row>
    <row r="278" spans="1:9" x14ac:dyDescent="0.35">
      <c r="A278" s="19">
        <v>45719</v>
      </c>
      <c r="B278" s="20"/>
      <c r="C278" s="20"/>
      <c r="D278" s="20">
        <v>5000</v>
      </c>
      <c r="E278" s="99" t="s">
        <v>521</v>
      </c>
      <c r="F278" s="20">
        <f t="shared" si="4"/>
        <v>136198216</v>
      </c>
      <c r="G278" s="7" t="s">
        <v>330</v>
      </c>
      <c r="H278" s="24" t="s">
        <v>109</v>
      </c>
      <c r="I278" s="32" t="s">
        <v>152</v>
      </c>
    </row>
    <row r="279" spans="1:9" x14ac:dyDescent="0.35">
      <c r="A279" s="19">
        <v>45719</v>
      </c>
      <c r="B279" s="20"/>
      <c r="C279" s="20"/>
      <c r="D279" s="20">
        <v>20000</v>
      </c>
      <c r="E279" s="99" t="s">
        <v>521</v>
      </c>
      <c r="F279" s="20">
        <f t="shared" si="4"/>
        <v>136218216</v>
      </c>
      <c r="G279" s="7" t="s">
        <v>330</v>
      </c>
      <c r="H279" s="24" t="s">
        <v>109</v>
      </c>
      <c r="I279" s="32" t="s">
        <v>152</v>
      </c>
    </row>
    <row r="280" spans="1:9" x14ac:dyDescent="0.35">
      <c r="A280" s="19">
        <v>45719</v>
      </c>
      <c r="B280" s="20"/>
      <c r="C280" s="20"/>
      <c r="D280" s="20">
        <v>100000</v>
      </c>
      <c r="E280" s="99" t="s">
        <v>521</v>
      </c>
      <c r="F280" s="20">
        <f t="shared" si="4"/>
        <v>136318216</v>
      </c>
      <c r="G280" s="7" t="s">
        <v>330</v>
      </c>
      <c r="H280" s="24" t="s">
        <v>109</v>
      </c>
      <c r="I280" s="32" t="s">
        <v>152</v>
      </c>
    </row>
    <row r="281" spans="1:9" x14ac:dyDescent="0.35">
      <c r="A281" s="19">
        <v>45719</v>
      </c>
      <c r="B281" s="20"/>
      <c r="C281" s="20"/>
      <c r="D281" s="20">
        <v>100000</v>
      </c>
      <c r="E281" s="99" t="s">
        <v>521</v>
      </c>
      <c r="F281" s="20">
        <f t="shared" si="4"/>
        <v>136418216</v>
      </c>
      <c r="G281" s="7" t="s">
        <v>330</v>
      </c>
      <c r="H281" s="24" t="s">
        <v>109</v>
      </c>
      <c r="I281" s="32" t="s">
        <v>152</v>
      </c>
    </row>
    <row r="282" spans="1:9" x14ac:dyDescent="0.35">
      <c r="A282" s="19">
        <v>45719</v>
      </c>
      <c r="B282" s="20"/>
      <c r="C282" s="20"/>
      <c r="D282" s="20">
        <v>50000</v>
      </c>
      <c r="E282" s="99" t="s">
        <v>521</v>
      </c>
      <c r="F282" s="20">
        <f t="shared" si="4"/>
        <v>136468216</v>
      </c>
      <c r="G282" s="7" t="s">
        <v>330</v>
      </c>
      <c r="H282" s="24" t="s">
        <v>109</v>
      </c>
      <c r="I282" s="32" t="s">
        <v>152</v>
      </c>
    </row>
    <row r="283" spans="1:9" x14ac:dyDescent="0.35">
      <c r="A283" s="19">
        <v>45719</v>
      </c>
      <c r="B283" s="20"/>
      <c r="C283" s="20"/>
      <c r="D283" s="20">
        <v>25000</v>
      </c>
      <c r="E283" s="99" t="s">
        <v>521</v>
      </c>
      <c r="F283" s="20">
        <f t="shared" si="4"/>
        <v>136493216</v>
      </c>
      <c r="G283" s="7" t="s">
        <v>330</v>
      </c>
      <c r="H283" s="24" t="s">
        <v>109</v>
      </c>
      <c r="I283" s="32" t="s">
        <v>152</v>
      </c>
    </row>
    <row r="284" spans="1:9" x14ac:dyDescent="0.35">
      <c r="A284" s="19">
        <v>45719</v>
      </c>
      <c r="B284" s="20"/>
      <c r="C284" s="20"/>
      <c r="D284" s="20">
        <v>20000</v>
      </c>
      <c r="E284" s="99" t="s">
        <v>521</v>
      </c>
      <c r="F284" s="20">
        <f t="shared" si="4"/>
        <v>136513216</v>
      </c>
      <c r="G284" s="7" t="s">
        <v>330</v>
      </c>
      <c r="H284" s="24" t="s">
        <v>109</v>
      </c>
      <c r="I284" s="32" t="s">
        <v>152</v>
      </c>
    </row>
    <row r="285" spans="1:9" x14ac:dyDescent="0.35">
      <c r="A285" s="19">
        <v>45719</v>
      </c>
      <c r="B285" s="20"/>
      <c r="C285" s="20"/>
      <c r="D285" s="20">
        <v>10000</v>
      </c>
      <c r="E285" s="99" t="s">
        <v>521</v>
      </c>
      <c r="F285" s="20">
        <f t="shared" si="4"/>
        <v>136523216</v>
      </c>
      <c r="G285" s="7" t="s">
        <v>330</v>
      </c>
      <c r="H285" s="24" t="s">
        <v>109</v>
      </c>
      <c r="I285" s="32" t="s">
        <v>152</v>
      </c>
    </row>
    <row r="286" spans="1:9" x14ac:dyDescent="0.35">
      <c r="A286" s="19">
        <v>45719</v>
      </c>
      <c r="B286" s="20"/>
      <c r="C286" s="20"/>
      <c r="D286" s="20">
        <v>4000</v>
      </c>
      <c r="E286" s="99" t="s">
        <v>521</v>
      </c>
      <c r="F286" s="20">
        <f t="shared" si="4"/>
        <v>136527216</v>
      </c>
      <c r="G286" s="7" t="s">
        <v>330</v>
      </c>
      <c r="H286" s="24" t="s">
        <v>109</v>
      </c>
      <c r="I286" s="32" t="s">
        <v>152</v>
      </c>
    </row>
    <row r="287" spans="1:9" x14ac:dyDescent="0.35">
      <c r="A287" s="19">
        <v>45719</v>
      </c>
      <c r="B287" s="20"/>
      <c r="C287" s="20"/>
      <c r="D287" s="20">
        <v>500000</v>
      </c>
      <c r="E287" s="99" t="s">
        <v>521</v>
      </c>
      <c r="F287" s="20">
        <f t="shared" si="4"/>
        <v>137027216</v>
      </c>
      <c r="G287" s="7" t="s">
        <v>233</v>
      </c>
      <c r="H287" s="24" t="s">
        <v>109</v>
      </c>
      <c r="I287" s="32" t="s">
        <v>152</v>
      </c>
    </row>
    <row r="288" spans="1:9" x14ac:dyDescent="0.35">
      <c r="A288" s="19">
        <v>45719</v>
      </c>
      <c r="B288" s="20"/>
      <c r="C288" s="20"/>
      <c r="D288" s="23">
        <v>2885000</v>
      </c>
      <c r="E288" s="99" t="s">
        <v>521</v>
      </c>
      <c r="F288" s="20">
        <f t="shared" si="4"/>
        <v>139912216</v>
      </c>
      <c r="G288" s="24" t="s">
        <v>107</v>
      </c>
      <c r="H288" s="24" t="s">
        <v>107</v>
      </c>
      <c r="I288" s="32" t="s">
        <v>152</v>
      </c>
    </row>
    <row r="289" spans="1:9" x14ac:dyDescent="0.35">
      <c r="A289" s="19">
        <v>45719</v>
      </c>
      <c r="B289" s="20"/>
      <c r="C289" s="20"/>
      <c r="D289" s="23">
        <v>1322000</v>
      </c>
      <c r="E289" s="99" t="s">
        <v>521</v>
      </c>
      <c r="F289" s="20">
        <f t="shared" si="4"/>
        <v>141234216</v>
      </c>
      <c r="G289" s="24" t="s">
        <v>109</v>
      </c>
      <c r="H289" s="24" t="s">
        <v>109</v>
      </c>
      <c r="I289" s="32" t="s">
        <v>152</v>
      </c>
    </row>
    <row r="290" spans="1:9" x14ac:dyDescent="0.35">
      <c r="A290" s="19"/>
      <c r="B290" s="20"/>
      <c r="C290" s="20">
        <v>4207000</v>
      </c>
      <c r="D290" s="20"/>
      <c r="E290" s="99"/>
      <c r="F290" s="20">
        <f t="shared" si="4"/>
        <v>141234216</v>
      </c>
      <c r="G290" s="7" t="s">
        <v>305</v>
      </c>
      <c r="H290" s="24"/>
      <c r="I290" s="32"/>
    </row>
    <row r="291" spans="1:9" x14ac:dyDescent="0.35">
      <c r="A291" s="19">
        <v>45719</v>
      </c>
      <c r="B291" s="20"/>
      <c r="C291" s="20"/>
      <c r="D291" s="20">
        <v>200000</v>
      </c>
      <c r="E291" s="99" t="s">
        <v>521</v>
      </c>
      <c r="F291" s="20">
        <f t="shared" si="4"/>
        <v>141434216</v>
      </c>
      <c r="G291" s="7" t="s">
        <v>237</v>
      </c>
      <c r="H291" s="24" t="s">
        <v>109</v>
      </c>
      <c r="I291" s="32" t="s">
        <v>152</v>
      </c>
    </row>
    <row r="292" spans="1:9" x14ac:dyDescent="0.35">
      <c r="A292" s="19">
        <v>45720</v>
      </c>
      <c r="B292" s="20"/>
      <c r="C292" s="20"/>
      <c r="D292" s="20">
        <v>900000</v>
      </c>
      <c r="E292" s="99" t="s">
        <v>521</v>
      </c>
      <c r="F292" s="20">
        <f t="shared" si="4"/>
        <v>142334216</v>
      </c>
      <c r="G292" s="7" t="s">
        <v>334</v>
      </c>
      <c r="H292" s="24" t="s">
        <v>109</v>
      </c>
      <c r="I292" s="32" t="s">
        <v>152</v>
      </c>
    </row>
    <row r="293" spans="1:9" x14ac:dyDescent="0.35">
      <c r="A293" s="19">
        <v>45720</v>
      </c>
      <c r="B293" s="20"/>
      <c r="C293" s="20"/>
      <c r="D293" s="20">
        <v>300000</v>
      </c>
      <c r="E293" s="99" t="s">
        <v>521</v>
      </c>
      <c r="F293" s="20">
        <f t="shared" si="4"/>
        <v>142634216</v>
      </c>
      <c r="G293" s="7" t="s">
        <v>335</v>
      </c>
      <c r="H293" s="24" t="s">
        <v>109</v>
      </c>
      <c r="I293" s="32" t="s">
        <v>152</v>
      </c>
    </row>
    <row r="294" spans="1:9" x14ac:dyDescent="0.35">
      <c r="A294" s="19">
        <v>45720</v>
      </c>
      <c r="B294" s="20"/>
      <c r="C294" s="20"/>
      <c r="D294" s="20">
        <v>10000</v>
      </c>
      <c r="E294" s="99" t="s">
        <v>521</v>
      </c>
      <c r="F294" s="20">
        <f t="shared" si="4"/>
        <v>142644216</v>
      </c>
      <c r="G294" s="7" t="s">
        <v>330</v>
      </c>
      <c r="H294" s="24" t="s">
        <v>109</v>
      </c>
      <c r="I294" s="32" t="s">
        <v>152</v>
      </c>
    </row>
    <row r="295" spans="1:9" x14ac:dyDescent="0.35">
      <c r="A295" s="19">
        <v>45720</v>
      </c>
      <c r="B295" s="20"/>
      <c r="C295" s="20"/>
      <c r="D295" s="20">
        <v>5000</v>
      </c>
      <c r="E295" s="99" t="s">
        <v>521</v>
      </c>
      <c r="F295" s="20">
        <f t="shared" si="4"/>
        <v>142649216</v>
      </c>
      <c r="G295" s="7" t="s">
        <v>330</v>
      </c>
      <c r="H295" s="24" t="s">
        <v>109</v>
      </c>
      <c r="I295" s="32" t="s">
        <v>152</v>
      </c>
    </row>
    <row r="296" spans="1:9" x14ac:dyDescent="0.35">
      <c r="A296" s="19">
        <v>45720</v>
      </c>
      <c r="B296" s="20"/>
      <c r="C296" s="20"/>
      <c r="D296" s="20">
        <v>20000</v>
      </c>
      <c r="E296" s="99" t="s">
        <v>521</v>
      </c>
      <c r="F296" s="20">
        <f t="shared" si="4"/>
        <v>142669216</v>
      </c>
      <c r="G296" s="7" t="s">
        <v>330</v>
      </c>
      <c r="H296" s="24" t="s">
        <v>109</v>
      </c>
      <c r="I296" s="32" t="s">
        <v>152</v>
      </c>
    </row>
    <row r="297" spans="1:9" x14ac:dyDescent="0.35">
      <c r="A297" s="19">
        <v>45720</v>
      </c>
      <c r="B297" s="20"/>
      <c r="C297" s="20"/>
      <c r="D297" s="20">
        <v>50000</v>
      </c>
      <c r="E297" s="99" t="s">
        <v>521</v>
      </c>
      <c r="F297" s="20">
        <f t="shared" si="4"/>
        <v>142719216</v>
      </c>
      <c r="G297" s="7" t="s">
        <v>330</v>
      </c>
      <c r="H297" s="24" t="s">
        <v>109</v>
      </c>
      <c r="I297" s="32" t="s">
        <v>152</v>
      </c>
    </row>
    <row r="298" spans="1:9" x14ac:dyDescent="0.35">
      <c r="A298" s="19">
        <v>45720</v>
      </c>
      <c r="B298" s="20"/>
      <c r="C298" s="20"/>
      <c r="D298" s="20">
        <v>10000</v>
      </c>
      <c r="E298" s="99" t="s">
        <v>521</v>
      </c>
      <c r="F298" s="20">
        <f t="shared" si="4"/>
        <v>142729216</v>
      </c>
      <c r="G298" s="7" t="s">
        <v>330</v>
      </c>
      <c r="H298" s="24" t="s">
        <v>109</v>
      </c>
      <c r="I298" s="32" t="s">
        <v>152</v>
      </c>
    </row>
    <row r="299" spans="1:9" x14ac:dyDescent="0.35">
      <c r="A299" s="19">
        <v>45720</v>
      </c>
      <c r="B299" s="20"/>
      <c r="C299" s="20"/>
      <c r="D299" s="20">
        <v>10000</v>
      </c>
      <c r="E299" s="99" t="s">
        <v>521</v>
      </c>
      <c r="F299" s="20">
        <f t="shared" si="4"/>
        <v>142739216</v>
      </c>
      <c r="G299" s="7" t="s">
        <v>330</v>
      </c>
      <c r="H299" s="24" t="s">
        <v>109</v>
      </c>
      <c r="I299" s="32" t="s">
        <v>152</v>
      </c>
    </row>
    <row r="300" spans="1:9" x14ac:dyDescent="0.35">
      <c r="A300" s="19">
        <v>45720</v>
      </c>
      <c r="B300" s="20">
        <v>855000</v>
      </c>
      <c r="C300" s="20"/>
      <c r="D300" s="20"/>
      <c r="E300" s="99" t="s">
        <v>521</v>
      </c>
      <c r="F300" s="20">
        <f t="shared" si="4"/>
        <v>141884216</v>
      </c>
      <c r="G300" s="7" t="s">
        <v>336</v>
      </c>
      <c r="H300" s="24" t="s">
        <v>322</v>
      </c>
      <c r="I300" s="32" t="s">
        <v>152</v>
      </c>
    </row>
    <row r="301" spans="1:9" x14ac:dyDescent="0.35">
      <c r="A301" s="19">
        <v>45720</v>
      </c>
      <c r="B301" s="20">
        <v>2500</v>
      </c>
      <c r="C301" s="20"/>
      <c r="D301" s="20"/>
      <c r="E301" s="99" t="s">
        <v>521</v>
      </c>
      <c r="F301" s="20">
        <f t="shared" si="4"/>
        <v>141881716</v>
      </c>
      <c r="G301" s="7" t="s">
        <v>337</v>
      </c>
      <c r="H301" s="24" t="s">
        <v>322</v>
      </c>
      <c r="I301" s="32" t="s">
        <v>152</v>
      </c>
    </row>
    <row r="302" spans="1:9" x14ac:dyDescent="0.35">
      <c r="A302" s="19">
        <v>45720</v>
      </c>
      <c r="B302" s="20"/>
      <c r="C302" s="20"/>
      <c r="D302" s="20">
        <v>150000</v>
      </c>
      <c r="E302" s="99" t="s">
        <v>521</v>
      </c>
      <c r="F302" s="20">
        <f t="shared" si="4"/>
        <v>142031716</v>
      </c>
      <c r="G302" s="7" t="s">
        <v>338</v>
      </c>
      <c r="H302" s="24" t="s">
        <v>109</v>
      </c>
      <c r="I302" s="32" t="s">
        <v>152</v>
      </c>
    </row>
    <row r="303" spans="1:9" x14ac:dyDescent="0.35">
      <c r="A303" s="19">
        <v>45721</v>
      </c>
      <c r="B303" s="20"/>
      <c r="C303" s="20"/>
      <c r="D303" s="20">
        <v>1000000</v>
      </c>
      <c r="E303" s="99" t="s">
        <v>521</v>
      </c>
      <c r="F303" s="20">
        <f t="shared" si="4"/>
        <v>143031716</v>
      </c>
      <c r="G303" s="7" t="s">
        <v>339</v>
      </c>
      <c r="H303" s="24" t="s">
        <v>109</v>
      </c>
      <c r="I303" s="32" t="s">
        <v>152</v>
      </c>
    </row>
    <row r="304" spans="1:9" x14ac:dyDescent="0.35">
      <c r="A304" s="19">
        <v>45721</v>
      </c>
      <c r="B304" s="20">
        <v>1350000</v>
      </c>
      <c r="C304" s="20"/>
      <c r="D304" s="20"/>
      <c r="E304" s="99" t="s">
        <v>521</v>
      </c>
      <c r="F304" s="20">
        <f t="shared" si="4"/>
        <v>141681716</v>
      </c>
      <c r="G304" s="7" t="s">
        <v>340</v>
      </c>
      <c r="H304" s="24" t="s">
        <v>321</v>
      </c>
      <c r="I304" s="32" t="s">
        <v>152</v>
      </c>
    </row>
    <row r="305" spans="1:9" x14ac:dyDescent="0.35">
      <c r="A305" s="19">
        <v>45721</v>
      </c>
      <c r="B305" s="20">
        <v>2500</v>
      </c>
      <c r="C305" s="20"/>
      <c r="D305" s="20"/>
      <c r="E305" s="99" t="s">
        <v>521</v>
      </c>
      <c r="F305" s="20">
        <f t="shared" si="4"/>
        <v>141679216</v>
      </c>
      <c r="G305" s="7" t="s">
        <v>341</v>
      </c>
      <c r="H305" s="24" t="s">
        <v>321</v>
      </c>
      <c r="I305" s="32" t="s">
        <v>152</v>
      </c>
    </row>
    <row r="306" spans="1:9" x14ac:dyDescent="0.35">
      <c r="A306" s="19">
        <v>45721</v>
      </c>
      <c r="B306" s="20"/>
      <c r="C306" s="20"/>
      <c r="D306" s="20">
        <v>1000000</v>
      </c>
      <c r="E306" s="99" t="s">
        <v>521</v>
      </c>
      <c r="F306" s="20">
        <f t="shared" si="4"/>
        <v>142679216</v>
      </c>
      <c r="G306" s="7" t="s">
        <v>342</v>
      </c>
      <c r="H306" s="24" t="s">
        <v>109</v>
      </c>
      <c r="I306" s="32" t="s">
        <v>152</v>
      </c>
    </row>
    <row r="307" spans="1:9" x14ac:dyDescent="0.35">
      <c r="A307" s="19">
        <v>45721</v>
      </c>
      <c r="B307" s="20"/>
      <c r="C307" s="20"/>
      <c r="D307" s="20">
        <v>10000</v>
      </c>
      <c r="E307" s="99" t="s">
        <v>521</v>
      </c>
      <c r="F307" s="20">
        <f t="shared" si="4"/>
        <v>142689216</v>
      </c>
      <c r="G307" s="7" t="s">
        <v>330</v>
      </c>
      <c r="H307" s="24" t="s">
        <v>109</v>
      </c>
      <c r="I307" s="32" t="s">
        <v>152</v>
      </c>
    </row>
    <row r="308" spans="1:9" x14ac:dyDescent="0.35">
      <c r="A308" s="19">
        <v>45721</v>
      </c>
      <c r="B308" s="20"/>
      <c r="C308" s="20"/>
      <c r="D308" s="20">
        <v>100000</v>
      </c>
      <c r="E308" s="99" t="s">
        <v>521</v>
      </c>
      <c r="F308" s="20">
        <f t="shared" si="4"/>
        <v>142789216</v>
      </c>
      <c r="G308" s="7" t="s">
        <v>330</v>
      </c>
      <c r="H308" s="24" t="s">
        <v>109</v>
      </c>
      <c r="I308" s="32" t="s">
        <v>152</v>
      </c>
    </row>
    <row r="309" spans="1:9" x14ac:dyDescent="0.35">
      <c r="A309" s="19">
        <v>45721</v>
      </c>
      <c r="B309" s="20"/>
      <c r="C309" s="20"/>
      <c r="D309" s="20">
        <v>20000</v>
      </c>
      <c r="E309" s="99" t="s">
        <v>521</v>
      </c>
      <c r="F309" s="20">
        <f t="shared" si="4"/>
        <v>142809216</v>
      </c>
      <c r="G309" s="7" t="s">
        <v>330</v>
      </c>
      <c r="H309" s="24" t="s">
        <v>109</v>
      </c>
      <c r="I309" s="32" t="s">
        <v>152</v>
      </c>
    </row>
    <row r="310" spans="1:9" x14ac:dyDescent="0.35">
      <c r="A310" s="19">
        <v>45721</v>
      </c>
      <c r="B310" s="20"/>
      <c r="C310" s="20"/>
      <c r="D310" s="20">
        <v>25000</v>
      </c>
      <c r="E310" s="99" t="s">
        <v>521</v>
      </c>
      <c r="F310" s="20">
        <f t="shared" si="4"/>
        <v>142834216</v>
      </c>
      <c r="G310" s="7" t="s">
        <v>330</v>
      </c>
      <c r="H310" s="24" t="s">
        <v>109</v>
      </c>
      <c r="I310" s="32" t="s">
        <v>152</v>
      </c>
    </row>
    <row r="311" spans="1:9" x14ac:dyDescent="0.35">
      <c r="A311" s="19">
        <v>45721</v>
      </c>
      <c r="B311" s="20"/>
      <c r="C311" s="20"/>
      <c r="D311" s="20">
        <v>10000</v>
      </c>
      <c r="E311" s="99" t="s">
        <v>521</v>
      </c>
      <c r="F311" s="20">
        <f t="shared" si="4"/>
        <v>142844216</v>
      </c>
      <c r="G311" s="7" t="s">
        <v>330</v>
      </c>
      <c r="H311" s="24" t="s">
        <v>109</v>
      </c>
      <c r="I311" s="32" t="s">
        <v>152</v>
      </c>
    </row>
    <row r="312" spans="1:9" x14ac:dyDescent="0.35">
      <c r="A312" s="19">
        <v>45721</v>
      </c>
      <c r="B312" s="20"/>
      <c r="C312" s="20"/>
      <c r="D312" s="20">
        <v>50000</v>
      </c>
      <c r="E312" s="99" t="s">
        <v>521</v>
      </c>
      <c r="F312" s="20">
        <f t="shared" si="4"/>
        <v>142894216</v>
      </c>
      <c r="G312" s="7" t="s">
        <v>330</v>
      </c>
      <c r="H312" s="24" t="s">
        <v>109</v>
      </c>
      <c r="I312" s="32" t="s">
        <v>152</v>
      </c>
    </row>
    <row r="313" spans="1:9" x14ac:dyDescent="0.35">
      <c r="A313" s="19">
        <v>45721</v>
      </c>
      <c r="B313" s="20"/>
      <c r="C313" s="20"/>
      <c r="D313" s="20">
        <v>4341</v>
      </c>
      <c r="E313" s="99" t="s">
        <v>521</v>
      </c>
      <c r="F313" s="20">
        <f t="shared" si="4"/>
        <v>142898557</v>
      </c>
      <c r="G313" s="7" t="s">
        <v>330</v>
      </c>
      <c r="H313" s="24" t="s">
        <v>109</v>
      </c>
      <c r="I313" s="32" t="s">
        <v>152</v>
      </c>
    </row>
    <row r="314" spans="1:9" x14ac:dyDescent="0.35">
      <c r="A314" s="19">
        <v>45721</v>
      </c>
      <c r="B314" s="20"/>
      <c r="C314" s="20"/>
      <c r="D314" s="20">
        <v>16000</v>
      </c>
      <c r="E314" s="99" t="s">
        <v>521</v>
      </c>
      <c r="F314" s="20">
        <f t="shared" si="4"/>
        <v>142914557</v>
      </c>
      <c r="G314" s="7" t="s">
        <v>330</v>
      </c>
      <c r="H314" s="24" t="s">
        <v>109</v>
      </c>
      <c r="I314" s="32" t="s">
        <v>152</v>
      </c>
    </row>
    <row r="315" spans="1:9" x14ac:dyDescent="0.35">
      <c r="A315" s="19">
        <v>45721</v>
      </c>
      <c r="B315" s="20"/>
      <c r="C315" s="20"/>
      <c r="D315" s="20">
        <v>216</v>
      </c>
      <c r="E315" s="99" t="s">
        <v>521</v>
      </c>
      <c r="F315" s="20">
        <f t="shared" si="4"/>
        <v>142914773</v>
      </c>
      <c r="G315" s="7" t="s">
        <v>330</v>
      </c>
      <c r="H315" s="24" t="s">
        <v>109</v>
      </c>
      <c r="I315" s="32" t="s">
        <v>152</v>
      </c>
    </row>
    <row r="316" spans="1:9" x14ac:dyDescent="0.35">
      <c r="A316" s="19">
        <v>45721</v>
      </c>
      <c r="B316" s="20">
        <v>500000</v>
      </c>
      <c r="C316" s="20"/>
      <c r="D316" s="20"/>
      <c r="E316" s="99" t="s">
        <v>521</v>
      </c>
      <c r="F316" s="20">
        <f t="shared" si="4"/>
        <v>142414773</v>
      </c>
      <c r="G316" s="7" t="s">
        <v>343</v>
      </c>
      <c r="H316" s="24" t="s">
        <v>322</v>
      </c>
      <c r="I316" s="32" t="s">
        <v>152</v>
      </c>
    </row>
    <row r="317" spans="1:9" x14ac:dyDescent="0.35">
      <c r="A317" s="19">
        <v>45721</v>
      </c>
      <c r="B317" s="20">
        <v>2500</v>
      </c>
      <c r="C317" s="20"/>
      <c r="D317" s="20"/>
      <c r="E317" s="99" t="s">
        <v>521</v>
      </c>
      <c r="F317" s="20">
        <f t="shared" si="4"/>
        <v>142412273</v>
      </c>
      <c r="G317" s="7" t="s">
        <v>344</v>
      </c>
      <c r="H317" s="24" t="s">
        <v>322</v>
      </c>
      <c r="I317" s="32" t="s">
        <v>152</v>
      </c>
    </row>
    <row r="318" spans="1:9" x14ac:dyDescent="0.35">
      <c r="A318" s="19">
        <v>45721</v>
      </c>
      <c r="B318" s="20"/>
      <c r="C318" s="20"/>
      <c r="D318" s="20">
        <v>600000</v>
      </c>
      <c r="E318" s="99" t="s">
        <v>521</v>
      </c>
      <c r="F318" s="20">
        <f t="shared" si="4"/>
        <v>143012273</v>
      </c>
      <c r="G318" s="7" t="s">
        <v>345</v>
      </c>
      <c r="H318" s="24" t="s">
        <v>109</v>
      </c>
      <c r="I318" s="32" t="s">
        <v>152</v>
      </c>
    </row>
    <row r="319" spans="1:9" x14ac:dyDescent="0.35">
      <c r="A319" s="19">
        <v>45721</v>
      </c>
      <c r="B319" s="20"/>
      <c r="C319" s="20"/>
      <c r="D319" s="20">
        <v>78000</v>
      </c>
      <c r="E319" s="99" t="s">
        <v>521</v>
      </c>
      <c r="F319" s="20">
        <f t="shared" si="4"/>
        <v>143090273</v>
      </c>
      <c r="G319" s="7" t="s">
        <v>346</v>
      </c>
      <c r="H319" s="24" t="s">
        <v>109</v>
      </c>
      <c r="I319" s="32" t="s">
        <v>152</v>
      </c>
    </row>
    <row r="320" spans="1:9" x14ac:dyDescent="0.35">
      <c r="A320" s="19">
        <v>45722</v>
      </c>
      <c r="B320" s="20"/>
      <c r="C320" s="20"/>
      <c r="D320" s="20">
        <v>10000000</v>
      </c>
      <c r="E320" s="99" t="s">
        <v>521</v>
      </c>
      <c r="F320" s="20">
        <f t="shared" si="4"/>
        <v>153090273</v>
      </c>
      <c r="G320" s="7" t="s">
        <v>347</v>
      </c>
      <c r="H320" s="24" t="s">
        <v>105</v>
      </c>
      <c r="I320" s="32" t="s">
        <v>152</v>
      </c>
    </row>
    <row r="321" spans="1:9" x14ac:dyDescent="0.35">
      <c r="A321" s="19">
        <v>45722</v>
      </c>
      <c r="B321" s="20"/>
      <c r="C321" s="20"/>
      <c r="D321" s="20">
        <v>540000</v>
      </c>
      <c r="E321" s="99" t="s">
        <v>521</v>
      </c>
      <c r="F321" s="20">
        <f t="shared" si="4"/>
        <v>153630273</v>
      </c>
      <c r="G321" s="7" t="s">
        <v>330</v>
      </c>
      <c r="H321" s="24" t="s">
        <v>109</v>
      </c>
      <c r="I321" s="32" t="s">
        <v>152</v>
      </c>
    </row>
    <row r="322" spans="1:9" x14ac:dyDescent="0.35">
      <c r="A322" s="19">
        <v>45722</v>
      </c>
      <c r="B322" s="20"/>
      <c r="C322" s="20"/>
      <c r="D322" s="20">
        <v>100000</v>
      </c>
      <c r="E322" s="99" t="s">
        <v>521</v>
      </c>
      <c r="F322" s="20">
        <f t="shared" si="4"/>
        <v>153730273</v>
      </c>
      <c r="G322" s="7" t="s">
        <v>330</v>
      </c>
      <c r="H322" s="24" t="s">
        <v>109</v>
      </c>
      <c r="I322" s="32" t="s">
        <v>152</v>
      </c>
    </row>
    <row r="323" spans="1:9" x14ac:dyDescent="0.35">
      <c r="A323" s="19">
        <v>45722</v>
      </c>
      <c r="B323" s="20"/>
      <c r="C323" s="20"/>
      <c r="D323" s="20">
        <v>50000</v>
      </c>
      <c r="E323" s="99" t="s">
        <v>521</v>
      </c>
      <c r="F323" s="20">
        <f t="shared" si="4"/>
        <v>153780273</v>
      </c>
      <c r="G323" s="7" t="s">
        <v>330</v>
      </c>
      <c r="H323" s="24" t="s">
        <v>109</v>
      </c>
      <c r="I323" s="32" t="s">
        <v>152</v>
      </c>
    </row>
    <row r="324" spans="1:9" x14ac:dyDescent="0.35">
      <c r="A324" s="19">
        <v>45722</v>
      </c>
      <c r="B324" s="20"/>
      <c r="C324" s="20"/>
      <c r="D324" s="20">
        <v>10000</v>
      </c>
      <c r="E324" s="99" t="s">
        <v>521</v>
      </c>
      <c r="F324" s="20">
        <f t="shared" si="4"/>
        <v>153790273</v>
      </c>
      <c r="G324" s="7" t="s">
        <v>330</v>
      </c>
      <c r="H324" s="24" t="s">
        <v>109</v>
      </c>
      <c r="I324" s="32" t="s">
        <v>152</v>
      </c>
    </row>
    <row r="325" spans="1:9" x14ac:dyDescent="0.35">
      <c r="A325" s="19">
        <v>45722</v>
      </c>
      <c r="B325" s="20"/>
      <c r="C325" s="20"/>
      <c r="D325" s="20">
        <v>10000</v>
      </c>
      <c r="E325" s="99" t="s">
        <v>521</v>
      </c>
      <c r="F325" s="20">
        <f t="shared" si="4"/>
        <v>153800273</v>
      </c>
      <c r="G325" s="7" t="s">
        <v>330</v>
      </c>
      <c r="H325" s="24" t="s">
        <v>109</v>
      </c>
      <c r="I325" s="32" t="s">
        <v>152</v>
      </c>
    </row>
    <row r="326" spans="1:9" x14ac:dyDescent="0.35">
      <c r="A326" s="19">
        <v>45722</v>
      </c>
      <c r="B326" s="20"/>
      <c r="C326" s="20"/>
      <c r="D326" s="20">
        <v>100000</v>
      </c>
      <c r="E326" s="99" t="s">
        <v>521</v>
      </c>
      <c r="F326" s="20">
        <f t="shared" si="4"/>
        <v>153900273</v>
      </c>
      <c r="G326" s="7" t="s">
        <v>330</v>
      </c>
      <c r="H326" s="24" t="s">
        <v>109</v>
      </c>
      <c r="I326" s="32" t="s">
        <v>152</v>
      </c>
    </row>
    <row r="327" spans="1:9" x14ac:dyDescent="0.35">
      <c r="A327" s="19">
        <v>45722</v>
      </c>
      <c r="B327" s="20"/>
      <c r="C327" s="20"/>
      <c r="D327" s="20">
        <v>5000</v>
      </c>
      <c r="E327" s="99" t="s">
        <v>521</v>
      </c>
      <c r="F327" s="20">
        <f t="shared" si="4"/>
        <v>153905273</v>
      </c>
      <c r="G327" s="7" t="s">
        <v>330</v>
      </c>
      <c r="H327" s="24" t="s">
        <v>109</v>
      </c>
      <c r="I327" s="32" t="s">
        <v>152</v>
      </c>
    </row>
    <row r="328" spans="1:9" x14ac:dyDescent="0.35">
      <c r="A328" s="19">
        <v>45722</v>
      </c>
      <c r="B328" s="20"/>
      <c r="C328" s="20"/>
      <c r="D328" s="20">
        <v>50000</v>
      </c>
      <c r="E328" s="99" t="s">
        <v>521</v>
      </c>
      <c r="F328" s="20">
        <f t="shared" si="4"/>
        <v>153955273</v>
      </c>
      <c r="G328" s="7" t="s">
        <v>330</v>
      </c>
      <c r="H328" s="24" t="s">
        <v>109</v>
      </c>
      <c r="I328" s="32" t="s">
        <v>152</v>
      </c>
    </row>
    <row r="329" spans="1:9" x14ac:dyDescent="0.35">
      <c r="A329" s="19">
        <v>45722</v>
      </c>
      <c r="B329" s="20"/>
      <c r="C329" s="20"/>
      <c r="D329" s="20">
        <v>100000</v>
      </c>
      <c r="E329" s="99" t="s">
        <v>521</v>
      </c>
      <c r="F329" s="20">
        <f t="shared" si="4"/>
        <v>154055273</v>
      </c>
      <c r="G329" s="7" t="s">
        <v>348</v>
      </c>
      <c r="H329" s="24" t="s">
        <v>109</v>
      </c>
      <c r="I329" s="32" t="s">
        <v>152</v>
      </c>
    </row>
    <row r="330" spans="1:9" x14ac:dyDescent="0.35">
      <c r="A330" s="19">
        <v>45722</v>
      </c>
      <c r="B330" s="20"/>
      <c r="C330" s="20"/>
      <c r="D330" s="20">
        <v>400000</v>
      </c>
      <c r="E330" s="99" t="s">
        <v>521</v>
      </c>
      <c r="F330" s="20">
        <f t="shared" ref="F330:F393" si="5">+F329+D330-B330</f>
        <v>154455273</v>
      </c>
      <c r="G330" s="7" t="s">
        <v>238</v>
      </c>
      <c r="H330" s="24" t="s">
        <v>109</v>
      </c>
      <c r="I330" s="32" t="s">
        <v>152</v>
      </c>
    </row>
    <row r="331" spans="1:9" x14ac:dyDescent="0.35">
      <c r="A331" s="19">
        <v>45722</v>
      </c>
      <c r="B331" s="20"/>
      <c r="C331" s="20"/>
      <c r="D331" s="20">
        <v>50000</v>
      </c>
      <c r="E331" s="99" t="s">
        <v>521</v>
      </c>
      <c r="F331" s="20">
        <f t="shared" si="5"/>
        <v>154505273</v>
      </c>
      <c r="G331" s="7" t="s">
        <v>349</v>
      </c>
      <c r="H331" s="24" t="s">
        <v>109</v>
      </c>
      <c r="I331" s="32" t="s">
        <v>152</v>
      </c>
    </row>
    <row r="332" spans="1:9" x14ac:dyDescent="0.35">
      <c r="A332" s="19">
        <v>45723</v>
      </c>
      <c r="B332" s="20"/>
      <c r="C332" s="20"/>
      <c r="D332" s="20">
        <v>2000000</v>
      </c>
      <c r="E332" s="99" t="s">
        <v>521</v>
      </c>
      <c r="F332" s="20">
        <f t="shared" si="5"/>
        <v>156505273</v>
      </c>
      <c r="G332" s="7" t="s">
        <v>350</v>
      </c>
      <c r="H332" s="24" t="s">
        <v>109</v>
      </c>
      <c r="I332" s="32" t="s">
        <v>152</v>
      </c>
    </row>
    <row r="333" spans="1:9" x14ac:dyDescent="0.35">
      <c r="A333" s="19">
        <v>45723</v>
      </c>
      <c r="B333" s="20"/>
      <c r="C333" s="20"/>
      <c r="D333" s="20">
        <v>50000</v>
      </c>
      <c r="E333" s="99" t="s">
        <v>521</v>
      </c>
      <c r="F333" s="20">
        <f t="shared" si="5"/>
        <v>156555273</v>
      </c>
      <c r="G333" s="7" t="s">
        <v>330</v>
      </c>
      <c r="H333" s="24" t="s">
        <v>109</v>
      </c>
      <c r="I333" s="32" t="s">
        <v>152</v>
      </c>
    </row>
    <row r="334" spans="1:9" x14ac:dyDescent="0.35">
      <c r="A334" s="19">
        <v>45723</v>
      </c>
      <c r="B334" s="20"/>
      <c r="C334" s="20"/>
      <c r="D334" s="20">
        <v>50000</v>
      </c>
      <c r="E334" s="99" t="s">
        <v>521</v>
      </c>
      <c r="F334" s="20">
        <f t="shared" si="5"/>
        <v>156605273</v>
      </c>
      <c r="G334" s="7" t="s">
        <v>330</v>
      </c>
      <c r="H334" s="24" t="s">
        <v>109</v>
      </c>
      <c r="I334" s="32" t="s">
        <v>152</v>
      </c>
    </row>
    <row r="335" spans="1:9" x14ac:dyDescent="0.35">
      <c r="A335" s="19">
        <v>45723</v>
      </c>
      <c r="B335" s="20"/>
      <c r="C335" s="20"/>
      <c r="D335" s="20">
        <v>50000</v>
      </c>
      <c r="E335" s="99" t="s">
        <v>521</v>
      </c>
      <c r="F335" s="20">
        <f t="shared" si="5"/>
        <v>156655273</v>
      </c>
      <c r="G335" s="7" t="s">
        <v>330</v>
      </c>
      <c r="H335" s="24" t="s">
        <v>109</v>
      </c>
      <c r="I335" s="32" t="s">
        <v>152</v>
      </c>
    </row>
    <row r="336" spans="1:9" x14ac:dyDescent="0.35">
      <c r="A336" s="19">
        <v>45723</v>
      </c>
      <c r="B336" s="20"/>
      <c r="C336" s="20"/>
      <c r="D336" s="20">
        <v>100000</v>
      </c>
      <c r="E336" s="99" t="s">
        <v>521</v>
      </c>
      <c r="F336" s="20">
        <f t="shared" si="5"/>
        <v>156755273</v>
      </c>
      <c r="G336" s="7" t="s">
        <v>330</v>
      </c>
      <c r="H336" s="24" t="s">
        <v>109</v>
      </c>
      <c r="I336" s="32" t="s">
        <v>152</v>
      </c>
    </row>
    <row r="337" spans="1:9" x14ac:dyDescent="0.35">
      <c r="A337" s="19">
        <v>45723</v>
      </c>
      <c r="B337" s="20"/>
      <c r="C337" s="20"/>
      <c r="D337" s="20">
        <v>100000</v>
      </c>
      <c r="E337" s="99" t="s">
        <v>521</v>
      </c>
      <c r="F337" s="20">
        <f t="shared" si="5"/>
        <v>156855273</v>
      </c>
      <c r="G337" s="7" t="s">
        <v>330</v>
      </c>
      <c r="H337" s="24" t="s">
        <v>109</v>
      </c>
      <c r="I337" s="32" t="s">
        <v>152</v>
      </c>
    </row>
    <row r="338" spans="1:9" x14ac:dyDescent="0.35">
      <c r="A338" s="19">
        <v>45723</v>
      </c>
      <c r="B338" s="20"/>
      <c r="C338" s="20"/>
      <c r="D338" s="20">
        <v>100000</v>
      </c>
      <c r="E338" s="99" t="s">
        <v>521</v>
      </c>
      <c r="F338" s="20">
        <f t="shared" si="5"/>
        <v>156955273</v>
      </c>
      <c r="G338" s="7" t="s">
        <v>330</v>
      </c>
      <c r="H338" s="24" t="s">
        <v>109</v>
      </c>
      <c r="I338" s="32" t="s">
        <v>152</v>
      </c>
    </row>
    <row r="339" spans="1:9" x14ac:dyDescent="0.35">
      <c r="A339" s="19">
        <v>45723</v>
      </c>
      <c r="B339" s="20"/>
      <c r="C339" s="20"/>
      <c r="D339" s="20">
        <v>10000</v>
      </c>
      <c r="E339" s="99" t="s">
        <v>521</v>
      </c>
      <c r="F339" s="20">
        <f t="shared" si="5"/>
        <v>156965273</v>
      </c>
      <c r="G339" s="7" t="s">
        <v>330</v>
      </c>
      <c r="H339" s="24" t="s">
        <v>109</v>
      </c>
      <c r="I339" s="32" t="s">
        <v>152</v>
      </c>
    </row>
    <row r="340" spans="1:9" x14ac:dyDescent="0.35">
      <c r="A340" s="19">
        <v>45723</v>
      </c>
      <c r="B340" s="20"/>
      <c r="C340" s="20"/>
      <c r="D340" s="20">
        <v>50000</v>
      </c>
      <c r="E340" s="99" t="s">
        <v>521</v>
      </c>
      <c r="F340" s="20">
        <f t="shared" si="5"/>
        <v>157015273</v>
      </c>
      <c r="G340" s="7" t="s">
        <v>330</v>
      </c>
      <c r="H340" s="24" t="s">
        <v>109</v>
      </c>
      <c r="I340" s="32" t="s">
        <v>152</v>
      </c>
    </row>
    <row r="341" spans="1:9" x14ac:dyDescent="0.35">
      <c r="A341" s="19">
        <v>45723</v>
      </c>
      <c r="B341" s="20"/>
      <c r="C341" s="20"/>
      <c r="D341" s="20">
        <v>10000</v>
      </c>
      <c r="E341" s="99" t="s">
        <v>521</v>
      </c>
      <c r="F341" s="20">
        <f t="shared" si="5"/>
        <v>157025273</v>
      </c>
      <c r="G341" s="7" t="s">
        <v>330</v>
      </c>
      <c r="H341" s="24" t="s">
        <v>109</v>
      </c>
      <c r="I341" s="32" t="s">
        <v>152</v>
      </c>
    </row>
    <row r="342" spans="1:9" x14ac:dyDescent="0.35">
      <c r="A342" s="19">
        <v>45723</v>
      </c>
      <c r="B342" s="20"/>
      <c r="C342" s="20"/>
      <c r="D342" s="20">
        <v>100000</v>
      </c>
      <c r="E342" s="99" t="s">
        <v>521</v>
      </c>
      <c r="F342" s="20">
        <f t="shared" si="5"/>
        <v>157125273</v>
      </c>
      <c r="G342" s="7" t="s">
        <v>330</v>
      </c>
      <c r="H342" s="24" t="s">
        <v>109</v>
      </c>
      <c r="I342" s="32" t="s">
        <v>152</v>
      </c>
    </row>
    <row r="343" spans="1:9" x14ac:dyDescent="0.35">
      <c r="A343" s="19">
        <v>45723</v>
      </c>
      <c r="B343" s="20"/>
      <c r="C343" s="20"/>
      <c r="D343" s="20">
        <v>99359</v>
      </c>
      <c r="E343" s="99" t="s">
        <v>521</v>
      </c>
      <c r="F343" s="20">
        <f t="shared" si="5"/>
        <v>157224632</v>
      </c>
      <c r="G343" s="7" t="s">
        <v>330</v>
      </c>
      <c r="H343" s="24" t="s">
        <v>109</v>
      </c>
      <c r="I343" s="32" t="s">
        <v>152</v>
      </c>
    </row>
    <row r="344" spans="1:9" x14ac:dyDescent="0.35">
      <c r="A344" s="19">
        <v>45723</v>
      </c>
      <c r="B344" s="20"/>
      <c r="C344" s="20"/>
      <c r="D344" s="20">
        <v>25000</v>
      </c>
      <c r="E344" s="99" t="s">
        <v>521</v>
      </c>
      <c r="F344" s="20">
        <f t="shared" si="5"/>
        <v>157249632</v>
      </c>
      <c r="G344" s="7" t="s">
        <v>330</v>
      </c>
      <c r="H344" s="24" t="s">
        <v>109</v>
      </c>
      <c r="I344" s="32" t="s">
        <v>152</v>
      </c>
    </row>
    <row r="345" spans="1:9" x14ac:dyDescent="0.35">
      <c r="A345" s="19">
        <v>45723</v>
      </c>
      <c r="B345" s="20"/>
      <c r="C345" s="20"/>
      <c r="D345" s="20">
        <v>20000</v>
      </c>
      <c r="E345" s="99" t="s">
        <v>521</v>
      </c>
      <c r="F345" s="20">
        <f t="shared" si="5"/>
        <v>157269632</v>
      </c>
      <c r="G345" s="7" t="s">
        <v>330</v>
      </c>
      <c r="H345" s="24" t="s">
        <v>109</v>
      </c>
      <c r="I345" s="32" t="s">
        <v>152</v>
      </c>
    </row>
    <row r="346" spans="1:9" x14ac:dyDescent="0.35">
      <c r="A346" s="19">
        <v>45723</v>
      </c>
      <c r="B346" s="20"/>
      <c r="C346" s="20"/>
      <c r="D346" s="20">
        <v>4331</v>
      </c>
      <c r="E346" s="99" t="s">
        <v>521</v>
      </c>
      <c r="F346" s="20">
        <f t="shared" si="5"/>
        <v>157273963</v>
      </c>
      <c r="G346" s="7" t="s">
        <v>330</v>
      </c>
      <c r="H346" s="24" t="s">
        <v>109</v>
      </c>
      <c r="I346" s="32" t="s">
        <v>152</v>
      </c>
    </row>
    <row r="347" spans="1:9" x14ac:dyDescent="0.35">
      <c r="A347" s="19">
        <v>45723</v>
      </c>
      <c r="B347" s="20">
        <v>2000000</v>
      </c>
      <c r="C347" s="20"/>
      <c r="D347" s="20"/>
      <c r="E347" s="99" t="s">
        <v>521</v>
      </c>
      <c r="F347" s="20">
        <f t="shared" si="5"/>
        <v>155273963</v>
      </c>
      <c r="G347" s="7" t="s">
        <v>351</v>
      </c>
      <c r="H347" s="24" t="s">
        <v>323</v>
      </c>
      <c r="I347" s="32" t="s">
        <v>152</v>
      </c>
    </row>
    <row r="348" spans="1:9" x14ac:dyDescent="0.35">
      <c r="A348" s="19">
        <v>45723</v>
      </c>
      <c r="B348" s="20">
        <v>2500</v>
      </c>
      <c r="C348" s="20"/>
      <c r="D348" s="20"/>
      <c r="E348" s="99" t="s">
        <v>521</v>
      </c>
      <c r="F348" s="20">
        <f t="shared" si="5"/>
        <v>155271463</v>
      </c>
      <c r="G348" s="7" t="s">
        <v>352</v>
      </c>
      <c r="H348" s="24" t="s">
        <v>323</v>
      </c>
      <c r="I348" s="32" t="s">
        <v>152</v>
      </c>
    </row>
    <row r="349" spans="1:9" x14ac:dyDescent="0.35">
      <c r="A349" s="19">
        <v>45726</v>
      </c>
      <c r="B349" s="20">
        <v>1350000</v>
      </c>
      <c r="C349" s="20"/>
      <c r="D349" s="20"/>
      <c r="E349" s="99" t="s">
        <v>521</v>
      </c>
      <c r="F349" s="20">
        <f t="shared" si="5"/>
        <v>153921463</v>
      </c>
      <c r="G349" s="7" t="s">
        <v>368</v>
      </c>
      <c r="H349" s="24" t="s">
        <v>320</v>
      </c>
      <c r="I349" s="32" t="s">
        <v>152</v>
      </c>
    </row>
    <row r="350" spans="1:9" x14ac:dyDescent="0.35">
      <c r="A350" s="19">
        <v>45726</v>
      </c>
      <c r="B350" s="20"/>
      <c r="C350" s="20"/>
      <c r="D350" s="20">
        <v>250000</v>
      </c>
      <c r="E350" s="99" t="s">
        <v>521</v>
      </c>
      <c r="F350" s="20">
        <f t="shared" si="5"/>
        <v>154171463</v>
      </c>
      <c r="G350" s="7" t="s">
        <v>369</v>
      </c>
      <c r="H350" s="24" t="s">
        <v>109</v>
      </c>
      <c r="I350" s="32" t="s">
        <v>152</v>
      </c>
    </row>
    <row r="351" spans="1:9" x14ac:dyDescent="0.35">
      <c r="A351" s="19">
        <v>45726</v>
      </c>
      <c r="B351" s="20"/>
      <c r="C351" s="20"/>
      <c r="D351" s="20">
        <v>50000</v>
      </c>
      <c r="E351" s="99" t="s">
        <v>521</v>
      </c>
      <c r="F351" s="20">
        <f t="shared" si="5"/>
        <v>154221463</v>
      </c>
      <c r="G351" s="7" t="s">
        <v>369</v>
      </c>
      <c r="H351" s="24" t="s">
        <v>109</v>
      </c>
      <c r="I351" s="32" t="s">
        <v>152</v>
      </c>
    </row>
    <row r="352" spans="1:9" x14ac:dyDescent="0.35">
      <c r="A352" s="19">
        <v>45726</v>
      </c>
      <c r="B352" s="20"/>
      <c r="C352" s="20"/>
      <c r="D352" s="20">
        <v>50000</v>
      </c>
      <c r="E352" s="99" t="s">
        <v>521</v>
      </c>
      <c r="F352" s="20">
        <f t="shared" si="5"/>
        <v>154271463</v>
      </c>
      <c r="G352" s="7" t="s">
        <v>369</v>
      </c>
      <c r="H352" s="24" t="s">
        <v>109</v>
      </c>
      <c r="I352" s="32" t="s">
        <v>152</v>
      </c>
    </row>
    <row r="353" spans="1:9" x14ac:dyDescent="0.35">
      <c r="A353" s="19">
        <v>45726</v>
      </c>
      <c r="B353" s="20"/>
      <c r="C353" s="20"/>
      <c r="D353" s="20">
        <v>50000</v>
      </c>
      <c r="E353" s="99" t="s">
        <v>521</v>
      </c>
      <c r="F353" s="20">
        <f t="shared" si="5"/>
        <v>154321463</v>
      </c>
      <c r="G353" s="7" t="s">
        <v>369</v>
      </c>
      <c r="H353" s="24" t="s">
        <v>109</v>
      </c>
      <c r="I353" s="32" t="s">
        <v>152</v>
      </c>
    </row>
    <row r="354" spans="1:9" x14ac:dyDescent="0.35">
      <c r="A354" s="19">
        <v>45726</v>
      </c>
      <c r="B354" s="20"/>
      <c r="C354" s="20"/>
      <c r="D354" s="20">
        <v>100000</v>
      </c>
      <c r="E354" s="99" t="s">
        <v>521</v>
      </c>
      <c r="F354" s="20">
        <f t="shared" si="5"/>
        <v>154421463</v>
      </c>
      <c r="G354" s="7" t="s">
        <v>369</v>
      </c>
      <c r="H354" s="24" t="s">
        <v>109</v>
      </c>
      <c r="I354" s="32" t="s">
        <v>152</v>
      </c>
    </row>
    <row r="355" spans="1:9" x14ac:dyDescent="0.35">
      <c r="A355" s="19">
        <v>45726</v>
      </c>
      <c r="B355" s="20"/>
      <c r="C355" s="20"/>
      <c r="D355" s="20">
        <v>25000</v>
      </c>
      <c r="E355" s="99" t="s">
        <v>521</v>
      </c>
      <c r="F355" s="20">
        <f t="shared" si="5"/>
        <v>154446463</v>
      </c>
      <c r="G355" s="7" t="s">
        <v>369</v>
      </c>
      <c r="H355" s="24" t="s">
        <v>109</v>
      </c>
      <c r="I355" s="32" t="s">
        <v>152</v>
      </c>
    </row>
    <row r="356" spans="1:9" x14ac:dyDescent="0.35">
      <c r="A356" s="19">
        <v>45726</v>
      </c>
      <c r="B356" s="20"/>
      <c r="C356" s="20"/>
      <c r="D356" s="20">
        <v>10000</v>
      </c>
      <c r="E356" s="99" t="s">
        <v>521</v>
      </c>
      <c r="F356" s="20">
        <f t="shared" si="5"/>
        <v>154456463</v>
      </c>
      <c r="G356" s="7" t="s">
        <v>369</v>
      </c>
      <c r="H356" s="24" t="s">
        <v>109</v>
      </c>
      <c r="I356" s="32" t="s">
        <v>152</v>
      </c>
    </row>
    <row r="357" spans="1:9" x14ac:dyDescent="0.35">
      <c r="A357" s="19">
        <v>45726</v>
      </c>
      <c r="B357" s="20"/>
      <c r="C357" s="20"/>
      <c r="D357" s="20">
        <v>50000</v>
      </c>
      <c r="E357" s="99" t="s">
        <v>521</v>
      </c>
      <c r="F357" s="20">
        <f t="shared" si="5"/>
        <v>154506463</v>
      </c>
      <c r="G357" s="7" t="s">
        <v>369</v>
      </c>
      <c r="H357" s="24" t="s">
        <v>109</v>
      </c>
      <c r="I357" s="32" t="s">
        <v>152</v>
      </c>
    </row>
    <row r="358" spans="1:9" x14ac:dyDescent="0.35">
      <c r="A358" s="19">
        <v>45726</v>
      </c>
      <c r="B358" s="20"/>
      <c r="C358" s="20"/>
      <c r="D358" s="20">
        <v>10000</v>
      </c>
      <c r="E358" s="99" t="s">
        <v>521</v>
      </c>
      <c r="F358" s="20">
        <f t="shared" si="5"/>
        <v>154516463</v>
      </c>
      <c r="G358" s="7" t="s">
        <v>369</v>
      </c>
      <c r="H358" s="24" t="s">
        <v>109</v>
      </c>
      <c r="I358" s="32" t="s">
        <v>152</v>
      </c>
    </row>
    <row r="359" spans="1:9" x14ac:dyDescent="0.35">
      <c r="A359" s="19">
        <v>45726</v>
      </c>
      <c r="B359" s="20"/>
      <c r="C359" s="20"/>
      <c r="D359" s="20">
        <v>20000</v>
      </c>
      <c r="E359" s="99" t="s">
        <v>521</v>
      </c>
      <c r="F359" s="20">
        <f t="shared" si="5"/>
        <v>154536463</v>
      </c>
      <c r="G359" s="7" t="s">
        <v>369</v>
      </c>
      <c r="H359" s="24" t="s">
        <v>109</v>
      </c>
      <c r="I359" s="32" t="s">
        <v>152</v>
      </c>
    </row>
    <row r="360" spans="1:9" x14ac:dyDescent="0.35">
      <c r="A360" s="19">
        <v>45726</v>
      </c>
      <c r="B360" s="20"/>
      <c r="C360" s="20"/>
      <c r="D360" s="20">
        <v>3000</v>
      </c>
      <c r="E360" s="99" t="s">
        <v>521</v>
      </c>
      <c r="F360" s="20">
        <f t="shared" si="5"/>
        <v>154539463</v>
      </c>
      <c r="G360" s="7" t="s">
        <v>369</v>
      </c>
      <c r="H360" s="24" t="s">
        <v>109</v>
      </c>
      <c r="I360" s="32" t="s">
        <v>152</v>
      </c>
    </row>
    <row r="361" spans="1:9" x14ac:dyDescent="0.35">
      <c r="A361" s="19">
        <v>45726</v>
      </c>
      <c r="B361" s="20"/>
      <c r="C361" s="20"/>
      <c r="D361" s="20">
        <v>916</v>
      </c>
      <c r="E361" s="99" t="s">
        <v>521</v>
      </c>
      <c r="F361" s="20">
        <f t="shared" si="5"/>
        <v>154540379</v>
      </c>
      <c r="G361" s="7" t="s">
        <v>369</v>
      </c>
      <c r="H361" s="24" t="s">
        <v>109</v>
      </c>
      <c r="I361" s="32" t="s">
        <v>152</v>
      </c>
    </row>
    <row r="362" spans="1:9" x14ac:dyDescent="0.35">
      <c r="A362" s="19">
        <v>45726</v>
      </c>
      <c r="B362" s="20">
        <v>750000</v>
      </c>
      <c r="C362" s="20"/>
      <c r="D362" s="20"/>
      <c r="E362" s="99" t="s">
        <v>521</v>
      </c>
      <c r="F362" s="20">
        <f t="shared" si="5"/>
        <v>153790379</v>
      </c>
      <c r="G362" s="7" t="s">
        <v>370</v>
      </c>
      <c r="H362" s="24" t="s">
        <v>323</v>
      </c>
      <c r="I362" s="32" t="s">
        <v>152</v>
      </c>
    </row>
    <row r="363" spans="1:9" x14ac:dyDescent="0.35">
      <c r="A363" s="19">
        <v>45726</v>
      </c>
      <c r="B363" s="20">
        <v>2500</v>
      </c>
      <c r="C363" s="20"/>
      <c r="D363" s="20"/>
      <c r="E363" s="99" t="s">
        <v>521</v>
      </c>
      <c r="F363" s="20">
        <f t="shared" si="5"/>
        <v>153787879</v>
      </c>
      <c r="G363" s="7" t="s">
        <v>371</v>
      </c>
      <c r="H363" s="24" t="s">
        <v>323</v>
      </c>
      <c r="I363" s="32" t="s">
        <v>152</v>
      </c>
    </row>
    <row r="364" spans="1:9" x14ac:dyDescent="0.35">
      <c r="A364" s="19">
        <v>45726</v>
      </c>
      <c r="B364" s="20"/>
      <c r="C364" s="20"/>
      <c r="D364" s="20">
        <v>400000</v>
      </c>
      <c r="E364" s="99" t="s">
        <v>521</v>
      </c>
      <c r="F364" s="20">
        <f t="shared" si="5"/>
        <v>154187879</v>
      </c>
      <c r="G364" s="7" t="s">
        <v>372</v>
      </c>
      <c r="H364" s="24" t="s">
        <v>109</v>
      </c>
      <c r="I364" s="32" t="s">
        <v>152</v>
      </c>
    </row>
    <row r="365" spans="1:9" x14ac:dyDescent="0.35">
      <c r="A365" s="19">
        <v>45726</v>
      </c>
      <c r="B365" s="20"/>
      <c r="C365" s="20"/>
      <c r="D365" s="20">
        <v>20000</v>
      </c>
      <c r="E365" s="99" t="s">
        <v>521</v>
      </c>
      <c r="F365" s="20">
        <f t="shared" si="5"/>
        <v>154207879</v>
      </c>
      <c r="G365" s="7" t="s">
        <v>369</v>
      </c>
      <c r="H365" s="24" t="s">
        <v>109</v>
      </c>
      <c r="I365" s="32" t="s">
        <v>152</v>
      </c>
    </row>
    <row r="366" spans="1:9" x14ac:dyDescent="0.35">
      <c r="A366" s="19">
        <v>45726</v>
      </c>
      <c r="B366" s="20"/>
      <c r="C366" s="20"/>
      <c r="D366" s="20">
        <v>25000</v>
      </c>
      <c r="E366" s="99" t="s">
        <v>521</v>
      </c>
      <c r="F366" s="20">
        <f t="shared" si="5"/>
        <v>154232879</v>
      </c>
      <c r="G366" s="7" t="s">
        <v>369</v>
      </c>
      <c r="H366" s="24" t="s">
        <v>109</v>
      </c>
      <c r="I366" s="32" t="s">
        <v>152</v>
      </c>
    </row>
    <row r="367" spans="1:9" x14ac:dyDescent="0.35">
      <c r="A367" s="19">
        <v>45726</v>
      </c>
      <c r="B367" s="20"/>
      <c r="C367" s="20"/>
      <c r="D367" s="20">
        <v>100000</v>
      </c>
      <c r="E367" s="99" t="s">
        <v>521</v>
      </c>
      <c r="F367" s="20">
        <f t="shared" si="5"/>
        <v>154332879</v>
      </c>
      <c r="G367" s="7" t="s">
        <v>369</v>
      </c>
      <c r="H367" s="24" t="s">
        <v>109</v>
      </c>
      <c r="I367" s="32" t="s">
        <v>152</v>
      </c>
    </row>
    <row r="368" spans="1:9" x14ac:dyDescent="0.35">
      <c r="A368" s="19">
        <v>45726</v>
      </c>
      <c r="B368" s="20"/>
      <c r="C368" s="20"/>
      <c r="D368" s="20">
        <v>50000</v>
      </c>
      <c r="E368" s="99" t="s">
        <v>521</v>
      </c>
      <c r="F368" s="20">
        <f t="shared" si="5"/>
        <v>154382879</v>
      </c>
      <c r="G368" s="7" t="s">
        <v>369</v>
      </c>
      <c r="H368" s="24" t="s">
        <v>109</v>
      </c>
      <c r="I368" s="32" t="s">
        <v>152</v>
      </c>
    </row>
    <row r="369" spans="1:9" x14ac:dyDescent="0.35">
      <c r="A369" s="19">
        <v>45726</v>
      </c>
      <c r="B369" s="20"/>
      <c r="C369" s="20"/>
      <c r="D369" s="20">
        <v>100000</v>
      </c>
      <c r="E369" s="99" t="s">
        <v>521</v>
      </c>
      <c r="F369" s="20">
        <f t="shared" si="5"/>
        <v>154482879</v>
      </c>
      <c r="G369" s="7" t="s">
        <v>369</v>
      </c>
      <c r="H369" s="24" t="s">
        <v>109</v>
      </c>
      <c r="I369" s="32" t="s">
        <v>152</v>
      </c>
    </row>
    <row r="370" spans="1:9" x14ac:dyDescent="0.35">
      <c r="A370" s="19">
        <v>45726</v>
      </c>
      <c r="B370" s="20"/>
      <c r="C370" s="20"/>
      <c r="D370" s="20">
        <v>25000</v>
      </c>
      <c r="E370" s="99" t="s">
        <v>521</v>
      </c>
      <c r="F370" s="20">
        <f t="shared" si="5"/>
        <v>154507879</v>
      </c>
      <c r="G370" s="7" t="s">
        <v>369</v>
      </c>
      <c r="H370" s="24" t="s">
        <v>109</v>
      </c>
      <c r="I370" s="32" t="s">
        <v>152</v>
      </c>
    </row>
    <row r="371" spans="1:9" x14ac:dyDescent="0.35">
      <c r="A371" s="19">
        <v>45726</v>
      </c>
      <c r="B371" s="20"/>
      <c r="C371" s="20"/>
      <c r="D371" s="20">
        <v>25000</v>
      </c>
      <c r="E371" s="99" t="s">
        <v>521</v>
      </c>
      <c r="F371" s="20">
        <f t="shared" si="5"/>
        <v>154532879</v>
      </c>
      <c r="G371" s="7" t="s">
        <v>369</v>
      </c>
      <c r="H371" s="24" t="s">
        <v>109</v>
      </c>
      <c r="I371" s="32" t="s">
        <v>152</v>
      </c>
    </row>
    <row r="372" spans="1:9" x14ac:dyDescent="0.35">
      <c r="A372" s="19">
        <v>45726</v>
      </c>
      <c r="B372" s="20"/>
      <c r="C372" s="20"/>
      <c r="D372" s="20">
        <v>50000</v>
      </c>
      <c r="E372" s="99" t="s">
        <v>521</v>
      </c>
      <c r="F372" s="20">
        <f t="shared" si="5"/>
        <v>154582879</v>
      </c>
      <c r="G372" s="7" t="s">
        <v>369</v>
      </c>
      <c r="H372" s="24" t="s">
        <v>109</v>
      </c>
      <c r="I372" s="32" t="s">
        <v>152</v>
      </c>
    </row>
    <row r="373" spans="1:9" x14ac:dyDescent="0.35">
      <c r="A373" s="19">
        <v>45726</v>
      </c>
      <c r="B373" s="20"/>
      <c r="C373" s="20"/>
      <c r="D373" s="20">
        <v>10000</v>
      </c>
      <c r="E373" s="99" t="s">
        <v>521</v>
      </c>
      <c r="F373" s="20">
        <f t="shared" si="5"/>
        <v>154592879</v>
      </c>
      <c r="G373" s="7" t="s">
        <v>369</v>
      </c>
      <c r="H373" s="24" t="s">
        <v>109</v>
      </c>
      <c r="I373" s="32" t="s">
        <v>152</v>
      </c>
    </row>
    <row r="374" spans="1:9" x14ac:dyDescent="0.35">
      <c r="A374" s="19">
        <v>45726</v>
      </c>
      <c r="B374" s="20"/>
      <c r="C374" s="20"/>
      <c r="D374" s="20">
        <v>100000</v>
      </c>
      <c r="E374" s="99" t="s">
        <v>521</v>
      </c>
      <c r="F374" s="20">
        <f t="shared" si="5"/>
        <v>154692879</v>
      </c>
      <c r="G374" s="7" t="s">
        <v>369</v>
      </c>
      <c r="H374" s="24" t="s">
        <v>109</v>
      </c>
      <c r="I374" s="32" t="s">
        <v>152</v>
      </c>
    </row>
    <row r="375" spans="1:9" x14ac:dyDescent="0.35">
      <c r="A375" s="19">
        <v>45726</v>
      </c>
      <c r="B375" s="20"/>
      <c r="C375" s="20"/>
      <c r="D375" s="20">
        <v>50000</v>
      </c>
      <c r="E375" s="99" t="s">
        <v>521</v>
      </c>
      <c r="F375" s="20">
        <f t="shared" si="5"/>
        <v>154742879</v>
      </c>
      <c r="G375" s="7" t="s">
        <v>369</v>
      </c>
      <c r="H375" s="24" t="s">
        <v>109</v>
      </c>
      <c r="I375" s="32" t="s">
        <v>152</v>
      </c>
    </row>
    <row r="376" spans="1:9" x14ac:dyDescent="0.35">
      <c r="A376" s="19">
        <v>45726</v>
      </c>
      <c r="B376" s="20"/>
      <c r="C376" s="20"/>
      <c r="D376" s="20">
        <v>100000</v>
      </c>
      <c r="E376" s="99" t="s">
        <v>521</v>
      </c>
      <c r="F376" s="20">
        <f t="shared" si="5"/>
        <v>154842879</v>
      </c>
      <c r="G376" s="7" t="s">
        <v>369</v>
      </c>
      <c r="H376" s="24" t="s">
        <v>109</v>
      </c>
      <c r="I376" s="32" t="s">
        <v>152</v>
      </c>
    </row>
    <row r="377" spans="1:9" x14ac:dyDescent="0.35">
      <c r="A377" s="19">
        <v>45726</v>
      </c>
      <c r="B377" s="20"/>
      <c r="C377" s="20"/>
      <c r="D377" s="20">
        <v>25000</v>
      </c>
      <c r="E377" s="99" t="s">
        <v>521</v>
      </c>
      <c r="F377" s="20">
        <f t="shared" si="5"/>
        <v>154867879</v>
      </c>
      <c r="G377" s="7" t="s">
        <v>369</v>
      </c>
      <c r="H377" s="24" t="s">
        <v>109</v>
      </c>
      <c r="I377" s="32" t="s">
        <v>152</v>
      </c>
    </row>
    <row r="378" spans="1:9" x14ac:dyDescent="0.35">
      <c r="A378" s="19">
        <v>45726</v>
      </c>
      <c r="B378" s="20"/>
      <c r="C378" s="20"/>
      <c r="D378" s="20">
        <v>200000</v>
      </c>
      <c r="E378" s="99" t="s">
        <v>521</v>
      </c>
      <c r="F378" s="20">
        <f t="shared" si="5"/>
        <v>155067879</v>
      </c>
      <c r="G378" s="7" t="s">
        <v>380</v>
      </c>
      <c r="H378" s="24" t="s">
        <v>109</v>
      </c>
      <c r="I378" s="32" t="s">
        <v>152</v>
      </c>
    </row>
    <row r="379" spans="1:9" x14ac:dyDescent="0.35">
      <c r="A379" s="19">
        <v>45726</v>
      </c>
      <c r="B379" s="20"/>
      <c r="C379" s="20"/>
      <c r="D379" s="20">
        <v>20000</v>
      </c>
      <c r="E379" s="99" t="s">
        <v>521</v>
      </c>
      <c r="F379" s="20">
        <f t="shared" si="5"/>
        <v>155087879</v>
      </c>
      <c r="G379" s="7" t="s">
        <v>369</v>
      </c>
      <c r="H379" s="24" t="s">
        <v>109</v>
      </c>
      <c r="I379" s="32" t="s">
        <v>152</v>
      </c>
    </row>
    <row r="380" spans="1:9" x14ac:dyDescent="0.35">
      <c r="A380" s="19">
        <v>45726</v>
      </c>
      <c r="B380" s="20"/>
      <c r="C380" s="20"/>
      <c r="D380" s="20">
        <v>100000</v>
      </c>
      <c r="E380" s="99" t="s">
        <v>521</v>
      </c>
      <c r="F380" s="20">
        <f t="shared" si="5"/>
        <v>155187879</v>
      </c>
      <c r="G380" s="7" t="s">
        <v>369</v>
      </c>
      <c r="H380" s="24" t="s">
        <v>109</v>
      </c>
      <c r="I380" s="32" t="s">
        <v>152</v>
      </c>
    </row>
    <row r="381" spans="1:9" x14ac:dyDescent="0.35">
      <c r="A381" s="19">
        <v>45726</v>
      </c>
      <c r="B381" s="20"/>
      <c r="C381" s="20"/>
      <c r="D381" s="20">
        <v>25000</v>
      </c>
      <c r="E381" s="99" t="s">
        <v>521</v>
      </c>
      <c r="F381" s="20">
        <f t="shared" si="5"/>
        <v>155212879</v>
      </c>
      <c r="G381" s="7" t="s">
        <v>369</v>
      </c>
      <c r="H381" s="24" t="s">
        <v>109</v>
      </c>
      <c r="I381" s="32" t="s">
        <v>152</v>
      </c>
    </row>
    <row r="382" spans="1:9" x14ac:dyDescent="0.35">
      <c r="A382" s="19">
        <v>45726</v>
      </c>
      <c r="B382" s="20"/>
      <c r="C382" s="20"/>
      <c r="D382" s="20">
        <v>25000</v>
      </c>
      <c r="E382" s="99" t="s">
        <v>521</v>
      </c>
      <c r="F382" s="20">
        <f t="shared" si="5"/>
        <v>155237879</v>
      </c>
      <c r="G382" s="7" t="s">
        <v>369</v>
      </c>
      <c r="H382" s="24" t="s">
        <v>109</v>
      </c>
      <c r="I382" s="32" t="s">
        <v>152</v>
      </c>
    </row>
    <row r="383" spans="1:9" x14ac:dyDescent="0.35">
      <c r="A383" s="19">
        <v>45726</v>
      </c>
      <c r="B383" s="20"/>
      <c r="C383" s="20"/>
      <c r="D383" s="20">
        <v>100000</v>
      </c>
      <c r="E383" s="99" t="s">
        <v>521</v>
      </c>
      <c r="F383" s="20">
        <f t="shared" si="5"/>
        <v>155337879</v>
      </c>
      <c r="G383" s="7" t="s">
        <v>369</v>
      </c>
      <c r="H383" s="24" t="s">
        <v>109</v>
      </c>
      <c r="I383" s="32" t="s">
        <v>152</v>
      </c>
    </row>
    <row r="384" spans="1:9" x14ac:dyDescent="0.35">
      <c r="A384" s="19">
        <v>45726</v>
      </c>
      <c r="B384" s="20"/>
      <c r="C384" s="20"/>
      <c r="D384" s="20">
        <v>10000</v>
      </c>
      <c r="E384" s="99" t="s">
        <v>521</v>
      </c>
      <c r="F384" s="20">
        <f t="shared" si="5"/>
        <v>155347879</v>
      </c>
      <c r="G384" s="7" t="s">
        <v>369</v>
      </c>
      <c r="H384" s="24" t="s">
        <v>109</v>
      </c>
      <c r="I384" s="32" t="s">
        <v>152</v>
      </c>
    </row>
    <row r="385" spans="1:9" x14ac:dyDescent="0.35">
      <c r="A385" s="19">
        <v>45726</v>
      </c>
      <c r="B385" s="20"/>
      <c r="C385" s="20"/>
      <c r="D385" s="20">
        <v>10000</v>
      </c>
      <c r="E385" s="99" t="s">
        <v>521</v>
      </c>
      <c r="F385" s="20">
        <f t="shared" si="5"/>
        <v>155357879</v>
      </c>
      <c r="G385" s="7" t="s">
        <v>369</v>
      </c>
      <c r="H385" s="24" t="s">
        <v>109</v>
      </c>
      <c r="I385" s="32" t="s">
        <v>152</v>
      </c>
    </row>
    <row r="386" spans="1:9" x14ac:dyDescent="0.35">
      <c r="A386" s="19">
        <v>45726</v>
      </c>
      <c r="B386" s="20"/>
      <c r="C386" s="20"/>
      <c r="D386" s="20">
        <v>7000</v>
      </c>
      <c r="E386" s="99" t="s">
        <v>521</v>
      </c>
      <c r="F386" s="20">
        <f t="shared" si="5"/>
        <v>155364879</v>
      </c>
      <c r="G386" s="7" t="s">
        <v>369</v>
      </c>
      <c r="H386" s="24" t="s">
        <v>109</v>
      </c>
      <c r="I386" s="32" t="s">
        <v>152</v>
      </c>
    </row>
    <row r="387" spans="1:9" x14ac:dyDescent="0.35">
      <c r="A387" s="19">
        <v>45726</v>
      </c>
      <c r="B387" s="20"/>
      <c r="C387" s="20"/>
      <c r="D387" s="20">
        <v>25000</v>
      </c>
      <c r="E387" s="99" t="s">
        <v>521</v>
      </c>
      <c r="F387" s="20">
        <f>+F386+D387-B387</f>
        <v>155389879</v>
      </c>
      <c r="G387" s="7" t="s">
        <v>369</v>
      </c>
      <c r="H387" s="24" t="s">
        <v>109</v>
      </c>
      <c r="I387" s="32" t="s">
        <v>152</v>
      </c>
    </row>
    <row r="388" spans="1:9" x14ac:dyDescent="0.35">
      <c r="A388" s="19">
        <v>45726</v>
      </c>
      <c r="B388" s="20"/>
      <c r="C388" s="20"/>
      <c r="D388" s="20">
        <v>20000</v>
      </c>
      <c r="E388" s="99" t="s">
        <v>521</v>
      </c>
      <c r="F388" s="20">
        <f t="shared" si="5"/>
        <v>155409879</v>
      </c>
      <c r="G388" s="7" t="s">
        <v>369</v>
      </c>
      <c r="H388" s="24" t="s">
        <v>109</v>
      </c>
      <c r="I388" s="32" t="s">
        <v>152</v>
      </c>
    </row>
    <row r="389" spans="1:9" x14ac:dyDescent="0.35">
      <c r="A389" s="19">
        <v>45726</v>
      </c>
      <c r="B389" s="20"/>
      <c r="C389" s="20"/>
      <c r="D389" s="23">
        <v>5597000</v>
      </c>
      <c r="E389" s="99" t="s">
        <v>521</v>
      </c>
      <c r="F389" s="20">
        <f t="shared" si="5"/>
        <v>161006879</v>
      </c>
      <c r="G389" s="24" t="s">
        <v>107</v>
      </c>
      <c r="H389" s="24" t="s">
        <v>107</v>
      </c>
      <c r="I389" s="32" t="s">
        <v>152</v>
      </c>
    </row>
    <row r="390" spans="1:9" x14ac:dyDescent="0.35">
      <c r="A390" s="19">
        <v>45726</v>
      </c>
      <c r="B390" s="20"/>
      <c r="C390" s="20"/>
      <c r="D390" s="23">
        <v>5680000</v>
      </c>
      <c r="E390" s="99" t="s">
        <v>521</v>
      </c>
      <c r="F390" s="20">
        <f t="shared" si="5"/>
        <v>166686879</v>
      </c>
      <c r="G390" s="24" t="s">
        <v>109</v>
      </c>
      <c r="H390" s="24" t="s">
        <v>109</v>
      </c>
      <c r="I390" s="32" t="s">
        <v>152</v>
      </c>
    </row>
    <row r="391" spans="1:9" x14ac:dyDescent="0.35">
      <c r="A391" s="19">
        <v>45726</v>
      </c>
      <c r="B391" s="20"/>
      <c r="C391" s="20"/>
      <c r="D391" s="23">
        <v>4558000</v>
      </c>
      <c r="E391" s="99" t="s">
        <v>521</v>
      </c>
      <c r="F391" s="20">
        <f t="shared" si="5"/>
        <v>171244879</v>
      </c>
      <c r="G391" s="24" t="s">
        <v>377</v>
      </c>
      <c r="H391" s="24" t="s">
        <v>109</v>
      </c>
      <c r="I391" s="32" t="s">
        <v>152</v>
      </c>
    </row>
    <row r="392" spans="1:9" x14ac:dyDescent="0.35">
      <c r="A392" s="19">
        <v>45726</v>
      </c>
      <c r="B392" s="23">
        <v>5000</v>
      </c>
      <c r="C392" s="20"/>
      <c r="D392" s="20"/>
      <c r="E392" s="99" t="s">
        <v>521</v>
      </c>
      <c r="F392" s="20">
        <f t="shared" si="5"/>
        <v>171239879</v>
      </c>
      <c r="G392" s="24" t="s">
        <v>115</v>
      </c>
      <c r="H392" s="59" t="s">
        <v>320</v>
      </c>
      <c r="I392" s="32" t="s">
        <v>152</v>
      </c>
    </row>
    <row r="393" spans="1:9" x14ac:dyDescent="0.35">
      <c r="A393" s="19"/>
      <c r="B393" s="20"/>
      <c r="C393" s="20">
        <v>15830000</v>
      </c>
      <c r="D393" s="20"/>
      <c r="E393" s="99"/>
      <c r="F393" s="20">
        <f t="shared" si="5"/>
        <v>171239879</v>
      </c>
      <c r="G393" s="7" t="s">
        <v>305</v>
      </c>
      <c r="H393" s="59"/>
      <c r="I393" s="32"/>
    </row>
    <row r="394" spans="1:9" x14ac:dyDescent="0.35">
      <c r="A394" s="19">
        <v>45727</v>
      </c>
      <c r="B394" s="20"/>
      <c r="C394" s="20"/>
      <c r="D394" s="20">
        <v>50000</v>
      </c>
      <c r="E394" s="99" t="s">
        <v>521</v>
      </c>
      <c r="F394" s="20">
        <f t="shared" ref="F394:F457" si="6">+F393+D394-B394</f>
        <v>171289879</v>
      </c>
      <c r="G394" s="7" t="s">
        <v>369</v>
      </c>
      <c r="H394" s="24" t="s">
        <v>109</v>
      </c>
      <c r="I394" s="32" t="s">
        <v>152</v>
      </c>
    </row>
    <row r="395" spans="1:9" x14ac:dyDescent="0.35">
      <c r="A395" s="19">
        <v>45727</v>
      </c>
      <c r="B395" s="20"/>
      <c r="C395" s="20"/>
      <c r="D395" s="20">
        <v>100000</v>
      </c>
      <c r="E395" s="99" t="s">
        <v>521</v>
      </c>
      <c r="F395" s="20">
        <f t="shared" si="6"/>
        <v>171389879</v>
      </c>
      <c r="G395" s="7" t="s">
        <v>369</v>
      </c>
      <c r="H395" s="24" t="s">
        <v>109</v>
      </c>
      <c r="I395" s="32" t="s">
        <v>152</v>
      </c>
    </row>
    <row r="396" spans="1:9" x14ac:dyDescent="0.35">
      <c r="A396" s="19">
        <v>45727</v>
      </c>
      <c r="B396" s="20"/>
      <c r="C396" s="20"/>
      <c r="D396" s="20">
        <v>250000</v>
      </c>
      <c r="E396" s="99" t="s">
        <v>521</v>
      </c>
      <c r="F396" s="20">
        <f t="shared" si="6"/>
        <v>171639879</v>
      </c>
      <c r="G396" s="7" t="s">
        <v>369</v>
      </c>
      <c r="H396" s="24" t="s">
        <v>109</v>
      </c>
      <c r="I396" s="32" t="s">
        <v>152</v>
      </c>
    </row>
    <row r="397" spans="1:9" x14ac:dyDescent="0.35">
      <c r="A397" s="19">
        <v>45727</v>
      </c>
      <c r="B397" s="20"/>
      <c r="C397" s="20"/>
      <c r="D397" s="20">
        <v>50000</v>
      </c>
      <c r="E397" s="99" t="s">
        <v>521</v>
      </c>
      <c r="F397" s="20">
        <f t="shared" si="6"/>
        <v>171689879</v>
      </c>
      <c r="G397" s="7" t="s">
        <v>369</v>
      </c>
      <c r="H397" s="24" t="s">
        <v>109</v>
      </c>
      <c r="I397" s="32" t="s">
        <v>152</v>
      </c>
    </row>
    <row r="398" spans="1:9" x14ac:dyDescent="0.35">
      <c r="A398" s="19">
        <v>45727</v>
      </c>
      <c r="B398" s="20"/>
      <c r="C398" s="20"/>
      <c r="D398" s="20">
        <v>10000</v>
      </c>
      <c r="E398" s="99" t="s">
        <v>521</v>
      </c>
      <c r="F398" s="20">
        <f t="shared" si="6"/>
        <v>171699879</v>
      </c>
      <c r="G398" s="7" t="s">
        <v>369</v>
      </c>
      <c r="H398" s="24" t="s">
        <v>109</v>
      </c>
      <c r="I398" s="32" t="s">
        <v>152</v>
      </c>
    </row>
    <row r="399" spans="1:9" x14ac:dyDescent="0.35">
      <c r="A399" s="19">
        <v>45727</v>
      </c>
      <c r="B399" s="20"/>
      <c r="C399" s="20"/>
      <c r="D399" s="20">
        <v>25000</v>
      </c>
      <c r="E399" s="99" t="s">
        <v>521</v>
      </c>
      <c r="F399" s="20">
        <f t="shared" si="6"/>
        <v>171724879</v>
      </c>
      <c r="G399" s="7" t="s">
        <v>369</v>
      </c>
      <c r="H399" s="24" t="s">
        <v>109</v>
      </c>
      <c r="I399" s="32" t="s">
        <v>152</v>
      </c>
    </row>
    <row r="400" spans="1:9" x14ac:dyDescent="0.35">
      <c r="A400" s="19">
        <v>45727</v>
      </c>
      <c r="B400" s="20"/>
      <c r="C400" s="20"/>
      <c r="D400" s="20">
        <v>50000</v>
      </c>
      <c r="E400" s="99" t="s">
        <v>521</v>
      </c>
      <c r="F400" s="20">
        <f t="shared" si="6"/>
        <v>171774879</v>
      </c>
      <c r="G400" s="7" t="s">
        <v>369</v>
      </c>
      <c r="H400" s="24" t="s">
        <v>109</v>
      </c>
      <c r="I400" s="32" t="s">
        <v>152</v>
      </c>
    </row>
    <row r="401" spans="1:9" x14ac:dyDescent="0.35">
      <c r="A401" s="19">
        <v>45727</v>
      </c>
      <c r="B401" s="20"/>
      <c r="C401" s="20"/>
      <c r="D401" s="20">
        <v>20000</v>
      </c>
      <c r="E401" s="99" t="s">
        <v>521</v>
      </c>
      <c r="F401" s="20">
        <f t="shared" si="6"/>
        <v>171794879</v>
      </c>
      <c r="G401" s="7" t="s">
        <v>369</v>
      </c>
      <c r="H401" s="24" t="s">
        <v>109</v>
      </c>
      <c r="I401" s="32" t="s">
        <v>152</v>
      </c>
    </row>
    <row r="402" spans="1:9" x14ac:dyDescent="0.35">
      <c r="A402" s="19">
        <v>45727</v>
      </c>
      <c r="B402" s="20"/>
      <c r="C402" s="20"/>
      <c r="D402" s="20">
        <v>1010</v>
      </c>
      <c r="E402" s="99" t="s">
        <v>521</v>
      </c>
      <c r="F402" s="20">
        <f t="shared" si="6"/>
        <v>171795889</v>
      </c>
      <c r="G402" s="7" t="s">
        <v>369</v>
      </c>
      <c r="H402" s="24" t="s">
        <v>109</v>
      </c>
      <c r="I402" s="32" t="s">
        <v>152</v>
      </c>
    </row>
    <row r="403" spans="1:9" x14ac:dyDescent="0.35">
      <c r="A403" s="19">
        <v>45727</v>
      </c>
      <c r="B403" s="20"/>
      <c r="C403" s="20"/>
      <c r="D403" s="20">
        <v>5000</v>
      </c>
      <c r="E403" s="99" t="s">
        <v>521</v>
      </c>
      <c r="F403" s="20">
        <f t="shared" si="6"/>
        <v>171800889</v>
      </c>
      <c r="G403" s="7" t="s">
        <v>369</v>
      </c>
      <c r="H403" s="24" t="s">
        <v>109</v>
      </c>
      <c r="I403" s="32" t="s">
        <v>152</v>
      </c>
    </row>
    <row r="404" spans="1:9" x14ac:dyDescent="0.35">
      <c r="A404" s="19">
        <v>45727</v>
      </c>
      <c r="B404" s="20"/>
      <c r="C404" s="20"/>
      <c r="D404" s="20">
        <v>100000</v>
      </c>
      <c r="E404" s="99" t="s">
        <v>521</v>
      </c>
      <c r="F404" s="20">
        <f t="shared" si="6"/>
        <v>171900889</v>
      </c>
      <c r="G404" s="7" t="s">
        <v>373</v>
      </c>
      <c r="H404" s="24" t="s">
        <v>109</v>
      </c>
      <c r="I404" s="32" t="s">
        <v>152</v>
      </c>
    </row>
    <row r="405" spans="1:9" x14ac:dyDescent="0.35">
      <c r="A405" s="19">
        <v>45727</v>
      </c>
      <c r="B405" s="20"/>
      <c r="C405" s="20"/>
      <c r="D405" s="20">
        <v>250000</v>
      </c>
      <c r="E405" s="99" t="s">
        <v>521</v>
      </c>
      <c r="F405" s="20">
        <f t="shared" si="6"/>
        <v>172150889</v>
      </c>
      <c r="G405" s="7" t="s">
        <v>387</v>
      </c>
      <c r="H405" s="24" t="s">
        <v>109</v>
      </c>
      <c r="I405" s="32" t="s">
        <v>152</v>
      </c>
    </row>
    <row r="406" spans="1:9" x14ac:dyDescent="0.35">
      <c r="A406" s="19">
        <v>45728</v>
      </c>
      <c r="B406" s="20">
        <v>3500000</v>
      </c>
      <c r="C406" s="20"/>
      <c r="D406" s="20"/>
      <c r="E406" s="99" t="s">
        <v>521</v>
      </c>
      <c r="F406" s="20">
        <f t="shared" si="6"/>
        <v>168650889</v>
      </c>
      <c r="G406" s="7" t="s">
        <v>388</v>
      </c>
      <c r="H406" s="24" t="s">
        <v>320</v>
      </c>
      <c r="I406" s="32" t="s">
        <v>152</v>
      </c>
    </row>
    <row r="407" spans="1:9" x14ac:dyDescent="0.35">
      <c r="A407" s="19">
        <v>45728</v>
      </c>
      <c r="B407" s="20">
        <v>2500</v>
      </c>
      <c r="C407" s="20"/>
      <c r="D407" s="20"/>
      <c r="E407" s="99" t="s">
        <v>521</v>
      </c>
      <c r="F407" s="20">
        <f t="shared" si="6"/>
        <v>168648389</v>
      </c>
      <c r="G407" s="7" t="s">
        <v>389</v>
      </c>
      <c r="H407" s="24" t="s">
        <v>320</v>
      </c>
      <c r="I407" s="32" t="s">
        <v>152</v>
      </c>
    </row>
    <row r="408" spans="1:9" x14ac:dyDescent="0.35">
      <c r="A408" s="19">
        <v>45728</v>
      </c>
      <c r="B408" s="20"/>
      <c r="C408" s="20"/>
      <c r="D408" s="20">
        <v>50000</v>
      </c>
      <c r="E408" s="99" t="s">
        <v>521</v>
      </c>
      <c r="F408" s="20">
        <f t="shared" si="6"/>
        <v>168698389</v>
      </c>
      <c r="G408" s="7" t="s">
        <v>330</v>
      </c>
      <c r="H408" s="24" t="s">
        <v>109</v>
      </c>
      <c r="I408" s="32" t="s">
        <v>152</v>
      </c>
    </row>
    <row r="409" spans="1:9" x14ac:dyDescent="0.35">
      <c r="A409" s="19">
        <v>45728</v>
      </c>
      <c r="B409" s="20"/>
      <c r="C409" s="20"/>
      <c r="D409" s="20">
        <v>50000</v>
      </c>
      <c r="E409" s="99" t="s">
        <v>521</v>
      </c>
      <c r="F409" s="20">
        <f t="shared" si="6"/>
        <v>168748389</v>
      </c>
      <c r="G409" s="7" t="s">
        <v>330</v>
      </c>
      <c r="H409" s="24" t="s">
        <v>109</v>
      </c>
      <c r="I409" s="32" t="s">
        <v>152</v>
      </c>
    </row>
    <row r="410" spans="1:9" x14ac:dyDescent="0.35">
      <c r="A410" s="19">
        <v>45728</v>
      </c>
      <c r="B410" s="20"/>
      <c r="C410" s="20"/>
      <c r="D410" s="20">
        <v>10000</v>
      </c>
      <c r="E410" s="99" t="s">
        <v>521</v>
      </c>
      <c r="F410" s="20">
        <f t="shared" si="6"/>
        <v>168758389</v>
      </c>
      <c r="G410" s="7" t="s">
        <v>330</v>
      </c>
      <c r="H410" s="24" t="s">
        <v>109</v>
      </c>
      <c r="I410" s="32" t="s">
        <v>152</v>
      </c>
    </row>
    <row r="411" spans="1:9" x14ac:dyDescent="0.35">
      <c r="A411" s="19">
        <v>45728</v>
      </c>
      <c r="B411" s="20"/>
      <c r="C411" s="20"/>
      <c r="D411" s="20">
        <v>100000</v>
      </c>
      <c r="E411" s="99" t="s">
        <v>521</v>
      </c>
      <c r="F411" s="20">
        <f t="shared" si="6"/>
        <v>168858389</v>
      </c>
      <c r="G411" s="7" t="s">
        <v>330</v>
      </c>
      <c r="H411" s="24" t="s">
        <v>109</v>
      </c>
      <c r="I411" s="32" t="s">
        <v>152</v>
      </c>
    </row>
    <row r="412" spans="1:9" x14ac:dyDescent="0.35">
      <c r="A412" s="19">
        <v>45728</v>
      </c>
      <c r="B412" s="20"/>
      <c r="C412" s="20"/>
      <c r="D412" s="20">
        <v>5000</v>
      </c>
      <c r="E412" s="99" t="s">
        <v>521</v>
      </c>
      <c r="F412" s="20">
        <f t="shared" si="6"/>
        <v>168863389</v>
      </c>
      <c r="G412" s="7" t="s">
        <v>330</v>
      </c>
      <c r="H412" s="24" t="s">
        <v>109</v>
      </c>
      <c r="I412" s="32" t="s">
        <v>152</v>
      </c>
    </row>
    <row r="413" spans="1:9" x14ac:dyDescent="0.35">
      <c r="A413" s="19">
        <v>45728</v>
      </c>
      <c r="B413" s="20"/>
      <c r="C413" s="20"/>
      <c r="D413" s="20">
        <v>10000</v>
      </c>
      <c r="E413" s="99" t="s">
        <v>521</v>
      </c>
      <c r="F413" s="20">
        <f t="shared" si="6"/>
        <v>168873389</v>
      </c>
      <c r="G413" s="7" t="s">
        <v>330</v>
      </c>
      <c r="H413" s="24" t="s">
        <v>109</v>
      </c>
      <c r="I413" s="32" t="s">
        <v>152</v>
      </c>
    </row>
    <row r="414" spans="1:9" x14ac:dyDescent="0.35">
      <c r="A414" s="19">
        <v>45728</v>
      </c>
      <c r="B414" s="20"/>
      <c r="C414" s="20"/>
      <c r="D414" s="20">
        <v>10000</v>
      </c>
      <c r="E414" s="99" t="s">
        <v>521</v>
      </c>
      <c r="F414" s="20">
        <f t="shared" si="6"/>
        <v>168883389</v>
      </c>
      <c r="G414" s="7" t="s">
        <v>330</v>
      </c>
      <c r="H414" s="24" t="s">
        <v>109</v>
      </c>
      <c r="I414" s="32" t="s">
        <v>152</v>
      </c>
    </row>
    <row r="415" spans="1:9" x14ac:dyDescent="0.35">
      <c r="A415" s="19">
        <v>45728</v>
      </c>
      <c r="B415" s="20"/>
      <c r="C415" s="20"/>
      <c r="D415" s="20">
        <v>170000</v>
      </c>
      <c r="E415" s="99" t="s">
        <v>521</v>
      </c>
      <c r="F415" s="20">
        <f t="shared" si="6"/>
        <v>169053389</v>
      </c>
      <c r="G415" s="7" t="s">
        <v>241</v>
      </c>
      <c r="H415" s="24" t="s">
        <v>109</v>
      </c>
      <c r="I415" s="32" t="s">
        <v>152</v>
      </c>
    </row>
    <row r="416" spans="1:9" x14ac:dyDescent="0.35">
      <c r="A416" s="19">
        <v>45729</v>
      </c>
      <c r="B416" s="20"/>
      <c r="C416" s="20"/>
      <c r="D416" s="20">
        <v>100000</v>
      </c>
      <c r="E416" s="99" t="s">
        <v>521</v>
      </c>
      <c r="F416" s="20">
        <f t="shared" si="6"/>
        <v>169153389</v>
      </c>
      <c r="G416" s="7" t="s">
        <v>330</v>
      </c>
      <c r="H416" s="24" t="s">
        <v>109</v>
      </c>
      <c r="I416" s="32" t="s">
        <v>152</v>
      </c>
    </row>
    <row r="417" spans="1:9" x14ac:dyDescent="0.35">
      <c r="A417" s="19">
        <v>45729</v>
      </c>
      <c r="B417" s="20"/>
      <c r="C417" s="20"/>
      <c r="D417" s="20">
        <v>10000</v>
      </c>
      <c r="E417" s="99" t="s">
        <v>521</v>
      </c>
      <c r="F417" s="20">
        <f t="shared" si="6"/>
        <v>169163389</v>
      </c>
      <c r="G417" s="7" t="s">
        <v>330</v>
      </c>
      <c r="H417" s="24" t="s">
        <v>109</v>
      </c>
      <c r="I417" s="32" t="s">
        <v>152</v>
      </c>
    </row>
    <row r="418" spans="1:9" x14ac:dyDescent="0.35">
      <c r="A418" s="19">
        <v>45729</v>
      </c>
      <c r="B418" s="20"/>
      <c r="C418" s="20"/>
      <c r="D418" s="20">
        <v>50000</v>
      </c>
      <c r="E418" s="99" t="s">
        <v>521</v>
      </c>
      <c r="F418" s="20">
        <f t="shared" si="6"/>
        <v>169213389</v>
      </c>
      <c r="G418" s="7" t="s">
        <v>330</v>
      </c>
      <c r="H418" s="24" t="s">
        <v>109</v>
      </c>
      <c r="I418" s="32" t="s">
        <v>152</v>
      </c>
    </row>
    <row r="419" spans="1:9" x14ac:dyDescent="0.35">
      <c r="A419" s="19">
        <v>45729</v>
      </c>
      <c r="B419" s="20"/>
      <c r="C419" s="20"/>
      <c r="D419" s="20">
        <v>100000</v>
      </c>
      <c r="E419" s="99" t="s">
        <v>521</v>
      </c>
      <c r="F419" s="20">
        <f t="shared" si="6"/>
        <v>169313389</v>
      </c>
      <c r="G419" s="7" t="s">
        <v>330</v>
      </c>
      <c r="H419" s="24" t="s">
        <v>109</v>
      </c>
      <c r="I419" s="32" t="s">
        <v>152</v>
      </c>
    </row>
    <row r="420" spans="1:9" x14ac:dyDescent="0.35">
      <c r="A420" s="19">
        <v>45729</v>
      </c>
      <c r="B420" s="20">
        <v>1000000</v>
      </c>
      <c r="C420" s="20"/>
      <c r="D420" s="20"/>
      <c r="E420" s="99" t="s">
        <v>521</v>
      </c>
      <c r="F420" s="20">
        <f t="shared" si="6"/>
        <v>168313389</v>
      </c>
      <c r="G420" s="7" t="s">
        <v>390</v>
      </c>
      <c r="H420" s="24" t="s">
        <v>322</v>
      </c>
      <c r="I420" s="32" t="s">
        <v>152</v>
      </c>
    </row>
    <row r="421" spans="1:9" x14ac:dyDescent="0.35">
      <c r="A421" s="19">
        <v>45729</v>
      </c>
      <c r="B421" s="20">
        <v>2500</v>
      </c>
      <c r="C421" s="20"/>
      <c r="D421" s="20"/>
      <c r="E421" s="99" t="s">
        <v>521</v>
      </c>
      <c r="F421" s="20">
        <f t="shared" si="6"/>
        <v>168310889</v>
      </c>
      <c r="G421" s="7" t="s">
        <v>391</v>
      </c>
      <c r="H421" s="24" t="s">
        <v>322</v>
      </c>
      <c r="I421" s="32" t="s">
        <v>152</v>
      </c>
    </row>
    <row r="422" spans="1:9" x14ac:dyDescent="0.35">
      <c r="A422" s="19">
        <v>45730</v>
      </c>
      <c r="B422" s="20"/>
      <c r="C422" s="20"/>
      <c r="D422" s="20">
        <v>100000</v>
      </c>
      <c r="E422" s="99" t="s">
        <v>521</v>
      </c>
      <c r="F422" s="20">
        <f t="shared" si="6"/>
        <v>168410889</v>
      </c>
      <c r="G422" s="7" t="s">
        <v>330</v>
      </c>
      <c r="H422" s="24" t="s">
        <v>109</v>
      </c>
      <c r="I422" s="32" t="s">
        <v>152</v>
      </c>
    </row>
    <row r="423" spans="1:9" x14ac:dyDescent="0.35">
      <c r="A423" s="19">
        <v>45730</v>
      </c>
      <c r="B423" s="20"/>
      <c r="C423" s="20"/>
      <c r="D423" s="20">
        <v>200000</v>
      </c>
      <c r="E423" s="99" t="s">
        <v>521</v>
      </c>
      <c r="F423" s="20">
        <f t="shared" si="6"/>
        <v>168610889</v>
      </c>
      <c r="G423" s="7" t="s">
        <v>330</v>
      </c>
      <c r="H423" s="24" t="s">
        <v>109</v>
      </c>
      <c r="I423" s="32" t="s">
        <v>152</v>
      </c>
    </row>
    <row r="424" spans="1:9" x14ac:dyDescent="0.35">
      <c r="A424" s="19">
        <v>45730</v>
      </c>
      <c r="B424" s="20"/>
      <c r="C424" s="20"/>
      <c r="D424" s="20">
        <v>50000</v>
      </c>
      <c r="E424" s="99" t="s">
        <v>521</v>
      </c>
      <c r="F424" s="20">
        <f t="shared" si="6"/>
        <v>168660889</v>
      </c>
      <c r="G424" s="7" t="s">
        <v>330</v>
      </c>
      <c r="H424" s="24" t="s">
        <v>109</v>
      </c>
      <c r="I424" s="32" t="s">
        <v>152</v>
      </c>
    </row>
    <row r="425" spans="1:9" x14ac:dyDescent="0.35">
      <c r="A425" s="19">
        <v>45730</v>
      </c>
      <c r="B425" s="20"/>
      <c r="C425" s="20"/>
      <c r="D425" s="20">
        <v>50000</v>
      </c>
      <c r="E425" s="99" t="s">
        <v>521</v>
      </c>
      <c r="F425" s="20">
        <f t="shared" si="6"/>
        <v>168710889</v>
      </c>
      <c r="G425" s="7" t="s">
        <v>330</v>
      </c>
      <c r="H425" s="24" t="s">
        <v>109</v>
      </c>
      <c r="I425" s="32" t="s">
        <v>152</v>
      </c>
    </row>
    <row r="426" spans="1:9" x14ac:dyDescent="0.35">
      <c r="A426" s="19">
        <v>45730</v>
      </c>
      <c r="B426" s="20"/>
      <c r="C426" s="20"/>
      <c r="D426" s="20">
        <v>25000</v>
      </c>
      <c r="E426" s="99" t="s">
        <v>521</v>
      </c>
      <c r="F426" s="20">
        <f t="shared" si="6"/>
        <v>168735889</v>
      </c>
      <c r="G426" s="7" t="s">
        <v>330</v>
      </c>
      <c r="H426" s="24" t="s">
        <v>109</v>
      </c>
      <c r="I426" s="32" t="s">
        <v>152</v>
      </c>
    </row>
    <row r="427" spans="1:9" x14ac:dyDescent="0.35">
      <c r="A427" s="19">
        <v>45730</v>
      </c>
      <c r="B427" s="20"/>
      <c r="C427" s="20"/>
      <c r="D427" s="20">
        <v>50000</v>
      </c>
      <c r="E427" s="99" t="s">
        <v>521</v>
      </c>
      <c r="F427" s="20">
        <f t="shared" si="6"/>
        <v>168785889</v>
      </c>
      <c r="G427" s="7" t="s">
        <v>330</v>
      </c>
      <c r="H427" s="24" t="s">
        <v>109</v>
      </c>
      <c r="I427" s="32" t="s">
        <v>152</v>
      </c>
    </row>
    <row r="428" spans="1:9" x14ac:dyDescent="0.35">
      <c r="A428" s="19">
        <v>45730</v>
      </c>
      <c r="B428" s="20"/>
      <c r="C428" s="20"/>
      <c r="D428" s="20">
        <v>100000</v>
      </c>
      <c r="E428" s="99" t="s">
        <v>521</v>
      </c>
      <c r="F428" s="20">
        <f t="shared" si="6"/>
        <v>168885889</v>
      </c>
      <c r="G428" s="7" t="s">
        <v>330</v>
      </c>
      <c r="H428" s="24" t="s">
        <v>109</v>
      </c>
      <c r="I428" s="32" t="s">
        <v>152</v>
      </c>
    </row>
    <row r="429" spans="1:9" x14ac:dyDescent="0.35">
      <c r="A429" s="19">
        <v>45730</v>
      </c>
      <c r="B429" s="20"/>
      <c r="C429" s="20"/>
      <c r="D429" s="20">
        <v>10000</v>
      </c>
      <c r="E429" s="99" t="s">
        <v>521</v>
      </c>
      <c r="F429" s="20">
        <f t="shared" si="6"/>
        <v>168895889</v>
      </c>
      <c r="G429" s="7" t="s">
        <v>330</v>
      </c>
      <c r="H429" s="24" t="s">
        <v>109</v>
      </c>
      <c r="I429" s="32" t="s">
        <v>152</v>
      </c>
    </row>
    <row r="430" spans="1:9" x14ac:dyDescent="0.35">
      <c r="A430" s="19">
        <v>45730</v>
      </c>
      <c r="B430" s="20"/>
      <c r="C430" s="20"/>
      <c r="D430" s="20">
        <v>300000</v>
      </c>
      <c r="E430" s="99" t="s">
        <v>521</v>
      </c>
      <c r="F430" s="20">
        <f t="shared" si="6"/>
        <v>169195889</v>
      </c>
      <c r="G430" s="7" t="s">
        <v>399</v>
      </c>
      <c r="H430" s="24" t="s">
        <v>109</v>
      </c>
      <c r="I430" s="32" t="s">
        <v>152</v>
      </c>
    </row>
    <row r="431" spans="1:9" x14ac:dyDescent="0.35">
      <c r="A431" s="19">
        <v>45730</v>
      </c>
      <c r="B431" s="20">
        <v>400000</v>
      </c>
      <c r="C431" s="20"/>
      <c r="D431" s="20"/>
      <c r="E431" s="99" t="s">
        <v>521</v>
      </c>
      <c r="F431" s="20">
        <f t="shared" si="6"/>
        <v>168795889</v>
      </c>
      <c r="G431" s="7" t="s">
        <v>400</v>
      </c>
      <c r="H431" s="59" t="s">
        <v>201</v>
      </c>
      <c r="I431" s="32" t="s">
        <v>152</v>
      </c>
    </row>
    <row r="432" spans="1:9" x14ac:dyDescent="0.35">
      <c r="A432" s="19">
        <v>45733</v>
      </c>
      <c r="B432" s="20"/>
      <c r="C432" s="20"/>
      <c r="D432" s="20">
        <v>50000</v>
      </c>
      <c r="E432" s="99" t="s">
        <v>521</v>
      </c>
      <c r="F432" s="20">
        <f t="shared" si="6"/>
        <v>168845889</v>
      </c>
      <c r="G432" s="7" t="s">
        <v>330</v>
      </c>
      <c r="H432" s="24" t="s">
        <v>109</v>
      </c>
      <c r="I432" s="32" t="s">
        <v>152</v>
      </c>
    </row>
    <row r="433" spans="1:9" x14ac:dyDescent="0.35">
      <c r="A433" s="19">
        <v>45733</v>
      </c>
      <c r="B433" s="20"/>
      <c r="C433" s="20"/>
      <c r="D433" s="20">
        <v>50000</v>
      </c>
      <c r="E433" s="99" t="s">
        <v>521</v>
      </c>
      <c r="F433" s="20">
        <f t="shared" si="6"/>
        <v>168895889</v>
      </c>
      <c r="G433" s="7" t="s">
        <v>330</v>
      </c>
      <c r="H433" s="24" t="s">
        <v>109</v>
      </c>
      <c r="I433" s="32" t="s">
        <v>152</v>
      </c>
    </row>
    <row r="434" spans="1:9" x14ac:dyDescent="0.35">
      <c r="A434" s="19">
        <v>45733</v>
      </c>
      <c r="B434" s="20"/>
      <c r="C434" s="20"/>
      <c r="D434" s="20">
        <v>50000</v>
      </c>
      <c r="E434" s="99" t="s">
        <v>521</v>
      </c>
      <c r="F434" s="20">
        <f t="shared" si="6"/>
        <v>168945889</v>
      </c>
      <c r="G434" s="7" t="s">
        <v>330</v>
      </c>
      <c r="H434" s="24" t="s">
        <v>109</v>
      </c>
      <c r="I434" s="32" t="s">
        <v>152</v>
      </c>
    </row>
    <row r="435" spans="1:9" x14ac:dyDescent="0.35">
      <c r="A435" s="19">
        <v>45733</v>
      </c>
      <c r="B435" s="20"/>
      <c r="C435" s="20"/>
      <c r="D435" s="20">
        <v>25000</v>
      </c>
      <c r="E435" s="99" t="s">
        <v>521</v>
      </c>
      <c r="F435" s="20">
        <f t="shared" si="6"/>
        <v>168970889</v>
      </c>
      <c r="G435" s="7" t="s">
        <v>330</v>
      </c>
      <c r="H435" s="24" t="s">
        <v>109</v>
      </c>
      <c r="I435" s="32" t="s">
        <v>152</v>
      </c>
    </row>
    <row r="436" spans="1:9" x14ac:dyDescent="0.35">
      <c r="A436" s="19">
        <v>45733</v>
      </c>
      <c r="B436" s="20"/>
      <c r="C436" s="20"/>
      <c r="D436" s="20">
        <v>10000</v>
      </c>
      <c r="E436" s="99" t="s">
        <v>521</v>
      </c>
      <c r="F436" s="20">
        <f t="shared" si="6"/>
        <v>168980889</v>
      </c>
      <c r="G436" s="7" t="s">
        <v>330</v>
      </c>
      <c r="H436" s="24" t="s">
        <v>109</v>
      </c>
      <c r="I436" s="32" t="s">
        <v>152</v>
      </c>
    </row>
    <row r="437" spans="1:9" x14ac:dyDescent="0.35">
      <c r="A437" s="19">
        <v>45733</v>
      </c>
      <c r="B437" s="20"/>
      <c r="C437" s="20"/>
      <c r="D437" s="20">
        <v>50000</v>
      </c>
      <c r="E437" s="99" t="s">
        <v>521</v>
      </c>
      <c r="F437" s="20">
        <f t="shared" si="6"/>
        <v>169030889</v>
      </c>
      <c r="G437" s="7" t="s">
        <v>330</v>
      </c>
      <c r="H437" s="24" t="s">
        <v>109</v>
      </c>
      <c r="I437" s="32" t="s">
        <v>152</v>
      </c>
    </row>
    <row r="438" spans="1:9" x14ac:dyDescent="0.35">
      <c r="A438" s="19">
        <v>45733</v>
      </c>
      <c r="B438" s="20"/>
      <c r="C438" s="20"/>
      <c r="D438" s="20">
        <v>50000</v>
      </c>
      <c r="E438" s="99" t="s">
        <v>521</v>
      </c>
      <c r="F438" s="20">
        <f t="shared" si="6"/>
        <v>169080889</v>
      </c>
      <c r="G438" s="7" t="s">
        <v>330</v>
      </c>
      <c r="H438" s="24" t="s">
        <v>109</v>
      </c>
      <c r="I438" s="32" t="s">
        <v>152</v>
      </c>
    </row>
    <row r="439" spans="1:9" x14ac:dyDescent="0.35">
      <c r="A439" s="19">
        <v>45733</v>
      </c>
      <c r="B439" s="20"/>
      <c r="C439" s="20"/>
      <c r="D439" s="20">
        <v>100000</v>
      </c>
      <c r="E439" s="99" t="s">
        <v>521</v>
      </c>
      <c r="F439" s="20">
        <f t="shared" si="6"/>
        <v>169180889</v>
      </c>
      <c r="G439" s="7" t="s">
        <v>330</v>
      </c>
      <c r="H439" s="24" t="s">
        <v>109</v>
      </c>
      <c r="I439" s="32" t="s">
        <v>152</v>
      </c>
    </row>
    <row r="440" spans="1:9" x14ac:dyDescent="0.35">
      <c r="A440" s="19">
        <v>45733</v>
      </c>
      <c r="B440" s="20"/>
      <c r="C440" s="20"/>
      <c r="D440" s="20">
        <v>50000</v>
      </c>
      <c r="E440" s="99" t="s">
        <v>521</v>
      </c>
      <c r="F440" s="20">
        <f t="shared" si="6"/>
        <v>169230889</v>
      </c>
      <c r="G440" s="7" t="s">
        <v>330</v>
      </c>
      <c r="H440" s="24" t="s">
        <v>109</v>
      </c>
      <c r="I440" s="32" t="s">
        <v>152</v>
      </c>
    </row>
    <row r="441" spans="1:9" x14ac:dyDescent="0.35">
      <c r="A441" s="19">
        <v>45733</v>
      </c>
      <c r="B441" s="20"/>
      <c r="C441" s="20"/>
      <c r="D441" s="20">
        <v>20000</v>
      </c>
      <c r="E441" s="99" t="s">
        <v>521</v>
      </c>
      <c r="F441" s="20">
        <f t="shared" si="6"/>
        <v>169250889</v>
      </c>
      <c r="G441" s="7" t="s">
        <v>330</v>
      </c>
      <c r="H441" s="24" t="s">
        <v>109</v>
      </c>
      <c r="I441" s="32" t="s">
        <v>152</v>
      </c>
    </row>
    <row r="442" spans="1:9" x14ac:dyDescent="0.35">
      <c r="A442" s="19">
        <v>45733</v>
      </c>
      <c r="B442" s="20"/>
      <c r="C442" s="20"/>
      <c r="D442" s="20">
        <v>510</v>
      </c>
      <c r="E442" s="99" t="s">
        <v>521</v>
      </c>
      <c r="F442" s="20">
        <f t="shared" si="6"/>
        <v>169251399</v>
      </c>
      <c r="G442" s="7" t="s">
        <v>330</v>
      </c>
      <c r="H442" s="24" t="s">
        <v>109</v>
      </c>
      <c r="I442" s="32" t="s">
        <v>152</v>
      </c>
    </row>
    <row r="443" spans="1:9" x14ac:dyDescent="0.35">
      <c r="A443" s="19">
        <v>45733</v>
      </c>
      <c r="B443" s="20">
        <v>3000000</v>
      </c>
      <c r="C443" s="20"/>
      <c r="D443" s="20"/>
      <c r="E443" s="99" t="s">
        <v>521</v>
      </c>
      <c r="F443" s="20">
        <f t="shared" si="6"/>
        <v>166251399</v>
      </c>
      <c r="G443" s="7" t="s">
        <v>401</v>
      </c>
      <c r="H443" s="24" t="s">
        <v>327</v>
      </c>
      <c r="I443" s="32" t="s">
        <v>152</v>
      </c>
    </row>
    <row r="444" spans="1:9" x14ac:dyDescent="0.35">
      <c r="A444" s="19">
        <v>45733</v>
      </c>
      <c r="B444" s="20">
        <v>2500</v>
      </c>
      <c r="C444" s="20"/>
      <c r="D444" s="20"/>
      <c r="E444" s="99" t="s">
        <v>521</v>
      </c>
      <c r="F444" s="20">
        <f t="shared" si="6"/>
        <v>166248899</v>
      </c>
      <c r="G444" s="7" t="s">
        <v>402</v>
      </c>
      <c r="H444" s="24" t="s">
        <v>327</v>
      </c>
      <c r="I444" s="32" t="s">
        <v>152</v>
      </c>
    </row>
    <row r="445" spans="1:9" x14ac:dyDescent="0.35">
      <c r="A445" s="19">
        <v>45733</v>
      </c>
      <c r="B445" s="20"/>
      <c r="C445" s="20"/>
      <c r="D445" s="20">
        <v>100000</v>
      </c>
      <c r="E445" s="99" t="s">
        <v>521</v>
      </c>
      <c r="F445" s="20">
        <f t="shared" si="6"/>
        <v>166348899</v>
      </c>
      <c r="G445" s="7" t="s">
        <v>330</v>
      </c>
      <c r="H445" s="24" t="s">
        <v>109</v>
      </c>
      <c r="I445" s="32" t="s">
        <v>152</v>
      </c>
    </row>
    <row r="446" spans="1:9" x14ac:dyDescent="0.35">
      <c r="A446" s="19">
        <v>45733</v>
      </c>
      <c r="B446" s="20"/>
      <c r="C446" s="20"/>
      <c r="D446" s="20">
        <v>100000</v>
      </c>
      <c r="E446" s="99" t="s">
        <v>521</v>
      </c>
      <c r="F446" s="20">
        <f t="shared" si="6"/>
        <v>166448899</v>
      </c>
      <c r="G446" s="7" t="s">
        <v>330</v>
      </c>
      <c r="H446" s="24" t="s">
        <v>109</v>
      </c>
      <c r="I446" s="32" t="s">
        <v>152</v>
      </c>
    </row>
    <row r="447" spans="1:9" x14ac:dyDescent="0.35">
      <c r="A447" s="19">
        <v>45733</v>
      </c>
      <c r="B447" s="20"/>
      <c r="C447" s="20"/>
      <c r="D447" s="20">
        <v>25000</v>
      </c>
      <c r="E447" s="99" t="s">
        <v>521</v>
      </c>
      <c r="F447" s="20">
        <f t="shared" si="6"/>
        <v>166473899</v>
      </c>
      <c r="G447" s="7" t="s">
        <v>330</v>
      </c>
      <c r="H447" s="24" t="s">
        <v>109</v>
      </c>
      <c r="I447" s="32" t="s">
        <v>152</v>
      </c>
    </row>
    <row r="448" spans="1:9" x14ac:dyDescent="0.35">
      <c r="A448" s="19">
        <v>45733</v>
      </c>
      <c r="B448" s="20"/>
      <c r="C448" s="20"/>
      <c r="D448" s="20">
        <v>10000</v>
      </c>
      <c r="E448" s="99" t="s">
        <v>521</v>
      </c>
      <c r="F448" s="20">
        <f t="shared" si="6"/>
        <v>166483899</v>
      </c>
      <c r="G448" s="7" t="s">
        <v>330</v>
      </c>
      <c r="H448" s="24" t="s">
        <v>109</v>
      </c>
      <c r="I448" s="32" t="s">
        <v>152</v>
      </c>
    </row>
    <row r="449" spans="1:9" x14ac:dyDescent="0.35">
      <c r="A449" s="19">
        <v>45733</v>
      </c>
      <c r="B449" s="20"/>
      <c r="C449" s="20"/>
      <c r="D449" s="20">
        <v>10000</v>
      </c>
      <c r="E449" s="99" t="s">
        <v>521</v>
      </c>
      <c r="F449" s="20">
        <f t="shared" si="6"/>
        <v>166493899</v>
      </c>
      <c r="G449" s="7" t="s">
        <v>330</v>
      </c>
      <c r="H449" s="24" t="s">
        <v>109</v>
      </c>
      <c r="I449" s="32" t="s">
        <v>152</v>
      </c>
    </row>
    <row r="450" spans="1:9" x14ac:dyDescent="0.35">
      <c r="A450" s="19">
        <v>45733</v>
      </c>
      <c r="B450" s="20"/>
      <c r="C450" s="20"/>
      <c r="D450" s="20">
        <v>50000</v>
      </c>
      <c r="E450" s="99" t="s">
        <v>521</v>
      </c>
      <c r="F450" s="20">
        <f t="shared" si="6"/>
        <v>166543899</v>
      </c>
      <c r="G450" s="7" t="s">
        <v>330</v>
      </c>
      <c r="H450" s="24" t="s">
        <v>109</v>
      </c>
      <c r="I450" s="32" t="s">
        <v>152</v>
      </c>
    </row>
    <row r="451" spans="1:9" x14ac:dyDescent="0.35">
      <c r="A451" s="19">
        <v>45733</v>
      </c>
      <c r="B451" s="20"/>
      <c r="C451" s="20"/>
      <c r="D451" s="20">
        <v>10000</v>
      </c>
      <c r="E451" s="99" t="s">
        <v>521</v>
      </c>
      <c r="F451" s="20">
        <f t="shared" si="6"/>
        <v>166553899</v>
      </c>
      <c r="G451" s="7" t="s">
        <v>330</v>
      </c>
      <c r="H451" s="24" t="s">
        <v>109</v>
      </c>
      <c r="I451" s="32" t="s">
        <v>152</v>
      </c>
    </row>
    <row r="452" spans="1:9" x14ac:dyDescent="0.35">
      <c r="A452" s="19">
        <v>45733</v>
      </c>
      <c r="B452" s="20"/>
      <c r="C452" s="20"/>
      <c r="D452" s="20">
        <v>20000</v>
      </c>
      <c r="E452" s="99" t="s">
        <v>521</v>
      </c>
      <c r="F452" s="20">
        <f t="shared" si="6"/>
        <v>166573899</v>
      </c>
      <c r="G452" s="7" t="s">
        <v>330</v>
      </c>
      <c r="H452" s="24" t="s">
        <v>109</v>
      </c>
      <c r="I452" s="32" t="s">
        <v>152</v>
      </c>
    </row>
    <row r="453" spans="1:9" x14ac:dyDescent="0.35">
      <c r="A453" s="19">
        <v>45733</v>
      </c>
      <c r="B453" s="20"/>
      <c r="C453" s="20"/>
      <c r="D453" s="20">
        <v>50000</v>
      </c>
      <c r="E453" s="99" t="s">
        <v>521</v>
      </c>
      <c r="F453" s="20">
        <f t="shared" si="6"/>
        <v>166623899</v>
      </c>
      <c r="G453" s="7" t="s">
        <v>330</v>
      </c>
      <c r="H453" s="24" t="s">
        <v>109</v>
      </c>
      <c r="I453" s="32" t="s">
        <v>152</v>
      </c>
    </row>
    <row r="454" spans="1:9" x14ac:dyDescent="0.35">
      <c r="A454" s="19">
        <v>45733</v>
      </c>
      <c r="B454" s="20"/>
      <c r="C454" s="20"/>
      <c r="D454" s="20">
        <v>100000</v>
      </c>
      <c r="E454" s="99" t="s">
        <v>521</v>
      </c>
      <c r="F454" s="20">
        <f t="shared" si="6"/>
        <v>166723899</v>
      </c>
      <c r="G454" s="7" t="s">
        <v>330</v>
      </c>
      <c r="H454" s="24" t="s">
        <v>109</v>
      </c>
      <c r="I454" s="32" t="s">
        <v>152</v>
      </c>
    </row>
    <row r="455" spans="1:9" x14ac:dyDescent="0.35">
      <c r="A455" s="19">
        <v>45733</v>
      </c>
      <c r="B455" s="20"/>
      <c r="C455" s="20"/>
      <c r="D455" s="20">
        <v>100000</v>
      </c>
      <c r="E455" s="99" t="s">
        <v>521</v>
      </c>
      <c r="F455" s="20">
        <f t="shared" si="6"/>
        <v>166823899</v>
      </c>
      <c r="G455" s="7" t="s">
        <v>330</v>
      </c>
      <c r="H455" s="24" t="s">
        <v>109</v>
      </c>
      <c r="I455" s="32" t="s">
        <v>152</v>
      </c>
    </row>
    <row r="456" spans="1:9" x14ac:dyDescent="0.35">
      <c r="A456" s="19">
        <v>45733</v>
      </c>
      <c r="B456" s="20"/>
      <c r="C456" s="20"/>
      <c r="D456" s="20">
        <v>30000</v>
      </c>
      <c r="E456" s="99" t="s">
        <v>521</v>
      </c>
      <c r="F456" s="20">
        <f t="shared" si="6"/>
        <v>166853899</v>
      </c>
      <c r="G456" s="7" t="s">
        <v>330</v>
      </c>
      <c r="H456" s="24" t="s">
        <v>109</v>
      </c>
      <c r="I456" s="32" t="s">
        <v>152</v>
      </c>
    </row>
    <row r="457" spans="1:9" x14ac:dyDescent="0.35">
      <c r="A457" s="19">
        <v>45733</v>
      </c>
      <c r="B457" s="20"/>
      <c r="C457" s="20"/>
      <c r="D457" s="20">
        <v>50000</v>
      </c>
      <c r="E457" s="99" t="s">
        <v>521</v>
      </c>
      <c r="F457" s="20">
        <f t="shared" si="6"/>
        <v>166903899</v>
      </c>
      <c r="G457" s="7" t="s">
        <v>330</v>
      </c>
      <c r="H457" s="24" t="s">
        <v>109</v>
      </c>
      <c r="I457" s="32" t="s">
        <v>152</v>
      </c>
    </row>
    <row r="458" spans="1:9" x14ac:dyDescent="0.35">
      <c r="A458" s="19">
        <v>45733</v>
      </c>
      <c r="B458" s="20"/>
      <c r="C458" s="20"/>
      <c r="D458" s="20">
        <v>15000</v>
      </c>
      <c r="E458" s="99" t="s">
        <v>521</v>
      </c>
      <c r="F458" s="20">
        <f t="shared" ref="F458:F521" si="7">+F457+D458-B458</f>
        <v>166918899</v>
      </c>
      <c r="G458" s="7" t="s">
        <v>330</v>
      </c>
      <c r="H458" s="24" t="s">
        <v>109</v>
      </c>
      <c r="I458" s="32" t="s">
        <v>152</v>
      </c>
    </row>
    <row r="459" spans="1:9" x14ac:dyDescent="0.35">
      <c r="A459" s="19">
        <v>45733</v>
      </c>
      <c r="B459" s="20"/>
      <c r="C459" s="20"/>
      <c r="D459" s="20">
        <v>10000</v>
      </c>
      <c r="E459" s="99" t="s">
        <v>521</v>
      </c>
      <c r="F459" s="20">
        <f t="shared" si="7"/>
        <v>166928899</v>
      </c>
      <c r="G459" s="7" t="s">
        <v>330</v>
      </c>
      <c r="H459" s="24" t="s">
        <v>109</v>
      </c>
      <c r="I459" s="32" t="s">
        <v>152</v>
      </c>
    </row>
    <row r="460" spans="1:9" x14ac:dyDescent="0.35">
      <c r="A460" s="19">
        <v>45733</v>
      </c>
      <c r="B460" s="20"/>
      <c r="C460" s="20"/>
      <c r="D460" s="20">
        <v>50000</v>
      </c>
      <c r="E460" s="99" t="s">
        <v>521</v>
      </c>
      <c r="F460" s="20">
        <f t="shared" si="7"/>
        <v>166978899</v>
      </c>
      <c r="G460" s="7" t="s">
        <v>330</v>
      </c>
      <c r="H460" s="24" t="s">
        <v>109</v>
      </c>
      <c r="I460" s="32" t="s">
        <v>152</v>
      </c>
    </row>
    <row r="461" spans="1:9" x14ac:dyDescent="0.35">
      <c r="A461" s="19">
        <v>45733</v>
      </c>
      <c r="B461" s="20"/>
      <c r="C461" s="20"/>
      <c r="D461" s="20">
        <v>10000</v>
      </c>
      <c r="E461" s="99" t="s">
        <v>521</v>
      </c>
      <c r="F461" s="20">
        <f t="shared" si="7"/>
        <v>166988899</v>
      </c>
      <c r="G461" s="7" t="s">
        <v>330</v>
      </c>
      <c r="H461" s="24" t="s">
        <v>109</v>
      </c>
      <c r="I461" s="32" t="s">
        <v>152</v>
      </c>
    </row>
    <row r="462" spans="1:9" x14ac:dyDescent="0.35">
      <c r="A462" s="19">
        <v>45733</v>
      </c>
      <c r="B462" s="20"/>
      <c r="C462" s="20"/>
      <c r="D462" s="20">
        <v>100000</v>
      </c>
      <c r="E462" s="99" t="s">
        <v>521</v>
      </c>
      <c r="F462" s="20">
        <f t="shared" si="7"/>
        <v>167088899</v>
      </c>
      <c r="G462" s="7" t="s">
        <v>330</v>
      </c>
      <c r="H462" s="24" t="s">
        <v>109</v>
      </c>
      <c r="I462" s="32" t="s">
        <v>152</v>
      </c>
    </row>
    <row r="463" spans="1:9" x14ac:dyDescent="0.35">
      <c r="A463" s="19">
        <v>45733</v>
      </c>
      <c r="B463" s="20"/>
      <c r="C463" s="20"/>
      <c r="D463" s="20">
        <v>5000</v>
      </c>
      <c r="E463" s="99" t="s">
        <v>521</v>
      </c>
      <c r="F463" s="20">
        <f t="shared" si="7"/>
        <v>167093899</v>
      </c>
      <c r="G463" s="7" t="s">
        <v>330</v>
      </c>
      <c r="H463" s="24" t="s">
        <v>109</v>
      </c>
      <c r="I463" s="32" t="s">
        <v>152</v>
      </c>
    </row>
    <row r="464" spans="1:9" x14ac:dyDescent="0.35">
      <c r="A464" s="19">
        <v>45733</v>
      </c>
      <c r="B464" s="20"/>
      <c r="C464" s="20"/>
      <c r="D464" s="20">
        <v>150000</v>
      </c>
      <c r="E464" s="99" t="s">
        <v>521</v>
      </c>
      <c r="F464" s="20">
        <f t="shared" si="7"/>
        <v>167243899</v>
      </c>
      <c r="G464" s="7" t="s">
        <v>330</v>
      </c>
      <c r="H464" s="24" t="s">
        <v>109</v>
      </c>
      <c r="I464" s="32" t="s">
        <v>152</v>
      </c>
    </row>
    <row r="465" spans="1:9" x14ac:dyDescent="0.35">
      <c r="A465" s="19">
        <v>45733</v>
      </c>
      <c r="B465" s="20"/>
      <c r="C465" s="20"/>
      <c r="D465" s="20">
        <v>20000</v>
      </c>
      <c r="E465" s="99" t="s">
        <v>521</v>
      </c>
      <c r="F465" s="20">
        <f t="shared" si="7"/>
        <v>167263899</v>
      </c>
      <c r="G465" s="7" t="s">
        <v>330</v>
      </c>
      <c r="H465" s="24" t="s">
        <v>109</v>
      </c>
      <c r="I465" s="32" t="s">
        <v>152</v>
      </c>
    </row>
    <row r="466" spans="1:9" x14ac:dyDescent="0.35">
      <c r="A466" s="19">
        <v>45733</v>
      </c>
      <c r="B466" s="20">
        <v>58150000</v>
      </c>
      <c r="C466" s="20"/>
      <c r="D466" s="20"/>
      <c r="E466" s="99" t="s">
        <v>521</v>
      </c>
      <c r="F466" s="20">
        <f t="shared" si="7"/>
        <v>109113899</v>
      </c>
      <c r="G466" s="7" t="s">
        <v>403</v>
      </c>
      <c r="H466" s="59" t="s">
        <v>203</v>
      </c>
      <c r="I466" s="32" t="s">
        <v>152</v>
      </c>
    </row>
    <row r="467" spans="1:9" x14ac:dyDescent="0.35">
      <c r="A467" s="19">
        <v>45733</v>
      </c>
      <c r="B467" s="20">
        <v>2500</v>
      </c>
      <c r="C467" s="20"/>
      <c r="D467" s="20"/>
      <c r="E467" s="99" t="s">
        <v>521</v>
      </c>
      <c r="F467" s="20">
        <f t="shared" si="7"/>
        <v>109111399</v>
      </c>
      <c r="G467" s="7" t="s">
        <v>404</v>
      </c>
      <c r="H467" s="59" t="s">
        <v>203</v>
      </c>
      <c r="I467" s="32" t="s">
        <v>152</v>
      </c>
    </row>
    <row r="468" spans="1:9" x14ac:dyDescent="0.35">
      <c r="A468" s="19">
        <v>45733</v>
      </c>
      <c r="B468" s="20"/>
      <c r="C468" s="20"/>
      <c r="D468" s="23">
        <v>4230000</v>
      </c>
      <c r="E468" s="99" t="s">
        <v>521</v>
      </c>
      <c r="F468" s="20">
        <f t="shared" si="7"/>
        <v>113341399</v>
      </c>
      <c r="G468" s="24" t="s">
        <v>107</v>
      </c>
      <c r="H468" s="24" t="s">
        <v>107</v>
      </c>
      <c r="I468" s="32" t="s">
        <v>152</v>
      </c>
    </row>
    <row r="469" spans="1:9" x14ac:dyDescent="0.35">
      <c r="A469" s="19">
        <v>45733</v>
      </c>
      <c r="B469" s="20"/>
      <c r="C469" s="20"/>
      <c r="D469" s="23">
        <f>4756000-4230000</f>
        <v>526000</v>
      </c>
      <c r="E469" s="99" t="s">
        <v>521</v>
      </c>
      <c r="F469" s="20">
        <f t="shared" si="7"/>
        <v>113867399</v>
      </c>
      <c r="G469" s="24" t="s">
        <v>109</v>
      </c>
      <c r="H469" s="24" t="s">
        <v>109</v>
      </c>
      <c r="I469" s="32" t="s">
        <v>152</v>
      </c>
    </row>
    <row r="470" spans="1:9" x14ac:dyDescent="0.35">
      <c r="A470" s="19">
        <v>45733</v>
      </c>
      <c r="B470" s="20"/>
      <c r="C470" s="20"/>
      <c r="D470" s="23">
        <v>5578000</v>
      </c>
      <c r="E470" s="99" t="s">
        <v>521</v>
      </c>
      <c r="F470" s="20">
        <f t="shared" si="7"/>
        <v>119445399</v>
      </c>
      <c r="G470" s="24" t="s">
        <v>377</v>
      </c>
      <c r="H470" s="24" t="s">
        <v>109</v>
      </c>
      <c r="I470" s="32" t="s">
        <v>152</v>
      </c>
    </row>
    <row r="471" spans="1:9" x14ac:dyDescent="0.35">
      <c r="A471" s="19">
        <v>45733</v>
      </c>
      <c r="B471" s="20"/>
      <c r="C471" s="20"/>
      <c r="D471" s="23">
        <v>1000</v>
      </c>
      <c r="E471" s="99" t="s">
        <v>521</v>
      </c>
      <c r="F471" s="20">
        <f t="shared" si="7"/>
        <v>119446399</v>
      </c>
      <c r="G471" s="24" t="s">
        <v>115</v>
      </c>
      <c r="H471" s="24" t="s">
        <v>109</v>
      </c>
      <c r="I471" s="32" t="s">
        <v>152</v>
      </c>
    </row>
    <row r="472" spans="1:9" x14ac:dyDescent="0.35">
      <c r="A472" s="19"/>
      <c r="B472" s="20"/>
      <c r="C472" s="95">
        <v>10335000</v>
      </c>
      <c r="D472" s="95"/>
      <c r="E472" s="124"/>
      <c r="F472" s="20">
        <f t="shared" si="7"/>
        <v>119446399</v>
      </c>
      <c r="G472" s="125" t="s">
        <v>305</v>
      </c>
      <c r="H472" s="24"/>
      <c r="I472" s="32"/>
    </row>
    <row r="473" spans="1:9" x14ac:dyDescent="0.35">
      <c r="A473" s="19">
        <v>45734</v>
      </c>
      <c r="B473" s="20">
        <v>2800000</v>
      </c>
      <c r="C473" s="20"/>
      <c r="D473" s="20"/>
      <c r="E473" s="99" t="s">
        <v>521</v>
      </c>
      <c r="F473" s="20">
        <f t="shared" si="7"/>
        <v>116646399</v>
      </c>
      <c r="G473" s="7" t="s">
        <v>405</v>
      </c>
      <c r="H473" s="59" t="s">
        <v>201</v>
      </c>
      <c r="I473" s="32" t="s">
        <v>152</v>
      </c>
    </row>
    <row r="474" spans="1:9" x14ac:dyDescent="0.35">
      <c r="A474" s="19">
        <v>45734</v>
      </c>
      <c r="B474" s="20">
        <v>2500</v>
      </c>
      <c r="C474" s="20"/>
      <c r="D474" s="20"/>
      <c r="E474" s="99" t="s">
        <v>521</v>
      </c>
      <c r="F474" s="20">
        <f t="shared" si="7"/>
        <v>116643899</v>
      </c>
      <c r="G474" s="7" t="s">
        <v>406</v>
      </c>
      <c r="H474" s="59" t="s">
        <v>201</v>
      </c>
      <c r="I474" s="32" t="s">
        <v>152</v>
      </c>
    </row>
    <row r="475" spans="1:9" x14ac:dyDescent="0.35">
      <c r="A475" s="19">
        <v>45734</v>
      </c>
      <c r="B475" s="20"/>
      <c r="C475" s="20"/>
      <c r="D475" s="20">
        <v>50000</v>
      </c>
      <c r="E475" s="99" t="s">
        <v>521</v>
      </c>
      <c r="F475" s="20">
        <f t="shared" si="7"/>
        <v>116693899</v>
      </c>
      <c r="G475" s="7" t="s">
        <v>330</v>
      </c>
      <c r="H475" s="24" t="s">
        <v>109</v>
      </c>
      <c r="I475" s="32" t="s">
        <v>152</v>
      </c>
    </row>
    <row r="476" spans="1:9" x14ac:dyDescent="0.35">
      <c r="A476" s="19">
        <v>45734</v>
      </c>
      <c r="B476" s="20"/>
      <c r="C476" s="20"/>
      <c r="D476" s="20">
        <v>50000</v>
      </c>
      <c r="E476" s="99" t="s">
        <v>521</v>
      </c>
      <c r="F476" s="20">
        <f t="shared" si="7"/>
        <v>116743899</v>
      </c>
      <c r="G476" s="7" t="s">
        <v>330</v>
      </c>
      <c r="H476" s="24" t="s">
        <v>109</v>
      </c>
      <c r="I476" s="32" t="s">
        <v>152</v>
      </c>
    </row>
    <row r="477" spans="1:9" x14ac:dyDescent="0.35">
      <c r="A477" s="19">
        <v>45734</v>
      </c>
      <c r="B477" s="20"/>
      <c r="C477" s="20"/>
      <c r="D477" s="20">
        <v>100000</v>
      </c>
      <c r="E477" s="99" t="s">
        <v>521</v>
      </c>
      <c r="F477" s="20">
        <f t="shared" si="7"/>
        <v>116843899</v>
      </c>
      <c r="G477" s="7" t="s">
        <v>330</v>
      </c>
      <c r="H477" s="24" t="s">
        <v>109</v>
      </c>
      <c r="I477" s="32" t="s">
        <v>152</v>
      </c>
    </row>
    <row r="478" spans="1:9" x14ac:dyDescent="0.35">
      <c r="A478" s="19">
        <v>45734</v>
      </c>
      <c r="B478" s="20"/>
      <c r="C478" s="20"/>
      <c r="D478" s="20">
        <v>50000</v>
      </c>
      <c r="E478" s="99" t="s">
        <v>521</v>
      </c>
      <c r="F478" s="20">
        <f t="shared" si="7"/>
        <v>116893899</v>
      </c>
      <c r="G478" s="7" t="s">
        <v>330</v>
      </c>
      <c r="H478" s="24" t="s">
        <v>109</v>
      </c>
      <c r="I478" s="32" t="s">
        <v>152</v>
      </c>
    </row>
    <row r="479" spans="1:9" x14ac:dyDescent="0.35">
      <c r="A479" s="19">
        <v>45734</v>
      </c>
      <c r="B479" s="20"/>
      <c r="C479" s="20"/>
      <c r="D479" s="20">
        <v>10000</v>
      </c>
      <c r="E479" s="99" t="s">
        <v>521</v>
      </c>
      <c r="F479" s="20">
        <f t="shared" si="7"/>
        <v>116903899</v>
      </c>
      <c r="G479" s="7" t="s">
        <v>330</v>
      </c>
      <c r="H479" s="24" t="s">
        <v>109</v>
      </c>
      <c r="I479" s="32" t="s">
        <v>152</v>
      </c>
    </row>
    <row r="480" spans="1:9" x14ac:dyDescent="0.35">
      <c r="A480" s="19">
        <v>45734</v>
      </c>
      <c r="B480" s="20"/>
      <c r="C480" s="20"/>
      <c r="D480" s="20">
        <v>50000</v>
      </c>
      <c r="E480" s="99" t="s">
        <v>521</v>
      </c>
      <c r="F480" s="20">
        <f t="shared" si="7"/>
        <v>116953899</v>
      </c>
      <c r="G480" s="7" t="s">
        <v>330</v>
      </c>
      <c r="H480" s="24" t="s">
        <v>109</v>
      </c>
      <c r="I480" s="32" t="s">
        <v>152</v>
      </c>
    </row>
    <row r="481" spans="1:9" x14ac:dyDescent="0.35">
      <c r="A481" s="19">
        <v>45734</v>
      </c>
      <c r="B481" s="20"/>
      <c r="C481" s="20"/>
      <c r="D481" s="20">
        <v>10000</v>
      </c>
      <c r="E481" s="99" t="s">
        <v>521</v>
      </c>
      <c r="F481" s="20">
        <f t="shared" si="7"/>
        <v>116963899</v>
      </c>
      <c r="G481" s="7" t="s">
        <v>330</v>
      </c>
      <c r="H481" s="24" t="s">
        <v>109</v>
      </c>
      <c r="I481" s="32" t="s">
        <v>152</v>
      </c>
    </row>
    <row r="482" spans="1:9" x14ac:dyDescent="0.35">
      <c r="A482" s="19">
        <v>45734</v>
      </c>
      <c r="B482" s="20"/>
      <c r="C482" s="20"/>
      <c r="D482" s="20">
        <v>100000</v>
      </c>
      <c r="E482" s="99" t="s">
        <v>521</v>
      </c>
      <c r="F482" s="20">
        <f t="shared" si="7"/>
        <v>117063899</v>
      </c>
      <c r="G482" s="7" t="s">
        <v>330</v>
      </c>
      <c r="H482" s="24" t="s">
        <v>109</v>
      </c>
      <c r="I482" s="32" t="s">
        <v>152</v>
      </c>
    </row>
    <row r="483" spans="1:9" x14ac:dyDescent="0.35">
      <c r="A483" s="19">
        <v>45734</v>
      </c>
      <c r="B483" s="20"/>
      <c r="C483" s="20"/>
      <c r="D483" s="20">
        <v>20000</v>
      </c>
      <c r="E483" s="99" t="s">
        <v>521</v>
      </c>
      <c r="F483" s="20">
        <f t="shared" si="7"/>
        <v>117083899</v>
      </c>
      <c r="G483" s="7" t="s">
        <v>330</v>
      </c>
      <c r="H483" s="24" t="s">
        <v>109</v>
      </c>
      <c r="I483" s="32" t="s">
        <v>152</v>
      </c>
    </row>
    <row r="484" spans="1:9" x14ac:dyDescent="0.35">
      <c r="A484" s="19">
        <v>45735</v>
      </c>
      <c r="B484" s="20"/>
      <c r="C484" s="20"/>
      <c r="D484" s="20">
        <v>50000</v>
      </c>
      <c r="E484" s="99" t="s">
        <v>521</v>
      </c>
      <c r="F484" s="20">
        <f t="shared" si="7"/>
        <v>117133899</v>
      </c>
      <c r="G484" s="7" t="s">
        <v>330</v>
      </c>
      <c r="H484" s="24" t="s">
        <v>109</v>
      </c>
      <c r="I484" s="32" t="s">
        <v>152</v>
      </c>
    </row>
    <row r="485" spans="1:9" x14ac:dyDescent="0.35">
      <c r="A485" s="19">
        <v>45735</v>
      </c>
      <c r="B485" s="20"/>
      <c r="C485" s="20"/>
      <c r="D485" s="20">
        <v>25000</v>
      </c>
      <c r="E485" s="99" t="s">
        <v>521</v>
      </c>
      <c r="F485" s="20">
        <f t="shared" si="7"/>
        <v>117158899</v>
      </c>
      <c r="G485" s="7" t="s">
        <v>330</v>
      </c>
      <c r="H485" s="24" t="s">
        <v>109</v>
      </c>
      <c r="I485" s="32" t="s">
        <v>152</v>
      </c>
    </row>
    <row r="486" spans="1:9" x14ac:dyDescent="0.35">
      <c r="A486" s="19">
        <v>45735</v>
      </c>
      <c r="B486" s="20"/>
      <c r="C486" s="20"/>
      <c r="D486" s="20">
        <v>25000</v>
      </c>
      <c r="E486" s="99" t="s">
        <v>521</v>
      </c>
      <c r="F486" s="20">
        <f t="shared" si="7"/>
        <v>117183899</v>
      </c>
      <c r="G486" s="7" t="s">
        <v>330</v>
      </c>
      <c r="H486" s="24" t="s">
        <v>109</v>
      </c>
      <c r="I486" s="32" t="s">
        <v>152</v>
      </c>
    </row>
    <row r="487" spans="1:9" x14ac:dyDescent="0.35">
      <c r="A487" s="19">
        <v>45735</v>
      </c>
      <c r="B487" s="20"/>
      <c r="C487" s="20"/>
      <c r="D487" s="20">
        <v>100000</v>
      </c>
      <c r="E487" s="99" t="s">
        <v>521</v>
      </c>
      <c r="F487" s="20">
        <f t="shared" si="7"/>
        <v>117283899</v>
      </c>
      <c r="G487" s="7" t="s">
        <v>330</v>
      </c>
      <c r="H487" s="24" t="s">
        <v>109</v>
      </c>
      <c r="I487" s="32" t="s">
        <v>152</v>
      </c>
    </row>
    <row r="488" spans="1:9" x14ac:dyDescent="0.35">
      <c r="A488" s="19">
        <v>45735</v>
      </c>
      <c r="B488" s="20"/>
      <c r="C488" s="20"/>
      <c r="D488" s="20">
        <v>50000</v>
      </c>
      <c r="E488" s="99" t="s">
        <v>521</v>
      </c>
      <c r="F488" s="20">
        <f t="shared" si="7"/>
        <v>117333899</v>
      </c>
      <c r="G488" s="7" t="s">
        <v>330</v>
      </c>
      <c r="H488" s="24" t="s">
        <v>109</v>
      </c>
      <c r="I488" s="32" t="s">
        <v>152</v>
      </c>
    </row>
    <row r="489" spans="1:9" x14ac:dyDescent="0.35">
      <c r="A489" s="19">
        <v>45735</v>
      </c>
      <c r="B489" s="20"/>
      <c r="C489" s="20"/>
      <c r="D489" s="20">
        <v>25000</v>
      </c>
      <c r="E489" s="99" t="s">
        <v>521</v>
      </c>
      <c r="F489" s="20">
        <f t="shared" si="7"/>
        <v>117358899</v>
      </c>
      <c r="G489" s="7" t="s">
        <v>330</v>
      </c>
      <c r="H489" s="24" t="s">
        <v>109</v>
      </c>
      <c r="I489" s="32" t="s">
        <v>152</v>
      </c>
    </row>
    <row r="490" spans="1:9" x14ac:dyDescent="0.35">
      <c r="A490" s="19">
        <v>45735</v>
      </c>
      <c r="B490" s="20"/>
      <c r="C490" s="20"/>
      <c r="D490" s="20">
        <v>50000</v>
      </c>
      <c r="E490" s="99" t="s">
        <v>521</v>
      </c>
      <c r="F490" s="20">
        <f t="shared" si="7"/>
        <v>117408899</v>
      </c>
      <c r="G490" s="7" t="s">
        <v>330</v>
      </c>
      <c r="H490" s="24" t="s">
        <v>109</v>
      </c>
      <c r="I490" s="32" t="s">
        <v>152</v>
      </c>
    </row>
    <row r="491" spans="1:9" x14ac:dyDescent="0.35">
      <c r="A491" s="19">
        <v>45735</v>
      </c>
      <c r="B491" s="20"/>
      <c r="C491" s="20"/>
      <c r="D491" s="20">
        <v>10000</v>
      </c>
      <c r="E491" s="99" t="s">
        <v>521</v>
      </c>
      <c r="F491" s="20">
        <f t="shared" si="7"/>
        <v>117418899</v>
      </c>
      <c r="G491" s="7" t="s">
        <v>330</v>
      </c>
      <c r="H491" s="24" t="s">
        <v>109</v>
      </c>
      <c r="I491" s="32" t="s">
        <v>152</v>
      </c>
    </row>
    <row r="492" spans="1:9" x14ac:dyDescent="0.35">
      <c r="A492" s="19">
        <v>45735</v>
      </c>
      <c r="B492" s="20"/>
      <c r="C492" s="20"/>
      <c r="D492" s="20">
        <v>10000</v>
      </c>
      <c r="E492" s="99" t="s">
        <v>521</v>
      </c>
      <c r="F492" s="20">
        <f t="shared" si="7"/>
        <v>117428899</v>
      </c>
      <c r="G492" s="7" t="s">
        <v>330</v>
      </c>
      <c r="H492" s="24" t="s">
        <v>109</v>
      </c>
      <c r="I492" s="32" t="s">
        <v>152</v>
      </c>
    </row>
    <row r="493" spans="1:9" x14ac:dyDescent="0.35">
      <c r="A493" s="19">
        <v>45735</v>
      </c>
      <c r="B493" s="20"/>
      <c r="C493" s="20"/>
      <c r="D493" s="20">
        <v>100000</v>
      </c>
      <c r="E493" s="99" t="s">
        <v>521</v>
      </c>
      <c r="F493" s="20">
        <f t="shared" si="7"/>
        <v>117528899</v>
      </c>
      <c r="G493" s="7" t="s">
        <v>330</v>
      </c>
      <c r="H493" s="24" t="s">
        <v>109</v>
      </c>
      <c r="I493" s="32" t="s">
        <v>152</v>
      </c>
    </row>
    <row r="494" spans="1:9" x14ac:dyDescent="0.35">
      <c r="A494" s="19">
        <v>45735</v>
      </c>
      <c r="B494" s="20"/>
      <c r="C494" s="20"/>
      <c r="D494" s="20">
        <v>50000</v>
      </c>
      <c r="E494" s="99" t="s">
        <v>521</v>
      </c>
      <c r="F494" s="20">
        <f t="shared" si="7"/>
        <v>117578899</v>
      </c>
      <c r="G494" s="7" t="s">
        <v>330</v>
      </c>
      <c r="H494" s="24" t="s">
        <v>109</v>
      </c>
      <c r="I494" s="32" t="s">
        <v>152</v>
      </c>
    </row>
    <row r="495" spans="1:9" x14ac:dyDescent="0.35">
      <c r="A495" s="19">
        <v>45735</v>
      </c>
      <c r="B495" s="20"/>
      <c r="C495" s="20"/>
      <c r="D495" s="20">
        <v>10000</v>
      </c>
      <c r="E495" s="99" t="s">
        <v>521</v>
      </c>
      <c r="F495" s="20">
        <f t="shared" si="7"/>
        <v>117588899</v>
      </c>
      <c r="G495" s="7" t="s">
        <v>330</v>
      </c>
      <c r="H495" s="24" t="s">
        <v>109</v>
      </c>
      <c r="I495" s="32" t="s">
        <v>152</v>
      </c>
    </row>
    <row r="496" spans="1:9" x14ac:dyDescent="0.35">
      <c r="A496" s="19">
        <v>45735</v>
      </c>
      <c r="B496" s="20"/>
      <c r="C496" s="20"/>
      <c r="D496" s="20">
        <v>5000</v>
      </c>
      <c r="E496" s="99" t="s">
        <v>521</v>
      </c>
      <c r="F496" s="20">
        <f t="shared" si="7"/>
        <v>117593899</v>
      </c>
      <c r="G496" s="7" t="s">
        <v>330</v>
      </c>
      <c r="H496" s="24" t="s">
        <v>109</v>
      </c>
      <c r="I496" s="32" t="s">
        <v>152</v>
      </c>
    </row>
    <row r="497" spans="1:9" x14ac:dyDescent="0.35">
      <c r="A497" s="19">
        <v>45735</v>
      </c>
      <c r="B497" s="20"/>
      <c r="C497" s="20"/>
      <c r="D497" s="20">
        <v>50000</v>
      </c>
      <c r="E497" s="99" t="s">
        <v>521</v>
      </c>
      <c r="F497" s="20">
        <f t="shared" si="7"/>
        <v>117643899</v>
      </c>
      <c r="G497" s="7" t="s">
        <v>330</v>
      </c>
      <c r="H497" s="24" t="s">
        <v>109</v>
      </c>
      <c r="I497" s="32" t="s">
        <v>152</v>
      </c>
    </row>
    <row r="498" spans="1:9" x14ac:dyDescent="0.35">
      <c r="A498" s="19">
        <v>45735</v>
      </c>
      <c r="B498" s="20"/>
      <c r="C498" s="20"/>
      <c r="D498" s="20">
        <v>900000</v>
      </c>
      <c r="E498" s="99" t="s">
        <v>521</v>
      </c>
      <c r="F498" s="20">
        <f t="shared" si="7"/>
        <v>118543899</v>
      </c>
      <c r="G498" s="7" t="s">
        <v>407</v>
      </c>
      <c r="H498" s="24" t="s">
        <v>109</v>
      </c>
      <c r="I498" s="32" t="s">
        <v>152</v>
      </c>
    </row>
    <row r="499" spans="1:9" x14ac:dyDescent="0.35">
      <c r="A499" s="19">
        <v>45736</v>
      </c>
      <c r="B499" s="20"/>
      <c r="C499" s="20"/>
      <c r="D499" s="20">
        <v>50000</v>
      </c>
      <c r="E499" s="99" t="s">
        <v>521</v>
      </c>
      <c r="F499" s="20">
        <f t="shared" si="7"/>
        <v>118593899</v>
      </c>
      <c r="G499" s="7" t="s">
        <v>330</v>
      </c>
      <c r="H499" s="24" t="s">
        <v>109</v>
      </c>
      <c r="I499" s="32" t="s">
        <v>152</v>
      </c>
    </row>
    <row r="500" spans="1:9" x14ac:dyDescent="0.35">
      <c r="A500" s="19">
        <v>45736</v>
      </c>
      <c r="B500" s="20"/>
      <c r="C500" s="20"/>
      <c r="D500" s="20">
        <v>100000</v>
      </c>
      <c r="E500" s="99" t="s">
        <v>521</v>
      </c>
      <c r="F500" s="20">
        <f t="shared" si="7"/>
        <v>118693899</v>
      </c>
      <c r="G500" s="7" t="s">
        <v>330</v>
      </c>
      <c r="H500" s="24" t="s">
        <v>109</v>
      </c>
      <c r="I500" s="32" t="s">
        <v>152</v>
      </c>
    </row>
    <row r="501" spans="1:9" x14ac:dyDescent="0.35">
      <c r="A501" s="19">
        <v>45736</v>
      </c>
      <c r="B501" s="20"/>
      <c r="C501" s="20"/>
      <c r="D501" s="20">
        <v>25000</v>
      </c>
      <c r="E501" s="99" t="s">
        <v>521</v>
      </c>
      <c r="F501" s="20">
        <f t="shared" si="7"/>
        <v>118718899</v>
      </c>
      <c r="G501" s="7" t="s">
        <v>330</v>
      </c>
      <c r="H501" s="24" t="s">
        <v>109</v>
      </c>
      <c r="I501" s="32" t="s">
        <v>152</v>
      </c>
    </row>
    <row r="502" spans="1:9" x14ac:dyDescent="0.35">
      <c r="A502" s="19">
        <v>45736</v>
      </c>
      <c r="B502" s="20"/>
      <c r="C502" s="20"/>
      <c r="D502" s="20">
        <v>50000</v>
      </c>
      <c r="E502" s="99" t="s">
        <v>521</v>
      </c>
      <c r="F502" s="20">
        <f t="shared" si="7"/>
        <v>118768899</v>
      </c>
      <c r="G502" s="7" t="s">
        <v>330</v>
      </c>
      <c r="H502" s="24" t="s">
        <v>109</v>
      </c>
      <c r="I502" s="32" t="s">
        <v>152</v>
      </c>
    </row>
    <row r="503" spans="1:9" x14ac:dyDescent="0.35">
      <c r="A503" s="19">
        <v>45736</v>
      </c>
      <c r="B503" s="20"/>
      <c r="C503" s="20"/>
      <c r="D503" s="20">
        <v>50000</v>
      </c>
      <c r="E503" s="99" t="s">
        <v>521</v>
      </c>
      <c r="F503" s="20">
        <f t="shared" si="7"/>
        <v>118818899</v>
      </c>
      <c r="G503" s="7" t="s">
        <v>330</v>
      </c>
      <c r="H503" s="24" t="s">
        <v>109</v>
      </c>
      <c r="I503" s="32" t="s">
        <v>152</v>
      </c>
    </row>
    <row r="504" spans="1:9" x14ac:dyDescent="0.35">
      <c r="A504" s="19">
        <v>45736</v>
      </c>
      <c r="B504" s="20"/>
      <c r="C504" s="20"/>
      <c r="D504" s="20">
        <v>10000</v>
      </c>
      <c r="E504" s="99" t="s">
        <v>521</v>
      </c>
      <c r="F504" s="20">
        <f t="shared" si="7"/>
        <v>118828899</v>
      </c>
      <c r="G504" s="7" t="s">
        <v>330</v>
      </c>
      <c r="H504" s="24" t="s">
        <v>109</v>
      </c>
      <c r="I504" s="32" t="s">
        <v>152</v>
      </c>
    </row>
    <row r="505" spans="1:9" x14ac:dyDescent="0.35">
      <c r="A505" s="19">
        <v>45736</v>
      </c>
      <c r="B505" s="20"/>
      <c r="C505" s="20"/>
      <c r="D505" s="20">
        <v>50000</v>
      </c>
      <c r="E505" s="99" t="s">
        <v>521</v>
      </c>
      <c r="F505" s="20">
        <f t="shared" si="7"/>
        <v>118878899</v>
      </c>
      <c r="G505" s="7" t="s">
        <v>330</v>
      </c>
      <c r="H505" s="24" t="s">
        <v>109</v>
      </c>
      <c r="I505" s="32" t="s">
        <v>152</v>
      </c>
    </row>
    <row r="506" spans="1:9" x14ac:dyDescent="0.35">
      <c r="A506" s="19">
        <v>45736</v>
      </c>
      <c r="B506" s="20"/>
      <c r="C506" s="20"/>
      <c r="D506" s="20">
        <v>10000</v>
      </c>
      <c r="E506" s="99" t="s">
        <v>521</v>
      </c>
      <c r="F506" s="20">
        <f t="shared" si="7"/>
        <v>118888899</v>
      </c>
      <c r="G506" s="7" t="s">
        <v>330</v>
      </c>
      <c r="H506" s="24" t="s">
        <v>109</v>
      </c>
      <c r="I506" s="32" t="s">
        <v>152</v>
      </c>
    </row>
    <row r="507" spans="1:9" x14ac:dyDescent="0.35">
      <c r="A507" s="19">
        <v>45736</v>
      </c>
      <c r="B507" s="20"/>
      <c r="C507" s="20"/>
      <c r="D507" s="20">
        <v>100000</v>
      </c>
      <c r="E507" s="99" t="s">
        <v>521</v>
      </c>
      <c r="F507" s="20">
        <f t="shared" si="7"/>
        <v>118988899</v>
      </c>
      <c r="G507" s="7" t="s">
        <v>330</v>
      </c>
      <c r="H507" s="24" t="s">
        <v>109</v>
      </c>
      <c r="I507" s="32" t="s">
        <v>152</v>
      </c>
    </row>
    <row r="508" spans="1:9" x14ac:dyDescent="0.35">
      <c r="A508" s="19">
        <v>45736</v>
      </c>
      <c r="B508" s="20"/>
      <c r="C508" s="20"/>
      <c r="D508" s="20">
        <v>50000</v>
      </c>
      <c r="E508" s="99" t="s">
        <v>521</v>
      </c>
      <c r="F508" s="20">
        <f t="shared" si="7"/>
        <v>119038899</v>
      </c>
      <c r="G508" s="7" t="s">
        <v>330</v>
      </c>
      <c r="H508" s="24" t="s">
        <v>109</v>
      </c>
      <c r="I508" s="32" t="s">
        <v>152</v>
      </c>
    </row>
    <row r="509" spans="1:9" x14ac:dyDescent="0.35">
      <c r="A509" s="19">
        <v>45736</v>
      </c>
      <c r="B509" s="20"/>
      <c r="C509" s="20"/>
      <c r="D509" s="23">
        <v>4250000</v>
      </c>
      <c r="E509" s="99" t="s">
        <v>521</v>
      </c>
      <c r="F509" s="20">
        <f t="shared" si="7"/>
        <v>123288899</v>
      </c>
      <c r="G509" s="24" t="s">
        <v>409</v>
      </c>
      <c r="H509" s="24" t="s">
        <v>109</v>
      </c>
      <c r="I509" s="32" t="s">
        <v>152</v>
      </c>
    </row>
    <row r="510" spans="1:9" x14ac:dyDescent="0.35">
      <c r="A510" s="19">
        <v>45736</v>
      </c>
      <c r="B510" s="23">
        <v>425000</v>
      </c>
      <c r="C510" s="20"/>
      <c r="D510" s="23"/>
      <c r="E510" s="99" t="s">
        <v>521</v>
      </c>
      <c r="F510" s="20">
        <f t="shared" si="7"/>
        <v>122863899</v>
      </c>
      <c r="G510" s="24" t="s">
        <v>410</v>
      </c>
      <c r="H510" s="59" t="s">
        <v>144</v>
      </c>
      <c r="I510" s="32" t="s">
        <v>152</v>
      </c>
    </row>
    <row r="511" spans="1:9" x14ac:dyDescent="0.35">
      <c r="A511" s="19">
        <v>45736</v>
      </c>
      <c r="B511" s="23">
        <v>2006000</v>
      </c>
      <c r="C511" s="20"/>
      <c r="D511" s="23"/>
      <c r="E511" s="99" t="s">
        <v>521</v>
      </c>
      <c r="F511" s="20">
        <f t="shared" si="7"/>
        <v>120857899</v>
      </c>
      <c r="G511" s="24" t="s">
        <v>411</v>
      </c>
      <c r="H511" s="59" t="s">
        <v>321</v>
      </c>
      <c r="I511" s="32" t="s">
        <v>152</v>
      </c>
    </row>
    <row r="512" spans="1:9" x14ac:dyDescent="0.35">
      <c r="A512" s="19"/>
      <c r="B512" s="20"/>
      <c r="C512" s="95">
        <v>1819000</v>
      </c>
      <c r="D512" s="95"/>
      <c r="E512" s="99"/>
      <c r="F512" s="20">
        <f t="shared" si="7"/>
        <v>120857899</v>
      </c>
      <c r="G512" s="125" t="s">
        <v>98</v>
      </c>
      <c r="H512" s="24"/>
      <c r="I512" s="32"/>
    </row>
    <row r="513" spans="1:9" x14ac:dyDescent="0.35">
      <c r="A513" s="19">
        <v>45736</v>
      </c>
      <c r="B513" s="20"/>
      <c r="C513" s="20"/>
      <c r="D513" s="20">
        <v>25000</v>
      </c>
      <c r="E513" s="99" t="s">
        <v>521</v>
      </c>
      <c r="F513" s="20">
        <f t="shared" si="7"/>
        <v>120882899</v>
      </c>
      <c r="G513" s="7" t="s">
        <v>408</v>
      </c>
      <c r="H513" s="24" t="s">
        <v>109</v>
      </c>
      <c r="I513" s="32" t="s">
        <v>152</v>
      </c>
    </row>
    <row r="514" spans="1:9" x14ac:dyDescent="0.35">
      <c r="A514" s="19">
        <v>45737</v>
      </c>
      <c r="B514" s="20"/>
      <c r="C514" s="20"/>
      <c r="D514" s="20">
        <v>50000</v>
      </c>
      <c r="E514" s="99" t="s">
        <v>521</v>
      </c>
      <c r="F514" s="20">
        <f t="shared" si="7"/>
        <v>120932899</v>
      </c>
      <c r="G514" s="7" t="s">
        <v>330</v>
      </c>
      <c r="H514" s="24" t="s">
        <v>109</v>
      </c>
      <c r="I514" s="32" t="s">
        <v>152</v>
      </c>
    </row>
    <row r="515" spans="1:9" x14ac:dyDescent="0.35">
      <c r="A515" s="19">
        <v>45737</v>
      </c>
      <c r="B515" s="20"/>
      <c r="C515" s="20"/>
      <c r="D515" s="20">
        <v>200000</v>
      </c>
      <c r="E515" s="99" t="s">
        <v>521</v>
      </c>
      <c r="F515" s="20">
        <f t="shared" si="7"/>
        <v>121132899</v>
      </c>
      <c r="G515" s="7" t="s">
        <v>330</v>
      </c>
      <c r="H515" s="24" t="s">
        <v>109</v>
      </c>
      <c r="I515" s="32" t="s">
        <v>152</v>
      </c>
    </row>
    <row r="516" spans="1:9" x14ac:dyDescent="0.35">
      <c r="A516" s="19">
        <v>45737</v>
      </c>
      <c r="B516" s="20"/>
      <c r="C516" s="20"/>
      <c r="D516" s="20">
        <v>25000</v>
      </c>
      <c r="E516" s="99" t="s">
        <v>521</v>
      </c>
      <c r="F516" s="20">
        <f t="shared" si="7"/>
        <v>121157899</v>
      </c>
      <c r="G516" s="7" t="s">
        <v>330</v>
      </c>
      <c r="H516" s="24" t="s">
        <v>109</v>
      </c>
      <c r="I516" s="32" t="s">
        <v>152</v>
      </c>
    </row>
    <row r="517" spans="1:9" x14ac:dyDescent="0.35">
      <c r="A517" s="19">
        <v>45737</v>
      </c>
      <c r="B517" s="20"/>
      <c r="C517" s="20"/>
      <c r="D517" s="20">
        <v>100000</v>
      </c>
      <c r="E517" s="99" t="s">
        <v>521</v>
      </c>
      <c r="F517" s="20">
        <f t="shared" si="7"/>
        <v>121257899</v>
      </c>
      <c r="G517" s="7" t="s">
        <v>330</v>
      </c>
      <c r="H517" s="24" t="s">
        <v>109</v>
      </c>
      <c r="I517" s="32" t="s">
        <v>152</v>
      </c>
    </row>
    <row r="518" spans="1:9" x14ac:dyDescent="0.35">
      <c r="A518" s="19">
        <v>45737</v>
      </c>
      <c r="B518" s="20"/>
      <c r="C518" s="20"/>
      <c r="D518" s="20">
        <v>100000</v>
      </c>
      <c r="E518" s="99" t="s">
        <v>521</v>
      </c>
      <c r="F518" s="20">
        <f t="shared" si="7"/>
        <v>121357899</v>
      </c>
      <c r="G518" s="7" t="s">
        <v>330</v>
      </c>
      <c r="H518" s="24" t="s">
        <v>109</v>
      </c>
      <c r="I518" s="32" t="s">
        <v>152</v>
      </c>
    </row>
    <row r="519" spans="1:9" x14ac:dyDescent="0.35">
      <c r="A519" s="19">
        <v>45737</v>
      </c>
      <c r="B519" s="20"/>
      <c r="C519" s="20"/>
      <c r="D519" s="20">
        <v>10000</v>
      </c>
      <c r="E519" s="99" t="s">
        <v>521</v>
      </c>
      <c r="F519" s="20">
        <f t="shared" si="7"/>
        <v>121367899</v>
      </c>
      <c r="G519" s="7" t="s">
        <v>330</v>
      </c>
      <c r="H519" s="24" t="s">
        <v>109</v>
      </c>
      <c r="I519" s="32" t="s">
        <v>152</v>
      </c>
    </row>
    <row r="520" spans="1:9" x14ac:dyDescent="0.35">
      <c r="A520" s="19">
        <v>45737</v>
      </c>
      <c r="B520" s="20"/>
      <c r="C520" s="20"/>
      <c r="D520" s="20">
        <v>25000</v>
      </c>
      <c r="E520" s="99" t="s">
        <v>521</v>
      </c>
      <c r="F520" s="20">
        <f t="shared" si="7"/>
        <v>121392899</v>
      </c>
      <c r="G520" s="7" t="s">
        <v>330</v>
      </c>
      <c r="H520" s="24" t="s">
        <v>109</v>
      </c>
      <c r="I520" s="32" t="s">
        <v>152</v>
      </c>
    </row>
    <row r="521" spans="1:9" x14ac:dyDescent="0.35">
      <c r="A521" s="19">
        <v>45737</v>
      </c>
      <c r="B521" s="20"/>
      <c r="C521" s="20"/>
      <c r="D521" s="20">
        <v>50000</v>
      </c>
      <c r="E521" s="99" t="s">
        <v>521</v>
      </c>
      <c r="F521" s="20">
        <f t="shared" si="7"/>
        <v>121442899</v>
      </c>
      <c r="G521" s="7" t="s">
        <v>330</v>
      </c>
      <c r="H521" s="24" t="s">
        <v>109</v>
      </c>
      <c r="I521" s="32" t="s">
        <v>152</v>
      </c>
    </row>
    <row r="522" spans="1:9" x14ac:dyDescent="0.35">
      <c r="A522" s="19">
        <v>45737</v>
      </c>
      <c r="B522" s="20"/>
      <c r="C522" s="20"/>
      <c r="D522" s="20">
        <v>10000</v>
      </c>
      <c r="E522" s="99" t="s">
        <v>521</v>
      </c>
      <c r="F522" s="20">
        <f t="shared" ref="F522:F585" si="8">+F521+D522-B522</f>
        <v>121452899</v>
      </c>
      <c r="G522" s="7" t="s">
        <v>330</v>
      </c>
      <c r="H522" s="24" t="s">
        <v>109</v>
      </c>
      <c r="I522" s="32" t="s">
        <v>152</v>
      </c>
    </row>
    <row r="523" spans="1:9" x14ac:dyDescent="0.35">
      <c r="A523" s="19">
        <v>45737</v>
      </c>
      <c r="B523" s="20"/>
      <c r="C523" s="20"/>
      <c r="D523" s="20">
        <v>100000</v>
      </c>
      <c r="E523" s="99" t="s">
        <v>521</v>
      </c>
      <c r="F523" s="20">
        <f t="shared" si="8"/>
        <v>121552899</v>
      </c>
      <c r="G523" s="7" t="s">
        <v>330</v>
      </c>
      <c r="H523" s="24" t="s">
        <v>109</v>
      </c>
      <c r="I523" s="32" t="s">
        <v>152</v>
      </c>
    </row>
    <row r="524" spans="1:9" x14ac:dyDescent="0.35">
      <c r="A524" s="19">
        <v>45737</v>
      </c>
      <c r="B524" s="20"/>
      <c r="C524" s="20"/>
      <c r="D524" s="20">
        <v>10000</v>
      </c>
      <c r="E524" s="99" t="s">
        <v>521</v>
      </c>
      <c r="F524" s="20">
        <f t="shared" si="8"/>
        <v>121562899</v>
      </c>
      <c r="G524" s="7" t="s">
        <v>330</v>
      </c>
      <c r="H524" s="24" t="s">
        <v>109</v>
      </c>
      <c r="I524" s="32" t="s">
        <v>152</v>
      </c>
    </row>
    <row r="525" spans="1:9" x14ac:dyDescent="0.35">
      <c r="A525" s="19">
        <v>45737</v>
      </c>
      <c r="B525" s="20"/>
      <c r="C525" s="20"/>
      <c r="D525" s="20">
        <v>1000000</v>
      </c>
      <c r="E525" s="99" t="s">
        <v>521</v>
      </c>
      <c r="F525" s="20">
        <f t="shared" si="8"/>
        <v>122562899</v>
      </c>
      <c r="G525" s="7" t="s">
        <v>314</v>
      </c>
      <c r="H525" s="24" t="s">
        <v>109</v>
      </c>
      <c r="I525" s="32" t="s">
        <v>152</v>
      </c>
    </row>
    <row r="526" spans="1:9" x14ac:dyDescent="0.35">
      <c r="A526" s="19">
        <v>45737</v>
      </c>
      <c r="B526" s="20">
        <v>7000</v>
      </c>
      <c r="C526" s="20"/>
      <c r="D526" s="20"/>
      <c r="E526" s="99" t="s">
        <v>521</v>
      </c>
      <c r="F526" s="20">
        <f t="shared" si="8"/>
        <v>122555899</v>
      </c>
      <c r="G526" s="7" t="s">
        <v>423</v>
      </c>
      <c r="H526" s="24" t="s">
        <v>320</v>
      </c>
      <c r="I526" s="32" t="s">
        <v>152</v>
      </c>
    </row>
    <row r="527" spans="1:9" x14ac:dyDescent="0.35">
      <c r="A527" s="19">
        <v>45737</v>
      </c>
      <c r="B527" s="20"/>
      <c r="C527" s="20"/>
      <c r="D527" s="20">
        <v>100000</v>
      </c>
      <c r="E527" s="99" t="s">
        <v>521</v>
      </c>
      <c r="F527" s="20">
        <f t="shared" si="8"/>
        <v>122655899</v>
      </c>
      <c r="G527" s="7" t="s">
        <v>424</v>
      </c>
      <c r="H527" s="24" t="s">
        <v>109</v>
      </c>
      <c r="I527" s="32" t="s">
        <v>152</v>
      </c>
    </row>
    <row r="528" spans="1:9" x14ac:dyDescent="0.35">
      <c r="A528" s="19">
        <v>45740</v>
      </c>
      <c r="B528" s="20"/>
      <c r="C528" s="20"/>
      <c r="D528" s="20">
        <v>50000</v>
      </c>
      <c r="E528" s="99" t="s">
        <v>521</v>
      </c>
      <c r="F528" s="20">
        <f t="shared" si="8"/>
        <v>122705899</v>
      </c>
      <c r="G528" s="7" t="s">
        <v>330</v>
      </c>
      <c r="H528" s="24" t="s">
        <v>109</v>
      </c>
      <c r="I528" s="32" t="s">
        <v>152</v>
      </c>
    </row>
    <row r="529" spans="1:9" x14ac:dyDescent="0.35">
      <c r="A529" s="19">
        <v>45740</v>
      </c>
      <c r="B529" s="20"/>
      <c r="C529" s="20"/>
      <c r="D529" s="20">
        <v>100000</v>
      </c>
      <c r="E529" s="99" t="s">
        <v>521</v>
      </c>
      <c r="F529" s="20">
        <f t="shared" si="8"/>
        <v>122805899</v>
      </c>
      <c r="G529" s="7" t="s">
        <v>330</v>
      </c>
      <c r="H529" s="24" t="s">
        <v>109</v>
      </c>
      <c r="I529" s="32" t="s">
        <v>152</v>
      </c>
    </row>
    <row r="530" spans="1:9" x14ac:dyDescent="0.35">
      <c r="A530" s="19">
        <v>45740</v>
      </c>
      <c r="B530" s="20"/>
      <c r="C530" s="20"/>
      <c r="D530" s="20">
        <v>25000</v>
      </c>
      <c r="E530" s="99" t="s">
        <v>521</v>
      </c>
      <c r="F530" s="20">
        <f t="shared" si="8"/>
        <v>122830899</v>
      </c>
      <c r="G530" s="7" t="s">
        <v>330</v>
      </c>
      <c r="H530" s="24" t="s">
        <v>109</v>
      </c>
      <c r="I530" s="32" t="s">
        <v>152</v>
      </c>
    </row>
    <row r="531" spans="1:9" x14ac:dyDescent="0.35">
      <c r="A531" s="19">
        <v>45740</v>
      </c>
      <c r="B531" s="20"/>
      <c r="C531" s="20"/>
      <c r="D531" s="20">
        <v>100000</v>
      </c>
      <c r="E531" s="99" t="s">
        <v>521</v>
      </c>
      <c r="F531" s="20">
        <f t="shared" si="8"/>
        <v>122930899</v>
      </c>
      <c r="G531" s="7" t="s">
        <v>330</v>
      </c>
      <c r="H531" s="24" t="s">
        <v>109</v>
      </c>
      <c r="I531" s="32" t="s">
        <v>152</v>
      </c>
    </row>
    <row r="532" spans="1:9" x14ac:dyDescent="0.35">
      <c r="A532" s="19">
        <v>45740</v>
      </c>
      <c r="B532" s="20"/>
      <c r="C532" s="20"/>
      <c r="D532" s="20">
        <v>1000010</v>
      </c>
      <c r="E532" s="99" t="s">
        <v>521</v>
      </c>
      <c r="F532" s="20">
        <f t="shared" si="8"/>
        <v>123930909</v>
      </c>
      <c r="G532" s="7" t="s">
        <v>441</v>
      </c>
      <c r="H532" s="59" t="s">
        <v>105</v>
      </c>
      <c r="I532" s="32" t="s">
        <v>152</v>
      </c>
    </row>
    <row r="533" spans="1:9" x14ac:dyDescent="0.35">
      <c r="A533" s="19">
        <v>45740</v>
      </c>
      <c r="B533" s="20"/>
      <c r="C533" s="20"/>
      <c r="D533" s="20">
        <v>25000</v>
      </c>
      <c r="E533" s="99" t="s">
        <v>521</v>
      </c>
      <c r="F533" s="20">
        <f t="shared" si="8"/>
        <v>123955909</v>
      </c>
      <c r="G533" s="7" t="s">
        <v>330</v>
      </c>
      <c r="H533" s="24" t="s">
        <v>109</v>
      </c>
      <c r="I533" s="32" t="s">
        <v>152</v>
      </c>
    </row>
    <row r="534" spans="1:9" x14ac:dyDescent="0.35">
      <c r="A534" s="19">
        <v>45740</v>
      </c>
      <c r="B534" s="20"/>
      <c r="C534" s="20"/>
      <c r="D534" s="20">
        <v>10000</v>
      </c>
      <c r="E534" s="99" t="s">
        <v>521</v>
      </c>
      <c r="F534" s="20">
        <f t="shared" si="8"/>
        <v>123965909</v>
      </c>
      <c r="G534" s="7" t="s">
        <v>330</v>
      </c>
      <c r="H534" s="24" t="s">
        <v>109</v>
      </c>
      <c r="I534" s="32" t="s">
        <v>152</v>
      </c>
    </row>
    <row r="535" spans="1:9" x14ac:dyDescent="0.35">
      <c r="A535" s="19">
        <v>45740</v>
      </c>
      <c r="B535" s="20"/>
      <c r="C535" s="20"/>
      <c r="D535" s="20">
        <v>50000</v>
      </c>
      <c r="E535" s="99" t="s">
        <v>521</v>
      </c>
      <c r="F535" s="20">
        <f t="shared" si="8"/>
        <v>124015909</v>
      </c>
      <c r="G535" s="7" t="s">
        <v>330</v>
      </c>
      <c r="H535" s="24" t="s">
        <v>109</v>
      </c>
      <c r="I535" s="32" t="s">
        <v>152</v>
      </c>
    </row>
    <row r="536" spans="1:9" x14ac:dyDescent="0.35">
      <c r="A536" s="19">
        <v>45740</v>
      </c>
      <c r="B536" s="20"/>
      <c r="C536" s="20"/>
      <c r="D536" s="20">
        <v>10000</v>
      </c>
      <c r="E536" s="99" t="s">
        <v>521</v>
      </c>
      <c r="F536" s="20">
        <f t="shared" si="8"/>
        <v>124025909</v>
      </c>
      <c r="G536" s="7" t="s">
        <v>330</v>
      </c>
      <c r="H536" s="24" t="s">
        <v>109</v>
      </c>
      <c r="I536" s="32" t="s">
        <v>152</v>
      </c>
    </row>
    <row r="537" spans="1:9" x14ac:dyDescent="0.35">
      <c r="A537" s="19">
        <v>45740</v>
      </c>
      <c r="B537" s="20"/>
      <c r="C537" s="20"/>
      <c r="D537" s="20">
        <v>100000</v>
      </c>
      <c r="E537" s="99" t="s">
        <v>521</v>
      </c>
      <c r="F537" s="20">
        <f t="shared" si="8"/>
        <v>124125909</v>
      </c>
      <c r="G537" s="7" t="s">
        <v>330</v>
      </c>
      <c r="H537" s="24" t="s">
        <v>109</v>
      </c>
      <c r="I537" s="32" t="s">
        <v>152</v>
      </c>
    </row>
    <row r="538" spans="1:9" x14ac:dyDescent="0.35">
      <c r="A538" s="19">
        <v>45740</v>
      </c>
      <c r="B538" s="20"/>
      <c r="C538" s="20"/>
      <c r="D538" s="20">
        <v>20000</v>
      </c>
      <c r="E538" s="99" t="s">
        <v>521</v>
      </c>
      <c r="F538" s="20">
        <f t="shared" si="8"/>
        <v>124145909</v>
      </c>
      <c r="G538" s="7" t="s">
        <v>330</v>
      </c>
      <c r="H538" s="24" t="s">
        <v>109</v>
      </c>
      <c r="I538" s="32" t="s">
        <v>152</v>
      </c>
    </row>
    <row r="539" spans="1:9" x14ac:dyDescent="0.35">
      <c r="A539" s="19">
        <v>45740</v>
      </c>
      <c r="B539" s="20"/>
      <c r="C539" s="20"/>
      <c r="D539" s="20">
        <v>48000</v>
      </c>
      <c r="E539" s="99" t="s">
        <v>521</v>
      </c>
      <c r="F539" s="20">
        <f t="shared" si="8"/>
        <v>124193909</v>
      </c>
      <c r="G539" s="7" t="s">
        <v>330</v>
      </c>
      <c r="H539" s="24" t="s">
        <v>109</v>
      </c>
      <c r="I539" s="32" t="s">
        <v>152</v>
      </c>
    </row>
    <row r="540" spans="1:9" x14ac:dyDescent="0.35">
      <c r="A540" s="19">
        <v>45740</v>
      </c>
      <c r="B540" s="20"/>
      <c r="C540" s="20"/>
      <c r="D540" s="20">
        <v>100000</v>
      </c>
      <c r="E540" s="99" t="s">
        <v>521</v>
      </c>
      <c r="F540" s="20">
        <f t="shared" si="8"/>
        <v>124293909</v>
      </c>
      <c r="G540" s="7" t="s">
        <v>330</v>
      </c>
      <c r="H540" s="24" t="s">
        <v>109</v>
      </c>
      <c r="I540" s="32" t="s">
        <v>152</v>
      </c>
    </row>
    <row r="541" spans="1:9" x14ac:dyDescent="0.35">
      <c r="A541" s="19">
        <v>45740</v>
      </c>
      <c r="B541" s="20"/>
      <c r="C541" s="20"/>
      <c r="D541" s="20">
        <v>300000</v>
      </c>
      <c r="E541" s="99" t="s">
        <v>521</v>
      </c>
      <c r="F541" s="20">
        <f t="shared" si="8"/>
        <v>124593909</v>
      </c>
      <c r="G541" s="7" t="s">
        <v>330</v>
      </c>
      <c r="H541" s="24" t="s">
        <v>109</v>
      </c>
      <c r="I541" s="32" t="s">
        <v>152</v>
      </c>
    </row>
    <row r="542" spans="1:9" x14ac:dyDescent="0.35">
      <c r="A542" s="19">
        <v>45740</v>
      </c>
      <c r="B542" s="20"/>
      <c r="C542" s="20"/>
      <c r="D542" s="20">
        <v>20000</v>
      </c>
      <c r="E542" s="99" t="s">
        <v>521</v>
      </c>
      <c r="F542" s="20">
        <f t="shared" si="8"/>
        <v>124613909</v>
      </c>
      <c r="G542" s="7" t="s">
        <v>330</v>
      </c>
      <c r="H542" s="24" t="s">
        <v>109</v>
      </c>
      <c r="I542" s="32" t="s">
        <v>152</v>
      </c>
    </row>
    <row r="543" spans="1:9" x14ac:dyDescent="0.35">
      <c r="A543" s="19">
        <v>45740</v>
      </c>
      <c r="B543" s="20"/>
      <c r="C543" s="20"/>
      <c r="D543" s="20">
        <v>1474</v>
      </c>
      <c r="E543" s="99" t="s">
        <v>521</v>
      </c>
      <c r="F543" s="20">
        <f t="shared" si="8"/>
        <v>124615383</v>
      </c>
      <c r="G543" s="7" t="s">
        <v>330</v>
      </c>
      <c r="H543" s="24" t="s">
        <v>109</v>
      </c>
      <c r="I543" s="32" t="s">
        <v>152</v>
      </c>
    </row>
    <row r="544" spans="1:9" x14ac:dyDescent="0.35">
      <c r="A544" s="19">
        <v>45740</v>
      </c>
      <c r="B544" s="20"/>
      <c r="C544" s="20"/>
      <c r="D544" s="20">
        <v>5000</v>
      </c>
      <c r="E544" s="99" t="s">
        <v>521</v>
      </c>
      <c r="F544" s="20">
        <f t="shared" si="8"/>
        <v>124620383</v>
      </c>
      <c r="G544" s="7" t="s">
        <v>330</v>
      </c>
      <c r="H544" s="24" t="s">
        <v>109</v>
      </c>
      <c r="I544" s="32" t="s">
        <v>152</v>
      </c>
    </row>
    <row r="545" spans="1:9" x14ac:dyDescent="0.35">
      <c r="A545" s="19">
        <v>45740</v>
      </c>
      <c r="B545" s="20"/>
      <c r="C545" s="20"/>
      <c r="D545" s="20">
        <v>20000</v>
      </c>
      <c r="E545" s="99" t="s">
        <v>521</v>
      </c>
      <c r="F545" s="20">
        <f t="shared" si="8"/>
        <v>124640383</v>
      </c>
      <c r="G545" s="7" t="s">
        <v>330</v>
      </c>
      <c r="H545" s="24" t="s">
        <v>109</v>
      </c>
      <c r="I545" s="32" t="s">
        <v>152</v>
      </c>
    </row>
    <row r="546" spans="1:9" x14ac:dyDescent="0.35">
      <c r="A546" s="19">
        <v>45740</v>
      </c>
      <c r="B546" s="20"/>
      <c r="C546" s="20"/>
      <c r="D546" s="20">
        <v>2000000</v>
      </c>
      <c r="E546" s="99" t="s">
        <v>521</v>
      </c>
      <c r="F546" s="20">
        <f t="shared" si="8"/>
        <v>126640383</v>
      </c>
      <c r="G546" s="7" t="s">
        <v>425</v>
      </c>
      <c r="H546" s="24" t="s">
        <v>109</v>
      </c>
      <c r="I546" s="32" t="s">
        <v>152</v>
      </c>
    </row>
    <row r="547" spans="1:9" x14ac:dyDescent="0.35">
      <c r="A547" s="19">
        <v>45740</v>
      </c>
      <c r="B547" s="20"/>
      <c r="C547" s="20"/>
      <c r="D547" s="20">
        <v>1500000</v>
      </c>
      <c r="E547" s="99" t="s">
        <v>521</v>
      </c>
      <c r="F547" s="20">
        <f t="shared" si="8"/>
        <v>128140383</v>
      </c>
      <c r="G547" s="7" t="s">
        <v>440</v>
      </c>
      <c r="H547" s="59" t="s">
        <v>105</v>
      </c>
      <c r="I547" s="32" t="s">
        <v>152</v>
      </c>
    </row>
    <row r="548" spans="1:9" x14ac:dyDescent="0.35">
      <c r="A548" s="19">
        <v>45740</v>
      </c>
      <c r="B548" s="20"/>
      <c r="C548" s="20"/>
      <c r="D548" s="20">
        <v>25000</v>
      </c>
      <c r="E548" s="99" t="s">
        <v>521</v>
      </c>
      <c r="F548" s="20">
        <f t="shared" si="8"/>
        <v>128165383</v>
      </c>
      <c r="G548" s="7" t="s">
        <v>408</v>
      </c>
      <c r="H548" s="24" t="s">
        <v>109</v>
      </c>
      <c r="I548" s="32" t="s">
        <v>152</v>
      </c>
    </row>
    <row r="549" spans="1:9" x14ac:dyDescent="0.35">
      <c r="A549" s="19">
        <v>45740</v>
      </c>
      <c r="B549" s="20"/>
      <c r="C549" s="20"/>
      <c r="D549" s="20">
        <v>50000</v>
      </c>
      <c r="E549" s="99" t="s">
        <v>521</v>
      </c>
      <c r="F549" s="20">
        <f t="shared" si="8"/>
        <v>128215383</v>
      </c>
      <c r="G549" s="7" t="s">
        <v>330</v>
      </c>
      <c r="H549" s="24" t="s">
        <v>109</v>
      </c>
      <c r="I549" s="32" t="s">
        <v>152</v>
      </c>
    </row>
    <row r="550" spans="1:9" x14ac:dyDescent="0.35">
      <c r="A550" s="19">
        <v>45740</v>
      </c>
      <c r="B550" s="20"/>
      <c r="C550" s="20"/>
      <c r="D550" s="20">
        <v>100000</v>
      </c>
      <c r="E550" s="99" t="s">
        <v>521</v>
      </c>
      <c r="F550" s="20">
        <f t="shared" si="8"/>
        <v>128315383</v>
      </c>
      <c r="G550" s="7" t="s">
        <v>330</v>
      </c>
      <c r="H550" s="24" t="s">
        <v>109</v>
      </c>
      <c r="I550" s="32" t="s">
        <v>152</v>
      </c>
    </row>
    <row r="551" spans="1:9" x14ac:dyDescent="0.35">
      <c r="A551" s="19">
        <v>45740</v>
      </c>
      <c r="B551" s="20"/>
      <c r="C551" s="20"/>
      <c r="D551" s="20">
        <v>100000</v>
      </c>
      <c r="E551" s="99" t="s">
        <v>521</v>
      </c>
      <c r="F551" s="20">
        <f t="shared" si="8"/>
        <v>128415383</v>
      </c>
      <c r="G551" s="7" t="s">
        <v>330</v>
      </c>
      <c r="H551" s="24" t="s">
        <v>109</v>
      </c>
      <c r="I551" s="32" t="s">
        <v>152</v>
      </c>
    </row>
    <row r="552" spans="1:9" x14ac:dyDescent="0.35">
      <c r="A552" s="19">
        <v>45740</v>
      </c>
      <c r="B552" s="20"/>
      <c r="C552" s="20"/>
      <c r="D552" s="20">
        <v>100000</v>
      </c>
      <c r="E552" s="99" t="s">
        <v>521</v>
      </c>
      <c r="F552" s="20">
        <f t="shared" si="8"/>
        <v>128515383</v>
      </c>
      <c r="G552" s="7" t="s">
        <v>330</v>
      </c>
      <c r="H552" s="24" t="s">
        <v>109</v>
      </c>
      <c r="I552" s="32" t="s">
        <v>152</v>
      </c>
    </row>
    <row r="553" spans="1:9" x14ac:dyDescent="0.35">
      <c r="A553" s="19">
        <v>45740</v>
      </c>
      <c r="B553" s="20"/>
      <c r="C553" s="20"/>
      <c r="D553" s="20">
        <v>10000</v>
      </c>
      <c r="E553" s="99" t="s">
        <v>521</v>
      </c>
      <c r="F553" s="20">
        <f t="shared" si="8"/>
        <v>128525383</v>
      </c>
      <c r="G553" s="7" t="s">
        <v>330</v>
      </c>
      <c r="H553" s="24" t="s">
        <v>109</v>
      </c>
      <c r="I553" s="32" t="s">
        <v>152</v>
      </c>
    </row>
    <row r="554" spans="1:9" x14ac:dyDescent="0.35">
      <c r="A554" s="19">
        <v>45740</v>
      </c>
      <c r="B554" s="20"/>
      <c r="C554" s="20"/>
      <c r="D554" s="20">
        <v>10000</v>
      </c>
      <c r="E554" s="99" t="s">
        <v>521</v>
      </c>
      <c r="F554" s="20">
        <f t="shared" si="8"/>
        <v>128535383</v>
      </c>
      <c r="G554" s="7" t="s">
        <v>330</v>
      </c>
      <c r="H554" s="24" t="s">
        <v>109</v>
      </c>
      <c r="I554" s="32" t="s">
        <v>152</v>
      </c>
    </row>
    <row r="555" spans="1:9" x14ac:dyDescent="0.35">
      <c r="A555" s="19">
        <v>45740</v>
      </c>
      <c r="B555" s="20"/>
      <c r="C555" s="20"/>
      <c r="D555" s="20">
        <v>10000</v>
      </c>
      <c r="E555" s="99" t="s">
        <v>521</v>
      </c>
      <c r="F555" s="20">
        <f t="shared" si="8"/>
        <v>128545383</v>
      </c>
      <c r="G555" s="7" t="s">
        <v>330</v>
      </c>
      <c r="H555" s="24" t="s">
        <v>109</v>
      </c>
      <c r="I555" s="32" t="s">
        <v>152</v>
      </c>
    </row>
    <row r="556" spans="1:9" x14ac:dyDescent="0.35">
      <c r="A556" s="19">
        <v>45740</v>
      </c>
      <c r="B556" s="20"/>
      <c r="C556" s="20"/>
      <c r="D556" s="20">
        <v>25000</v>
      </c>
      <c r="E556" s="99" t="s">
        <v>521</v>
      </c>
      <c r="F556" s="20">
        <f t="shared" si="8"/>
        <v>128570383</v>
      </c>
      <c r="G556" s="7" t="s">
        <v>330</v>
      </c>
      <c r="H556" s="24" t="s">
        <v>109</v>
      </c>
      <c r="I556" s="32" t="s">
        <v>152</v>
      </c>
    </row>
    <row r="557" spans="1:9" x14ac:dyDescent="0.35">
      <c r="A557" s="19">
        <v>45740</v>
      </c>
      <c r="B557" s="20"/>
      <c r="C557" s="20"/>
      <c r="D557" s="20">
        <v>100000</v>
      </c>
      <c r="E557" s="99" t="s">
        <v>521</v>
      </c>
      <c r="F557" s="20">
        <f t="shared" si="8"/>
        <v>128670383</v>
      </c>
      <c r="G557" s="7" t="s">
        <v>330</v>
      </c>
      <c r="H557" s="24" t="s">
        <v>109</v>
      </c>
      <c r="I557" s="32" t="s">
        <v>152</v>
      </c>
    </row>
    <row r="558" spans="1:9" x14ac:dyDescent="0.35">
      <c r="A558" s="19">
        <v>45740</v>
      </c>
      <c r="B558" s="20"/>
      <c r="C558" s="20"/>
      <c r="D558" s="20">
        <v>25000</v>
      </c>
      <c r="E558" s="99" t="s">
        <v>521</v>
      </c>
      <c r="F558" s="20">
        <f t="shared" si="8"/>
        <v>128695383</v>
      </c>
      <c r="G558" s="7" t="s">
        <v>330</v>
      </c>
      <c r="H558" s="24" t="s">
        <v>109</v>
      </c>
      <c r="I558" s="32" t="s">
        <v>152</v>
      </c>
    </row>
    <row r="559" spans="1:9" x14ac:dyDescent="0.35">
      <c r="A559" s="19">
        <v>45740</v>
      </c>
      <c r="B559" s="20"/>
      <c r="C559" s="20"/>
      <c r="D559" s="20">
        <v>50000</v>
      </c>
      <c r="E559" s="99" t="s">
        <v>521</v>
      </c>
      <c r="F559" s="20">
        <f t="shared" si="8"/>
        <v>128745383</v>
      </c>
      <c r="G559" s="7" t="s">
        <v>330</v>
      </c>
      <c r="H559" s="24" t="s">
        <v>109</v>
      </c>
      <c r="I559" s="32" t="s">
        <v>152</v>
      </c>
    </row>
    <row r="560" spans="1:9" x14ac:dyDescent="0.35">
      <c r="A560" s="19">
        <v>45740</v>
      </c>
      <c r="B560" s="20"/>
      <c r="C560" s="20"/>
      <c r="D560" s="20">
        <v>20000</v>
      </c>
      <c r="E560" s="99" t="s">
        <v>521</v>
      </c>
      <c r="F560" s="20">
        <f t="shared" si="8"/>
        <v>128765383</v>
      </c>
      <c r="G560" s="7" t="s">
        <v>330</v>
      </c>
      <c r="H560" s="24" t="s">
        <v>109</v>
      </c>
      <c r="I560" s="32" t="s">
        <v>152</v>
      </c>
    </row>
    <row r="561" spans="1:9" x14ac:dyDescent="0.35">
      <c r="A561" s="19">
        <v>45740</v>
      </c>
      <c r="B561" s="20"/>
      <c r="C561" s="20"/>
      <c r="D561" s="20">
        <v>1000000</v>
      </c>
      <c r="E561" s="99" t="s">
        <v>521</v>
      </c>
      <c r="F561" s="20">
        <f t="shared" si="8"/>
        <v>129765383</v>
      </c>
      <c r="G561" s="7" t="s">
        <v>426</v>
      </c>
      <c r="H561" s="24" t="s">
        <v>109</v>
      </c>
      <c r="I561" s="32" t="s">
        <v>152</v>
      </c>
    </row>
    <row r="562" spans="1:9" x14ac:dyDescent="0.35">
      <c r="A562" s="19">
        <v>45740</v>
      </c>
      <c r="B562" s="20"/>
      <c r="C562" s="20"/>
      <c r="D562" s="20">
        <v>4000000</v>
      </c>
      <c r="E562" s="99" t="s">
        <v>521</v>
      </c>
      <c r="F562" s="20">
        <f t="shared" si="8"/>
        <v>133765383</v>
      </c>
      <c r="G562" s="7" t="s">
        <v>427</v>
      </c>
      <c r="H562" s="59" t="s">
        <v>105</v>
      </c>
      <c r="I562" s="32" t="s">
        <v>152</v>
      </c>
    </row>
    <row r="563" spans="1:9" x14ac:dyDescent="0.35">
      <c r="A563" s="19">
        <v>45740</v>
      </c>
      <c r="B563" s="20"/>
      <c r="C563" s="20"/>
      <c r="D563" s="20">
        <v>300000</v>
      </c>
      <c r="E563" s="99" t="s">
        <v>521</v>
      </c>
      <c r="F563" s="20">
        <f t="shared" si="8"/>
        <v>134065383</v>
      </c>
      <c r="G563" s="7" t="s">
        <v>428</v>
      </c>
      <c r="H563" s="24" t="s">
        <v>109</v>
      </c>
      <c r="I563" s="32" t="s">
        <v>152</v>
      </c>
    </row>
    <row r="564" spans="1:9" x14ac:dyDescent="0.35">
      <c r="A564" s="19">
        <v>45740</v>
      </c>
      <c r="B564" s="20"/>
      <c r="C564" s="20"/>
      <c r="D564" s="20">
        <v>5000000</v>
      </c>
      <c r="E564" s="99" t="s">
        <v>521</v>
      </c>
      <c r="F564" s="20">
        <f t="shared" si="8"/>
        <v>139065383</v>
      </c>
      <c r="G564" s="7" t="s">
        <v>429</v>
      </c>
      <c r="H564" s="59" t="s">
        <v>105</v>
      </c>
      <c r="I564" s="32" t="s">
        <v>152</v>
      </c>
    </row>
    <row r="565" spans="1:9" x14ac:dyDescent="0.35">
      <c r="A565" s="19">
        <v>45740</v>
      </c>
      <c r="B565" s="20"/>
      <c r="C565" s="20"/>
      <c r="D565" s="20">
        <v>20000</v>
      </c>
      <c r="E565" s="99" t="s">
        <v>521</v>
      </c>
      <c r="F565" s="20">
        <f t="shared" si="8"/>
        <v>139085383</v>
      </c>
      <c r="G565" s="7" t="s">
        <v>330</v>
      </c>
      <c r="H565" s="24" t="s">
        <v>109</v>
      </c>
      <c r="I565" s="32" t="s">
        <v>152</v>
      </c>
    </row>
    <row r="566" spans="1:9" x14ac:dyDescent="0.35">
      <c r="A566" s="19">
        <v>45740</v>
      </c>
      <c r="B566" s="20"/>
      <c r="C566" s="20"/>
      <c r="D566" s="20">
        <v>50000</v>
      </c>
      <c r="E566" s="99" t="s">
        <v>521</v>
      </c>
      <c r="F566" s="20">
        <f t="shared" si="8"/>
        <v>139135383</v>
      </c>
      <c r="G566" s="7" t="s">
        <v>330</v>
      </c>
      <c r="H566" s="24" t="s">
        <v>109</v>
      </c>
      <c r="I566" s="32" t="s">
        <v>152</v>
      </c>
    </row>
    <row r="567" spans="1:9" x14ac:dyDescent="0.35">
      <c r="A567" s="19">
        <v>45740</v>
      </c>
      <c r="B567" s="20"/>
      <c r="C567" s="20"/>
      <c r="D567" s="20">
        <v>25000</v>
      </c>
      <c r="E567" s="99" t="s">
        <v>521</v>
      </c>
      <c r="F567" s="20">
        <f t="shared" si="8"/>
        <v>139160383</v>
      </c>
      <c r="G567" s="7" t="s">
        <v>330</v>
      </c>
      <c r="H567" s="24" t="s">
        <v>109</v>
      </c>
      <c r="I567" s="32" t="s">
        <v>152</v>
      </c>
    </row>
    <row r="568" spans="1:9" x14ac:dyDescent="0.35">
      <c r="A568" s="19">
        <v>45740</v>
      </c>
      <c r="B568" s="20"/>
      <c r="C568" s="20"/>
      <c r="D568" s="20">
        <v>100000</v>
      </c>
      <c r="E568" s="99" t="s">
        <v>521</v>
      </c>
      <c r="F568" s="20">
        <f t="shared" si="8"/>
        <v>139260383</v>
      </c>
      <c r="G568" s="7" t="s">
        <v>330</v>
      </c>
      <c r="H568" s="24" t="s">
        <v>109</v>
      </c>
      <c r="I568" s="32" t="s">
        <v>152</v>
      </c>
    </row>
    <row r="569" spans="1:9" x14ac:dyDescent="0.35">
      <c r="A569" s="19">
        <v>45740</v>
      </c>
      <c r="B569" s="20"/>
      <c r="C569" s="20"/>
      <c r="D569" s="20">
        <v>5000</v>
      </c>
      <c r="E569" s="99" t="s">
        <v>521</v>
      </c>
      <c r="F569" s="20">
        <f t="shared" si="8"/>
        <v>139265383</v>
      </c>
      <c r="G569" s="7" t="s">
        <v>330</v>
      </c>
      <c r="H569" s="24" t="s">
        <v>109</v>
      </c>
      <c r="I569" s="32" t="s">
        <v>152</v>
      </c>
    </row>
    <row r="570" spans="1:9" x14ac:dyDescent="0.35">
      <c r="A570" s="19">
        <v>45740</v>
      </c>
      <c r="B570" s="20"/>
      <c r="C570" s="20"/>
      <c r="D570" s="20">
        <v>1000000</v>
      </c>
      <c r="E570" s="99" t="s">
        <v>521</v>
      </c>
      <c r="F570" s="20">
        <f t="shared" si="8"/>
        <v>140265383</v>
      </c>
      <c r="G570" s="7" t="s">
        <v>430</v>
      </c>
      <c r="H570" s="24" t="s">
        <v>109</v>
      </c>
      <c r="I570" s="32" t="s">
        <v>152</v>
      </c>
    </row>
    <row r="571" spans="1:9" x14ac:dyDescent="0.35">
      <c r="A571" s="19">
        <v>45740</v>
      </c>
      <c r="B571" s="20"/>
      <c r="C571" s="20"/>
      <c r="D571" s="20">
        <v>100000</v>
      </c>
      <c r="E571" s="99" t="s">
        <v>521</v>
      </c>
      <c r="F571" s="20">
        <f t="shared" si="8"/>
        <v>140365383</v>
      </c>
      <c r="G571" s="7" t="s">
        <v>330</v>
      </c>
      <c r="H571" s="24" t="s">
        <v>109</v>
      </c>
      <c r="I571" s="32" t="s">
        <v>152</v>
      </c>
    </row>
    <row r="572" spans="1:9" x14ac:dyDescent="0.35">
      <c r="A572" s="19">
        <v>45740</v>
      </c>
      <c r="B572" s="20"/>
      <c r="C572" s="20"/>
      <c r="D572" s="20">
        <v>9000</v>
      </c>
      <c r="E572" s="99" t="s">
        <v>521</v>
      </c>
      <c r="F572" s="20">
        <f t="shared" si="8"/>
        <v>140374383</v>
      </c>
      <c r="G572" s="7" t="s">
        <v>330</v>
      </c>
      <c r="H572" s="24" t="s">
        <v>109</v>
      </c>
      <c r="I572" s="32" t="s">
        <v>152</v>
      </c>
    </row>
    <row r="573" spans="1:9" x14ac:dyDescent="0.35">
      <c r="A573" s="19">
        <v>45740</v>
      </c>
      <c r="B573" s="20"/>
      <c r="C573" s="20"/>
      <c r="D573" s="20">
        <v>10000</v>
      </c>
      <c r="E573" s="99" t="s">
        <v>521</v>
      </c>
      <c r="F573" s="20">
        <f t="shared" si="8"/>
        <v>140384383</v>
      </c>
      <c r="G573" s="7" t="s">
        <v>330</v>
      </c>
      <c r="H573" s="24" t="s">
        <v>109</v>
      </c>
      <c r="I573" s="32" t="s">
        <v>152</v>
      </c>
    </row>
    <row r="574" spans="1:9" x14ac:dyDescent="0.35">
      <c r="A574" s="19">
        <v>45740</v>
      </c>
      <c r="B574" s="20"/>
      <c r="C574" s="20"/>
      <c r="D574" s="20">
        <v>50000</v>
      </c>
      <c r="E574" s="99" t="s">
        <v>521</v>
      </c>
      <c r="F574" s="20">
        <f t="shared" si="8"/>
        <v>140434383</v>
      </c>
      <c r="G574" s="7" t="s">
        <v>330</v>
      </c>
      <c r="H574" s="24" t="s">
        <v>109</v>
      </c>
      <c r="I574" s="32" t="s">
        <v>152</v>
      </c>
    </row>
    <row r="575" spans="1:9" x14ac:dyDescent="0.35">
      <c r="A575" s="19">
        <v>45740</v>
      </c>
      <c r="B575" s="20"/>
      <c r="C575" s="20"/>
      <c r="D575" s="20">
        <v>10000</v>
      </c>
      <c r="E575" s="99" t="s">
        <v>521</v>
      </c>
      <c r="F575" s="20">
        <f t="shared" si="8"/>
        <v>140444383</v>
      </c>
      <c r="G575" s="7" t="s">
        <v>330</v>
      </c>
      <c r="H575" s="24" t="s">
        <v>109</v>
      </c>
      <c r="I575" s="32" t="s">
        <v>152</v>
      </c>
    </row>
    <row r="576" spans="1:9" x14ac:dyDescent="0.35">
      <c r="A576" s="19">
        <v>45740</v>
      </c>
      <c r="B576" s="20"/>
      <c r="C576" s="20"/>
      <c r="D576" s="20">
        <v>25000</v>
      </c>
      <c r="E576" s="99" t="s">
        <v>521</v>
      </c>
      <c r="F576" s="20">
        <f t="shared" si="8"/>
        <v>140469383</v>
      </c>
      <c r="G576" s="7" t="s">
        <v>330</v>
      </c>
      <c r="H576" s="24" t="s">
        <v>109</v>
      </c>
      <c r="I576" s="32" t="s">
        <v>152</v>
      </c>
    </row>
    <row r="577" spans="1:9" x14ac:dyDescent="0.35">
      <c r="A577" s="19">
        <v>45740</v>
      </c>
      <c r="B577" s="20"/>
      <c r="C577" s="20"/>
      <c r="D577" s="20">
        <v>25000</v>
      </c>
      <c r="E577" s="99" t="s">
        <v>521</v>
      </c>
      <c r="F577" s="20">
        <f t="shared" si="8"/>
        <v>140494383</v>
      </c>
      <c r="G577" s="7" t="s">
        <v>330</v>
      </c>
      <c r="H577" s="24" t="s">
        <v>109</v>
      </c>
      <c r="I577" s="32" t="s">
        <v>152</v>
      </c>
    </row>
    <row r="578" spans="1:9" x14ac:dyDescent="0.35">
      <c r="A578" s="19">
        <v>45740</v>
      </c>
      <c r="B578" s="20"/>
      <c r="C578" s="20"/>
      <c r="D578" s="20">
        <v>5000</v>
      </c>
      <c r="E578" s="99" t="s">
        <v>521</v>
      </c>
      <c r="F578" s="20">
        <f t="shared" si="8"/>
        <v>140499383</v>
      </c>
      <c r="G578" s="7" t="s">
        <v>330</v>
      </c>
      <c r="H578" s="24" t="s">
        <v>109</v>
      </c>
      <c r="I578" s="32" t="s">
        <v>152</v>
      </c>
    </row>
    <row r="579" spans="1:9" x14ac:dyDescent="0.35">
      <c r="A579" s="19">
        <v>45740</v>
      </c>
      <c r="B579" s="20"/>
      <c r="C579" s="20"/>
      <c r="D579" s="20">
        <v>20000</v>
      </c>
      <c r="E579" s="99" t="s">
        <v>521</v>
      </c>
      <c r="F579" s="20">
        <f t="shared" si="8"/>
        <v>140519383</v>
      </c>
      <c r="G579" s="7" t="s">
        <v>330</v>
      </c>
      <c r="H579" s="24" t="s">
        <v>109</v>
      </c>
      <c r="I579" s="32" t="s">
        <v>152</v>
      </c>
    </row>
    <row r="580" spans="1:9" x14ac:dyDescent="0.35">
      <c r="A580" s="19">
        <v>45740</v>
      </c>
      <c r="B580" s="20"/>
      <c r="C580" s="20"/>
      <c r="D580" s="20">
        <v>10000</v>
      </c>
      <c r="E580" s="99" t="s">
        <v>521</v>
      </c>
      <c r="F580" s="20">
        <f t="shared" si="8"/>
        <v>140529383</v>
      </c>
      <c r="G580" s="7" t="s">
        <v>330</v>
      </c>
      <c r="H580" s="24" t="s">
        <v>109</v>
      </c>
      <c r="I580" s="32" t="s">
        <v>152</v>
      </c>
    </row>
    <row r="581" spans="1:9" x14ac:dyDescent="0.35">
      <c r="A581" s="19">
        <v>45740</v>
      </c>
      <c r="B581" s="20"/>
      <c r="C581" s="20"/>
      <c r="D581" s="20">
        <v>5252</v>
      </c>
      <c r="E581" s="99" t="s">
        <v>521</v>
      </c>
      <c r="F581" s="20">
        <f t="shared" si="8"/>
        <v>140534635</v>
      </c>
      <c r="G581" s="7" t="s">
        <v>330</v>
      </c>
      <c r="H581" s="24" t="s">
        <v>109</v>
      </c>
      <c r="I581" s="32" t="s">
        <v>152</v>
      </c>
    </row>
    <row r="582" spans="1:9" x14ac:dyDescent="0.35">
      <c r="A582" s="19">
        <v>45740</v>
      </c>
      <c r="B582" s="20"/>
      <c r="C582" s="20"/>
      <c r="D582" s="20">
        <v>401</v>
      </c>
      <c r="E582" s="99" t="s">
        <v>521</v>
      </c>
      <c r="F582" s="20">
        <f t="shared" si="8"/>
        <v>140535036</v>
      </c>
      <c r="G582" s="7" t="s">
        <v>330</v>
      </c>
      <c r="H582" s="24" t="s">
        <v>109</v>
      </c>
      <c r="I582" s="32" t="s">
        <v>152</v>
      </c>
    </row>
    <row r="583" spans="1:9" x14ac:dyDescent="0.35">
      <c r="A583" s="19">
        <v>45740</v>
      </c>
      <c r="B583" s="20"/>
      <c r="C583" s="20"/>
      <c r="D583" s="20">
        <v>50000</v>
      </c>
      <c r="E583" s="99" t="s">
        <v>521</v>
      </c>
      <c r="F583" s="20">
        <f t="shared" si="8"/>
        <v>140585036</v>
      </c>
      <c r="G583" s="7" t="s">
        <v>330</v>
      </c>
      <c r="H583" s="24" t="s">
        <v>109</v>
      </c>
      <c r="I583" s="32" t="s">
        <v>152</v>
      </c>
    </row>
    <row r="584" spans="1:9" x14ac:dyDescent="0.35">
      <c r="A584" s="19">
        <v>45740</v>
      </c>
      <c r="B584" s="20"/>
      <c r="C584" s="20"/>
      <c r="D584" s="20">
        <v>1000000</v>
      </c>
      <c r="E584" s="99" t="s">
        <v>521</v>
      </c>
      <c r="F584" s="20">
        <f t="shared" si="8"/>
        <v>141585036</v>
      </c>
      <c r="G584" s="7" t="s">
        <v>449</v>
      </c>
      <c r="H584" s="59" t="s">
        <v>105</v>
      </c>
      <c r="I584" s="32" t="s">
        <v>152</v>
      </c>
    </row>
    <row r="585" spans="1:9" x14ac:dyDescent="0.35">
      <c r="A585" s="19">
        <v>45741</v>
      </c>
      <c r="B585" s="20"/>
      <c r="C585" s="20"/>
      <c r="D585" s="20">
        <v>50000</v>
      </c>
      <c r="E585" s="99" t="s">
        <v>521</v>
      </c>
      <c r="F585" s="20">
        <f t="shared" si="8"/>
        <v>141635036</v>
      </c>
      <c r="G585" s="7" t="s">
        <v>330</v>
      </c>
      <c r="H585" s="24" t="s">
        <v>109</v>
      </c>
      <c r="I585" s="32" t="s">
        <v>152</v>
      </c>
    </row>
    <row r="586" spans="1:9" x14ac:dyDescent="0.35">
      <c r="A586" s="19">
        <v>45741</v>
      </c>
      <c r="B586" s="20"/>
      <c r="C586" s="20"/>
      <c r="D586" s="20">
        <v>100000</v>
      </c>
      <c r="E586" s="99" t="s">
        <v>521</v>
      </c>
      <c r="F586" s="20">
        <f t="shared" ref="F586:F649" si="9">+F585+D586-B586</f>
        <v>141735036</v>
      </c>
      <c r="G586" s="7" t="s">
        <v>330</v>
      </c>
      <c r="H586" s="24" t="s">
        <v>109</v>
      </c>
      <c r="I586" s="32" t="s">
        <v>152</v>
      </c>
    </row>
    <row r="587" spans="1:9" x14ac:dyDescent="0.35">
      <c r="A587" s="19">
        <v>45741</v>
      </c>
      <c r="B587" s="20"/>
      <c r="C587" s="20"/>
      <c r="D587" s="20">
        <v>100000</v>
      </c>
      <c r="E587" s="99" t="s">
        <v>521</v>
      </c>
      <c r="F587" s="20">
        <f t="shared" si="9"/>
        <v>141835036</v>
      </c>
      <c r="G587" s="7" t="s">
        <v>330</v>
      </c>
      <c r="H587" s="24" t="s">
        <v>109</v>
      </c>
      <c r="I587" s="32" t="s">
        <v>152</v>
      </c>
    </row>
    <row r="588" spans="1:9" x14ac:dyDescent="0.35">
      <c r="A588" s="19">
        <v>45741</v>
      </c>
      <c r="B588" s="20"/>
      <c r="C588" s="20"/>
      <c r="D588" s="20">
        <v>25000</v>
      </c>
      <c r="E588" s="99" t="s">
        <v>521</v>
      </c>
      <c r="F588" s="20">
        <f t="shared" si="9"/>
        <v>141860036</v>
      </c>
      <c r="G588" s="7" t="s">
        <v>330</v>
      </c>
      <c r="H588" s="24" t="s">
        <v>109</v>
      </c>
      <c r="I588" s="32" t="s">
        <v>152</v>
      </c>
    </row>
    <row r="589" spans="1:9" x14ac:dyDescent="0.35">
      <c r="A589" s="19">
        <v>45741</v>
      </c>
      <c r="B589" s="20"/>
      <c r="C589" s="20"/>
      <c r="D589" s="20">
        <v>10000</v>
      </c>
      <c r="E589" s="99" t="s">
        <v>521</v>
      </c>
      <c r="F589" s="20">
        <f t="shared" si="9"/>
        <v>141870036</v>
      </c>
      <c r="G589" s="7" t="s">
        <v>330</v>
      </c>
      <c r="H589" s="24" t="s">
        <v>109</v>
      </c>
      <c r="I589" s="32" t="s">
        <v>152</v>
      </c>
    </row>
    <row r="590" spans="1:9" x14ac:dyDescent="0.35">
      <c r="A590" s="19">
        <v>45741</v>
      </c>
      <c r="B590" s="20"/>
      <c r="C590" s="20"/>
      <c r="D590" s="20">
        <v>10000</v>
      </c>
      <c r="E590" s="99" t="s">
        <v>521</v>
      </c>
      <c r="F590" s="20">
        <f t="shared" si="9"/>
        <v>141880036</v>
      </c>
      <c r="G590" s="7" t="s">
        <v>330</v>
      </c>
      <c r="H590" s="24" t="s">
        <v>109</v>
      </c>
      <c r="I590" s="32" t="s">
        <v>152</v>
      </c>
    </row>
    <row r="591" spans="1:9" x14ac:dyDescent="0.35">
      <c r="A591" s="19">
        <v>45741</v>
      </c>
      <c r="B591" s="20"/>
      <c r="C591" s="20"/>
      <c r="D591" s="20">
        <v>100000</v>
      </c>
      <c r="E591" s="99" t="s">
        <v>521</v>
      </c>
      <c r="F591" s="20">
        <f t="shared" si="9"/>
        <v>141980036</v>
      </c>
      <c r="G591" s="7" t="s">
        <v>330</v>
      </c>
      <c r="H591" s="24" t="s">
        <v>109</v>
      </c>
      <c r="I591" s="32" t="s">
        <v>152</v>
      </c>
    </row>
    <row r="592" spans="1:9" x14ac:dyDescent="0.35">
      <c r="A592" s="19">
        <v>45741</v>
      </c>
      <c r="B592" s="20"/>
      <c r="C592" s="20"/>
      <c r="D592" s="20">
        <v>10000</v>
      </c>
      <c r="E592" s="99" t="s">
        <v>521</v>
      </c>
      <c r="F592" s="20">
        <f t="shared" si="9"/>
        <v>141990036</v>
      </c>
      <c r="G592" s="7" t="s">
        <v>330</v>
      </c>
      <c r="H592" s="24" t="s">
        <v>109</v>
      </c>
      <c r="I592" s="32" t="s">
        <v>152</v>
      </c>
    </row>
    <row r="593" spans="1:9" x14ac:dyDescent="0.35">
      <c r="A593" s="19">
        <v>45741</v>
      </c>
      <c r="B593" s="20"/>
      <c r="C593" s="20"/>
      <c r="D593" s="20">
        <v>20000</v>
      </c>
      <c r="E593" s="99" t="s">
        <v>521</v>
      </c>
      <c r="F593" s="20">
        <f t="shared" si="9"/>
        <v>142010036</v>
      </c>
      <c r="G593" s="7" t="s">
        <v>330</v>
      </c>
      <c r="H593" s="24" t="s">
        <v>109</v>
      </c>
      <c r="I593" s="32" t="s">
        <v>152</v>
      </c>
    </row>
    <row r="594" spans="1:9" x14ac:dyDescent="0.35">
      <c r="A594" s="19">
        <v>45741</v>
      </c>
      <c r="B594" s="20"/>
      <c r="C594" s="20"/>
      <c r="D594" s="20">
        <v>25000</v>
      </c>
      <c r="E594" s="99" t="s">
        <v>521</v>
      </c>
      <c r="F594" s="20">
        <f t="shared" si="9"/>
        <v>142035036</v>
      </c>
      <c r="G594" s="7" t="s">
        <v>330</v>
      </c>
      <c r="H594" s="24" t="s">
        <v>109</v>
      </c>
      <c r="I594" s="32" t="s">
        <v>152</v>
      </c>
    </row>
    <row r="595" spans="1:9" x14ac:dyDescent="0.35">
      <c r="A595" s="19">
        <v>45741</v>
      </c>
      <c r="B595" s="20"/>
      <c r="C595" s="20"/>
      <c r="D595" s="23">
        <v>4415000</v>
      </c>
      <c r="E595" s="99" t="s">
        <v>521</v>
      </c>
      <c r="F595" s="20">
        <f t="shared" si="9"/>
        <v>146450036</v>
      </c>
      <c r="G595" s="24" t="s">
        <v>107</v>
      </c>
      <c r="H595" s="24" t="s">
        <v>107</v>
      </c>
      <c r="I595" s="32" t="s">
        <v>152</v>
      </c>
    </row>
    <row r="596" spans="1:9" x14ac:dyDescent="0.35">
      <c r="A596" s="19">
        <v>45741</v>
      </c>
      <c r="B596" s="20"/>
      <c r="C596" s="20"/>
      <c r="D596" s="23">
        <f>4046000-2000000</f>
        <v>2046000</v>
      </c>
      <c r="E596" s="99" t="s">
        <v>521</v>
      </c>
      <c r="F596" s="20">
        <f t="shared" si="9"/>
        <v>148496036</v>
      </c>
      <c r="G596" s="24" t="s">
        <v>109</v>
      </c>
      <c r="H596" s="24" t="s">
        <v>109</v>
      </c>
      <c r="I596" s="32" t="s">
        <v>152</v>
      </c>
    </row>
    <row r="597" spans="1:9" x14ac:dyDescent="0.35">
      <c r="A597" s="19">
        <v>45741</v>
      </c>
      <c r="B597" s="20"/>
      <c r="C597" s="20"/>
      <c r="D597" s="23">
        <v>5026000</v>
      </c>
      <c r="E597" s="99" t="s">
        <v>521</v>
      </c>
      <c r="F597" s="20">
        <f t="shared" si="9"/>
        <v>153522036</v>
      </c>
      <c r="G597" s="24" t="s">
        <v>377</v>
      </c>
      <c r="H597" s="24" t="s">
        <v>109</v>
      </c>
      <c r="I597" s="32" t="s">
        <v>152</v>
      </c>
    </row>
    <row r="598" spans="1:9" x14ac:dyDescent="0.35">
      <c r="A598" s="19"/>
      <c r="B598" s="20"/>
      <c r="C598" s="20">
        <v>11487000</v>
      </c>
      <c r="D598" s="20"/>
      <c r="E598" s="99"/>
      <c r="F598" s="20">
        <f t="shared" si="9"/>
        <v>153522036</v>
      </c>
      <c r="G598" s="7" t="s">
        <v>305</v>
      </c>
      <c r="H598" s="24"/>
      <c r="I598" s="32"/>
    </row>
    <row r="599" spans="1:9" x14ac:dyDescent="0.35">
      <c r="A599" s="19">
        <v>45741</v>
      </c>
      <c r="B599" s="20"/>
      <c r="C599" s="20"/>
      <c r="D599" s="20">
        <v>20000</v>
      </c>
      <c r="E599" s="99" t="s">
        <v>521</v>
      </c>
      <c r="F599" s="20">
        <f t="shared" si="9"/>
        <v>153542036</v>
      </c>
      <c r="G599" s="7" t="s">
        <v>453</v>
      </c>
      <c r="H599" s="24" t="s">
        <v>109</v>
      </c>
      <c r="I599" s="32" t="s">
        <v>152</v>
      </c>
    </row>
    <row r="600" spans="1:9" x14ac:dyDescent="0.35">
      <c r="A600" s="19">
        <v>45742</v>
      </c>
      <c r="B600" s="20"/>
      <c r="C600" s="20"/>
      <c r="D600" s="20">
        <v>50000</v>
      </c>
      <c r="E600" s="99" t="s">
        <v>521</v>
      </c>
      <c r="F600" s="20">
        <f t="shared" si="9"/>
        <v>153592036</v>
      </c>
      <c r="G600" s="7" t="s">
        <v>330</v>
      </c>
      <c r="H600" s="24" t="s">
        <v>109</v>
      </c>
      <c r="I600" s="32" t="s">
        <v>152</v>
      </c>
    </row>
    <row r="601" spans="1:9" x14ac:dyDescent="0.35">
      <c r="A601" s="19">
        <v>45742</v>
      </c>
      <c r="B601" s="20"/>
      <c r="C601" s="20"/>
      <c r="D601" s="20">
        <v>50000</v>
      </c>
      <c r="E601" s="99" t="s">
        <v>521</v>
      </c>
      <c r="F601" s="20">
        <f t="shared" si="9"/>
        <v>153642036</v>
      </c>
      <c r="G601" s="7" t="s">
        <v>330</v>
      </c>
      <c r="H601" s="24" t="s">
        <v>109</v>
      </c>
      <c r="I601" s="32" t="s">
        <v>152</v>
      </c>
    </row>
    <row r="602" spans="1:9" x14ac:dyDescent="0.35">
      <c r="A602" s="19">
        <v>45742</v>
      </c>
      <c r="B602" s="20"/>
      <c r="C602" s="20"/>
      <c r="D602" s="20">
        <v>50000</v>
      </c>
      <c r="E602" s="99" t="s">
        <v>521</v>
      </c>
      <c r="F602" s="20">
        <f t="shared" si="9"/>
        <v>153692036</v>
      </c>
      <c r="G602" s="7" t="s">
        <v>330</v>
      </c>
      <c r="H602" s="24" t="s">
        <v>109</v>
      </c>
      <c r="I602" s="32" t="s">
        <v>152</v>
      </c>
    </row>
    <row r="603" spans="1:9" x14ac:dyDescent="0.35">
      <c r="A603" s="19">
        <v>45742</v>
      </c>
      <c r="B603" s="20"/>
      <c r="C603" s="20"/>
      <c r="D603" s="20">
        <v>100000</v>
      </c>
      <c r="E603" s="99" t="s">
        <v>521</v>
      </c>
      <c r="F603" s="20">
        <f t="shared" si="9"/>
        <v>153792036</v>
      </c>
      <c r="G603" s="7" t="s">
        <v>330</v>
      </c>
      <c r="H603" s="24" t="s">
        <v>109</v>
      </c>
      <c r="I603" s="32" t="s">
        <v>152</v>
      </c>
    </row>
    <row r="604" spans="1:9" x14ac:dyDescent="0.35">
      <c r="A604" s="19">
        <v>45742</v>
      </c>
      <c r="B604" s="20"/>
      <c r="C604" s="20"/>
      <c r="D604" s="20">
        <v>25000</v>
      </c>
      <c r="E604" s="99" t="s">
        <v>521</v>
      </c>
      <c r="F604" s="20">
        <f t="shared" si="9"/>
        <v>153817036</v>
      </c>
      <c r="G604" s="7" t="s">
        <v>330</v>
      </c>
      <c r="H604" s="24" t="s">
        <v>109</v>
      </c>
      <c r="I604" s="32" t="s">
        <v>152</v>
      </c>
    </row>
    <row r="605" spans="1:9" x14ac:dyDescent="0.35">
      <c r="A605" s="19">
        <v>45742</v>
      </c>
      <c r="B605" s="20"/>
      <c r="C605" s="20"/>
      <c r="D605" s="20">
        <v>10000</v>
      </c>
      <c r="E605" s="99" t="s">
        <v>521</v>
      </c>
      <c r="F605" s="20">
        <f t="shared" si="9"/>
        <v>153827036</v>
      </c>
      <c r="G605" s="7" t="s">
        <v>330</v>
      </c>
      <c r="H605" s="24" t="s">
        <v>109</v>
      </c>
      <c r="I605" s="32" t="s">
        <v>152</v>
      </c>
    </row>
    <row r="606" spans="1:9" x14ac:dyDescent="0.35">
      <c r="A606" s="19">
        <v>45742</v>
      </c>
      <c r="B606" s="20"/>
      <c r="C606" s="20"/>
      <c r="D606" s="20">
        <v>10000</v>
      </c>
      <c r="E606" s="99" t="s">
        <v>521</v>
      </c>
      <c r="F606" s="20">
        <f t="shared" si="9"/>
        <v>153837036</v>
      </c>
      <c r="G606" s="7" t="s">
        <v>330</v>
      </c>
      <c r="H606" s="24" t="s">
        <v>109</v>
      </c>
      <c r="I606" s="32" t="s">
        <v>152</v>
      </c>
    </row>
    <row r="607" spans="1:9" x14ac:dyDescent="0.35">
      <c r="A607" s="19">
        <v>45742</v>
      </c>
      <c r="B607" s="20"/>
      <c r="C607" s="20"/>
      <c r="D607" s="20">
        <v>100000</v>
      </c>
      <c r="E607" s="99" t="s">
        <v>521</v>
      </c>
      <c r="F607" s="20">
        <f t="shared" si="9"/>
        <v>153937036</v>
      </c>
      <c r="G607" s="7" t="s">
        <v>330</v>
      </c>
      <c r="H607" s="24" t="s">
        <v>109</v>
      </c>
      <c r="I607" s="32" t="s">
        <v>152</v>
      </c>
    </row>
    <row r="608" spans="1:9" x14ac:dyDescent="0.35">
      <c r="A608" s="19">
        <v>45742</v>
      </c>
      <c r="B608" s="20"/>
      <c r="C608" s="20"/>
      <c r="D608" s="20">
        <v>50000</v>
      </c>
      <c r="E608" s="99" t="s">
        <v>521</v>
      </c>
      <c r="F608" s="20">
        <f t="shared" si="9"/>
        <v>153987036</v>
      </c>
      <c r="G608" s="7" t="s">
        <v>330</v>
      </c>
      <c r="H608" s="24" t="s">
        <v>109</v>
      </c>
      <c r="I608" s="32" t="s">
        <v>152</v>
      </c>
    </row>
    <row r="609" spans="1:9" x14ac:dyDescent="0.35">
      <c r="A609" s="19">
        <v>45742</v>
      </c>
      <c r="B609" s="20"/>
      <c r="C609" s="20"/>
      <c r="D609" s="20">
        <v>25000</v>
      </c>
      <c r="E609" s="99" t="s">
        <v>521</v>
      </c>
      <c r="F609" s="20">
        <f t="shared" si="9"/>
        <v>154012036</v>
      </c>
      <c r="G609" s="7" t="s">
        <v>330</v>
      </c>
      <c r="H609" s="24" t="s">
        <v>109</v>
      </c>
      <c r="I609" s="32" t="s">
        <v>152</v>
      </c>
    </row>
    <row r="610" spans="1:9" x14ac:dyDescent="0.35">
      <c r="A610" s="19">
        <v>45742</v>
      </c>
      <c r="B610" s="20"/>
      <c r="C610" s="20"/>
      <c r="D610" s="20">
        <v>5000</v>
      </c>
      <c r="E610" s="99" t="s">
        <v>521</v>
      </c>
      <c r="F610" s="20">
        <f t="shared" si="9"/>
        <v>154017036</v>
      </c>
      <c r="G610" s="7" t="s">
        <v>330</v>
      </c>
      <c r="H610" s="24" t="s">
        <v>109</v>
      </c>
      <c r="I610" s="32" t="s">
        <v>152</v>
      </c>
    </row>
    <row r="611" spans="1:9" x14ac:dyDescent="0.35">
      <c r="A611" s="19">
        <v>45742</v>
      </c>
      <c r="B611" s="20"/>
      <c r="C611" s="20"/>
      <c r="D611" s="20">
        <v>100000</v>
      </c>
      <c r="E611" s="99" t="s">
        <v>521</v>
      </c>
      <c r="F611" s="20">
        <f t="shared" si="9"/>
        <v>154117036</v>
      </c>
      <c r="G611" s="7" t="s">
        <v>330</v>
      </c>
      <c r="H611" s="24" t="s">
        <v>109</v>
      </c>
      <c r="I611" s="32" t="s">
        <v>152</v>
      </c>
    </row>
    <row r="612" spans="1:9" x14ac:dyDescent="0.35">
      <c r="A612" s="19">
        <v>45743</v>
      </c>
      <c r="B612" s="20"/>
      <c r="C612" s="20"/>
      <c r="D612" s="20">
        <v>50000</v>
      </c>
      <c r="E612" s="99" t="s">
        <v>521</v>
      </c>
      <c r="F612" s="20">
        <f t="shared" si="9"/>
        <v>154167036</v>
      </c>
      <c r="G612" s="7" t="s">
        <v>453</v>
      </c>
      <c r="H612" s="24" t="s">
        <v>109</v>
      </c>
      <c r="I612" s="32" t="s">
        <v>152</v>
      </c>
    </row>
    <row r="613" spans="1:9" x14ac:dyDescent="0.35">
      <c r="A613" s="19">
        <v>45743</v>
      </c>
      <c r="B613" s="20"/>
      <c r="C613" s="20"/>
      <c r="D613" s="20">
        <v>40000</v>
      </c>
      <c r="E613" s="99" t="s">
        <v>521</v>
      </c>
      <c r="F613" s="20">
        <f t="shared" si="9"/>
        <v>154207036</v>
      </c>
      <c r="G613" s="7" t="s">
        <v>330</v>
      </c>
      <c r="H613" s="24" t="s">
        <v>109</v>
      </c>
      <c r="I613" s="32" t="s">
        <v>152</v>
      </c>
    </row>
    <row r="614" spans="1:9" x14ac:dyDescent="0.35">
      <c r="A614" s="19">
        <v>45743</v>
      </c>
      <c r="B614" s="20"/>
      <c r="C614" s="20"/>
      <c r="D614" s="20">
        <v>50000</v>
      </c>
      <c r="E614" s="99" t="s">
        <v>521</v>
      </c>
      <c r="F614" s="20">
        <f t="shared" si="9"/>
        <v>154257036</v>
      </c>
      <c r="G614" s="7" t="s">
        <v>330</v>
      </c>
      <c r="H614" s="24" t="s">
        <v>109</v>
      </c>
      <c r="I614" s="32" t="s">
        <v>152</v>
      </c>
    </row>
    <row r="615" spans="1:9" x14ac:dyDescent="0.35">
      <c r="A615" s="19">
        <v>45743</v>
      </c>
      <c r="B615" s="20"/>
      <c r="C615" s="20"/>
      <c r="D615" s="20">
        <v>4000000</v>
      </c>
      <c r="E615" s="99" t="s">
        <v>521</v>
      </c>
      <c r="F615" s="20">
        <f t="shared" si="9"/>
        <v>158257036</v>
      </c>
      <c r="G615" s="7" t="s">
        <v>461</v>
      </c>
      <c r="H615" s="59" t="s">
        <v>105</v>
      </c>
      <c r="I615" s="32" t="s">
        <v>152</v>
      </c>
    </row>
    <row r="616" spans="1:9" x14ac:dyDescent="0.35">
      <c r="A616" s="19">
        <v>45743</v>
      </c>
      <c r="B616" s="20"/>
      <c r="C616" s="20"/>
      <c r="D616" s="20">
        <v>50000</v>
      </c>
      <c r="E616" s="99" t="s">
        <v>521</v>
      </c>
      <c r="F616" s="20">
        <f t="shared" si="9"/>
        <v>158307036</v>
      </c>
      <c r="G616" s="7" t="s">
        <v>330</v>
      </c>
      <c r="H616" s="24" t="s">
        <v>109</v>
      </c>
      <c r="I616" s="32" t="s">
        <v>152</v>
      </c>
    </row>
    <row r="617" spans="1:9" x14ac:dyDescent="0.35">
      <c r="A617" s="19">
        <v>45743</v>
      </c>
      <c r="B617" s="20"/>
      <c r="C617" s="20"/>
      <c r="D617" s="20">
        <v>10000</v>
      </c>
      <c r="E617" s="99" t="s">
        <v>521</v>
      </c>
      <c r="F617" s="20">
        <f t="shared" si="9"/>
        <v>158317036</v>
      </c>
      <c r="G617" s="7" t="s">
        <v>330</v>
      </c>
      <c r="H617" s="24" t="s">
        <v>109</v>
      </c>
      <c r="I617" s="32" t="s">
        <v>152</v>
      </c>
    </row>
    <row r="618" spans="1:9" x14ac:dyDescent="0.35">
      <c r="A618" s="19">
        <v>45743</v>
      </c>
      <c r="B618" s="20"/>
      <c r="C618" s="20"/>
      <c r="D618" s="20">
        <v>10000</v>
      </c>
      <c r="E618" s="99" t="s">
        <v>521</v>
      </c>
      <c r="F618" s="20">
        <f t="shared" si="9"/>
        <v>158327036</v>
      </c>
      <c r="G618" s="7" t="s">
        <v>330</v>
      </c>
      <c r="H618" s="24" t="s">
        <v>109</v>
      </c>
      <c r="I618" s="32" t="s">
        <v>152</v>
      </c>
    </row>
    <row r="619" spans="1:9" x14ac:dyDescent="0.35">
      <c r="A619" s="19">
        <v>45743</v>
      </c>
      <c r="B619" s="20"/>
      <c r="C619" s="20"/>
      <c r="D619" s="20">
        <v>50000</v>
      </c>
      <c r="E619" s="99" t="s">
        <v>521</v>
      </c>
      <c r="F619" s="20">
        <f t="shared" si="9"/>
        <v>158377036</v>
      </c>
      <c r="G619" s="7" t="s">
        <v>330</v>
      </c>
      <c r="H619" s="24" t="s">
        <v>109</v>
      </c>
      <c r="I619" s="32" t="s">
        <v>152</v>
      </c>
    </row>
    <row r="620" spans="1:9" x14ac:dyDescent="0.35">
      <c r="A620" s="19">
        <v>45743</v>
      </c>
      <c r="B620" s="20"/>
      <c r="C620" s="20"/>
      <c r="D620" s="20">
        <v>100000</v>
      </c>
      <c r="E620" s="99" t="s">
        <v>521</v>
      </c>
      <c r="F620" s="20">
        <f t="shared" si="9"/>
        <v>158477036</v>
      </c>
      <c r="G620" s="7" t="s">
        <v>330</v>
      </c>
      <c r="H620" s="24" t="s">
        <v>109</v>
      </c>
      <c r="I620" s="32" t="s">
        <v>152</v>
      </c>
    </row>
    <row r="621" spans="1:9" x14ac:dyDescent="0.35">
      <c r="A621" s="19">
        <v>45743</v>
      </c>
      <c r="B621" s="20">
        <v>4000000</v>
      </c>
      <c r="C621" s="20"/>
      <c r="D621" s="20"/>
      <c r="E621" s="99" t="s">
        <v>521</v>
      </c>
      <c r="F621" s="20">
        <f t="shared" si="9"/>
        <v>154477036</v>
      </c>
      <c r="G621" s="7" t="s">
        <v>454</v>
      </c>
      <c r="H621" s="59" t="s">
        <v>201</v>
      </c>
      <c r="I621" s="32" t="s">
        <v>152</v>
      </c>
    </row>
    <row r="622" spans="1:9" x14ac:dyDescent="0.35">
      <c r="A622" s="19">
        <v>45743</v>
      </c>
      <c r="B622" s="20">
        <v>2500</v>
      </c>
      <c r="C622" s="20"/>
      <c r="D622" s="20"/>
      <c r="E622" s="99" t="s">
        <v>521</v>
      </c>
      <c r="F622" s="20">
        <f t="shared" si="9"/>
        <v>154474536</v>
      </c>
      <c r="G622" s="7" t="s">
        <v>454</v>
      </c>
      <c r="H622" s="59" t="s">
        <v>201</v>
      </c>
      <c r="I622" s="32" t="s">
        <v>152</v>
      </c>
    </row>
    <row r="623" spans="1:9" x14ac:dyDescent="0.35">
      <c r="A623" s="19">
        <v>45743</v>
      </c>
      <c r="B623" s="20">
        <v>5400000</v>
      </c>
      <c r="C623" s="20"/>
      <c r="D623" s="20"/>
      <c r="E623" s="99" t="s">
        <v>521</v>
      </c>
      <c r="F623" s="20">
        <f t="shared" si="9"/>
        <v>149074536</v>
      </c>
      <c r="G623" s="7" t="s">
        <v>455</v>
      </c>
      <c r="H623" s="59" t="s">
        <v>201</v>
      </c>
      <c r="I623" s="32" t="s">
        <v>152</v>
      </c>
    </row>
    <row r="624" spans="1:9" x14ac:dyDescent="0.35">
      <c r="A624" s="19">
        <v>45743</v>
      </c>
      <c r="B624" s="20">
        <v>6500</v>
      </c>
      <c r="C624" s="20"/>
      <c r="D624" s="20"/>
      <c r="E624" s="99" t="s">
        <v>521</v>
      </c>
      <c r="F624" s="20">
        <f t="shared" si="9"/>
        <v>149068036</v>
      </c>
      <c r="G624" s="7" t="s">
        <v>455</v>
      </c>
      <c r="H624" s="59" t="s">
        <v>201</v>
      </c>
      <c r="I624" s="32" t="s">
        <v>152</v>
      </c>
    </row>
    <row r="625" spans="1:9" x14ac:dyDescent="0.35">
      <c r="A625" s="19">
        <v>45743</v>
      </c>
      <c r="B625" s="20">
        <v>6500000</v>
      </c>
      <c r="C625" s="20"/>
      <c r="D625" s="20"/>
      <c r="E625" s="99" t="s">
        <v>521</v>
      </c>
      <c r="F625" s="20">
        <f t="shared" si="9"/>
        <v>142568036</v>
      </c>
      <c r="G625" s="7" t="s">
        <v>456</v>
      </c>
      <c r="H625" s="59" t="s">
        <v>325</v>
      </c>
      <c r="I625" s="32" t="s">
        <v>152</v>
      </c>
    </row>
    <row r="626" spans="1:9" x14ac:dyDescent="0.35">
      <c r="A626" s="19">
        <v>45743</v>
      </c>
      <c r="B626" s="20">
        <v>6500</v>
      </c>
      <c r="C626" s="20"/>
      <c r="D626" s="20"/>
      <c r="E626" s="99" t="s">
        <v>521</v>
      </c>
      <c r="F626" s="20">
        <f t="shared" si="9"/>
        <v>142561536</v>
      </c>
      <c r="G626" s="7" t="s">
        <v>456</v>
      </c>
      <c r="H626" s="59" t="s">
        <v>325</v>
      </c>
      <c r="I626" s="32" t="s">
        <v>152</v>
      </c>
    </row>
    <row r="627" spans="1:9" x14ac:dyDescent="0.35">
      <c r="A627" s="19">
        <v>45743</v>
      </c>
      <c r="B627" s="20">
        <v>5000000</v>
      </c>
      <c r="C627" s="20"/>
      <c r="D627" s="20"/>
      <c r="E627" s="99" t="s">
        <v>521</v>
      </c>
      <c r="F627" s="20">
        <f t="shared" si="9"/>
        <v>137561536</v>
      </c>
      <c r="G627" s="7" t="s">
        <v>457</v>
      </c>
      <c r="H627" s="59" t="s">
        <v>325</v>
      </c>
      <c r="I627" s="32" t="s">
        <v>152</v>
      </c>
    </row>
    <row r="628" spans="1:9" x14ac:dyDescent="0.35">
      <c r="A628" s="19">
        <v>45743</v>
      </c>
      <c r="B628" s="20">
        <v>6500</v>
      </c>
      <c r="C628" s="20"/>
      <c r="D628" s="20"/>
      <c r="E628" s="99" t="s">
        <v>521</v>
      </c>
      <c r="F628" s="20">
        <f t="shared" si="9"/>
        <v>137555036</v>
      </c>
      <c r="G628" s="7" t="s">
        <v>457</v>
      </c>
      <c r="H628" s="59" t="s">
        <v>325</v>
      </c>
      <c r="I628" s="32" t="s">
        <v>152</v>
      </c>
    </row>
    <row r="629" spans="1:9" x14ac:dyDescent="0.35">
      <c r="A629" s="19">
        <v>45743</v>
      </c>
      <c r="B629" s="20">
        <v>3000000</v>
      </c>
      <c r="C629" s="20"/>
      <c r="D629" s="20"/>
      <c r="E629" s="99" t="s">
        <v>521</v>
      </c>
      <c r="F629" s="20">
        <f t="shared" si="9"/>
        <v>134555036</v>
      </c>
      <c r="G629" s="7" t="s">
        <v>458</v>
      </c>
      <c r="H629" s="59" t="s">
        <v>325</v>
      </c>
      <c r="I629" s="32" t="s">
        <v>152</v>
      </c>
    </row>
    <row r="630" spans="1:9" x14ac:dyDescent="0.35">
      <c r="A630" s="19">
        <v>45743</v>
      </c>
      <c r="B630" s="20">
        <v>6500</v>
      </c>
      <c r="C630" s="20"/>
      <c r="D630" s="20"/>
      <c r="E630" s="99" t="s">
        <v>521</v>
      </c>
      <c r="F630" s="20">
        <f t="shared" si="9"/>
        <v>134548536</v>
      </c>
      <c r="G630" s="7" t="s">
        <v>458</v>
      </c>
      <c r="H630" s="59" t="s">
        <v>325</v>
      </c>
      <c r="I630" s="32" t="s">
        <v>152</v>
      </c>
    </row>
    <row r="631" spans="1:9" x14ac:dyDescent="0.35">
      <c r="A631" s="19">
        <v>45743</v>
      </c>
      <c r="B631" s="20">
        <v>4000000</v>
      </c>
      <c r="C631" s="20"/>
      <c r="D631" s="20"/>
      <c r="E631" s="99" t="s">
        <v>521</v>
      </c>
      <c r="F631" s="20">
        <f t="shared" si="9"/>
        <v>130548536</v>
      </c>
      <c r="G631" s="7" t="s">
        <v>459</v>
      </c>
      <c r="H631" s="59" t="s">
        <v>325</v>
      </c>
      <c r="I631" s="32" t="s">
        <v>152</v>
      </c>
    </row>
    <row r="632" spans="1:9" x14ac:dyDescent="0.35">
      <c r="A632" s="19">
        <v>45743</v>
      </c>
      <c r="B632" s="20">
        <v>6500</v>
      </c>
      <c r="C632" s="20"/>
      <c r="D632" s="20"/>
      <c r="E632" s="99" t="s">
        <v>521</v>
      </c>
      <c r="F632" s="20">
        <f t="shared" si="9"/>
        <v>130542036</v>
      </c>
      <c r="G632" s="7" t="s">
        <v>459</v>
      </c>
      <c r="H632" s="59" t="s">
        <v>325</v>
      </c>
      <c r="I632" s="32" t="s">
        <v>152</v>
      </c>
    </row>
    <row r="633" spans="1:9" x14ac:dyDescent="0.35">
      <c r="A633" s="19">
        <v>45743</v>
      </c>
      <c r="B633" s="20">
        <v>4000000</v>
      </c>
      <c r="C633" s="20"/>
      <c r="D633" s="20"/>
      <c r="E633" s="99" t="s">
        <v>521</v>
      </c>
      <c r="F633" s="20">
        <f t="shared" si="9"/>
        <v>126542036</v>
      </c>
      <c r="G633" s="7" t="s">
        <v>460</v>
      </c>
      <c r="H633" s="59" t="s">
        <v>325</v>
      </c>
      <c r="I633" s="32" t="s">
        <v>152</v>
      </c>
    </row>
    <row r="634" spans="1:9" x14ac:dyDescent="0.35">
      <c r="A634" s="19">
        <v>45743</v>
      </c>
      <c r="B634" s="20">
        <v>6500</v>
      </c>
      <c r="C634" s="20"/>
      <c r="D634" s="20"/>
      <c r="E634" s="99" t="s">
        <v>521</v>
      </c>
      <c r="F634" s="20">
        <f t="shared" si="9"/>
        <v>126535536</v>
      </c>
      <c r="G634" s="7" t="s">
        <v>460</v>
      </c>
      <c r="H634" s="59" t="s">
        <v>325</v>
      </c>
      <c r="I634" s="32" t="s">
        <v>152</v>
      </c>
    </row>
    <row r="635" spans="1:9" x14ac:dyDescent="0.35">
      <c r="A635" s="19">
        <v>45743</v>
      </c>
      <c r="B635" s="20">
        <v>5000000</v>
      </c>
      <c r="C635" s="20"/>
      <c r="D635" s="20"/>
      <c r="E635" s="99" t="s">
        <v>521</v>
      </c>
      <c r="F635" s="20">
        <f t="shared" si="9"/>
        <v>121535536</v>
      </c>
      <c r="G635" s="7" t="s">
        <v>181</v>
      </c>
      <c r="H635" s="59" t="s">
        <v>325</v>
      </c>
      <c r="I635" s="32" t="s">
        <v>152</v>
      </c>
    </row>
    <row r="636" spans="1:9" x14ac:dyDescent="0.35">
      <c r="A636" s="19">
        <v>45743</v>
      </c>
      <c r="B636" s="20"/>
      <c r="C636" s="20"/>
      <c r="D636" s="20">
        <v>100000</v>
      </c>
      <c r="E636" s="99" t="s">
        <v>521</v>
      </c>
      <c r="F636" s="20">
        <f t="shared" si="9"/>
        <v>121635536</v>
      </c>
      <c r="G636" s="7" t="s">
        <v>330</v>
      </c>
      <c r="H636" s="24" t="s">
        <v>109</v>
      </c>
      <c r="I636" s="32" t="s">
        <v>152</v>
      </c>
    </row>
    <row r="637" spans="1:9" x14ac:dyDescent="0.35">
      <c r="A637" s="19">
        <v>45743</v>
      </c>
      <c r="B637" s="20"/>
      <c r="C637" s="20"/>
      <c r="D637" s="20">
        <v>50000</v>
      </c>
      <c r="E637" s="99" t="s">
        <v>521</v>
      </c>
      <c r="F637" s="20">
        <f t="shared" si="9"/>
        <v>121685536</v>
      </c>
      <c r="G637" s="7" t="s">
        <v>330</v>
      </c>
      <c r="H637" s="24" t="s">
        <v>109</v>
      </c>
      <c r="I637" s="32" t="s">
        <v>152</v>
      </c>
    </row>
    <row r="638" spans="1:9" x14ac:dyDescent="0.35">
      <c r="A638" s="19">
        <v>45744</v>
      </c>
      <c r="B638" s="20"/>
      <c r="C638" s="20"/>
      <c r="D638" s="20">
        <v>50000</v>
      </c>
      <c r="E638" s="99" t="s">
        <v>521</v>
      </c>
      <c r="F638" s="20">
        <f t="shared" si="9"/>
        <v>121735536</v>
      </c>
      <c r="G638" s="7" t="s">
        <v>330</v>
      </c>
      <c r="H638" s="24" t="s">
        <v>109</v>
      </c>
      <c r="I638" s="32" t="s">
        <v>152</v>
      </c>
    </row>
    <row r="639" spans="1:9" x14ac:dyDescent="0.35">
      <c r="A639" s="19">
        <v>45744</v>
      </c>
      <c r="B639" s="20"/>
      <c r="C639" s="20"/>
      <c r="D639" s="20">
        <v>100000</v>
      </c>
      <c r="E639" s="99" t="s">
        <v>521</v>
      </c>
      <c r="F639" s="20">
        <f t="shared" si="9"/>
        <v>121835536</v>
      </c>
      <c r="G639" s="7" t="s">
        <v>330</v>
      </c>
      <c r="H639" s="24" t="s">
        <v>109</v>
      </c>
      <c r="I639" s="32" t="s">
        <v>152</v>
      </c>
    </row>
    <row r="640" spans="1:9" x14ac:dyDescent="0.35">
      <c r="A640" s="19">
        <v>45744</v>
      </c>
      <c r="B640" s="20"/>
      <c r="C640" s="20"/>
      <c r="D640" s="20">
        <v>24000</v>
      </c>
      <c r="E640" s="99" t="s">
        <v>521</v>
      </c>
      <c r="F640" s="20">
        <f t="shared" si="9"/>
        <v>121859536</v>
      </c>
      <c r="G640" s="7" t="s">
        <v>330</v>
      </c>
      <c r="H640" s="24" t="s">
        <v>109</v>
      </c>
      <c r="I640" s="32" t="s">
        <v>152</v>
      </c>
    </row>
    <row r="641" spans="1:9" x14ac:dyDescent="0.35">
      <c r="A641" s="19">
        <v>45744</v>
      </c>
      <c r="B641" s="20"/>
      <c r="C641" s="20"/>
      <c r="D641" s="20">
        <v>100000</v>
      </c>
      <c r="E641" s="99" t="s">
        <v>521</v>
      </c>
      <c r="F641" s="20">
        <f t="shared" si="9"/>
        <v>121959536</v>
      </c>
      <c r="G641" s="7" t="s">
        <v>330</v>
      </c>
      <c r="H641" s="24" t="s">
        <v>109</v>
      </c>
      <c r="I641" s="32" t="s">
        <v>152</v>
      </c>
    </row>
    <row r="642" spans="1:9" x14ac:dyDescent="0.35">
      <c r="A642" s="19">
        <v>45744</v>
      </c>
      <c r="B642" s="20"/>
      <c r="C642" s="20"/>
      <c r="D642" s="20">
        <v>25000</v>
      </c>
      <c r="E642" s="99" t="s">
        <v>521</v>
      </c>
      <c r="F642" s="20">
        <f t="shared" si="9"/>
        <v>121984536</v>
      </c>
      <c r="G642" s="7" t="s">
        <v>330</v>
      </c>
      <c r="H642" s="24" t="s">
        <v>109</v>
      </c>
      <c r="I642" s="32" t="s">
        <v>152</v>
      </c>
    </row>
    <row r="643" spans="1:9" x14ac:dyDescent="0.35">
      <c r="A643" s="19">
        <v>45744</v>
      </c>
      <c r="B643" s="20"/>
      <c r="C643" s="20"/>
      <c r="D643" s="20">
        <v>50000</v>
      </c>
      <c r="E643" s="99" t="s">
        <v>521</v>
      </c>
      <c r="F643" s="20">
        <f t="shared" si="9"/>
        <v>122034536</v>
      </c>
      <c r="G643" s="7" t="s">
        <v>330</v>
      </c>
      <c r="H643" s="24" t="s">
        <v>109</v>
      </c>
      <c r="I643" s="32" t="s">
        <v>152</v>
      </c>
    </row>
    <row r="644" spans="1:9" x14ac:dyDescent="0.35">
      <c r="A644" s="19">
        <v>45744</v>
      </c>
      <c r="B644" s="20"/>
      <c r="C644" s="20"/>
      <c r="D644" s="20">
        <v>15000</v>
      </c>
      <c r="E644" s="99" t="s">
        <v>521</v>
      </c>
      <c r="F644" s="20">
        <f t="shared" si="9"/>
        <v>122049536</v>
      </c>
      <c r="G644" s="7" t="s">
        <v>330</v>
      </c>
      <c r="H644" s="24" t="s">
        <v>109</v>
      </c>
      <c r="I644" s="32" t="s">
        <v>152</v>
      </c>
    </row>
    <row r="645" spans="1:9" x14ac:dyDescent="0.35">
      <c r="A645" s="19">
        <v>45744</v>
      </c>
      <c r="B645" s="20"/>
      <c r="C645" s="20"/>
      <c r="D645" s="20">
        <v>1000000</v>
      </c>
      <c r="E645" s="99" t="s">
        <v>521</v>
      </c>
      <c r="F645" s="20">
        <f t="shared" si="9"/>
        <v>123049536</v>
      </c>
      <c r="G645" s="7" t="s">
        <v>486</v>
      </c>
      <c r="H645" s="59" t="s">
        <v>105</v>
      </c>
      <c r="I645" s="32" t="s">
        <v>152</v>
      </c>
    </row>
    <row r="646" spans="1:9" x14ac:dyDescent="0.35">
      <c r="A646" s="19">
        <v>45744</v>
      </c>
      <c r="B646" s="20"/>
      <c r="C646" s="20"/>
      <c r="D646" s="20">
        <v>10000</v>
      </c>
      <c r="E646" s="99" t="s">
        <v>521</v>
      </c>
      <c r="F646" s="20">
        <f t="shared" si="9"/>
        <v>123059536</v>
      </c>
      <c r="G646" s="7" t="s">
        <v>330</v>
      </c>
      <c r="H646" s="24" t="s">
        <v>109</v>
      </c>
      <c r="I646" s="32" t="s">
        <v>152</v>
      </c>
    </row>
    <row r="647" spans="1:9" x14ac:dyDescent="0.35">
      <c r="A647" s="19">
        <v>45744</v>
      </c>
      <c r="B647" s="20"/>
      <c r="C647" s="20"/>
      <c r="D647" s="20">
        <v>100000</v>
      </c>
      <c r="E647" s="99" t="s">
        <v>521</v>
      </c>
      <c r="F647" s="20">
        <f t="shared" si="9"/>
        <v>123159536</v>
      </c>
      <c r="G647" s="7" t="s">
        <v>330</v>
      </c>
      <c r="H647" s="24" t="s">
        <v>109</v>
      </c>
      <c r="I647" s="32" t="s">
        <v>152</v>
      </c>
    </row>
    <row r="648" spans="1:9" x14ac:dyDescent="0.35">
      <c r="A648" s="19">
        <v>45744</v>
      </c>
      <c r="B648" s="20"/>
      <c r="C648" s="20"/>
      <c r="D648" s="20">
        <v>100000</v>
      </c>
      <c r="E648" s="99" t="s">
        <v>521</v>
      </c>
      <c r="F648" s="20">
        <f t="shared" si="9"/>
        <v>123259536</v>
      </c>
      <c r="G648" s="7" t="s">
        <v>330</v>
      </c>
      <c r="H648" s="24" t="s">
        <v>109</v>
      </c>
      <c r="I648" s="32" t="s">
        <v>152</v>
      </c>
    </row>
    <row r="649" spans="1:9" x14ac:dyDescent="0.35">
      <c r="A649" s="19">
        <v>45744</v>
      </c>
      <c r="B649" s="20"/>
      <c r="C649" s="20"/>
      <c r="D649" s="20">
        <v>50000</v>
      </c>
      <c r="E649" s="99" t="s">
        <v>521</v>
      </c>
      <c r="F649" s="20">
        <f t="shared" si="9"/>
        <v>123309536</v>
      </c>
      <c r="G649" s="7" t="s">
        <v>330</v>
      </c>
      <c r="H649" s="24" t="s">
        <v>109</v>
      </c>
      <c r="I649" s="32" t="s">
        <v>152</v>
      </c>
    </row>
    <row r="650" spans="1:9" x14ac:dyDescent="0.35">
      <c r="A650" s="19">
        <v>45744</v>
      </c>
      <c r="B650" s="20"/>
      <c r="C650" s="20"/>
      <c r="D650" s="20">
        <v>100000</v>
      </c>
      <c r="E650" s="99" t="s">
        <v>521</v>
      </c>
      <c r="F650" s="20">
        <f t="shared" ref="F650:F713" si="10">+F649+D650-B650</f>
        <v>123409536</v>
      </c>
      <c r="G650" s="7" t="s">
        <v>330</v>
      </c>
      <c r="H650" s="24" t="s">
        <v>109</v>
      </c>
      <c r="I650" s="32" t="s">
        <v>152</v>
      </c>
    </row>
    <row r="651" spans="1:9" x14ac:dyDescent="0.35">
      <c r="A651" s="19">
        <v>45744</v>
      </c>
      <c r="B651" s="20"/>
      <c r="C651" s="20"/>
      <c r="D651" s="20">
        <v>25000</v>
      </c>
      <c r="E651" s="99" t="s">
        <v>521</v>
      </c>
      <c r="F651" s="20">
        <f t="shared" si="10"/>
        <v>123434536</v>
      </c>
      <c r="G651" s="7" t="s">
        <v>330</v>
      </c>
      <c r="H651" s="24" t="s">
        <v>109</v>
      </c>
      <c r="I651" s="32" t="s">
        <v>152</v>
      </c>
    </row>
    <row r="652" spans="1:9" x14ac:dyDescent="0.35">
      <c r="A652" s="19">
        <v>45744</v>
      </c>
      <c r="B652" s="20"/>
      <c r="C652" s="20"/>
      <c r="D652" s="20">
        <v>200000</v>
      </c>
      <c r="E652" s="99" t="s">
        <v>521</v>
      </c>
      <c r="F652" s="20">
        <f t="shared" si="10"/>
        <v>123634536</v>
      </c>
      <c r="G652" s="7" t="s">
        <v>330</v>
      </c>
      <c r="H652" s="24" t="s">
        <v>109</v>
      </c>
      <c r="I652" s="32" t="s">
        <v>152</v>
      </c>
    </row>
    <row r="653" spans="1:9" x14ac:dyDescent="0.35">
      <c r="A653" s="19">
        <v>45744</v>
      </c>
      <c r="B653" s="20"/>
      <c r="C653" s="20"/>
      <c r="D653" s="20">
        <v>20000</v>
      </c>
      <c r="E653" s="99" t="s">
        <v>521</v>
      </c>
      <c r="F653" s="20">
        <f t="shared" si="10"/>
        <v>123654536</v>
      </c>
      <c r="G653" s="7" t="s">
        <v>330</v>
      </c>
      <c r="H653" s="24" t="s">
        <v>109</v>
      </c>
      <c r="I653" s="32" t="s">
        <v>152</v>
      </c>
    </row>
    <row r="654" spans="1:9" x14ac:dyDescent="0.35">
      <c r="A654" s="19">
        <v>45744</v>
      </c>
      <c r="B654" s="20"/>
      <c r="C654" s="20"/>
      <c r="D654" s="20">
        <v>30000</v>
      </c>
      <c r="E654" s="99" t="s">
        <v>521</v>
      </c>
      <c r="F654" s="20">
        <f t="shared" si="10"/>
        <v>123684536</v>
      </c>
      <c r="G654" s="7" t="s">
        <v>330</v>
      </c>
      <c r="H654" s="24" t="s">
        <v>109</v>
      </c>
      <c r="I654" s="32" t="s">
        <v>152</v>
      </c>
    </row>
    <row r="655" spans="1:9" x14ac:dyDescent="0.35">
      <c r="A655" s="19">
        <v>45744</v>
      </c>
      <c r="B655" s="20"/>
      <c r="C655" s="20"/>
      <c r="D655" s="20">
        <v>10000</v>
      </c>
      <c r="E655" s="99" t="s">
        <v>521</v>
      </c>
      <c r="F655" s="20">
        <f t="shared" si="10"/>
        <v>123694536</v>
      </c>
      <c r="G655" s="7" t="s">
        <v>330</v>
      </c>
      <c r="H655" s="24" t="s">
        <v>109</v>
      </c>
      <c r="I655" s="32" t="s">
        <v>152</v>
      </c>
    </row>
    <row r="656" spans="1:9" x14ac:dyDescent="0.35">
      <c r="A656" s="19">
        <v>45744</v>
      </c>
      <c r="B656" s="20"/>
      <c r="C656" s="20"/>
      <c r="D656" s="20">
        <v>20000</v>
      </c>
      <c r="E656" s="99" t="s">
        <v>521</v>
      </c>
      <c r="F656" s="20">
        <f t="shared" si="10"/>
        <v>123714536</v>
      </c>
      <c r="G656" s="7" t="s">
        <v>330</v>
      </c>
      <c r="H656" s="24" t="s">
        <v>109</v>
      </c>
      <c r="I656" s="32" t="s">
        <v>152</v>
      </c>
    </row>
    <row r="657" spans="1:9" x14ac:dyDescent="0.35">
      <c r="A657" s="19">
        <v>45744</v>
      </c>
      <c r="B657" s="20"/>
      <c r="C657" s="20"/>
      <c r="D657" s="20">
        <v>20000</v>
      </c>
      <c r="E657" s="99" t="s">
        <v>521</v>
      </c>
      <c r="F657" s="20">
        <f t="shared" si="10"/>
        <v>123734536</v>
      </c>
      <c r="G657" s="7" t="s">
        <v>330</v>
      </c>
      <c r="H657" s="24" t="s">
        <v>109</v>
      </c>
      <c r="I657" s="32" t="s">
        <v>152</v>
      </c>
    </row>
    <row r="658" spans="1:9" x14ac:dyDescent="0.35">
      <c r="A658" s="19">
        <v>45744</v>
      </c>
      <c r="B658" s="20"/>
      <c r="C658" s="20"/>
      <c r="D658" s="20">
        <v>10000</v>
      </c>
      <c r="E658" s="99" t="s">
        <v>521</v>
      </c>
      <c r="F658" s="20">
        <f t="shared" si="10"/>
        <v>123744536</v>
      </c>
      <c r="G658" s="7" t="s">
        <v>330</v>
      </c>
      <c r="H658" s="24" t="s">
        <v>109</v>
      </c>
      <c r="I658" s="32" t="s">
        <v>152</v>
      </c>
    </row>
    <row r="659" spans="1:9" x14ac:dyDescent="0.35">
      <c r="A659" s="19">
        <v>45744</v>
      </c>
      <c r="B659" s="20"/>
      <c r="C659" s="20"/>
      <c r="D659" s="20">
        <v>20000</v>
      </c>
      <c r="E659" s="99" t="s">
        <v>521</v>
      </c>
      <c r="F659" s="20">
        <f t="shared" si="10"/>
        <v>123764536</v>
      </c>
      <c r="G659" s="7" t="s">
        <v>330</v>
      </c>
      <c r="H659" s="24" t="s">
        <v>109</v>
      </c>
      <c r="I659" s="32" t="s">
        <v>152</v>
      </c>
    </row>
    <row r="660" spans="1:9" x14ac:dyDescent="0.35">
      <c r="A660" s="19">
        <v>45744</v>
      </c>
      <c r="B660" s="20"/>
      <c r="C660" s="20"/>
      <c r="D660" s="20">
        <v>1000000</v>
      </c>
      <c r="E660" s="99" t="s">
        <v>521</v>
      </c>
      <c r="F660" s="20">
        <f t="shared" si="10"/>
        <v>124764536</v>
      </c>
      <c r="G660" s="7" t="s">
        <v>487</v>
      </c>
      <c r="H660" s="59" t="s">
        <v>105</v>
      </c>
      <c r="I660" s="32" t="s">
        <v>152</v>
      </c>
    </row>
    <row r="661" spans="1:9" x14ac:dyDescent="0.35">
      <c r="A661" s="19">
        <v>45744</v>
      </c>
      <c r="B661" s="20">
        <v>53150000</v>
      </c>
      <c r="C661" s="20"/>
      <c r="D661" s="20"/>
      <c r="E661" s="99" t="s">
        <v>521</v>
      </c>
      <c r="F661" s="20">
        <f t="shared" si="10"/>
        <v>71614536</v>
      </c>
      <c r="G661" s="7" t="s">
        <v>488</v>
      </c>
      <c r="H661" s="59" t="s">
        <v>201</v>
      </c>
      <c r="I661" s="32" t="s">
        <v>152</v>
      </c>
    </row>
    <row r="662" spans="1:9" x14ac:dyDescent="0.35">
      <c r="A662" s="19">
        <v>45744</v>
      </c>
      <c r="B662" s="20">
        <v>2500</v>
      </c>
      <c r="C662" s="20"/>
      <c r="D662" s="20"/>
      <c r="E662" s="99" t="s">
        <v>521</v>
      </c>
      <c r="F662" s="20">
        <f t="shared" si="10"/>
        <v>71612036</v>
      </c>
      <c r="G662" s="7" t="s">
        <v>488</v>
      </c>
      <c r="H662" s="59" t="s">
        <v>201</v>
      </c>
      <c r="I662" s="32" t="s">
        <v>152</v>
      </c>
    </row>
    <row r="663" spans="1:9" x14ac:dyDescent="0.35">
      <c r="A663" s="19">
        <v>45744</v>
      </c>
      <c r="B663" s="20"/>
      <c r="C663" s="20"/>
      <c r="D663" s="20">
        <v>1000000</v>
      </c>
      <c r="E663" s="99" t="s">
        <v>521</v>
      </c>
      <c r="F663" s="20">
        <f t="shared" si="10"/>
        <v>72612036</v>
      </c>
      <c r="G663" s="7" t="s">
        <v>489</v>
      </c>
      <c r="H663" s="24" t="s">
        <v>109</v>
      </c>
      <c r="I663" s="32" t="s">
        <v>152</v>
      </c>
    </row>
    <row r="664" spans="1:9" x14ac:dyDescent="0.35">
      <c r="A664" s="19">
        <v>45744</v>
      </c>
      <c r="B664" s="20"/>
      <c r="C664" s="20"/>
      <c r="D664" s="20">
        <v>50000</v>
      </c>
      <c r="E664" s="99" t="s">
        <v>521</v>
      </c>
      <c r="F664" s="20">
        <f t="shared" si="10"/>
        <v>72662036</v>
      </c>
      <c r="G664" s="7" t="s">
        <v>330</v>
      </c>
      <c r="H664" s="24" t="s">
        <v>109</v>
      </c>
      <c r="I664" s="32" t="s">
        <v>152</v>
      </c>
    </row>
    <row r="665" spans="1:9" x14ac:dyDescent="0.35">
      <c r="A665" s="19">
        <v>45744</v>
      </c>
      <c r="B665" s="20"/>
      <c r="C665" s="20"/>
      <c r="D665" s="20">
        <v>20000</v>
      </c>
      <c r="E665" s="99" t="s">
        <v>521</v>
      </c>
      <c r="F665" s="20">
        <f t="shared" si="10"/>
        <v>72682036</v>
      </c>
      <c r="G665" s="7" t="s">
        <v>330</v>
      </c>
      <c r="H665" s="24" t="s">
        <v>109</v>
      </c>
      <c r="I665" s="32" t="s">
        <v>152</v>
      </c>
    </row>
    <row r="666" spans="1:9" x14ac:dyDescent="0.35">
      <c r="A666" s="19">
        <v>45744</v>
      </c>
      <c r="B666" s="20"/>
      <c r="C666" s="20"/>
      <c r="D666" s="20">
        <v>200000</v>
      </c>
      <c r="E666" s="99" t="s">
        <v>521</v>
      </c>
      <c r="F666" s="20">
        <f t="shared" si="10"/>
        <v>72882036</v>
      </c>
      <c r="G666" s="7" t="s">
        <v>330</v>
      </c>
      <c r="H666" s="24" t="s">
        <v>109</v>
      </c>
      <c r="I666" s="32" t="s">
        <v>152</v>
      </c>
    </row>
    <row r="667" spans="1:9" x14ac:dyDescent="0.35">
      <c r="A667" s="19">
        <v>45744</v>
      </c>
      <c r="B667" s="20"/>
      <c r="C667" s="20"/>
      <c r="D667" s="20">
        <v>50000</v>
      </c>
      <c r="E667" s="99" t="s">
        <v>521</v>
      </c>
      <c r="F667" s="20">
        <f t="shared" si="10"/>
        <v>72932036</v>
      </c>
      <c r="G667" s="7" t="s">
        <v>330</v>
      </c>
      <c r="H667" s="24" t="s">
        <v>109</v>
      </c>
      <c r="I667" s="32" t="s">
        <v>152</v>
      </c>
    </row>
    <row r="668" spans="1:9" x14ac:dyDescent="0.35">
      <c r="A668" s="19">
        <v>45744</v>
      </c>
      <c r="B668" s="20"/>
      <c r="C668" s="20"/>
      <c r="D668" s="20">
        <v>100000</v>
      </c>
      <c r="E668" s="99" t="s">
        <v>521</v>
      </c>
      <c r="F668" s="20">
        <f t="shared" si="10"/>
        <v>73032036</v>
      </c>
      <c r="G668" s="7" t="s">
        <v>330</v>
      </c>
      <c r="H668" s="24" t="s">
        <v>109</v>
      </c>
      <c r="I668" s="32" t="s">
        <v>152</v>
      </c>
    </row>
    <row r="669" spans="1:9" x14ac:dyDescent="0.35">
      <c r="A669" s="19">
        <v>45744</v>
      </c>
      <c r="B669" s="20"/>
      <c r="C669" s="20"/>
      <c r="D669" s="20">
        <v>2000000</v>
      </c>
      <c r="E669" s="99" t="s">
        <v>521</v>
      </c>
      <c r="F669" s="20">
        <f t="shared" si="10"/>
        <v>75032036</v>
      </c>
      <c r="G669" s="7" t="s">
        <v>490</v>
      </c>
      <c r="H669" s="24" t="s">
        <v>109</v>
      </c>
      <c r="I669" s="32" t="s">
        <v>152</v>
      </c>
    </row>
    <row r="670" spans="1:9" x14ac:dyDescent="0.35">
      <c r="A670" s="19">
        <v>45744</v>
      </c>
      <c r="B670" s="20"/>
      <c r="C670" s="20"/>
      <c r="D670" s="20">
        <v>100000</v>
      </c>
      <c r="E670" s="99" t="s">
        <v>521</v>
      </c>
      <c r="F670" s="20">
        <f t="shared" si="10"/>
        <v>75132036</v>
      </c>
      <c r="G670" s="7" t="s">
        <v>330</v>
      </c>
      <c r="H670" s="24" t="s">
        <v>109</v>
      </c>
      <c r="I670" s="32" t="s">
        <v>152</v>
      </c>
    </row>
    <row r="671" spans="1:9" x14ac:dyDescent="0.35">
      <c r="A671" s="19">
        <v>45744</v>
      </c>
      <c r="B671" s="20"/>
      <c r="C671" s="20"/>
      <c r="D671" s="20">
        <v>50000</v>
      </c>
      <c r="E671" s="99" t="s">
        <v>521</v>
      </c>
      <c r="F671" s="20">
        <f t="shared" si="10"/>
        <v>75182036</v>
      </c>
      <c r="G671" s="7" t="s">
        <v>330</v>
      </c>
      <c r="H671" s="24" t="s">
        <v>109</v>
      </c>
      <c r="I671" s="32" t="s">
        <v>152</v>
      </c>
    </row>
    <row r="672" spans="1:9" x14ac:dyDescent="0.35">
      <c r="A672" s="19">
        <v>45744</v>
      </c>
      <c r="B672" s="20"/>
      <c r="C672" s="20"/>
      <c r="D672" s="20">
        <v>10000</v>
      </c>
      <c r="E672" s="99" t="s">
        <v>521</v>
      </c>
      <c r="F672" s="20">
        <f t="shared" si="10"/>
        <v>75192036</v>
      </c>
      <c r="G672" s="7" t="s">
        <v>330</v>
      </c>
      <c r="H672" s="24" t="s">
        <v>109</v>
      </c>
      <c r="I672" s="32" t="s">
        <v>152</v>
      </c>
    </row>
    <row r="673" spans="1:9" x14ac:dyDescent="0.35">
      <c r="A673" s="19">
        <v>45744</v>
      </c>
      <c r="B673" s="20"/>
      <c r="C673" s="20"/>
      <c r="D673" s="20">
        <v>30000</v>
      </c>
      <c r="E673" s="99" t="s">
        <v>521</v>
      </c>
      <c r="F673" s="20">
        <f t="shared" si="10"/>
        <v>75222036</v>
      </c>
      <c r="G673" s="7" t="s">
        <v>330</v>
      </c>
      <c r="H673" s="24" t="s">
        <v>109</v>
      </c>
      <c r="I673" s="32" t="s">
        <v>152</v>
      </c>
    </row>
    <row r="674" spans="1:9" x14ac:dyDescent="0.35">
      <c r="A674" s="19">
        <v>45744</v>
      </c>
      <c r="B674" s="20"/>
      <c r="C674" s="20"/>
      <c r="D674" s="20">
        <v>3475000</v>
      </c>
      <c r="E674" s="99" t="s">
        <v>521</v>
      </c>
      <c r="F674" s="20">
        <f t="shared" si="10"/>
        <v>78697036</v>
      </c>
      <c r="G674" s="7" t="s">
        <v>491</v>
      </c>
      <c r="H674" s="59" t="s">
        <v>105</v>
      </c>
      <c r="I674" s="32" t="s">
        <v>152</v>
      </c>
    </row>
    <row r="675" spans="1:9" x14ac:dyDescent="0.35">
      <c r="A675" s="19">
        <v>45744</v>
      </c>
      <c r="B675" s="20"/>
      <c r="C675" s="20"/>
      <c r="D675" s="20">
        <v>50000</v>
      </c>
      <c r="E675" s="99" t="s">
        <v>521</v>
      </c>
      <c r="F675" s="20">
        <f t="shared" si="10"/>
        <v>78747036</v>
      </c>
      <c r="G675" s="7" t="s">
        <v>330</v>
      </c>
      <c r="H675" s="24" t="s">
        <v>109</v>
      </c>
      <c r="I675" s="32" t="s">
        <v>152</v>
      </c>
    </row>
    <row r="676" spans="1:9" x14ac:dyDescent="0.35">
      <c r="A676" s="19">
        <v>45744</v>
      </c>
      <c r="B676" s="20"/>
      <c r="C676" s="20"/>
      <c r="D676" s="20">
        <v>3000000</v>
      </c>
      <c r="E676" s="99" t="s">
        <v>521</v>
      </c>
      <c r="F676" s="20">
        <f t="shared" si="10"/>
        <v>81747036</v>
      </c>
      <c r="G676" s="7" t="s">
        <v>491</v>
      </c>
      <c r="H676" s="59" t="s">
        <v>105</v>
      </c>
      <c r="I676" s="32" t="s">
        <v>152</v>
      </c>
    </row>
    <row r="677" spans="1:9" x14ac:dyDescent="0.35">
      <c r="A677" s="19">
        <v>45744</v>
      </c>
      <c r="B677" s="20"/>
      <c r="C677" s="20"/>
      <c r="D677" s="20">
        <v>100000</v>
      </c>
      <c r="E677" s="99" t="s">
        <v>521</v>
      </c>
      <c r="F677" s="20">
        <f t="shared" si="10"/>
        <v>81847036</v>
      </c>
      <c r="G677" s="7" t="s">
        <v>330</v>
      </c>
      <c r="H677" s="24" t="s">
        <v>109</v>
      </c>
      <c r="I677" s="32" t="s">
        <v>152</v>
      </c>
    </row>
    <row r="678" spans="1:9" x14ac:dyDescent="0.35">
      <c r="A678" s="19">
        <v>45744</v>
      </c>
      <c r="B678" s="20"/>
      <c r="C678" s="20"/>
      <c r="D678" s="20">
        <v>25000</v>
      </c>
      <c r="E678" s="99" t="s">
        <v>521</v>
      </c>
      <c r="F678" s="20">
        <f t="shared" si="10"/>
        <v>81872036</v>
      </c>
      <c r="G678" s="7" t="s">
        <v>330</v>
      </c>
      <c r="H678" s="24" t="s">
        <v>109</v>
      </c>
      <c r="I678" s="32" t="s">
        <v>152</v>
      </c>
    </row>
    <row r="679" spans="1:9" x14ac:dyDescent="0.35">
      <c r="A679" s="19">
        <v>45744</v>
      </c>
      <c r="B679" s="20"/>
      <c r="C679" s="20"/>
      <c r="D679" s="20">
        <v>50000</v>
      </c>
      <c r="E679" s="99" t="s">
        <v>521</v>
      </c>
      <c r="F679" s="20">
        <f t="shared" si="10"/>
        <v>81922036</v>
      </c>
      <c r="G679" s="7" t="s">
        <v>330</v>
      </c>
      <c r="H679" s="24" t="s">
        <v>109</v>
      </c>
      <c r="I679" s="32" t="s">
        <v>152</v>
      </c>
    </row>
    <row r="680" spans="1:9" x14ac:dyDescent="0.35">
      <c r="A680" s="19">
        <v>45744</v>
      </c>
      <c r="B680" s="20"/>
      <c r="C680" s="20"/>
      <c r="D680" s="20">
        <v>200000</v>
      </c>
      <c r="E680" s="99" t="s">
        <v>521</v>
      </c>
      <c r="F680" s="20">
        <f t="shared" si="10"/>
        <v>82122036</v>
      </c>
      <c r="G680" s="7" t="s">
        <v>330</v>
      </c>
      <c r="H680" s="24" t="s">
        <v>109</v>
      </c>
      <c r="I680" s="32" t="s">
        <v>152</v>
      </c>
    </row>
    <row r="681" spans="1:9" x14ac:dyDescent="0.35">
      <c r="A681" s="19">
        <v>45744</v>
      </c>
      <c r="B681" s="20"/>
      <c r="C681" s="20"/>
      <c r="D681" s="20">
        <v>30000</v>
      </c>
      <c r="E681" s="99" t="s">
        <v>521</v>
      </c>
      <c r="F681" s="20">
        <f t="shared" si="10"/>
        <v>82152036</v>
      </c>
      <c r="G681" s="7" t="s">
        <v>330</v>
      </c>
      <c r="H681" s="24" t="s">
        <v>109</v>
      </c>
      <c r="I681" s="32" t="s">
        <v>152</v>
      </c>
    </row>
    <row r="682" spans="1:9" x14ac:dyDescent="0.35">
      <c r="A682" s="19">
        <v>45744</v>
      </c>
      <c r="B682" s="20"/>
      <c r="C682" s="20"/>
      <c r="D682" s="20">
        <v>20000</v>
      </c>
      <c r="E682" s="99" t="s">
        <v>521</v>
      </c>
      <c r="F682" s="20">
        <f t="shared" si="10"/>
        <v>82172036</v>
      </c>
      <c r="G682" s="7" t="s">
        <v>330</v>
      </c>
      <c r="H682" s="24" t="s">
        <v>109</v>
      </c>
      <c r="I682" s="32" t="s">
        <v>152</v>
      </c>
    </row>
    <row r="683" spans="1:9" x14ac:dyDescent="0.35">
      <c r="A683" s="19">
        <v>45744</v>
      </c>
      <c r="B683" s="20"/>
      <c r="C683" s="20"/>
      <c r="D683" s="20">
        <v>150000</v>
      </c>
      <c r="E683" s="99" t="s">
        <v>521</v>
      </c>
      <c r="F683" s="20">
        <f t="shared" si="10"/>
        <v>82322036</v>
      </c>
      <c r="G683" s="7" t="s">
        <v>330</v>
      </c>
      <c r="H683" s="24" t="s">
        <v>109</v>
      </c>
      <c r="I683" s="32" t="s">
        <v>152</v>
      </c>
    </row>
    <row r="684" spans="1:9" x14ac:dyDescent="0.35">
      <c r="A684" s="19">
        <v>45744</v>
      </c>
      <c r="B684" s="20"/>
      <c r="C684" s="20"/>
      <c r="D684" s="20">
        <v>10000</v>
      </c>
      <c r="E684" s="99" t="s">
        <v>521</v>
      </c>
      <c r="F684" s="20">
        <f t="shared" si="10"/>
        <v>82332036</v>
      </c>
      <c r="G684" s="7" t="s">
        <v>330</v>
      </c>
      <c r="H684" s="24" t="s">
        <v>109</v>
      </c>
      <c r="I684" s="32" t="s">
        <v>152</v>
      </c>
    </row>
    <row r="685" spans="1:9" x14ac:dyDescent="0.35">
      <c r="A685" s="19">
        <v>45744</v>
      </c>
      <c r="B685" s="20"/>
      <c r="C685" s="20"/>
      <c r="D685" s="20">
        <v>1000000</v>
      </c>
      <c r="E685" s="99" t="s">
        <v>521</v>
      </c>
      <c r="F685" s="20">
        <f t="shared" si="10"/>
        <v>83332036</v>
      </c>
      <c r="G685" s="7" t="s">
        <v>330</v>
      </c>
      <c r="H685" s="24" t="s">
        <v>109</v>
      </c>
      <c r="I685" s="32" t="s">
        <v>152</v>
      </c>
    </row>
    <row r="686" spans="1:9" x14ac:dyDescent="0.35">
      <c r="A686" s="19">
        <v>45744</v>
      </c>
      <c r="B686" s="20"/>
      <c r="C686" s="20"/>
      <c r="D686" s="20">
        <v>50000</v>
      </c>
      <c r="E686" s="99" t="s">
        <v>521</v>
      </c>
      <c r="F686" s="20">
        <f t="shared" si="10"/>
        <v>83382036</v>
      </c>
      <c r="G686" s="7" t="s">
        <v>330</v>
      </c>
      <c r="H686" s="24" t="s">
        <v>109</v>
      </c>
      <c r="I686" s="32" t="s">
        <v>152</v>
      </c>
    </row>
    <row r="687" spans="1:9" x14ac:dyDescent="0.35">
      <c r="A687" s="19">
        <v>45744</v>
      </c>
      <c r="B687" s="20"/>
      <c r="C687" s="20"/>
      <c r="D687" s="20">
        <v>6000</v>
      </c>
      <c r="E687" s="99" t="s">
        <v>521</v>
      </c>
      <c r="F687" s="20">
        <f t="shared" si="10"/>
        <v>83388036</v>
      </c>
      <c r="G687" s="7" t="s">
        <v>330</v>
      </c>
      <c r="H687" s="24" t="s">
        <v>109</v>
      </c>
      <c r="I687" s="32" t="s">
        <v>152</v>
      </c>
    </row>
    <row r="688" spans="1:9" x14ac:dyDescent="0.35">
      <c r="A688" s="19">
        <v>45744</v>
      </c>
      <c r="B688" s="20"/>
      <c r="C688" s="20"/>
      <c r="D688" s="20">
        <v>20000</v>
      </c>
      <c r="E688" s="99" t="s">
        <v>521</v>
      </c>
      <c r="F688" s="20">
        <f t="shared" si="10"/>
        <v>83408036</v>
      </c>
      <c r="G688" s="7" t="s">
        <v>330</v>
      </c>
      <c r="H688" s="24" t="s">
        <v>109</v>
      </c>
      <c r="I688" s="32" t="s">
        <v>152</v>
      </c>
    </row>
    <row r="689" spans="1:9" x14ac:dyDescent="0.35">
      <c r="A689" s="19">
        <v>45744</v>
      </c>
      <c r="B689" s="20"/>
      <c r="C689" s="20"/>
      <c r="D689" s="20">
        <v>150000</v>
      </c>
      <c r="E689" s="99" t="s">
        <v>521</v>
      </c>
      <c r="F689" s="20">
        <f t="shared" si="10"/>
        <v>83558036</v>
      </c>
      <c r="G689" s="7" t="s">
        <v>330</v>
      </c>
      <c r="H689" s="24" t="s">
        <v>109</v>
      </c>
      <c r="I689" s="32" t="s">
        <v>152</v>
      </c>
    </row>
    <row r="690" spans="1:9" x14ac:dyDescent="0.35">
      <c r="A690" s="19">
        <v>45744</v>
      </c>
      <c r="B690" s="20"/>
      <c r="C690" s="20"/>
      <c r="D690" s="20">
        <v>6570000</v>
      </c>
      <c r="E690" s="99" t="s">
        <v>521</v>
      </c>
      <c r="F690" s="20">
        <f t="shared" si="10"/>
        <v>90128036</v>
      </c>
      <c r="G690" s="7" t="s">
        <v>491</v>
      </c>
      <c r="H690" s="59" t="s">
        <v>105</v>
      </c>
      <c r="I690" s="32" t="s">
        <v>152</v>
      </c>
    </row>
    <row r="691" spans="1:9" x14ac:dyDescent="0.35">
      <c r="A691" s="19">
        <v>45744</v>
      </c>
      <c r="B691" s="20"/>
      <c r="C691" s="20"/>
      <c r="D691" s="20">
        <v>50000</v>
      </c>
      <c r="E691" s="99" t="s">
        <v>521</v>
      </c>
      <c r="F691" s="20">
        <f t="shared" si="10"/>
        <v>90178036</v>
      </c>
      <c r="G691" s="7" t="s">
        <v>330</v>
      </c>
      <c r="H691" s="24" t="s">
        <v>109</v>
      </c>
      <c r="I691" s="32" t="s">
        <v>152</v>
      </c>
    </row>
    <row r="692" spans="1:9" x14ac:dyDescent="0.35">
      <c r="A692" s="19">
        <v>45744</v>
      </c>
      <c r="B692" s="20"/>
      <c r="C692" s="20"/>
      <c r="D692" s="20">
        <v>5000</v>
      </c>
      <c r="E692" s="99" t="s">
        <v>521</v>
      </c>
      <c r="F692" s="20">
        <f t="shared" si="10"/>
        <v>90183036</v>
      </c>
      <c r="G692" s="7" t="s">
        <v>330</v>
      </c>
      <c r="H692" s="24" t="s">
        <v>109</v>
      </c>
      <c r="I692" s="32" t="s">
        <v>152</v>
      </c>
    </row>
    <row r="693" spans="1:9" x14ac:dyDescent="0.35">
      <c r="A693" s="19">
        <v>45744</v>
      </c>
      <c r="B693" s="20"/>
      <c r="C693" s="20"/>
      <c r="D693" s="20">
        <v>5000</v>
      </c>
      <c r="E693" s="99" t="s">
        <v>521</v>
      </c>
      <c r="F693" s="20">
        <f t="shared" si="10"/>
        <v>90188036</v>
      </c>
      <c r="G693" s="7" t="s">
        <v>330</v>
      </c>
      <c r="H693" s="24" t="s">
        <v>109</v>
      </c>
      <c r="I693" s="32" t="s">
        <v>152</v>
      </c>
    </row>
    <row r="694" spans="1:9" x14ac:dyDescent="0.35">
      <c r="A694" s="19">
        <v>45755</v>
      </c>
      <c r="B694" s="20"/>
      <c r="C694" s="20"/>
      <c r="D694" s="20">
        <v>50000</v>
      </c>
      <c r="E694" s="99" t="s">
        <v>559</v>
      </c>
      <c r="F694" s="20">
        <f t="shared" si="10"/>
        <v>90238036</v>
      </c>
      <c r="G694" s="7" t="s">
        <v>330</v>
      </c>
      <c r="H694" s="24" t="s">
        <v>109</v>
      </c>
      <c r="I694" s="32" t="s">
        <v>152</v>
      </c>
    </row>
    <row r="695" spans="1:9" x14ac:dyDescent="0.35">
      <c r="A695" s="19">
        <v>45755</v>
      </c>
      <c r="B695" s="20"/>
      <c r="C695" s="20"/>
      <c r="D695" s="20">
        <v>50000</v>
      </c>
      <c r="E695" s="99" t="s">
        <v>559</v>
      </c>
      <c r="F695" s="20">
        <f t="shared" si="10"/>
        <v>90288036</v>
      </c>
      <c r="G695" s="7" t="s">
        <v>330</v>
      </c>
      <c r="H695" s="24" t="s">
        <v>109</v>
      </c>
      <c r="I695" s="32" t="s">
        <v>152</v>
      </c>
    </row>
    <row r="696" spans="1:9" x14ac:dyDescent="0.35">
      <c r="A696" s="19">
        <v>45755</v>
      </c>
      <c r="B696" s="20"/>
      <c r="C696" s="20"/>
      <c r="D696" s="20">
        <v>100000</v>
      </c>
      <c r="E696" s="99" t="s">
        <v>559</v>
      </c>
      <c r="F696" s="20">
        <f t="shared" si="10"/>
        <v>90388036</v>
      </c>
      <c r="G696" s="7" t="s">
        <v>330</v>
      </c>
      <c r="H696" s="24" t="s">
        <v>109</v>
      </c>
      <c r="I696" s="32" t="s">
        <v>152</v>
      </c>
    </row>
    <row r="697" spans="1:9" x14ac:dyDescent="0.35">
      <c r="A697" s="19">
        <v>45755</v>
      </c>
      <c r="B697" s="20"/>
      <c r="C697" s="20"/>
      <c r="D697" s="20">
        <v>10000</v>
      </c>
      <c r="E697" s="99" t="s">
        <v>559</v>
      </c>
      <c r="F697" s="20">
        <f t="shared" si="10"/>
        <v>90398036</v>
      </c>
      <c r="G697" s="7" t="s">
        <v>330</v>
      </c>
      <c r="H697" s="24" t="s">
        <v>109</v>
      </c>
      <c r="I697" s="32" t="s">
        <v>152</v>
      </c>
    </row>
    <row r="698" spans="1:9" x14ac:dyDescent="0.35">
      <c r="A698" s="19">
        <v>45755</v>
      </c>
      <c r="B698" s="20"/>
      <c r="C698" s="20"/>
      <c r="D698" s="20">
        <v>100000</v>
      </c>
      <c r="E698" s="99" t="s">
        <v>559</v>
      </c>
      <c r="F698" s="20">
        <f t="shared" si="10"/>
        <v>90498036</v>
      </c>
      <c r="G698" s="7" t="s">
        <v>330</v>
      </c>
      <c r="H698" s="24" t="s">
        <v>109</v>
      </c>
      <c r="I698" s="32" t="s">
        <v>152</v>
      </c>
    </row>
    <row r="699" spans="1:9" x14ac:dyDescent="0.35">
      <c r="A699" s="19">
        <v>45755</v>
      </c>
      <c r="B699" s="20"/>
      <c r="C699" s="20"/>
      <c r="D699" s="20">
        <v>300000</v>
      </c>
      <c r="E699" s="99" t="s">
        <v>559</v>
      </c>
      <c r="F699" s="20">
        <f t="shared" si="10"/>
        <v>90798036</v>
      </c>
      <c r="G699" s="7" t="s">
        <v>330</v>
      </c>
      <c r="H699" s="24" t="s">
        <v>109</v>
      </c>
      <c r="I699" s="32" t="s">
        <v>152</v>
      </c>
    </row>
    <row r="700" spans="1:9" x14ac:dyDescent="0.35">
      <c r="A700" s="19">
        <v>45755</v>
      </c>
      <c r="B700" s="20"/>
      <c r="C700" s="20"/>
      <c r="D700" s="20">
        <v>5000000</v>
      </c>
      <c r="E700" s="99" t="s">
        <v>559</v>
      </c>
      <c r="F700" s="20">
        <f t="shared" si="10"/>
        <v>95798036</v>
      </c>
      <c r="G700" s="7" t="s">
        <v>506</v>
      </c>
      <c r="H700" s="24" t="s">
        <v>105</v>
      </c>
      <c r="I700" s="32" t="s">
        <v>152</v>
      </c>
    </row>
    <row r="701" spans="1:9" x14ac:dyDescent="0.35">
      <c r="A701" s="19">
        <v>45755</v>
      </c>
      <c r="B701" s="20"/>
      <c r="C701" s="20"/>
      <c r="D701" s="20">
        <v>50000</v>
      </c>
      <c r="E701" s="99" t="s">
        <v>559</v>
      </c>
      <c r="F701" s="20">
        <f t="shared" si="10"/>
        <v>95848036</v>
      </c>
      <c r="G701" s="7" t="s">
        <v>330</v>
      </c>
      <c r="H701" s="24" t="s">
        <v>109</v>
      </c>
      <c r="I701" s="32" t="s">
        <v>152</v>
      </c>
    </row>
    <row r="702" spans="1:9" x14ac:dyDescent="0.35">
      <c r="A702" s="19">
        <v>45755</v>
      </c>
      <c r="B702" s="20"/>
      <c r="C702" s="20"/>
      <c r="D702" s="20">
        <v>50000</v>
      </c>
      <c r="E702" s="99" t="s">
        <v>559</v>
      </c>
      <c r="F702" s="20">
        <f t="shared" si="10"/>
        <v>95898036</v>
      </c>
      <c r="G702" s="7" t="s">
        <v>330</v>
      </c>
      <c r="H702" s="24" t="s">
        <v>109</v>
      </c>
      <c r="I702" s="32" t="s">
        <v>152</v>
      </c>
    </row>
    <row r="703" spans="1:9" x14ac:dyDescent="0.35">
      <c r="A703" s="19">
        <v>45755</v>
      </c>
      <c r="B703" s="20"/>
      <c r="C703" s="20"/>
      <c r="D703" s="20">
        <v>100000</v>
      </c>
      <c r="E703" s="99" t="s">
        <v>559</v>
      </c>
      <c r="F703" s="20">
        <f t="shared" si="10"/>
        <v>95998036</v>
      </c>
      <c r="G703" s="7" t="s">
        <v>330</v>
      </c>
      <c r="H703" s="24" t="s">
        <v>109</v>
      </c>
      <c r="I703" s="32" t="s">
        <v>152</v>
      </c>
    </row>
    <row r="704" spans="1:9" x14ac:dyDescent="0.35">
      <c r="A704" s="19">
        <v>45755</v>
      </c>
      <c r="B704" s="20"/>
      <c r="C704" s="20"/>
      <c r="D704" s="20">
        <v>25000</v>
      </c>
      <c r="E704" s="99" t="s">
        <v>559</v>
      </c>
      <c r="F704" s="20">
        <f t="shared" si="10"/>
        <v>96023036</v>
      </c>
      <c r="G704" s="7" t="s">
        <v>330</v>
      </c>
      <c r="H704" s="24" t="s">
        <v>109</v>
      </c>
      <c r="I704" s="32" t="s">
        <v>152</v>
      </c>
    </row>
    <row r="705" spans="1:9" x14ac:dyDescent="0.35">
      <c r="A705" s="19">
        <v>45755</v>
      </c>
      <c r="B705" s="20"/>
      <c r="C705" s="20"/>
      <c r="D705" s="20">
        <v>18000</v>
      </c>
      <c r="E705" s="99" t="s">
        <v>559</v>
      </c>
      <c r="F705" s="20">
        <f t="shared" si="10"/>
        <v>96041036</v>
      </c>
      <c r="G705" s="7" t="s">
        <v>330</v>
      </c>
      <c r="H705" s="24" t="s">
        <v>109</v>
      </c>
      <c r="I705" s="32" t="s">
        <v>152</v>
      </c>
    </row>
    <row r="706" spans="1:9" x14ac:dyDescent="0.35">
      <c r="A706" s="19">
        <v>45755</v>
      </c>
      <c r="B706" s="20"/>
      <c r="C706" s="20"/>
      <c r="D706" s="20">
        <v>30000</v>
      </c>
      <c r="E706" s="99" t="s">
        <v>559</v>
      </c>
      <c r="F706" s="20">
        <f t="shared" si="10"/>
        <v>96071036</v>
      </c>
      <c r="G706" s="7" t="s">
        <v>330</v>
      </c>
      <c r="H706" s="24" t="s">
        <v>109</v>
      </c>
      <c r="I706" s="32" t="s">
        <v>152</v>
      </c>
    </row>
    <row r="707" spans="1:9" x14ac:dyDescent="0.35">
      <c r="A707" s="19">
        <v>45755</v>
      </c>
      <c r="B707" s="20"/>
      <c r="C707" s="20"/>
      <c r="D707" s="20">
        <v>20000</v>
      </c>
      <c r="E707" s="99" t="s">
        <v>559</v>
      </c>
      <c r="F707" s="20">
        <f t="shared" si="10"/>
        <v>96091036</v>
      </c>
      <c r="G707" s="7" t="s">
        <v>330</v>
      </c>
      <c r="H707" s="24" t="s">
        <v>109</v>
      </c>
      <c r="I707" s="32" t="s">
        <v>152</v>
      </c>
    </row>
    <row r="708" spans="1:9" x14ac:dyDescent="0.35">
      <c r="A708" s="19">
        <v>45755</v>
      </c>
      <c r="B708" s="20"/>
      <c r="C708" s="20"/>
      <c r="D708" s="20">
        <v>1000000</v>
      </c>
      <c r="E708" s="99" t="s">
        <v>559</v>
      </c>
      <c r="F708" s="20">
        <f t="shared" si="10"/>
        <v>97091036</v>
      </c>
      <c r="G708" s="7" t="s">
        <v>330</v>
      </c>
      <c r="H708" s="24" t="s">
        <v>109</v>
      </c>
      <c r="I708" s="32" t="s">
        <v>152</v>
      </c>
    </row>
    <row r="709" spans="1:9" x14ac:dyDescent="0.35">
      <c r="A709" s="19">
        <v>45755</v>
      </c>
      <c r="B709" s="20"/>
      <c r="C709" s="20"/>
      <c r="D709" s="20">
        <v>10000</v>
      </c>
      <c r="E709" s="99" t="s">
        <v>559</v>
      </c>
      <c r="F709" s="20">
        <f t="shared" si="10"/>
        <v>97101036</v>
      </c>
      <c r="G709" s="7" t="s">
        <v>330</v>
      </c>
      <c r="H709" s="24" t="s">
        <v>109</v>
      </c>
      <c r="I709" s="32" t="s">
        <v>152</v>
      </c>
    </row>
    <row r="710" spans="1:9" x14ac:dyDescent="0.35">
      <c r="A710" s="19">
        <v>45755</v>
      </c>
      <c r="B710" s="20"/>
      <c r="C710" s="20"/>
      <c r="D710" s="20">
        <v>620000</v>
      </c>
      <c r="E710" s="99" t="s">
        <v>559</v>
      </c>
      <c r="F710" s="20">
        <f t="shared" si="10"/>
        <v>97721036</v>
      </c>
      <c r="G710" s="7" t="s">
        <v>503</v>
      </c>
      <c r="H710" s="24" t="s">
        <v>105</v>
      </c>
      <c r="I710" s="32" t="s">
        <v>152</v>
      </c>
    </row>
    <row r="711" spans="1:9" x14ac:dyDescent="0.35">
      <c r="A711" s="19">
        <v>45755</v>
      </c>
      <c r="B711" s="20"/>
      <c r="C711" s="20"/>
      <c r="D711" s="20">
        <v>50000</v>
      </c>
      <c r="E711" s="99" t="s">
        <v>559</v>
      </c>
      <c r="F711" s="20">
        <f t="shared" si="10"/>
        <v>97771036</v>
      </c>
      <c r="G711" s="7" t="s">
        <v>330</v>
      </c>
      <c r="H711" s="24" t="s">
        <v>109</v>
      </c>
      <c r="I711" s="32" t="s">
        <v>152</v>
      </c>
    </row>
    <row r="712" spans="1:9" x14ac:dyDescent="0.35">
      <c r="A712" s="19">
        <v>45755</v>
      </c>
      <c r="B712" s="20"/>
      <c r="C712" s="20"/>
      <c r="D712" s="20">
        <v>25000</v>
      </c>
      <c r="E712" s="99" t="s">
        <v>559</v>
      </c>
      <c r="F712" s="20">
        <f t="shared" si="10"/>
        <v>97796036</v>
      </c>
      <c r="G712" s="7" t="s">
        <v>330</v>
      </c>
      <c r="H712" s="24" t="s">
        <v>109</v>
      </c>
      <c r="I712" s="32" t="s">
        <v>152</v>
      </c>
    </row>
    <row r="713" spans="1:9" x14ac:dyDescent="0.35">
      <c r="A713" s="19">
        <v>45755</v>
      </c>
      <c r="B713" s="20"/>
      <c r="C713" s="20"/>
      <c r="D713" s="20">
        <v>150000</v>
      </c>
      <c r="E713" s="99" t="s">
        <v>559</v>
      </c>
      <c r="F713" s="20">
        <f t="shared" si="10"/>
        <v>97946036</v>
      </c>
      <c r="G713" s="7" t="s">
        <v>330</v>
      </c>
      <c r="H713" s="24" t="s">
        <v>109</v>
      </c>
      <c r="I713" s="32" t="s">
        <v>152</v>
      </c>
    </row>
    <row r="714" spans="1:9" x14ac:dyDescent="0.35">
      <c r="A714" s="19">
        <v>45755</v>
      </c>
      <c r="B714" s="20"/>
      <c r="C714" s="20"/>
      <c r="D714" s="20">
        <v>30000</v>
      </c>
      <c r="E714" s="99" t="s">
        <v>559</v>
      </c>
      <c r="F714" s="20">
        <f t="shared" ref="F714:F777" si="11">+F713+D714-B714</f>
        <v>97976036</v>
      </c>
      <c r="G714" s="7" t="s">
        <v>330</v>
      </c>
      <c r="H714" s="24" t="s">
        <v>109</v>
      </c>
      <c r="I714" s="32" t="s">
        <v>152</v>
      </c>
    </row>
    <row r="715" spans="1:9" x14ac:dyDescent="0.35">
      <c r="A715" s="19">
        <v>45755</v>
      </c>
      <c r="B715" s="20"/>
      <c r="C715" s="20"/>
      <c r="D715" s="20">
        <v>10000</v>
      </c>
      <c r="E715" s="99" t="s">
        <v>559</v>
      </c>
      <c r="F715" s="20">
        <f t="shared" si="11"/>
        <v>97986036</v>
      </c>
      <c r="G715" s="7" t="s">
        <v>330</v>
      </c>
      <c r="H715" s="24" t="s">
        <v>109</v>
      </c>
      <c r="I715" s="32" t="s">
        <v>152</v>
      </c>
    </row>
    <row r="716" spans="1:9" x14ac:dyDescent="0.35">
      <c r="A716" s="19">
        <v>45755</v>
      </c>
      <c r="B716" s="20"/>
      <c r="C716" s="20"/>
      <c r="D716" s="20">
        <v>6000</v>
      </c>
      <c r="E716" s="99" t="s">
        <v>559</v>
      </c>
      <c r="F716" s="20">
        <f t="shared" si="11"/>
        <v>97992036</v>
      </c>
      <c r="G716" s="7" t="s">
        <v>330</v>
      </c>
      <c r="H716" s="24" t="s">
        <v>109</v>
      </c>
      <c r="I716" s="32" t="s">
        <v>152</v>
      </c>
    </row>
    <row r="717" spans="1:9" x14ac:dyDescent="0.35">
      <c r="A717" s="19">
        <v>45755</v>
      </c>
      <c r="B717" s="20"/>
      <c r="C717" s="20"/>
      <c r="D717" s="20">
        <v>50000</v>
      </c>
      <c r="E717" s="99" t="s">
        <v>559</v>
      </c>
      <c r="F717" s="20">
        <f t="shared" si="11"/>
        <v>98042036</v>
      </c>
      <c r="G717" s="7" t="s">
        <v>330</v>
      </c>
      <c r="H717" s="24" t="s">
        <v>109</v>
      </c>
      <c r="I717" s="32" t="s">
        <v>152</v>
      </c>
    </row>
    <row r="718" spans="1:9" x14ac:dyDescent="0.35">
      <c r="A718" s="19">
        <v>45755</v>
      </c>
      <c r="B718" s="20"/>
      <c r="C718" s="23"/>
      <c r="D718" s="23">
        <v>24000000</v>
      </c>
      <c r="E718" s="99" t="s">
        <v>559</v>
      </c>
      <c r="F718" s="20">
        <f t="shared" si="11"/>
        <v>122042036</v>
      </c>
      <c r="G718" s="7"/>
      <c r="H718" s="24" t="s">
        <v>105</v>
      </c>
      <c r="I718" s="32" t="s">
        <v>152</v>
      </c>
    </row>
    <row r="719" spans="1:9" x14ac:dyDescent="0.35">
      <c r="A719" s="19">
        <v>45755</v>
      </c>
      <c r="B719" s="20"/>
      <c r="C719" s="23"/>
      <c r="D719" s="23">
        <v>2040000</v>
      </c>
      <c r="E719" s="99" t="s">
        <v>559</v>
      </c>
      <c r="F719" s="20">
        <f t="shared" si="11"/>
        <v>124082036</v>
      </c>
      <c r="G719" s="7"/>
      <c r="H719" s="24" t="s">
        <v>109</v>
      </c>
      <c r="I719" s="32" t="s">
        <v>152</v>
      </c>
    </row>
    <row r="720" spans="1:9" x14ac:dyDescent="0.35">
      <c r="A720" s="19"/>
      <c r="B720" s="20"/>
      <c r="C720" s="23">
        <v>26040000</v>
      </c>
      <c r="D720" s="23"/>
      <c r="E720" s="99"/>
      <c r="F720" s="20">
        <f t="shared" si="11"/>
        <v>124082036</v>
      </c>
      <c r="G720" s="7" t="s">
        <v>507</v>
      </c>
      <c r="H720" s="24"/>
      <c r="I720" s="32"/>
    </row>
    <row r="721" spans="1:9" x14ac:dyDescent="0.35">
      <c r="A721" s="19">
        <v>45755</v>
      </c>
      <c r="B721" s="20"/>
      <c r="C721" s="20"/>
      <c r="D721" s="20">
        <v>20000000</v>
      </c>
      <c r="E721" s="99" t="s">
        <v>559</v>
      </c>
      <c r="F721" s="20">
        <f t="shared" si="11"/>
        <v>144082036</v>
      </c>
      <c r="G721" s="7" t="s">
        <v>504</v>
      </c>
      <c r="H721" s="24" t="s">
        <v>105</v>
      </c>
      <c r="I721" s="32" t="s">
        <v>152</v>
      </c>
    </row>
    <row r="722" spans="1:9" x14ac:dyDescent="0.35">
      <c r="A722" s="19">
        <v>45755</v>
      </c>
      <c r="B722" s="20"/>
      <c r="C722" s="20"/>
      <c r="D722" s="20">
        <v>500000</v>
      </c>
      <c r="E722" s="99" t="s">
        <v>559</v>
      </c>
      <c r="F722" s="20">
        <f t="shared" si="11"/>
        <v>144582036</v>
      </c>
      <c r="G722" s="7" t="s">
        <v>330</v>
      </c>
      <c r="H722" s="24" t="s">
        <v>109</v>
      </c>
      <c r="I722" s="32" t="s">
        <v>152</v>
      </c>
    </row>
    <row r="723" spans="1:9" x14ac:dyDescent="0.35">
      <c r="A723" s="19">
        <v>45755</v>
      </c>
      <c r="B723" s="20"/>
      <c r="C723" s="20"/>
      <c r="D723" s="20">
        <v>10000</v>
      </c>
      <c r="E723" s="99" t="s">
        <v>559</v>
      </c>
      <c r="F723" s="20">
        <f t="shared" si="11"/>
        <v>144592036</v>
      </c>
      <c r="G723" s="7" t="s">
        <v>330</v>
      </c>
      <c r="H723" s="24" t="s">
        <v>109</v>
      </c>
      <c r="I723" s="32" t="s">
        <v>152</v>
      </c>
    </row>
    <row r="724" spans="1:9" x14ac:dyDescent="0.35">
      <c r="A724" s="19">
        <v>45755</v>
      </c>
      <c r="B724" s="20"/>
      <c r="C724" s="20"/>
      <c r="D724" s="20">
        <v>10000</v>
      </c>
      <c r="E724" s="99" t="s">
        <v>559</v>
      </c>
      <c r="F724" s="20">
        <f t="shared" si="11"/>
        <v>144602036</v>
      </c>
      <c r="G724" s="7" t="s">
        <v>330</v>
      </c>
      <c r="H724" s="24" t="s">
        <v>109</v>
      </c>
      <c r="I724" s="32" t="s">
        <v>152</v>
      </c>
    </row>
    <row r="725" spans="1:9" x14ac:dyDescent="0.35">
      <c r="A725" s="19">
        <v>45755</v>
      </c>
      <c r="B725" s="20"/>
      <c r="C725" s="20"/>
      <c r="D725" s="20">
        <v>50000</v>
      </c>
      <c r="E725" s="99" t="s">
        <v>559</v>
      </c>
      <c r="F725" s="20">
        <f t="shared" si="11"/>
        <v>144652036</v>
      </c>
      <c r="G725" s="7" t="s">
        <v>330</v>
      </c>
      <c r="H725" s="24" t="s">
        <v>109</v>
      </c>
      <c r="I725" s="32" t="s">
        <v>152</v>
      </c>
    </row>
    <row r="726" spans="1:9" x14ac:dyDescent="0.35">
      <c r="A726" s="19">
        <v>45755</v>
      </c>
      <c r="B726" s="20"/>
      <c r="C726" s="20"/>
      <c r="D726" s="20">
        <v>50000</v>
      </c>
      <c r="E726" s="99" t="s">
        <v>559</v>
      </c>
      <c r="F726" s="20">
        <f t="shared" si="11"/>
        <v>144702036</v>
      </c>
      <c r="G726" s="7" t="s">
        <v>330</v>
      </c>
      <c r="H726" s="24" t="s">
        <v>109</v>
      </c>
      <c r="I726" s="32" t="s">
        <v>152</v>
      </c>
    </row>
    <row r="727" spans="1:9" x14ac:dyDescent="0.35">
      <c r="A727" s="19">
        <v>45755</v>
      </c>
      <c r="B727" s="20"/>
      <c r="C727" s="20"/>
      <c r="D727" s="20">
        <v>100000</v>
      </c>
      <c r="E727" s="99" t="s">
        <v>559</v>
      </c>
      <c r="F727" s="20">
        <f t="shared" si="11"/>
        <v>144802036</v>
      </c>
      <c r="G727" s="7" t="s">
        <v>330</v>
      </c>
      <c r="H727" s="24" t="s">
        <v>109</v>
      </c>
      <c r="I727" s="32" t="s">
        <v>152</v>
      </c>
    </row>
    <row r="728" spans="1:9" x14ac:dyDescent="0.35">
      <c r="A728" s="19">
        <v>45755</v>
      </c>
      <c r="B728" s="20"/>
      <c r="C728" s="20"/>
      <c r="D728" s="20">
        <v>20000</v>
      </c>
      <c r="E728" s="99" t="s">
        <v>559</v>
      </c>
      <c r="F728" s="20">
        <f t="shared" si="11"/>
        <v>144822036</v>
      </c>
      <c r="G728" s="7" t="s">
        <v>330</v>
      </c>
      <c r="H728" s="24" t="s">
        <v>109</v>
      </c>
      <c r="I728" s="32" t="s">
        <v>152</v>
      </c>
    </row>
    <row r="729" spans="1:9" x14ac:dyDescent="0.35">
      <c r="A729" s="19">
        <v>45755</v>
      </c>
      <c r="B729" s="20"/>
      <c r="C729" s="20"/>
      <c r="D729" s="20">
        <v>20000</v>
      </c>
      <c r="E729" s="99" t="s">
        <v>559</v>
      </c>
      <c r="F729" s="20">
        <f t="shared" si="11"/>
        <v>144842036</v>
      </c>
      <c r="G729" s="7" t="s">
        <v>330</v>
      </c>
      <c r="H729" s="24" t="s">
        <v>109</v>
      </c>
      <c r="I729" s="32" t="s">
        <v>152</v>
      </c>
    </row>
    <row r="730" spans="1:9" x14ac:dyDescent="0.35">
      <c r="A730" s="19">
        <v>45755</v>
      </c>
      <c r="B730" s="20"/>
      <c r="C730" s="20"/>
      <c r="D730" s="20">
        <v>10000</v>
      </c>
      <c r="E730" s="99" t="s">
        <v>559</v>
      </c>
      <c r="F730" s="20">
        <f t="shared" si="11"/>
        <v>144852036</v>
      </c>
      <c r="G730" s="7" t="s">
        <v>330</v>
      </c>
      <c r="H730" s="24" t="s">
        <v>109</v>
      </c>
      <c r="I730" s="32" t="s">
        <v>152</v>
      </c>
    </row>
    <row r="731" spans="1:9" x14ac:dyDescent="0.35">
      <c r="A731" s="19">
        <v>45755</v>
      </c>
      <c r="B731" s="20"/>
      <c r="C731" s="20"/>
      <c r="D731" s="20">
        <v>10000000</v>
      </c>
      <c r="E731" s="99" t="s">
        <v>559</v>
      </c>
      <c r="F731" s="20">
        <f t="shared" si="11"/>
        <v>154852036</v>
      </c>
      <c r="G731" s="7" t="s">
        <v>505</v>
      </c>
      <c r="H731" s="24" t="s">
        <v>105</v>
      </c>
      <c r="I731" s="32" t="s">
        <v>152</v>
      </c>
    </row>
    <row r="732" spans="1:9" x14ac:dyDescent="0.35">
      <c r="A732" s="19">
        <v>45755</v>
      </c>
      <c r="B732" s="20"/>
      <c r="C732" s="20"/>
      <c r="D732" s="20">
        <v>250000</v>
      </c>
      <c r="E732" s="99" t="s">
        <v>559</v>
      </c>
      <c r="F732" s="20">
        <f t="shared" si="11"/>
        <v>155102036</v>
      </c>
      <c r="G732" s="7" t="s">
        <v>330</v>
      </c>
      <c r="H732" s="24" t="s">
        <v>109</v>
      </c>
      <c r="I732" s="32" t="s">
        <v>152</v>
      </c>
    </row>
    <row r="733" spans="1:9" x14ac:dyDescent="0.35">
      <c r="A733" s="19">
        <v>45755</v>
      </c>
      <c r="B733" s="20"/>
      <c r="C733" s="20"/>
      <c r="D733" s="20">
        <v>50000</v>
      </c>
      <c r="E733" s="99" t="s">
        <v>559</v>
      </c>
      <c r="F733" s="20">
        <f t="shared" si="11"/>
        <v>155152036</v>
      </c>
      <c r="G733" s="7" t="s">
        <v>330</v>
      </c>
      <c r="H733" s="24" t="s">
        <v>109</v>
      </c>
      <c r="I733" s="32" t="s">
        <v>152</v>
      </c>
    </row>
    <row r="734" spans="1:9" x14ac:dyDescent="0.35">
      <c r="A734" s="19">
        <v>45755</v>
      </c>
      <c r="B734" s="20"/>
      <c r="C734" s="20"/>
      <c r="D734" s="20">
        <v>10000</v>
      </c>
      <c r="E734" s="99" t="s">
        <v>559</v>
      </c>
      <c r="F734" s="20">
        <f t="shared" si="11"/>
        <v>155162036</v>
      </c>
      <c r="G734" s="7" t="s">
        <v>330</v>
      </c>
      <c r="H734" s="24" t="s">
        <v>109</v>
      </c>
      <c r="I734" s="32" t="s">
        <v>152</v>
      </c>
    </row>
    <row r="735" spans="1:9" x14ac:dyDescent="0.35">
      <c r="A735" s="19">
        <v>45755</v>
      </c>
      <c r="B735" s="20"/>
      <c r="C735" s="20"/>
      <c r="D735" s="20">
        <v>20000</v>
      </c>
      <c r="E735" s="99" t="s">
        <v>559</v>
      </c>
      <c r="F735" s="20">
        <f t="shared" si="11"/>
        <v>155182036</v>
      </c>
      <c r="G735" s="7" t="s">
        <v>330</v>
      </c>
      <c r="H735" s="24" t="s">
        <v>109</v>
      </c>
      <c r="I735" s="32" t="s">
        <v>152</v>
      </c>
    </row>
    <row r="736" spans="1:9" x14ac:dyDescent="0.35">
      <c r="A736" s="19">
        <v>45755</v>
      </c>
      <c r="B736" s="20"/>
      <c r="C736" s="20"/>
      <c r="D736" s="20">
        <v>50000</v>
      </c>
      <c r="E736" s="99" t="s">
        <v>559</v>
      </c>
      <c r="F736" s="20">
        <f t="shared" si="11"/>
        <v>155232036</v>
      </c>
      <c r="G736" s="7" t="s">
        <v>330</v>
      </c>
      <c r="H736" s="24" t="s">
        <v>109</v>
      </c>
      <c r="I736" s="32" t="s">
        <v>152</v>
      </c>
    </row>
    <row r="737" spans="1:9" x14ac:dyDescent="0.35">
      <c r="A737" s="19">
        <v>45755</v>
      </c>
      <c r="B737" s="20"/>
      <c r="C737" s="20"/>
      <c r="D737" s="20">
        <v>5000</v>
      </c>
      <c r="E737" s="99" t="s">
        <v>559</v>
      </c>
      <c r="F737" s="20">
        <f t="shared" si="11"/>
        <v>155237036</v>
      </c>
      <c r="G737" s="7" t="s">
        <v>330</v>
      </c>
      <c r="H737" s="24" t="s">
        <v>109</v>
      </c>
      <c r="I737" s="32" t="s">
        <v>152</v>
      </c>
    </row>
    <row r="738" spans="1:9" x14ac:dyDescent="0.35">
      <c r="A738" s="19">
        <v>45755</v>
      </c>
      <c r="B738" s="20"/>
      <c r="C738" s="20"/>
      <c r="D738" s="20">
        <v>10000</v>
      </c>
      <c r="E738" s="99" t="s">
        <v>559</v>
      </c>
      <c r="F738" s="20">
        <f t="shared" si="11"/>
        <v>155247036</v>
      </c>
      <c r="G738" s="7" t="s">
        <v>330</v>
      </c>
      <c r="H738" s="24" t="s">
        <v>109</v>
      </c>
      <c r="I738" s="32" t="s">
        <v>152</v>
      </c>
    </row>
    <row r="739" spans="1:9" x14ac:dyDescent="0.35">
      <c r="A739" s="19">
        <v>45755</v>
      </c>
      <c r="B739" s="20"/>
      <c r="C739" s="20"/>
      <c r="D739" s="20">
        <v>10000</v>
      </c>
      <c r="E739" s="99" t="s">
        <v>559</v>
      </c>
      <c r="F739" s="20">
        <f t="shared" si="11"/>
        <v>155257036</v>
      </c>
      <c r="G739" s="7" t="s">
        <v>330</v>
      </c>
      <c r="H739" s="24" t="s">
        <v>109</v>
      </c>
      <c r="I739" s="32" t="s">
        <v>152</v>
      </c>
    </row>
    <row r="740" spans="1:9" x14ac:dyDescent="0.35">
      <c r="A740" s="19">
        <v>45755</v>
      </c>
      <c r="B740" s="20"/>
      <c r="C740" s="20"/>
      <c r="D740" s="20">
        <v>200000</v>
      </c>
      <c r="E740" s="99" t="s">
        <v>559</v>
      </c>
      <c r="F740" s="20">
        <f t="shared" si="11"/>
        <v>155457036</v>
      </c>
      <c r="G740" s="7" t="s">
        <v>330</v>
      </c>
      <c r="H740" s="24" t="s">
        <v>109</v>
      </c>
      <c r="I740" s="32" t="s">
        <v>152</v>
      </c>
    </row>
    <row r="741" spans="1:9" x14ac:dyDescent="0.35">
      <c r="A741" s="19">
        <v>45755</v>
      </c>
      <c r="B741" s="20"/>
      <c r="C741" s="20"/>
      <c r="D741" s="20">
        <v>200000</v>
      </c>
      <c r="E741" s="99" t="s">
        <v>559</v>
      </c>
      <c r="F741" s="20">
        <f t="shared" si="11"/>
        <v>155657036</v>
      </c>
      <c r="G741" s="7" t="s">
        <v>330</v>
      </c>
      <c r="H741" s="24" t="s">
        <v>109</v>
      </c>
      <c r="I741" s="32" t="s">
        <v>152</v>
      </c>
    </row>
    <row r="742" spans="1:9" x14ac:dyDescent="0.35">
      <c r="A742" s="19">
        <v>45755</v>
      </c>
      <c r="B742" s="20"/>
      <c r="C742" s="20"/>
      <c r="D742" s="20">
        <v>10000</v>
      </c>
      <c r="E742" s="99" t="s">
        <v>559</v>
      </c>
      <c r="F742" s="20">
        <f t="shared" si="11"/>
        <v>155667036</v>
      </c>
      <c r="G742" s="7" t="s">
        <v>330</v>
      </c>
      <c r="H742" s="24" t="s">
        <v>109</v>
      </c>
      <c r="I742" s="32" t="s">
        <v>152</v>
      </c>
    </row>
    <row r="743" spans="1:9" x14ac:dyDescent="0.35">
      <c r="A743" s="19">
        <v>45755</v>
      </c>
      <c r="B743" s="20"/>
      <c r="C743" s="20"/>
      <c r="D743" s="20">
        <v>20000</v>
      </c>
      <c r="E743" s="99" t="s">
        <v>559</v>
      </c>
      <c r="F743" s="20">
        <f t="shared" si="11"/>
        <v>155687036</v>
      </c>
      <c r="G743" s="7" t="s">
        <v>330</v>
      </c>
      <c r="H743" s="24" t="s">
        <v>109</v>
      </c>
      <c r="I743" s="32" t="s">
        <v>152</v>
      </c>
    </row>
    <row r="744" spans="1:9" x14ac:dyDescent="0.35">
      <c r="A744" s="19">
        <v>45755</v>
      </c>
      <c r="B744" s="20"/>
      <c r="C744" s="20"/>
      <c r="D744" s="20">
        <v>5700</v>
      </c>
      <c r="E744" s="99" t="s">
        <v>559</v>
      </c>
      <c r="F744" s="20">
        <f t="shared" si="11"/>
        <v>155692736</v>
      </c>
      <c r="G744" s="7" t="s">
        <v>330</v>
      </c>
      <c r="H744" s="24" t="s">
        <v>109</v>
      </c>
      <c r="I744" s="32" t="s">
        <v>152</v>
      </c>
    </row>
    <row r="745" spans="1:9" x14ac:dyDescent="0.35">
      <c r="A745" s="19">
        <v>45755</v>
      </c>
      <c r="B745" s="20"/>
      <c r="C745" s="20"/>
      <c r="D745" s="20">
        <v>400000</v>
      </c>
      <c r="E745" s="99" t="s">
        <v>559</v>
      </c>
      <c r="F745" s="20">
        <f t="shared" si="11"/>
        <v>156092736</v>
      </c>
      <c r="G745" s="7" t="s">
        <v>515</v>
      </c>
      <c r="H745" s="24" t="s">
        <v>109</v>
      </c>
      <c r="I745" s="32" t="s">
        <v>152</v>
      </c>
    </row>
    <row r="746" spans="1:9" x14ac:dyDescent="0.35">
      <c r="A746" s="19">
        <v>45755</v>
      </c>
      <c r="B746" s="20"/>
      <c r="C746" s="20"/>
      <c r="D746" s="20">
        <v>20000</v>
      </c>
      <c r="E746" s="99" t="s">
        <v>559</v>
      </c>
      <c r="F746" s="20">
        <f t="shared" si="11"/>
        <v>156112736</v>
      </c>
      <c r="G746" s="7" t="s">
        <v>330</v>
      </c>
      <c r="H746" s="24" t="s">
        <v>109</v>
      </c>
      <c r="I746" s="32" t="s">
        <v>152</v>
      </c>
    </row>
    <row r="747" spans="1:9" x14ac:dyDescent="0.35">
      <c r="A747" s="19">
        <v>45755</v>
      </c>
      <c r="B747" s="20"/>
      <c r="C747" s="20"/>
      <c r="D747" s="20">
        <v>5700</v>
      </c>
      <c r="E747" s="99" t="s">
        <v>559</v>
      </c>
      <c r="F747" s="20">
        <f t="shared" si="11"/>
        <v>156118436</v>
      </c>
      <c r="G747" s="7" t="s">
        <v>330</v>
      </c>
      <c r="H747" s="24" t="s">
        <v>109</v>
      </c>
      <c r="I747" s="32" t="s">
        <v>152</v>
      </c>
    </row>
    <row r="748" spans="1:9" x14ac:dyDescent="0.35">
      <c r="A748" s="19">
        <v>45755</v>
      </c>
      <c r="B748" s="20"/>
      <c r="C748" s="20"/>
      <c r="D748" s="20">
        <v>100000</v>
      </c>
      <c r="E748" s="99" t="s">
        <v>559</v>
      </c>
      <c r="F748" s="20">
        <f t="shared" si="11"/>
        <v>156218436</v>
      </c>
      <c r="G748" s="7" t="s">
        <v>516</v>
      </c>
      <c r="H748" s="24" t="s">
        <v>109</v>
      </c>
      <c r="I748" s="32" t="s">
        <v>152</v>
      </c>
    </row>
    <row r="749" spans="1:9" x14ac:dyDescent="0.35">
      <c r="A749" s="19">
        <v>45755</v>
      </c>
      <c r="B749" s="20"/>
      <c r="C749" s="20"/>
      <c r="D749" s="20">
        <v>150000</v>
      </c>
      <c r="E749" s="99" t="s">
        <v>559</v>
      </c>
      <c r="F749" s="20">
        <f t="shared" si="11"/>
        <v>156368436</v>
      </c>
      <c r="G749" s="7" t="s">
        <v>517</v>
      </c>
      <c r="H749" s="24" t="s">
        <v>109</v>
      </c>
      <c r="I749" s="32" t="s">
        <v>152</v>
      </c>
    </row>
    <row r="750" spans="1:9" x14ac:dyDescent="0.35">
      <c r="A750" s="19">
        <v>45755</v>
      </c>
      <c r="B750" s="20"/>
      <c r="C750" s="20"/>
      <c r="D750" s="20">
        <v>4816</v>
      </c>
      <c r="E750" s="99" t="s">
        <v>559</v>
      </c>
      <c r="F750" s="20">
        <f t="shared" si="11"/>
        <v>156373252</v>
      </c>
      <c r="G750" s="7" t="s">
        <v>330</v>
      </c>
      <c r="H750" s="24" t="s">
        <v>109</v>
      </c>
      <c r="I750" s="32" t="s">
        <v>152</v>
      </c>
    </row>
    <row r="751" spans="1:9" x14ac:dyDescent="0.35">
      <c r="A751" s="19">
        <v>45755</v>
      </c>
      <c r="B751" s="20"/>
      <c r="C751" s="20"/>
      <c r="D751" s="20">
        <v>10000</v>
      </c>
      <c r="E751" s="99" t="s">
        <v>559</v>
      </c>
      <c r="F751" s="20">
        <f t="shared" si="11"/>
        <v>156383252</v>
      </c>
      <c r="G751" s="7" t="s">
        <v>330</v>
      </c>
      <c r="H751" s="24" t="s">
        <v>109</v>
      </c>
      <c r="I751" s="32" t="s">
        <v>152</v>
      </c>
    </row>
    <row r="752" spans="1:9" x14ac:dyDescent="0.35">
      <c r="A752" s="19">
        <v>45755</v>
      </c>
      <c r="B752" s="20"/>
      <c r="C752" s="20"/>
      <c r="D752" s="20">
        <v>2308</v>
      </c>
      <c r="E752" s="99" t="s">
        <v>559</v>
      </c>
      <c r="F752" s="20">
        <f t="shared" si="11"/>
        <v>156385560</v>
      </c>
      <c r="G752" s="7" t="s">
        <v>330</v>
      </c>
      <c r="H752" s="24" t="s">
        <v>109</v>
      </c>
      <c r="I752" s="32" t="s">
        <v>152</v>
      </c>
    </row>
    <row r="753" spans="1:9" x14ac:dyDescent="0.35">
      <c r="A753" s="19">
        <v>45755</v>
      </c>
      <c r="B753" s="20">
        <v>20000</v>
      </c>
      <c r="C753" s="20"/>
      <c r="D753" s="20"/>
      <c r="E753" s="99" t="s">
        <v>559</v>
      </c>
      <c r="F753" s="20">
        <f t="shared" si="11"/>
        <v>156365560</v>
      </c>
      <c r="G753" s="7" t="s">
        <v>330</v>
      </c>
      <c r="H753" s="24" t="s">
        <v>320</v>
      </c>
      <c r="I753" s="32" t="s">
        <v>152</v>
      </c>
    </row>
    <row r="754" spans="1:9" x14ac:dyDescent="0.35">
      <c r="A754" s="19">
        <v>45755</v>
      </c>
      <c r="B754" s="20">
        <v>5700</v>
      </c>
      <c r="C754" s="20"/>
      <c r="D754" s="20"/>
      <c r="E754" s="99" t="s">
        <v>559</v>
      </c>
      <c r="F754" s="20">
        <f t="shared" si="11"/>
        <v>156359860</v>
      </c>
      <c r="G754" s="7" t="s">
        <v>330</v>
      </c>
      <c r="H754" s="24" t="s">
        <v>320</v>
      </c>
      <c r="I754" s="32" t="s">
        <v>152</v>
      </c>
    </row>
    <row r="755" spans="1:9" x14ac:dyDescent="0.35">
      <c r="A755" s="19">
        <v>45755</v>
      </c>
      <c r="B755" s="20"/>
      <c r="C755" s="20"/>
      <c r="D755" s="20">
        <v>25000</v>
      </c>
      <c r="E755" s="99" t="s">
        <v>559</v>
      </c>
      <c r="F755" s="20">
        <f t="shared" si="11"/>
        <v>156384860</v>
      </c>
      <c r="G755" s="7" t="s">
        <v>330</v>
      </c>
      <c r="H755" s="24" t="s">
        <v>109</v>
      </c>
      <c r="I755" s="32" t="s">
        <v>152</v>
      </c>
    </row>
    <row r="756" spans="1:9" x14ac:dyDescent="0.35">
      <c r="A756" s="19">
        <v>45755</v>
      </c>
      <c r="B756" s="20"/>
      <c r="C756" s="20"/>
      <c r="D756" s="20">
        <v>10000</v>
      </c>
      <c r="E756" s="99" t="s">
        <v>559</v>
      </c>
      <c r="F756" s="20">
        <f t="shared" si="11"/>
        <v>156394860</v>
      </c>
      <c r="G756" s="7" t="s">
        <v>330</v>
      </c>
      <c r="H756" s="24" t="s">
        <v>109</v>
      </c>
      <c r="I756" s="32" t="s">
        <v>152</v>
      </c>
    </row>
    <row r="757" spans="1:9" x14ac:dyDescent="0.35">
      <c r="A757" s="19">
        <v>45755</v>
      </c>
      <c r="B757" s="20"/>
      <c r="C757" s="20"/>
      <c r="D757" s="20">
        <v>20000</v>
      </c>
      <c r="E757" s="99" t="s">
        <v>559</v>
      </c>
      <c r="F757" s="20">
        <f t="shared" si="11"/>
        <v>156414860</v>
      </c>
      <c r="G757" s="7" t="s">
        <v>330</v>
      </c>
      <c r="H757" s="24" t="s">
        <v>109</v>
      </c>
      <c r="I757" s="32" t="s">
        <v>152</v>
      </c>
    </row>
    <row r="758" spans="1:9" x14ac:dyDescent="0.35">
      <c r="A758" s="19">
        <v>45755</v>
      </c>
      <c r="B758" s="20"/>
      <c r="C758" s="20"/>
      <c r="D758" s="20">
        <v>25000</v>
      </c>
      <c r="E758" s="99" t="s">
        <v>559</v>
      </c>
      <c r="F758" s="20">
        <f t="shared" si="11"/>
        <v>156439860</v>
      </c>
      <c r="G758" s="7" t="s">
        <v>330</v>
      </c>
      <c r="H758" s="24" t="s">
        <v>109</v>
      </c>
      <c r="I758" s="32" t="s">
        <v>152</v>
      </c>
    </row>
    <row r="759" spans="1:9" x14ac:dyDescent="0.35">
      <c r="A759" s="19">
        <v>45755</v>
      </c>
      <c r="B759" s="20"/>
      <c r="C759" s="20"/>
      <c r="D759" s="20">
        <v>100000</v>
      </c>
      <c r="E759" s="99" t="s">
        <v>559</v>
      </c>
      <c r="F759" s="20">
        <f t="shared" si="11"/>
        <v>156539860</v>
      </c>
      <c r="G759" s="7" t="s">
        <v>330</v>
      </c>
      <c r="H759" s="24" t="s">
        <v>109</v>
      </c>
      <c r="I759" s="32" t="s">
        <v>152</v>
      </c>
    </row>
    <row r="760" spans="1:9" x14ac:dyDescent="0.35">
      <c r="A760" s="19">
        <v>45755</v>
      </c>
      <c r="B760" s="20"/>
      <c r="C760" s="20"/>
      <c r="D760" s="20">
        <v>22000</v>
      </c>
      <c r="E760" s="99" t="s">
        <v>559</v>
      </c>
      <c r="F760" s="20">
        <f t="shared" si="11"/>
        <v>156561860</v>
      </c>
      <c r="G760" s="7" t="s">
        <v>330</v>
      </c>
      <c r="H760" s="24" t="s">
        <v>109</v>
      </c>
      <c r="I760" s="32" t="s">
        <v>152</v>
      </c>
    </row>
    <row r="761" spans="1:9" x14ac:dyDescent="0.35">
      <c r="A761" s="19">
        <v>45757</v>
      </c>
      <c r="B761" s="20">
        <v>2000000</v>
      </c>
      <c r="C761" s="20"/>
      <c r="D761" s="20"/>
      <c r="E761" s="99" t="s">
        <v>559</v>
      </c>
      <c r="F761" s="20">
        <f t="shared" si="11"/>
        <v>154561860</v>
      </c>
      <c r="G761" s="7" t="s">
        <v>518</v>
      </c>
      <c r="H761" s="24" t="s">
        <v>323</v>
      </c>
      <c r="I761" s="32" t="s">
        <v>152</v>
      </c>
    </row>
    <row r="762" spans="1:9" x14ac:dyDescent="0.35">
      <c r="A762" s="19">
        <v>45757</v>
      </c>
      <c r="B762" s="20">
        <v>2900</v>
      </c>
      <c r="C762" s="20"/>
      <c r="D762" s="20"/>
      <c r="E762" s="99" t="s">
        <v>559</v>
      </c>
      <c r="F762" s="20">
        <f t="shared" si="11"/>
        <v>154558960</v>
      </c>
      <c r="G762" s="7" t="s">
        <v>519</v>
      </c>
      <c r="H762" s="24" t="s">
        <v>323</v>
      </c>
      <c r="I762" s="32" t="s">
        <v>152</v>
      </c>
    </row>
    <row r="763" spans="1:9" x14ac:dyDescent="0.35">
      <c r="A763" s="19">
        <v>45757</v>
      </c>
      <c r="B763" s="20"/>
      <c r="C763" s="20"/>
      <c r="D763" s="20">
        <v>17785500</v>
      </c>
      <c r="E763" s="99" t="s">
        <v>559</v>
      </c>
      <c r="F763" s="20">
        <f t="shared" si="11"/>
        <v>172344460</v>
      </c>
      <c r="G763" s="7" t="s">
        <v>520</v>
      </c>
      <c r="H763" s="24" t="s">
        <v>109</v>
      </c>
      <c r="I763" s="32" t="s">
        <v>152</v>
      </c>
    </row>
    <row r="764" spans="1:9" x14ac:dyDescent="0.35">
      <c r="A764" s="19">
        <v>45758</v>
      </c>
      <c r="B764" s="20"/>
      <c r="C764" s="20"/>
      <c r="D764" s="20">
        <v>100000</v>
      </c>
      <c r="E764" s="99" t="s">
        <v>559</v>
      </c>
      <c r="F764" s="20">
        <f t="shared" si="11"/>
        <v>172444460</v>
      </c>
      <c r="G764" s="7" t="s">
        <v>330</v>
      </c>
      <c r="H764" s="24" t="s">
        <v>109</v>
      </c>
      <c r="I764" s="32" t="s">
        <v>152</v>
      </c>
    </row>
    <row r="765" spans="1:9" x14ac:dyDescent="0.35">
      <c r="A765" s="19">
        <v>45758</v>
      </c>
      <c r="B765" s="20"/>
      <c r="C765" s="20"/>
      <c r="D765" s="20">
        <v>2000000</v>
      </c>
      <c r="E765" s="99" t="s">
        <v>559</v>
      </c>
      <c r="F765" s="20">
        <f t="shared" si="11"/>
        <v>174444460</v>
      </c>
      <c r="G765" s="7" t="s">
        <v>522</v>
      </c>
      <c r="H765" s="24" t="s">
        <v>109</v>
      </c>
      <c r="I765" s="32" t="s">
        <v>152</v>
      </c>
    </row>
    <row r="766" spans="1:9" x14ac:dyDescent="0.35">
      <c r="A766" s="19">
        <v>45758</v>
      </c>
      <c r="B766" s="20">
        <v>5250000</v>
      </c>
      <c r="C766" s="20"/>
      <c r="D766" s="20"/>
      <c r="E766" s="99" t="s">
        <v>559</v>
      </c>
      <c r="F766" s="20">
        <f t="shared" si="11"/>
        <v>169194460</v>
      </c>
      <c r="G766" s="7" t="s">
        <v>523</v>
      </c>
      <c r="H766" s="24" t="s">
        <v>322</v>
      </c>
      <c r="I766" s="32" t="s">
        <v>152</v>
      </c>
    </row>
    <row r="767" spans="1:9" x14ac:dyDescent="0.35">
      <c r="A767" s="19">
        <v>45758</v>
      </c>
      <c r="B767" s="20">
        <v>2900</v>
      </c>
      <c r="C767" s="20"/>
      <c r="D767" s="20"/>
      <c r="E767" s="99" t="s">
        <v>559</v>
      </c>
      <c r="F767" s="20">
        <f t="shared" si="11"/>
        <v>169191560</v>
      </c>
      <c r="G767" s="7" t="s">
        <v>524</v>
      </c>
      <c r="H767" s="24" t="s">
        <v>322</v>
      </c>
      <c r="I767" s="32" t="s">
        <v>152</v>
      </c>
    </row>
    <row r="768" spans="1:9" x14ac:dyDescent="0.35">
      <c r="A768" s="19">
        <v>45758</v>
      </c>
      <c r="B768" s="20"/>
      <c r="C768" s="20"/>
      <c r="D768" s="20">
        <v>1000000</v>
      </c>
      <c r="E768" s="99" t="s">
        <v>559</v>
      </c>
      <c r="F768" s="20">
        <f t="shared" si="11"/>
        <v>170191560</v>
      </c>
      <c r="G768" s="7" t="s">
        <v>526</v>
      </c>
      <c r="H768" s="24" t="s">
        <v>109</v>
      </c>
      <c r="I768" s="32" t="s">
        <v>152</v>
      </c>
    </row>
    <row r="769" spans="1:9" x14ac:dyDescent="0.35">
      <c r="A769" s="19">
        <v>45758</v>
      </c>
      <c r="B769" s="20"/>
      <c r="C769" s="20"/>
      <c r="D769" s="20">
        <v>66500</v>
      </c>
      <c r="E769" s="99" t="s">
        <v>559</v>
      </c>
      <c r="F769" s="20">
        <f t="shared" si="11"/>
        <v>170258060</v>
      </c>
      <c r="G769" s="7" t="s">
        <v>527</v>
      </c>
      <c r="H769" s="24" t="s">
        <v>109</v>
      </c>
      <c r="I769" s="32" t="s">
        <v>152</v>
      </c>
    </row>
    <row r="770" spans="1:9" x14ac:dyDescent="0.35">
      <c r="A770" s="19">
        <v>45761</v>
      </c>
      <c r="B770" s="20"/>
      <c r="C770" s="20"/>
      <c r="D770" s="20">
        <v>25000</v>
      </c>
      <c r="E770" s="99" t="s">
        <v>559</v>
      </c>
      <c r="F770" s="20">
        <f t="shared" si="11"/>
        <v>170283060</v>
      </c>
      <c r="G770" s="7" t="s">
        <v>330</v>
      </c>
      <c r="H770" s="24" t="s">
        <v>109</v>
      </c>
      <c r="I770" s="32" t="s">
        <v>152</v>
      </c>
    </row>
    <row r="771" spans="1:9" x14ac:dyDescent="0.35">
      <c r="A771" s="19">
        <v>45761</v>
      </c>
      <c r="B771" s="20"/>
      <c r="C771" s="20"/>
      <c r="D771" s="20">
        <v>100000</v>
      </c>
      <c r="E771" s="99" t="s">
        <v>559</v>
      </c>
      <c r="F771" s="20">
        <f t="shared" si="11"/>
        <v>170383060</v>
      </c>
      <c r="G771" s="7" t="s">
        <v>330</v>
      </c>
      <c r="H771" s="24" t="s">
        <v>109</v>
      </c>
      <c r="I771" s="32" t="s">
        <v>152</v>
      </c>
    </row>
    <row r="772" spans="1:9" x14ac:dyDescent="0.35">
      <c r="A772" s="19">
        <v>45761</v>
      </c>
      <c r="B772" s="20"/>
      <c r="C772" s="20"/>
      <c r="D772" s="20">
        <v>25000</v>
      </c>
      <c r="E772" s="99" t="s">
        <v>559</v>
      </c>
      <c r="F772" s="20">
        <f t="shared" si="11"/>
        <v>170408060</v>
      </c>
      <c r="G772" s="7" t="s">
        <v>330</v>
      </c>
      <c r="H772" s="24" t="s">
        <v>109</v>
      </c>
      <c r="I772" s="32" t="s">
        <v>152</v>
      </c>
    </row>
    <row r="773" spans="1:9" x14ac:dyDescent="0.35">
      <c r="A773" s="19">
        <v>45761</v>
      </c>
      <c r="B773" s="20"/>
      <c r="C773" s="20"/>
      <c r="D773" s="20">
        <v>50000</v>
      </c>
      <c r="E773" s="99" t="s">
        <v>559</v>
      </c>
      <c r="F773" s="20">
        <f t="shared" si="11"/>
        <v>170458060</v>
      </c>
      <c r="G773" s="7" t="s">
        <v>330</v>
      </c>
      <c r="H773" s="24" t="s">
        <v>109</v>
      </c>
      <c r="I773" s="32" t="s">
        <v>152</v>
      </c>
    </row>
    <row r="774" spans="1:9" x14ac:dyDescent="0.35">
      <c r="A774" s="19">
        <v>45761</v>
      </c>
      <c r="B774" s="20"/>
      <c r="C774" s="20"/>
      <c r="D774" s="20">
        <v>10000</v>
      </c>
      <c r="E774" s="99" t="s">
        <v>559</v>
      </c>
      <c r="F774" s="20">
        <f t="shared" si="11"/>
        <v>170468060</v>
      </c>
      <c r="G774" s="7" t="s">
        <v>330</v>
      </c>
      <c r="H774" s="24" t="s">
        <v>109</v>
      </c>
      <c r="I774" s="32" t="s">
        <v>152</v>
      </c>
    </row>
    <row r="775" spans="1:9" x14ac:dyDescent="0.35">
      <c r="A775" s="19">
        <v>45761</v>
      </c>
      <c r="B775" s="20"/>
      <c r="C775" s="20"/>
      <c r="D775" s="20">
        <v>10000</v>
      </c>
      <c r="E775" s="99" t="s">
        <v>559</v>
      </c>
      <c r="F775" s="20">
        <f t="shared" si="11"/>
        <v>170478060</v>
      </c>
      <c r="G775" s="7" t="s">
        <v>330</v>
      </c>
      <c r="H775" s="24" t="s">
        <v>109</v>
      </c>
      <c r="I775" s="32" t="s">
        <v>152</v>
      </c>
    </row>
    <row r="776" spans="1:9" x14ac:dyDescent="0.35">
      <c r="A776" s="19">
        <v>45761</v>
      </c>
      <c r="B776" s="20"/>
      <c r="C776" s="20"/>
      <c r="D776" s="20">
        <v>20000</v>
      </c>
      <c r="E776" s="99" t="s">
        <v>559</v>
      </c>
      <c r="F776" s="20">
        <f t="shared" si="11"/>
        <v>170498060</v>
      </c>
      <c r="G776" s="7" t="s">
        <v>330</v>
      </c>
      <c r="H776" s="24" t="s">
        <v>109</v>
      </c>
      <c r="I776" s="32" t="s">
        <v>152</v>
      </c>
    </row>
    <row r="777" spans="1:9" x14ac:dyDescent="0.35">
      <c r="A777" s="19">
        <v>45761</v>
      </c>
      <c r="B777" s="20"/>
      <c r="C777" s="20"/>
      <c r="D777" s="20">
        <v>10000</v>
      </c>
      <c r="E777" s="99" t="s">
        <v>559</v>
      </c>
      <c r="F777" s="20">
        <f t="shared" si="11"/>
        <v>170508060</v>
      </c>
      <c r="G777" s="7" t="s">
        <v>330</v>
      </c>
      <c r="H777" s="24" t="s">
        <v>109</v>
      </c>
      <c r="I777" s="32" t="s">
        <v>152</v>
      </c>
    </row>
    <row r="778" spans="1:9" x14ac:dyDescent="0.35">
      <c r="A778" s="19">
        <v>45761</v>
      </c>
      <c r="B778" s="20"/>
      <c r="C778" s="20"/>
      <c r="D778" s="20">
        <v>5000</v>
      </c>
      <c r="E778" s="99" t="s">
        <v>559</v>
      </c>
      <c r="F778" s="20">
        <f t="shared" ref="F778:F841" si="12">+F777+D778-B778</f>
        <v>170513060</v>
      </c>
      <c r="G778" s="7" t="s">
        <v>330</v>
      </c>
      <c r="H778" s="24" t="s">
        <v>109</v>
      </c>
      <c r="I778" s="32" t="s">
        <v>152</v>
      </c>
    </row>
    <row r="779" spans="1:9" x14ac:dyDescent="0.35">
      <c r="A779" s="19">
        <v>45761</v>
      </c>
      <c r="B779" s="20"/>
      <c r="C779" s="20"/>
      <c r="D779" s="20">
        <v>6661</v>
      </c>
      <c r="E779" s="99" t="s">
        <v>559</v>
      </c>
      <c r="F779" s="20">
        <f t="shared" si="12"/>
        <v>170519721</v>
      </c>
      <c r="G779" s="7" t="s">
        <v>330</v>
      </c>
      <c r="H779" s="24" t="s">
        <v>109</v>
      </c>
      <c r="I779" s="32" t="s">
        <v>152</v>
      </c>
    </row>
    <row r="780" spans="1:9" x14ac:dyDescent="0.35">
      <c r="A780" s="19">
        <v>45761</v>
      </c>
      <c r="B780" s="20">
        <v>4105500</v>
      </c>
      <c r="C780" s="20"/>
      <c r="D780" s="20"/>
      <c r="E780" s="99" t="s">
        <v>559</v>
      </c>
      <c r="F780" s="20">
        <f t="shared" si="12"/>
        <v>166414221</v>
      </c>
      <c r="G780" s="7" t="s">
        <v>528</v>
      </c>
      <c r="H780" s="24" t="s">
        <v>322</v>
      </c>
      <c r="I780" s="32" t="s">
        <v>152</v>
      </c>
    </row>
    <row r="781" spans="1:9" x14ac:dyDescent="0.35">
      <c r="A781" s="19">
        <v>45761</v>
      </c>
      <c r="B781" s="20">
        <v>6500</v>
      </c>
      <c r="C781" s="20"/>
      <c r="D781" s="20"/>
      <c r="E781" s="99" t="s">
        <v>559</v>
      </c>
      <c r="F781" s="20">
        <f t="shared" si="12"/>
        <v>166407721</v>
      </c>
      <c r="G781" s="7" t="s">
        <v>529</v>
      </c>
      <c r="H781" s="24" t="s">
        <v>322</v>
      </c>
      <c r="I781" s="32" t="s">
        <v>152</v>
      </c>
    </row>
    <row r="782" spans="1:9" x14ac:dyDescent="0.35">
      <c r="A782" s="19">
        <v>45761</v>
      </c>
      <c r="B782" s="20">
        <v>750000</v>
      </c>
      <c r="C782" s="20"/>
      <c r="D782" s="20"/>
      <c r="E782" s="99" t="s">
        <v>559</v>
      </c>
      <c r="F782" s="20">
        <f t="shared" si="12"/>
        <v>165657721</v>
      </c>
      <c r="G782" s="7" t="s">
        <v>530</v>
      </c>
      <c r="H782" s="24" t="s">
        <v>323</v>
      </c>
      <c r="I782" s="32" t="s">
        <v>152</v>
      </c>
    </row>
    <row r="783" spans="1:9" x14ac:dyDescent="0.35">
      <c r="A783" s="19">
        <v>45761</v>
      </c>
      <c r="B783" s="20"/>
      <c r="C783" s="20"/>
      <c r="D783" s="20">
        <v>10000</v>
      </c>
      <c r="E783" s="99" t="s">
        <v>559</v>
      </c>
      <c r="F783" s="20">
        <f t="shared" si="12"/>
        <v>165667721</v>
      </c>
      <c r="G783" s="7" t="s">
        <v>330</v>
      </c>
      <c r="H783" s="24" t="s">
        <v>109</v>
      </c>
      <c r="I783" s="32" t="s">
        <v>152</v>
      </c>
    </row>
    <row r="784" spans="1:9" x14ac:dyDescent="0.35">
      <c r="A784" s="19">
        <v>45761</v>
      </c>
      <c r="B784" s="20"/>
      <c r="C784" s="20"/>
      <c r="D784" s="20">
        <v>25000</v>
      </c>
      <c r="E784" s="99" t="s">
        <v>559</v>
      </c>
      <c r="F784" s="20">
        <f t="shared" si="12"/>
        <v>165692721</v>
      </c>
      <c r="G784" s="7" t="s">
        <v>330</v>
      </c>
      <c r="H784" s="24" t="s">
        <v>109</v>
      </c>
      <c r="I784" s="32" t="s">
        <v>152</v>
      </c>
    </row>
    <row r="785" spans="1:9" x14ac:dyDescent="0.35">
      <c r="A785" s="19">
        <v>45761</v>
      </c>
      <c r="B785" s="20"/>
      <c r="C785" s="20"/>
      <c r="D785" s="20">
        <v>200000</v>
      </c>
      <c r="E785" s="99" t="s">
        <v>559</v>
      </c>
      <c r="F785" s="20">
        <f t="shared" si="12"/>
        <v>165892721</v>
      </c>
      <c r="G785" s="7" t="s">
        <v>531</v>
      </c>
      <c r="H785" s="24" t="s">
        <v>109</v>
      </c>
      <c r="I785" s="32" t="s">
        <v>152</v>
      </c>
    </row>
    <row r="786" spans="1:9" x14ac:dyDescent="0.35">
      <c r="A786" s="19">
        <v>45761</v>
      </c>
      <c r="B786" s="20"/>
      <c r="C786" s="20"/>
      <c r="D786" s="20">
        <v>41800000</v>
      </c>
      <c r="E786" s="99" t="s">
        <v>559</v>
      </c>
      <c r="F786" s="20">
        <f t="shared" si="12"/>
        <v>207692721</v>
      </c>
      <c r="G786" s="7" t="s">
        <v>586</v>
      </c>
      <c r="H786" s="24" t="s">
        <v>105</v>
      </c>
      <c r="I786" s="32" t="s">
        <v>152</v>
      </c>
    </row>
    <row r="787" spans="1:9" x14ac:dyDescent="0.35">
      <c r="A787" s="19">
        <v>45761</v>
      </c>
      <c r="B787" s="20"/>
      <c r="C787" s="20"/>
      <c r="D787" s="20">
        <f>3080000-38000</f>
        <v>3042000</v>
      </c>
      <c r="E787" s="99" t="s">
        <v>559</v>
      </c>
      <c r="F787" s="20">
        <f t="shared" si="12"/>
        <v>210734721</v>
      </c>
      <c r="G787" s="7" t="s">
        <v>587</v>
      </c>
      <c r="H787" s="24" t="s">
        <v>109</v>
      </c>
      <c r="I787" s="32" t="s">
        <v>152</v>
      </c>
    </row>
    <row r="788" spans="1:9" x14ac:dyDescent="0.35">
      <c r="A788" s="19">
        <v>45761</v>
      </c>
      <c r="B788" s="20"/>
      <c r="C788" s="20"/>
      <c r="D788" s="20">
        <v>10195000</v>
      </c>
      <c r="E788" s="99" t="s">
        <v>559</v>
      </c>
      <c r="F788" s="20">
        <f t="shared" si="12"/>
        <v>220929721</v>
      </c>
      <c r="G788" s="7" t="s">
        <v>584</v>
      </c>
      <c r="H788" s="24" t="s">
        <v>107</v>
      </c>
      <c r="I788" s="32" t="s">
        <v>152</v>
      </c>
    </row>
    <row r="789" spans="1:9" x14ac:dyDescent="0.35">
      <c r="A789" s="19">
        <v>45761</v>
      </c>
      <c r="B789" s="20"/>
      <c r="C789" s="20"/>
      <c r="D789" s="20">
        <v>9155000</v>
      </c>
      <c r="E789" s="99" t="s">
        <v>559</v>
      </c>
      <c r="F789" s="20">
        <f t="shared" si="12"/>
        <v>230084721</v>
      </c>
      <c r="G789" s="7" t="s">
        <v>585</v>
      </c>
      <c r="H789" s="24" t="s">
        <v>109</v>
      </c>
      <c r="I789" s="32" t="s">
        <v>152</v>
      </c>
    </row>
    <row r="790" spans="1:9" x14ac:dyDescent="0.35">
      <c r="A790" s="19"/>
      <c r="B790" s="20"/>
      <c r="C790" s="20">
        <v>64192000</v>
      </c>
      <c r="D790" s="20"/>
      <c r="E790" s="99"/>
      <c r="F790" s="20">
        <f t="shared" si="12"/>
        <v>230084721</v>
      </c>
      <c r="G790" s="7" t="s">
        <v>305</v>
      </c>
      <c r="H790" s="24"/>
      <c r="I790" s="32"/>
    </row>
    <row r="791" spans="1:9" x14ac:dyDescent="0.35">
      <c r="A791" s="19">
        <v>45761</v>
      </c>
      <c r="B791" s="20">
        <v>600000</v>
      </c>
      <c r="C791" s="20"/>
      <c r="D791" s="20"/>
      <c r="E791" s="99" t="s">
        <v>559</v>
      </c>
      <c r="F791" s="20">
        <f t="shared" si="12"/>
        <v>229484721</v>
      </c>
      <c r="G791" s="7" t="s">
        <v>532</v>
      </c>
      <c r="H791" s="24" t="s">
        <v>322</v>
      </c>
      <c r="I791" s="32" t="s">
        <v>152</v>
      </c>
    </row>
    <row r="792" spans="1:9" x14ac:dyDescent="0.35">
      <c r="A792" s="19">
        <v>45761</v>
      </c>
      <c r="B792" s="20">
        <v>2900</v>
      </c>
      <c r="C792" s="20"/>
      <c r="D792" s="20"/>
      <c r="E792" s="99" t="s">
        <v>559</v>
      </c>
      <c r="F792" s="20">
        <f t="shared" si="12"/>
        <v>229481821</v>
      </c>
      <c r="G792" s="7" t="s">
        <v>533</v>
      </c>
      <c r="H792" s="24" t="s">
        <v>322</v>
      </c>
      <c r="I792" s="32" t="s">
        <v>152</v>
      </c>
    </row>
    <row r="793" spans="1:9" x14ac:dyDescent="0.35">
      <c r="A793" s="19">
        <v>45762</v>
      </c>
      <c r="B793" s="20"/>
      <c r="C793" s="20"/>
      <c r="D793" s="20">
        <v>50000</v>
      </c>
      <c r="E793" s="99" t="s">
        <v>559</v>
      </c>
      <c r="F793" s="20">
        <f t="shared" si="12"/>
        <v>229531821</v>
      </c>
      <c r="G793" s="7" t="s">
        <v>330</v>
      </c>
      <c r="H793" s="24" t="s">
        <v>109</v>
      </c>
      <c r="I793" s="32" t="s">
        <v>152</v>
      </c>
    </row>
    <row r="794" spans="1:9" x14ac:dyDescent="0.35">
      <c r="A794" s="19">
        <v>45762</v>
      </c>
      <c r="B794" s="20"/>
      <c r="C794" s="20"/>
      <c r="D794" s="20">
        <v>10000</v>
      </c>
      <c r="E794" s="99" t="s">
        <v>559</v>
      </c>
      <c r="F794" s="20">
        <f t="shared" si="12"/>
        <v>229541821</v>
      </c>
      <c r="G794" s="7" t="s">
        <v>330</v>
      </c>
      <c r="H794" s="24" t="s">
        <v>109</v>
      </c>
      <c r="I794" s="32" t="s">
        <v>152</v>
      </c>
    </row>
    <row r="795" spans="1:9" x14ac:dyDescent="0.35">
      <c r="A795" s="19">
        <v>45762</v>
      </c>
      <c r="B795" s="20"/>
      <c r="C795" s="20"/>
      <c r="D795" s="20">
        <v>500000</v>
      </c>
      <c r="E795" s="99" t="s">
        <v>559</v>
      </c>
      <c r="F795" s="20">
        <f t="shared" si="12"/>
        <v>230041821</v>
      </c>
      <c r="G795" s="7" t="s">
        <v>534</v>
      </c>
      <c r="H795" s="24" t="s">
        <v>109</v>
      </c>
      <c r="I795" s="32" t="s">
        <v>152</v>
      </c>
    </row>
    <row r="796" spans="1:9" x14ac:dyDescent="0.35">
      <c r="A796" s="19">
        <v>45762</v>
      </c>
      <c r="B796" s="20">
        <v>850000</v>
      </c>
      <c r="C796" s="20"/>
      <c r="D796" s="20"/>
      <c r="E796" s="99" t="s">
        <v>559</v>
      </c>
      <c r="F796" s="20">
        <f t="shared" si="12"/>
        <v>229191821</v>
      </c>
      <c r="G796" s="7" t="s">
        <v>532</v>
      </c>
      <c r="H796" s="24" t="s">
        <v>322</v>
      </c>
      <c r="I796" s="32" t="s">
        <v>152</v>
      </c>
    </row>
    <row r="797" spans="1:9" x14ac:dyDescent="0.35">
      <c r="A797" s="19">
        <v>45762</v>
      </c>
      <c r="B797" s="20">
        <v>2900</v>
      </c>
      <c r="C797" s="20"/>
      <c r="D797" s="20"/>
      <c r="E797" s="99" t="s">
        <v>559</v>
      </c>
      <c r="F797" s="20">
        <f t="shared" si="12"/>
        <v>229188921</v>
      </c>
      <c r="G797" s="7" t="s">
        <v>533</v>
      </c>
      <c r="H797" s="24" t="s">
        <v>322</v>
      </c>
      <c r="I797" s="32" t="s">
        <v>152</v>
      </c>
    </row>
    <row r="798" spans="1:9" x14ac:dyDescent="0.35">
      <c r="A798" s="19">
        <v>45763</v>
      </c>
      <c r="B798" s="20"/>
      <c r="C798" s="20"/>
      <c r="D798" s="20">
        <v>50000</v>
      </c>
      <c r="E798" s="99" t="s">
        <v>559</v>
      </c>
      <c r="F798" s="20">
        <f t="shared" si="12"/>
        <v>229238921</v>
      </c>
      <c r="G798" s="7" t="s">
        <v>330</v>
      </c>
      <c r="H798" s="24" t="s">
        <v>109</v>
      </c>
      <c r="I798" s="32" t="s">
        <v>152</v>
      </c>
    </row>
    <row r="799" spans="1:9" x14ac:dyDescent="0.35">
      <c r="A799" s="19">
        <v>45763</v>
      </c>
      <c r="B799" s="20"/>
      <c r="C799" s="20"/>
      <c r="D799" s="20">
        <v>100000</v>
      </c>
      <c r="E799" s="99" t="s">
        <v>559</v>
      </c>
      <c r="F799" s="20">
        <f t="shared" si="12"/>
        <v>229338921</v>
      </c>
      <c r="G799" s="7" t="s">
        <v>330</v>
      </c>
      <c r="H799" s="24" t="s">
        <v>109</v>
      </c>
      <c r="I799" s="32" t="s">
        <v>152</v>
      </c>
    </row>
    <row r="800" spans="1:9" x14ac:dyDescent="0.35">
      <c r="A800" s="19">
        <v>45763</v>
      </c>
      <c r="B800" s="20"/>
      <c r="C800" s="20"/>
      <c r="D800" s="20">
        <v>10000</v>
      </c>
      <c r="E800" s="99" t="s">
        <v>559</v>
      </c>
      <c r="F800" s="20">
        <f t="shared" si="12"/>
        <v>229348921</v>
      </c>
      <c r="G800" s="7" t="s">
        <v>330</v>
      </c>
      <c r="H800" s="24" t="s">
        <v>109</v>
      </c>
      <c r="I800" s="32" t="s">
        <v>152</v>
      </c>
    </row>
    <row r="801" spans="1:9" x14ac:dyDescent="0.35">
      <c r="A801" s="19">
        <v>45764</v>
      </c>
      <c r="B801" s="20"/>
      <c r="C801" s="20"/>
      <c r="D801" s="20">
        <v>10000</v>
      </c>
      <c r="E801" s="99" t="s">
        <v>559</v>
      </c>
      <c r="F801" s="20">
        <f t="shared" si="12"/>
        <v>229358921</v>
      </c>
      <c r="G801" s="7" t="s">
        <v>330</v>
      </c>
      <c r="H801" s="24" t="s">
        <v>109</v>
      </c>
      <c r="I801" s="32" t="s">
        <v>152</v>
      </c>
    </row>
    <row r="802" spans="1:9" x14ac:dyDescent="0.35">
      <c r="A802" s="19">
        <v>45764</v>
      </c>
      <c r="B802" s="20">
        <v>7705000</v>
      </c>
      <c r="C802" s="20"/>
      <c r="D802" s="20"/>
      <c r="E802" s="99" t="s">
        <v>559</v>
      </c>
      <c r="F802" s="20">
        <f t="shared" si="12"/>
        <v>221653921</v>
      </c>
      <c r="G802" s="7" t="s">
        <v>535</v>
      </c>
      <c r="H802" s="24" t="s">
        <v>322</v>
      </c>
      <c r="I802" s="32" t="s">
        <v>152</v>
      </c>
    </row>
    <row r="803" spans="1:9" x14ac:dyDescent="0.35">
      <c r="A803" s="19">
        <v>45764</v>
      </c>
      <c r="B803" s="20">
        <v>6500</v>
      </c>
      <c r="C803" s="20"/>
      <c r="D803" s="20"/>
      <c r="E803" s="99" t="s">
        <v>559</v>
      </c>
      <c r="F803" s="20">
        <f t="shared" si="12"/>
        <v>221647421</v>
      </c>
      <c r="G803" s="7" t="s">
        <v>536</v>
      </c>
      <c r="H803" s="24" t="s">
        <v>322</v>
      </c>
      <c r="I803" s="32" t="s">
        <v>152</v>
      </c>
    </row>
    <row r="804" spans="1:9" x14ac:dyDescent="0.35">
      <c r="A804" s="19">
        <v>45765</v>
      </c>
      <c r="B804" s="20"/>
      <c r="C804" s="20"/>
      <c r="D804" s="20">
        <v>50000</v>
      </c>
      <c r="E804" s="99" t="s">
        <v>559</v>
      </c>
      <c r="F804" s="20">
        <f t="shared" si="12"/>
        <v>221697421</v>
      </c>
      <c r="G804" s="7" t="s">
        <v>330</v>
      </c>
      <c r="H804" s="24" t="s">
        <v>109</v>
      </c>
      <c r="I804" s="32" t="s">
        <v>152</v>
      </c>
    </row>
    <row r="805" spans="1:9" x14ac:dyDescent="0.35">
      <c r="A805" s="19">
        <v>45765</v>
      </c>
      <c r="B805" s="20"/>
      <c r="C805" s="20"/>
      <c r="D805" s="20">
        <v>10000</v>
      </c>
      <c r="E805" s="99" t="s">
        <v>559</v>
      </c>
      <c r="F805" s="20">
        <f t="shared" si="12"/>
        <v>221707421</v>
      </c>
      <c r="G805" s="7" t="s">
        <v>330</v>
      </c>
      <c r="H805" s="24" t="s">
        <v>109</v>
      </c>
      <c r="I805" s="32" t="s">
        <v>152</v>
      </c>
    </row>
    <row r="806" spans="1:9" x14ac:dyDescent="0.35">
      <c r="A806" s="19">
        <v>45766</v>
      </c>
      <c r="B806" s="20"/>
      <c r="C806" s="20"/>
      <c r="D806" s="20">
        <v>50000</v>
      </c>
      <c r="E806" s="99" t="s">
        <v>559</v>
      </c>
      <c r="F806" s="20">
        <f t="shared" si="12"/>
        <v>221757421</v>
      </c>
      <c r="G806" s="7" t="s">
        <v>330</v>
      </c>
      <c r="H806" s="24" t="s">
        <v>109</v>
      </c>
      <c r="I806" s="32" t="s">
        <v>152</v>
      </c>
    </row>
    <row r="807" spans="1:9" x14ac:dyDescent="0.35">
      <c r="A807" s="19">
        <v>45766</v>
      </c>
      <c r="B807" s="20"/>
      <c r="C807" s="20"/>
      <c r="D807" s="20">
        <v>200000</v>
      </c>
      <c r="E807" s="99" t="s">
        <v>559</v>
      </c>
      <c r="F807" s="20">
        <f t="shared" si="12"/>
        <v>221957421</v>
      </c>
      <c r="G807" s="7" t="s">
        <v>330</v>
      </c>
      <c r="H807" s="24" t="s">
        <v>109</v>
      </c>
      <c r="I807" s="32" t="s">
        <v>152</v>
      </c>
    </row>
    <row r="808" spans="1:9" x14ac:dyDescent="0.35">
      <c r="A808" s="19">
        <v>45766</v>
      </c>
      <c r="B808" s="20"/>
      <c r="C808" s="20"/>
      <c r="D808" s="20">
        <v>8000</v>
      </c>
      <c r="E808" s="99" t="s">
        <v>559</v>
      </c>
      <c r="F808" s="20">
        <f t="shared" si="12"/>
        <v>221965421</v>
      </c>
      <c r="G808" s="7" t="s">
        <v>330</v>
      </c>
      <c r="H808" s="24" t="s">
        <v>109</v>
      </c>
      <c r="I808" s="32" t="s">
        <v>152</v>
      </c>
    </row>
    <row r="809" spans="1:9" x14ac:dyDescent="0.35">
      <c r="A809" s="19">
        <v>45766</v>
      </c>
      <c r="B809" s="20"/>
      <c r="C809" s="20"/>
      <c r="D809" s="20">
        <v>25000</v>
      </c>
      <c r="E809" s="99" t="s">
        <v>559</v>
      </c>
      <c r="F809" s="20">
        <f t="shared" si="12"/>
        <v>221990421</v>
      </c>
      <c r="G809" s="7" t="s">
        <v>330</v>
      </c>
      <c r="H809" s="24" t="s">
        <v>109</v>
      </c>
      <c r="I809" s="32" t="s">
        <v>152</v>
      </c>
    </row>
    <row r="810" spans="1:9" x14ac:dyDescent="0.35">
      <c r="A810" s="19">
        <v>45766</v>
      </c>
      <c r="B810" s="20"/>
      <c r="C810" s="20"/>
      <c r="D810" s="20">
        <v>100000</v>
      </c>
      <c r="E810" s="99" t="s">
        <v>559</v>
      </c>
      <c r="F810" s="20">
        <f t="shared" si="12"/>
        <v>222090421</v>
      </c>
      <c r="G810" s="7" t="s">
        <v>330</v>
      </c>
      <c r="H810" s="24" t="s">
        <v>109</v>
      </c>
      <c r="I810" s="32" t="s">
        <v>152</v>
      </c>
    </row>
    <row r="811" spans="1:9" x14ac:dyDescent="0.35">
      <c r="A811" s="19">
        <v>45766</v>
      </c>
      <c r="B811" s="20"/>
      <c r="C811" s="20"/>
      <c r="D811" s="20">
        <v>50000</v>
      </c>
      <c r="E811" s="99" t="s">
        <v>559</v>
      </c>
      <c r="F811" s="20">
        <f t="shared" si="12"/>
        <v>222140421</v>
      </c>
      <c r="G811" s="7" t="s">
        <v>330</v>
      </c>
      <c r="H811" s="24" t="s">
        <v>109</v>
      </c>
      <c r="I811" s="32" t="s">
        <v>152</v>
      </c>
    </row>
    <row r="812" spans="1:9" x14ac:dyDescent="0.35">
      <c r="A812" s="19">
        <v>45766</v>
      </c>
      <c r="B812" s="20"/>
      <c r="C812" s="20"/>
      <c r="D812" s="20">
        <v>75000</v>
      </c>
      <c r="E812" s="99" t="s">
        <v>559</v>
      </c>
      <c r="F812" s="20">
        <f t="shared" si="12"/>
        <v>222215421</v>
      </c>
      <c r="G812" s="7" t="s">
        <v>330</v>
      </c>
      <c r="H812" s="24" t="s">
        <v>109</v>
      </c>
      <c r="I812" s="32" t="s">
        <v>152</v>
      </c>
    </row>
    <row r="813" spans="1:9" x14ac:dyDescent="0.35">
      <c r="A813" s="19">
        <v>45766</v>
      </c>
      <c r="B813" s="20"/>
      <c r="C813" s="20"/>
      <c r="D813" s="20">
        <v>20000</v>
      </c>
      <c r="E813" s="99" t="s">
        <v>559</v>
      </c>
      <c r="F813" s="20">
        <f t="shared" si="12"/>
        <v>222235421</v>
      </c>
      <c r="G813" s="7" t="s">
        <v>330</v>
      </c>
      <c r="H813" s="24" t="s">
        <v>109</v>
      </c>
      <c r="I813" s="32" t="s">
        <v>152</v>
      </c>
    </row>
    <row r="814" spans="1:9" x14ac:dyDescent="0.35">
      <c r="A814" s="19">
        <v>45766</v>
      </c>
      <c r="B814" s="20">
        <v>5657000</v>
      </c>
      <c r="C814" s="20"/>
      <c r="D814" s="20"/>
      <c r="E814" s="99" t="s">
        <v>559</v>
      </c>
      <c r="F814" s="20">
        <f t="shared" si="12"/>
        <v>216578421</v>
      </c>
      <c r="G814" s="7" t="s">
        <v>545</v>
      </c>
      <c r="H814" s="24" t="s">
        <v>322</v>
      </c>
      <c r="I814" s="32" t="s">
        <v>152</v>
      </c>
    </row>
    <row r="815" spans="1:9" x14ac:dyDescent="0.35">
      <c r="A815" s="19">
        <v>45766</v>
      </c>
      <c r="B815" s="20">
        <v>6500</v>
      </c>
      <c r="C815" s="20"/>
      <c r="D815" s="20"/>
      <c r="E815" s="99" t="s">
        <v>559</v>
      </c>
      <c r="F815" s="20">
        <f t="shared" si="12"/>
        <v>216571921</v>
      </c>
      <c r="G815" s="7" t="s">
        <v>546</v>
      </c>
      <c r="H815" s="24" t="s">
        <v>322</v>
      </c>
      <c r="I815" s="32" t="s">
        <v>152</v>
      </c>
    </row>
    <row r="816" spans="1:9" x14ac:dyDescent="0.35">
      <c r="A816" s="19">
        <v>45767</v>
      </c>
      <c r="B816" s="20">
        <v>750000</v>
      </c>
      <c r="C816" s="20"/>
      <c r="D816" s="20"/>
      <c r="E816" s="99" t="s">
        <v>559</v>
      </c>
      <c r="F816" s="20">
        <f t="shared" si="12"/>
        <v>215821921</v>
      </c>
      <c r="G816" s="7" t="s">
        <v>547</v>
      </c>
      <c r="H816" s="24" t="s">
        <v>323</v>
      </c>
      <c r="I816" s="32" t="s">
        <v>152</v>
      </c>
    </row>
    <row r="817" spans="1:9" x14ac:dyDescent="0.35">
      <c r="A817" s="19">
        <v>45767</v>
      </c>
      <c r="B817" s="20">
        <v>6500</v>
      </c>
      <c r="C817" s="20"/>
      <c r="D817" s="20"/>
      <c r="E817" s="99" t="s">
        <v>559</v>
      </c>
      <c r="F817" s="20">
        <f t="shared" si="12"/>
        <v>215815421</v>
      </c>
      <c r="G817" s="7" t="s">
        <v>548</v>
      </c>
      <c r="H817" s="24" t="s">
        <v>323</v>
      </c>
      <c r="I817" s="32" t="s">
        <v>152</v>
      </c>
    </row>
    <row r="818" spans="1:9" x14ac:dyDescent="0.35">
      <c r="A818" s="19">
        <v>45767</v>
      </c>
      <c r="B818" s="20"/>
      <c r="C818" s="20"/>
      <c r="D818" s="20">
        <v>50000</v>
      </c>
      <c r="E818" s="99" t="s">
        <v>559</v>
      </c>
      <c r="F818" s="20">
        <f t="shared" si="12"/>
        <v>215865421</v>
      </c>
      <c r="G818" s="7" t="s">
        <v>330</v>
      </c>
      <c r="H818" s="24" t="s">
        <v>109</v>
      </c>
      <c r="I818" s="32" t="s">
        <v>152</v>
      </c>
    </row>
    <row r="819" spans="1:9" x14ac:dyDescent="0.35">
      <c r="A819" s="19">
        <v>45767</v>
      </c>
      <c r="B819" s="20"/>
      <c r="C819" s="20"/>
      <c r="D819" s="20">
        <v>50000</v>
      </c>
      <c r="E819" s="99" t="s">
        <v>559</v>
      </c>
      <c r="F819" s="20">
        <f t="shared" si="12"/>
        <v>215915421</v>
      </c>
      <c r="G819" s="7" t="s">
        <v>330</v>
      </c>
      <c r="H819" s="24" t="s">
        <v>109</v>
      </c>
      <c r="I819" s="32" t="s">
        <v>152</v>
      </c>
    </row>
    <row r="820" spans="1:9" x14ac:dyDescent="0.35">
      <c r="A820" s="19">
        <v>45768</v>
      </c>
      <c r="B820" s="20"/>
      <c r="C820" s="20"/>
      <c r="D820" s="20">
        <v>10000</v>
      </c>
      <c r="E820" s="99" t="s">
        <v>559</v>
      </c>
      <c r="F820" s="20">
        <f t="shared" si="12"/>
        <v>215925421</v>
      </c>
      <c r="G820" s="7" t="s">
        <v>330</v>
      </c>
      <c r="H820" s="24" t="s">
        <v>109</v>
      </c>
      <c r="I820" s="32" t="s">
        <v>152</v>
      </c>
    </row>
    <row r="821" spans="1:9" x14ac:dyDescent="0.35">
      <c r="A821" s="19">
        <v>45768</v>
      </c>
      <c r="B821" s="20"/>
      <c r="C821" s="20"/>
      <c r="D821" s="20">
        <v>5000</v>
      </c>
      <c r="E821" s="99" t="s">
        <v>559</v>
      </c>
      <c r="F821" s="20">
        <f t="shared" si="12"/>
        <v>215930421</v>
      </c>
      <c r="G821" s="7" t="s">
        <v>330</v>
      </c>
      <c r="H821" s="24" t="s">
        <v>109</v>
      </c>
      <c r="I821" s="32" t="s">
        <v>152</v>
      </c>
    </row>
    <row r="822" spans="1:9" x14ac:dyDescent="0.35">
      <c r="A822" s="19">
        <v>45768</v>
      </c>
      <c r="B822" s="20"/>
      <c r="C822" s="20"/>
      <c r="D822" s="20">
        <v>25000</v>
      </c>
      <c r="E822" s="99" t="s">
        <v>559</v>
      </c>
      <c r="F822" s="20">
        <f t="shared" si="12"/>
        <v>215955421</v>
      </c>
      <c r="G822" s="7" t="s">
        <v>330</v>
      </c>
      <c r="H822" s="24" t="s">
        <v>109</v>
      </c>
      <c r="I822" s="32" t="s">
        <v>152</v>
      </c>
    </row>
    <row r="823" spans="1:9" x14ac:dyDescent="0.35">
      <c r="A823" s="19">
        <v>45768</v>
      </c>
      <c r="B823" s="20"/>
      <c r="C823" s="20"/>
      <c r="D823" s="20">
        <v>5000</v>
      </c>
      <c r="E823" s="99" t="s">
        <v>559</v>
      </c>
      <c r="F823" s="20">
        <f t="shared" si="12"/>
        <v>215960421</v>
      </c>
      <c r="G823" s="7" t="s">
        <v>330</v>
      </c>
      <c r="H823" s="24" t="s">
        <v>109</v>
      </c>
      <c r="I823" s="32" t="s">
        <v>152</v>
      </c>
    </row>
    <row r="824" spans="1:9" x14ac:dyDescent="0.35">
      <c r="A824" s="19">
        <v>45769</v>
      </c>
      <c r="B824" s="20"/>
      <c r="C824" s="20"/>
      <c r="D824" s="20">
        <v>10000</v>
      </c>
      <c r="E824" s="99" t="s">
        <v>559</v>
      </c>
      <c r="F824" s="20">
        <f t="shared" si="12"/>
        <v>215970421</v>
      </c>
      <c r="G824" s="7" t="s">
        <v>330</v>
      </c>
      <c r="H824" s="24" t="s">
        <v>109</v>
      </c>
      <c r="I824" s="32" t="s">
        <v>152</v>
      </c>
    </row>
    <row r="825" spans="1:9" x14ac:dyDescent="0.35">
      <c r="A825" s="19">
        <v>45769</v>
      </c>
      <c r="B825" s="20"/>
      <c r="C825" s="20"/>
      <c r="D825" s="41">
        <v>4358000</v>
      </c>
      <c r="E825" s="99" t="s">
        <v>559</v>
      </c>
      <c r="F825" s="20">
        <f t="shared" si="12"/>
        <v>220328421</v>
      </c>
      <c r="G825" s="24" t="s">
        <v>107</v>
      </c>
      <c r="H825" s="24" t="s">
        <v>107</v>
      </c>
      <c r="I825" s="32" t="s">
        <v>152</v>
      </c>
    </row>
    <row r="826" spans="1:9" x14ac:dyDescent="0.35">
      <c r="A826" s="19">
        <v>45769</v>
      </c>
      <c r="B826" s="20"/>
      <c r="C826" s="20"/>
      <c r="D826" s="41">
        <v>2722000</v>
      </c>
      <c r="E826" s="99" t="s">
        <v>559</v>
      </c>
      <c r="F826" s="20">
        <f t="shared" si="12"/>
        <v>223050421</v>
      </c>
      <c r="G826" s="24" t="s">
        <v>109</v>
      </c>
      <c r="H826" s="24" t="s">
        <v>109</v>
      </c>
      <c r="I826" s="32" t="s">
        <v>152</v>
      </c>
    </row>
    <row r="827" spans="1:9" x14ac:dyDescent="0.35">
      <c r="A827" s="19"/>
      <c r="B827" s="20"/>
      <c r="C827" s="20">
        <v>7080000</v>
      </c>
      <c r="D827" s="20"/>
      <c r="E827" s="99"/>
      <c r="F827" s="20">
        <f t="shared" si="12"/>
        <v>223050421</v>
      </c>
      <c r="G827" s="7" t="s">
        <v>552</v>
      </c>
      <c r="H827" s="24"/>
      <c r="I827" s="32"/>
    </row>
    <row r="828" spans="1:9" x14ac:dyDescent="0.35">
      <c r="A828" s="19">
        <v>45769</v>
      </c>
      <c r="B828" s="20">
        <v>7000</v>
      </c>
      <c r="C828" s="20"/>
      <c r="D828" s="20"/>
      <c r="E828" s="99" t="s">
        <v>559</v>
      </c>
      <c r="F828" s="20">
        <f t="shared" si="12"/>
        <v>223043421</v>
      </c>
      <c r="G828" s="7" t="s">
        <v>549</v>
      </c>
      <c r="H828" s="24" t="s">
        <v>320</v>
      </c>
      <c r="I828" s="32" t="s">
        <v>152</v>
      </c>
    </row>
    <row r="829" spans="1:9" x14ac:dyDescent="0.35">
      <c r="A829" s="19">
        <v>45771</v>
      </c>
      <c r="B829" s="20"/>
      <c r="C829" s="20"/>
      <c r="D829" s="20">
        <v>10000</v>
      </c>
      <c r="E829" s="99" t="s">
        <v>559</v>
      </c>
      <c r="F829" s="20">
        <f t="shared" si="12"/>
        <v>223053421</v>
      </c>
      <c r="G829" s="7" t="s">
        <v>330</v>
      </c>
      <c r="H829" s="24" t="s">
        <v>109</v>
      </c>
      <c r="I829" s="32" t="s">
        <v>152</v>
      </c>
    </row>
    <row r="830" spans="1:9" x14ac:dyDescent="0.35">
      <c r="A830" s="19">
        <v>45771</v>
      </c>
      <c r="B830" s="20">
        <v>2000000</v>
      </c>
      <c r="C830" s="20"/>
      <c r="D830" s="20"/>
      <c r="E830" s="99" t="s">
        <v>559</v>
      </c>
      <c r="F830" s="20">
        <f t="shared" si="12"/>
        <v>221053421</v>
      </c>
      <c r="G830" s="7" t="s">
        <v>550</v>
      </c>
      <c r="H830" s="24" t="s">
        <v>200</v>
      </c>
      <c r="I830" s="32" t="s">
        <v>152</v>
      </c>
    </row>
    <row r="831" spans="1:9" x14ac:dyDescent="0.35">
      <c r="A831" s="19">
        <v>45771</v>
      </c>
      <c r="B831" s="20">
        <v>2900</v>
      </c>
      <c r="C831" s="20"/>
      <c r="D831" s="20"/>
      <c r="E831" s="99" t="s">
        <v>559</v>
      </c>
      <c r="F831" s="20">
        <f t="shared" si="12"/>
        <v>221050521</v>
      </c>
      <c r="G831" s="7" t="s">
        <v>551</v>
      </c>
      <c r="H831" s="24" t="s">
        <v>200</v>
      </c>
      <c r="I831" s="32" t="s">
        <v>152</v>
      </c>
    </row>
    <row r="832" spans="1:9" x14ac:dyDescent="0.35">
      <c r="A832" s="19">
        <v>45772</v>
      </c>
      <c r="B832" s="20"/>
      <c r="C832" s="20"/>
      <c r="D832" s="20">
        <v>10000</v>
      </c>
      <c r="E832" s="99" t="s">
        <v>559</v>
      </c>
      <c r="F832" s="20">
        <f t="shared" si="12"/>
        <v>221060521</v>
      </c>
      <c r="G832" s="7" t="s">
        <v>330</v>
      </c>
      <c r="H832" s="24" t="s">
        <v>109</v>
      </c>
      <c r="I832" s="32" t="s">
        <v>152</v>
      </c>
    </row>
    <row r="833" spans="1:9" x14ac:dyDescent="0.35">
      <c r="A833" s="19">
        <v>45772</v>
      </c>
      <c r="B833" s="20"/>
      <c r="C833" s="20"/>
      <c r="D833" s="20">
        <v>10000</v>
      </c>
      <c r="E833" s="99" t="s">
        <v>559</v>
      </c>
      <c r="F833" s="20">
        <f t="shared" si="12"/>
        <v>221070521</v>
      </c>
      <c r="G833" s="7" t="s">
        <v>330</v>
      </c>
      <c r="H833" s="24" t="s">
        <v>109</v>
      </c>
      <c r="I833" s="32" t="s">
        <v>152</v>
      </c>
    </row>
    <row r="834" spans="1:9" x14ac:dyDescent="0.35">
      <c r="A834" s="19">
        <v>45772</v>
      </c>
      <c r="B834" s="20"/>
      <c r="C834" s="20"/>
      <c r="D834" s="20">
        <v>200000</v>
      </c>
      <c r="E834" s="99" t="s">
        <v>559</v>
      </c>
      <c r="F834" s="20">
        <f t="shared" si="12"/>
        <v>221270521</v>
      </c>
      <c r="G834" s="7" t="s">
        <v>306</v>
      </c>
      <c r="H834" s="24" t="s">
        <v>140</v>
      </c>
      <c r="I834" s="32" t="s">
        <v>152</v>
      </c>
    </row>
    <row r="835" spans="1:9" x14ac:dyDescent="0.35">
      <c r="A835" s="19">
        <v>45772</v>
      </c>
      <c r="B835" s="20"/>
      <c r="C835" s="20"/>
      <c r="D835" s="20">
        <v>1000000</v>
      </c>
      <c r="E835" s="99" t="s">
        <v>559</v>
      </c>
      <c r="F835" s="20">
        <f t="shared" si="12"/>
        <v>222270521</v>
      </c>
      <c r="G835" s="7" t="s">
        <v>561</v>
      </c>
      <c r="H835" s="24" t="s">
        <v>109</v>
      </c>
      <c r="I835" s="32" t="s">
        <v>152</v>
      </c>
    </row>
    <row r="836" spans="1:9" x14ac:dyDescent="0.35">
      <c r="A836" s="19">
        <v>45773</v>
      </c>
      <c r="B836" s="20">
        <v>750000</v>
      </c>
      <c r="C836" s="20"/>
      <c r="D836" s="20"/>
      <c r="E836" s="99" t="s">
        <v>559</v>
      </c>
      <c r="F836" s="20">
        <f t="shared" si="12"/>
        <v>221520521</v>
      </c>
      <c r="G836" s="7" t="s">
        <v>562</v>
      </c>
      <c r="H836" s="24" t="s">
        <v>323</v>
      </c>
      <c r="I836" s="32" t="s">
        <v>152</v>
      </c>
    </row>
    <row r="837" spans="1:9" x14ac:dyDescent="0.35">
      <c r="A837" s="19">
        <v>45773</v>
      </c>
      <c r="B837" s="20">
        <v>6500</v>
      </c>
      <c r="C837" s="20"/>
      <c r="D837" s="20"/>
      <c r="E837" s="99" t="s">
        <v>559</v>
      </c>
      <c r="F837" s="20">
        <f t="shared" si="12"/>
        <v>221514021</v>
      </c>
      <c r="G837" s="7" t="s">
        <v>563</v>
      </c>
      <c r="H837" s="24" t="s">
        <v>323</v>
      </c>
      <c r="I837" s="32" t="s">
        <v>152</v>
      </c>
    </row>
    <row r="838" spans="1:9" x14ac:dyDescent="0.35">
      <c r="A838" s="19">
        <v>45773</v>
      </c>
      <c r="B838" s="20"/>
      <c r="C838" s="20"/>
      <c r="D838" s="20">
        <v>10000</v>
      </c>
      <c r="E838" s="99" t="s">
        <v>559</v>
      </c>
      <c r="F838" s="20">
        <f t="shared" si="12"/>
        <v>221524021</v>
      </c>
      <c r="G838" s="7" t="s">
        <v>330</v>
      </c>
      <c r="H838" s="24" t="s">
        <v>109</v>
      </c>
      <c r="I838" s="32" t="s">
        <v>152</v>
      </c>
    </row>
    <row r="839" spans="1:9" x14ac:dyDescent="0.35">
      <c r="A839" s="19">
        <v>45773</v>
      </c>
      <c r="B839" s="20"/>
      <c r="C839" s="20"/>
      <c r="D839" s="20">
        <v>5000</v>
      </c>
      <c r="E839" s="99" t="s">
        <v>559</v>
      </c>
      <c r="F839" s="20">
        <f t="shared" si="12"/>
        <v>221529021</v>
      </c>
      <c r="G839" s="7" t="s">
        <v>330</v>
      </c>
      <c r="H839" s="24" t="s">
        <v>109</v>
      </c>
      <c r="I839" s="32" t="s">
        <v>152</v>
      </c>
    </row>
    <row r="840" spans="1:9" x14ac:dyDescent="0.35">
      <c r="A840" s="19">
        <v>45773</v>
      </c>
      <c r="B840" s="20"/>
      <c r="C840" s="20"/>
      <c r="D840" s="20">
        <v>10000</v>
      </c>
      <c r="E840" s="99" t="s">
        <v>559</v>
      </c>
      <c r="F840" s="20">
        <f t="shared" si="12"/>
        <v>221539021</v>
      </c>
      <c r="G840" s="7" t="s">
        <v>330</v>
      </c>
      <c r="H840" s="24" t="s">
        <v>109</v>
      </c>
      <c r="I840" s="32" t="s">
        <v>152</v>
      </c>
    </row>
    <row r="841" spans="1:9" x14ac:dyDescent="0.35">
      <c r="A841" s="19">
        <v>45773</v>
      </c>
      <c r="B841" s="20"/>
      <c r="C841" s="20"/>
      <c r="D841" s="20">
        <v>100000</v>
      </c>
      <c r="E841" s="99" t="s">
        <v>559</v>
      </c>
      <c r="F841" s="20">
        <f t="shared" si="12"/>
        <v>221639021</v>
      </c>
      <c r="G841" s="7" t="s">
        <v>424</v>
      </c>
      <c r="H841" s="24" t="s">
        <v>109</v>
      </c>
      <c r="I841" s="32" t="s">
        <v>152</v>
      </c>
    </row>
    <row r="842" spans="1:9" x14ac:dyDescent="0.35">
      <c r="A842" s="19">
        <v>45774</v>
      </c>
      <c r="B842" s="20"/>
      <c r="C842" s="20"/>
      <c r="D842" s="20">
        <v>10000</v>
      </c>
      <c r="E842" s="99" t="s">
        <v>559</v>
      </c>
      <c r="F842" s="20">
        <f t="shared" ref="F842:F905" si="13">+F841+D842-B842</f>
        <v>221649021</v>
      </c>
      <c r="G842" s="7" t="s">
        <v>330</v>
      </c>
      <c r="H842" s="24" t="s">
        <v>109</v>
      </c>
      <c r="I842" s="32" t="s">
        <v>152</v>
      </c>
    </row>
    <row r="843" spans="1:9" x14ac:dyDescent="0.35">
      <c r="A843" s="19">
        <v>45775</v>
      </c>
      <c r="B843" s="20"/>
      <c r="C843" s="20"/>
      <c r="D843" s="20">
        <v>10000</v>
      </c>
      <c r="E843" s="99" t="s">
        <v>559</v>
      </c>
      <c r="F843" s="20">
        <f t="shared" si="13"/>
        <v>221659021</v>
      </c>
      <c r="G843" s="7" t="s">
        <v>330</v>
      </c>
      <c r="H843" s="24" t="s">
        <v>109</v>
      </c>
      <c r="I843" s="32" t="s">
        <v>152</v>
      </c>
    </row>
    <row r="844" spans="1:9" x14ac:dyDescent="0.35">
      <c r="A844" s="19">
        <v>45775</v>
      </c>
      <c r="B844" s="20"/>
      <c r="C844" s="20"/>
      <c r="D844" s="20">
        <v>25000</v>
      </c>
      <c r="E844" s="99" t="s">
        <v>559</v>
      </c>
      <c r="F844" s="20">
        <f t="shared" si="13"/>
        <v>221684021</v>
      </c>
      <c r="G844" s="7" t="s">
        <v>330</v>
      </c>
      <c r="H844" s="24" t="s">
        <v>109</v>
      </c>
      <c r="I844" s="32" t="s">
        <v>152</v>
      </c>
    </row>
    <row r="845" spans="1:9" x14ac:dyDescent="0.35">
      <c r="A845" s="19">
        <v>45775</v>
      </c>
      <c r="B845" s="20">
        <v>1500000</v>
      </c>
      <c r="C845" s="20"/>
      <c r="D845" s="20"/>
      <c r="E845" s="99" t="s">
        <v>559</v>
      </c>
      <c r="F845" s="20">
        <f t="shared" si="13"/>
        <v>220184021</v>
      </c>
      <c r="G845" s="7" t="s">
        <v>564</v>
      </c>
      <c r="H845" s="24" t="s">
        <v>325</v>
      </c>
      <c r="I845" s="32" t="s">
        <v>152</v>
      </c>
    </row>
    <row r="846" spans="1:9" x14ac:dyDescent="0.35">
      <c r="A846" s="19">
        <v>45775</v>
      </c>
      <c r="B846" s="20">
        <v>6500</v>
      </c>
      <c r="C846" s="20"/>
      <c r="D846" s="20"/>
      <c r="E846" s="99" t="s">
        <v>559</v>
      </c>
      <c r="F846" s="20">
        <f t="shared" si="13"/>
        <v>220177521</v>
      </c>
      <c r="G846" s="7" t="s">
        <v>565</v>
      </c>
      <c r="H846" s="24" t="s">
        <v>325</v>
      </c>
      <c r="I846" s="32" t="s">
        <v>152</v>
      </c>
    </row>
    <row r="847" spans="1:9" x14ac:dyDescent="0.35">
      <c r="A847" s="19">
        <v>45775</v>
      </c>
      <c r="B847" s="20">
        <v>2000000</v>
      </c>
      <c r="C847" s="20"/>
      <c r="D847" s="20"/>
      <c r="E847" s="99" t="s">
        <v>559</v>
      </c>
      <c r="F847" s="20">
        <f t="shared" si="13"/>
        <v>218177521</v>
      </c>
      <c r="G847" s="7" t="s">
        <v>566</v>
      </c>
      <c r="H847" s="24" t="s">
        <v>325</v>
      </c>
      <c r="I847" s="32" t="s">
        <v>152</v>
      </c>
    </row>
    <row r="848" spans="1:9" x14ac:dyDescent="0.35">
      <c r="A848" s="19">
        <v>45775</v>
      </c>
      <c r="B848" s="20">
        <v>6500</v>
      </c>
      <c r="C848" s="20"/>
      <c r="D848" s="20"/>
      <c r="E848" s="99" t="s">
        <v>559</v>
      </c>
      <c r="F848" s="20">
        <f t="shared" si="13"/>
        <v>218171021</v>
      </c>
      <c r="G848" s="7" t="s">
        <v>567</v>
      </c>
      <c r="H848" s="24" t="s">
        <v>325</v>
      </c>
      <c r="I848" s="32" t="s">
        <v>152</v>
      </c>
    </row>
    <row r="849" spans="1:9" x14ac:dyDescent="0.35">
      <c r="A849" s="19">
        <v>45775</v>
      </c>
      <c r="B849" s="20">
        <v>2000000</v>
      </c>
      <c r="C849" s="20"/>
      <c r="D849" s="20"/>
      <c r="E849" s="99" t="s">
        <v>559</v>
      </c>
      <c r="F849" s="20">
        <f t="shared" si="13"/>
        <v>216171021</v>
      </c>
      <c r="G849" s="7" t="s">
        <v>568</v>
      </c>
      <c r="H849" s="24" t="s">
        <v>325</v>
      </c>
      <c r="I849" s="32" t="s">
        <v>152</v>
      </c>
    </row>
    <row r="850" spans="1:9" x14ac:dyDescent="0.35">
      <c r="A850" s="19">
        <v>45775</v>
      </c>
      <c r="B850" s="20">
        <v>6500</v>
      </c>
      <c r="C850" s="20"/>
      <c r="D850" s="20"/>
      <c r="E850" s="99" t="s">
        <v>559</v>
      </c>
      <c r="F850" s="20">
        <f t="shared" si="13"/>
        <v>216164521</v>
      </c>
      <c r="G850" s="7" t="s">
        <v>569</v>
      </c>
      <c r="H850" s="24" t="s">
        <v>325</v>
      </c>
      <c r="I850" s="32" t="s">
        <v>152</v>
      </c>
    </row>
    <row r="851" spans="1:9" x14ac:dyDescent="0.35">
      <c r="A851" s="19">
        <v>45775</v>
      </c>
      <c r="B851" s="20">
        <v>3250000</v>
      </c>
      <c r="C851" s="20"/>
      <c r="D851" s="20"/>
      <c r="E851" s="99" t="s">
        <v>559</v>
      </c>
      <c r="F851" s="20">
        <f t="shared" si="13"/>
        <v>212914521</v>
      </c>
      <c r="G851" s="7" t="s">
        <v>570</v>
      </c>
      <c r="H851" s="24" t="s">
        <v>325</v>
      </c>
      <c r="I851" s="32" t="s">
        <v>152</v>
      </c>
    </row>
    <row r="852" spans="1:9" x14ac:dyDescent="0.35">
      <c r="A852" s="19">
        <v>45775</v>
      </c>
      <c r="B852" s="20">
        <v>6500</v>
      </c>
      <c r="C852" s="20"/>
      <c r="D852" s="20"/>
      <c r="E852" s="99" t="s">
        <v>559</v>
      </c>
      <c r="F852" s="20">
        <f t="shared" si="13"/>
        <v>212908021</v>
      </c>
      <c r="G852" s="7" t="s">
        <v>571</v>
      </c>
      <c r="H852" s="24" t="s">
        <v>325</v>
      </c>
      <c r="I852" s="32" t="s">
        <v>152</v>
      </c>
    </row>
    <row r="853" spans="1:9" x14ac:dyDescent="0.35">
      <c r="A853" s="19">
        <v>45775</v>
      </c>
      <c r="B853" s="20">
        <v>2700000</v>
      </c>
      <c r="C853" s="20"/>
      <c r="D853" s="20"/>
      <c r="E853" s="99" t="s">
        <v>559</v>
      </c>
      <c r="F853" s="20">
        <f t="shared" si="13"/>
        <v>210208021</v>
      </c>
      <c r="G853" s="7" t="s">
        <v>572</v>
      </c>
      <c r="H853" s="24" t="s">
        <v>201</v>
      </c>
      <c r="I853" s="32" t="s">
        <v>152</v>
      </c>
    </row>
    <row r="854" spans="1:9" x14ac:dyDescent="0.35">
      <c r="A854" s="19">
        <v>45775</v>
      </c>
      <c r="B854" s="20">
        <v>6500</v>
      </c>
      <c r="C854" s="20"/>
      <c r="D854" s="20"/>
      <c r="E854" s="99" t="s">
        <v>559</v>
      </c>
      <c r="F854" s="20">
        <f t="shared" si="13"/>
        <v>210201521</v>
      </c>
      <c r="G854" s="7" t="s">
        <v>573</v>
      </c>
      <c r="H854" s="24" t="s">
        <v>201</v>
      </c>
      <c r="I854" s="32" t="s">
        <v>152</v>
      </c>
    </row>
    <row r="855" spans="1:9" x14ac:dyDescent="0.35">
      <c r="A855" s="19">
        <v>45775</v>
      </c>
      <c r="B855" s="20">
        <v>2500000</v>
      </c>
      <c r="C855" s="20"/>
      <c r="D855" s="20"/>
      <c r="E855" s="99" t="s">
        <v>559</v>
      </c>
      <c r="F855" s="20">
        <f t="shared" si="13"/>
        <v>207701521</v>
      </c>
      <c r="G855" s="7" t="s">
        <v>181</v>
      </c>
      <c r="H855" s="24" t="s">
        <v>325</v>
      </c>
      <c r="I855" s="32" t="s">
        <v>152</v>
      </c>
    </row>
    <row r="856" spans="1:9" x14ac:dyDescent="0.35">
      <c r="A856" s="19">
        <v>45775</v>
      </c>
      <c r="B856" s="20">
        <v>1000000</v>
      </c>
      <c r="C856" s="20"/>
      <c r="D856" s="20"/>
      <c r="E856" s="99" t="s">
        <v>559</v>
      </c>
      <c r="F856" s="20">
        <f t="shared" si="13"/>
        <v>206701521</v>
      </c>
      <c r="G856" s="7" t="s">
        <v>574</v>
      </c>
      <c r="H856" s="24" t="s">
        <v>323</v>
      </c>
      <c r="I856" s="32" t="s">
        <v>152</v>
      </c>
    </row>
    <row r="857" spans="1:9" x14ac:dyDescent="0.35">
      <c r="A857" s="19">
        <v>45775</v>
      </c>
      <c r="B857" s="20">
        <v>4000000</v>
      </c>
      <c r="C857" s="20"/>
      <c r="D857" s="20"/>
      <c r="E857" s="99" t="s">
        <v>559</v>
      </c>
      <c r="F857" s="20">
        <f t="shared" si="13"/>
        <v>202701521</v>
      </c>
      <c r="G857" s="7" t="s">
        <v>575</v>
      </c>
      <c r="H857" s="24" t="s">
        <v>201</v>
      </c>
      <c r="I857" s="32" t="s">
        <v>152</v>
      </c>
    </row>
    <row r="858" spans="1:9" x14ac:dyDescent="0.35">
      <c r="A858" s="19">
        <v>45775</v>
      </c>
      <c r="B858" s="20">
        <v>6500</v>
      </c>
      <c r="C858" s="20"/>
      <c r="D858" s="20"/>
      <c r="E858" s="99" t="s">
        <v>559</v>
      </c>
      <c r="F858" s="20">
        <f t="shared" si="13"/>
        <v>202695021</v>
      </c>
      <c r="G858" s="7" t="s">
        <v>576</v>
      </c>
      <c r="H858" s="24" t="s">
        <v>201</v>
      </c>
      <c r="I858" s="32" t="s">
        <v>152</v>
      </c>
    </row>
    <row r="859" spans="1:9" x14ac:dyDescent="0.35">
      <c r="A859" s="19">
        <v>45775</v>
      </c>
      <c r="B859" s="20"/>
      <c r="C859" s="20"/>
      <c r="D859" s="20">
        <v>600000</v>
      </c>
      <c r="E859" s="99" t="s">
        <v>559</v>
      </c>
      <c r="F859" s="20">
        <f t="shared" si="13"/>
        <v>203295021</v>
      </c>
      <c r="G859" s="7" t="s">
        <v>290</v>
      </c>
      <c r="H859" s="24" t="s">
        <v>140</v>
      </c>
      <c r="I859" s="32" t="s">
        <v>152</v>
      </c>
    </row>
    <row r="860" spans="1:9" x14ac:dyDescent="0.35">
      <c r="A860" s="19">
        <v>45775</v>
      </c>
      <c r="B860" s="20"/>
      <c r="C860" s="20"/>
      <c r="D860" s="20">
        <v>300000</v>
      </c>
      <c r="E860" s="99" t="s">
        <v>559</v>
      </c>
      <c r="F860" s="20">
        <f t="shared" si="13"/>
        <v>203595021</v>
      </c>
      <c r="G860" s="7" t="s">
        <v>577</v>
      </c>
      <c r="H860" s="24" t="s">
        <v>109</v>
      </c>
      <c r="I860" s="32" t="s">
        <v>152</v>
      </c>
    </row>
    <row r="861" spans="1:9" x14ac:dyDescent="0.35">
      <c r="A861" s="19">
        <v>45776</v>
      </c>
      <c r="B861" s="20"/>
      <c r="C861" s="20"/>
      <c r="D861" s="20">
        <v>50000</v>
      </c>
      <c r="E861" s="99" t="s">
        <v>559</v>
      </c>
      <c r="F861" s="20">
        <f t="shared" si="13"/>
        <v>203645021</v>
      </c>
      <c r="G861" s="7" t="s">
        <v>330</v>
      </c>
      <c r="H861" s="24" t="s">
        <v>109</v>
      </c>
      <c r="I861" s="32" t="s">
        <v>152</v>
      </c>
    </row>
    <row r="862" spans="1:9" x14ac:dyDescent="0.35">
      <c r="A862" s="19">
        <v>45776</v>
      </c>
      <c r="B862" s="20"/>
      <c r="C862" s="20"/>
      <c r="D862" s="20">
        <v>50000</v>
      </c>
      <c r="E862" s="99" t="s">
        <v>559</v>
      </c>
      <c r="F862" s="20">
        <f t="shared" si="13"/>
        <v>203695021</v>
      </c>
      <c r="G862" s="7" t="s">
        <v>330</v>
      </c>
      <c r="H862" s="24" t="s">
        <v>109</v>
      </c>
      <c r="I862" s="32" t="s">
        <v>152</v>
      </c>
    </row>
    <row r="863" spans="1:9" x14ac:dyDescent="0.35">
      <c r="A863" s="19">
        <v>45776</v>
      </c>
      <c r="B863" s="20"/>
      <c r="C863" s="20"/>
      <c r="D863" s="20">
        <v>2477000</v>
      </c>
      <c r="E863" s="99" t="s">
        <v>559</v>
      </c>
      <c r="F863" s="20">
        <f t="shared" si="13"/>
        <v>206172021</v>
      </c>
      <c r="G863" s="7" t="s">
        <v>581</v>
      </c>
      <c r="H863" s="24" t="s">
        <v>580</v>
      </c>
      <c r="I863" s="32" t="s">
        <v>152</v>
      </c>
    </row>
    <row r="864" spans="1:9" x14ac:dyDescent="0.35">
      <c r="A864" s="19">
        <v>45776</v>
      </c>
      <c r="B864" s="20"/>
      <c r="C864" s="20"/>
      <c r="D864" s="23">
        <v>3667000</v>
      </c>
      <c r="E864" s="99" t="s">
        <v>559</v>
      </c>
      <c r="F864" s="20">
        <f t="shared" si="13"/>
        <v>209839021</v>
      </c>
      <c r="G864" s="24"/>
      <c r="H864" s="24" t="s">
        <v>107</v>
      </c>
      <c r="I864" s="32" t="s">
        <v>152</v>
      </c>
    </row>
    <row r="865" spans="1:9" x14ac:dyDescent="0.35">
      <c r="A865" s="19">
        <v>45776</v>
      </c>
      <c r="B865" s="20"/>
      <c r="C865" s="20"/>
      <c r="D865" s="23">
        <v>5927000</v>
      </c>
      <c r="E865" s="99" t="s">
        <v>559</v>
      </c>
      <c r="F865" s="20">
        <f t="shared" si="13"/>
        <v>215766021</v>
      </c>
      <c r="G865" s="24"/>
      <c r="H865" s="24" t="s">
        <v>109</v>
      </c>
      <c r="I865" s="32" t="s">
        <v>152</v>
      </c>
    </row>
    <row r="866" spans="1:9" x14ac:dyDescent="0.35">
      <c r="A866" s="19"/>
      <c r="B866" s="20"/>
      <c r="C866" s="20">
        <v>9594000</v>
      </c>
      <c r="D866" s="20"/>
      <c r="E866" s="99"/>
      <c r="F866" s="20">
        <f t="shared" si="13"/>
        <v>215766021</v>
      </c>
      <c r="G866" s="7" t="s">
        <v>305</v>
      </c>
      <c r="H866" s="24"/>
      <c r="I866" s="32"/>
    </row>
    <row r="867" spans="1:9" x14ac:dyDescent="0.35">
      <c r="A867" s="19">
        <v>45777</v>
      </c>
      <c r="B867" s="20"/>
      <c r="C867" s="20"/>
      <c r="D867" s="20">
        <v>50000</v>
      </c>
      <c r="E867" s="99" t="s">
        <v>559</v>
      </c>
      <c r="F867" s="20">
        <f t="shared" si="13"/>
        <v>215816021</v>
      </c>
      <c r="G867" s="7" t="s">
        <v>330</v>
      </c>
      <c r="H867" s="24" t="s">
        <v>109</v>
      </c>
      <c r="I867" s="32" t="s">
        <v>152</v>
      </c>
    </row>
    <row r="868" spans="1:9" x14ac:dyDescent="0.35">
      <c r="A868" s="19">
        <v>45777</v>
      </c>
      <c r="B868" s="20"/>
      <c r="C868" s="20"/>
      <c r="D868" s="20">
        <v>10000</v>
      </c>
      <c r="E868" s="99" t="s">
        <v>559</v>
      </c>
      <c r="F868" s="20">
        <f t="shared" si="13"/>
        <v>215826021</v>
      </c>
      <c r="G868" s="7" t="s">
        <v>330</v>
      </c>
      <c r="H868" s="24" t="s">
        <v>109</v>
      </c>
      <c r="I868" s="32" t="s">
        <v>152</v>
      </c>
    </row>
    <row r="869" spans="1:9" x14ac:dyDescent="0.35">
      <c r="A869" s="19">
        <v>45778</v>
      </c>
      <c r="B869" s="20"/>
      <c r="C869" s="20"/>
      <c r="D869" s="20">
        <v>10000</v>
      </c>
      <c r="E869" s="99" t="s">
        <v>588</v>
      </c>
      <c r="F869" s="20">
        <f t="shared" si="13"/>
        <v>215836021</v>
      </c>
      <c r="G869" s="7" t="s">
        <v>330</v>
      </c>
      <c r="H869" s="24" t="s">
        <v>109</v>
      </c>
      <c r="I869" s="32" t="s">
        <v>152</v>
      </c>
    </row>
    <row r="870" spans="1:9" x14ac:dyDescent="0.35">
      <c r="A870" s="19">
        <v>45778</v>
      </c>
      <c r="B870" s="20"/>
      <c r="C870" s="20"/>
      <c r="D870" s="20">
        <v>200000</v>
      </c>
      <c r="E870" s="99" t="s">
        <v>588</v>
      </c>
      <c r="F870" s="20">
        <f t="shared" si="13"/>
        <v>216036021</v>
      </c>
      <c r="G870" s="7" t="s">
        <v>578</v>
      </c>
      <c r="H870" s="24" t="s">
        <v>109</v>
      </c>
      <c r="I870" s="32" t="s">
        <v>152</v>
      </c>
    </row>
    <row r="871" spans="1:9" x14ac:dyDescent="0.35">
      <c r="A871" s="19">
        <v>45778</v>
      </c>
      <c r="B871" s="20"/>
      <c r="C871" s="20"/>
      <c r="D871" s="20">
        <v>500000</v>
      </c>
      <c r="E871" s="99" t="s">
        <v>588</v>
      </c>
      <c r="F871" s="20">
        <f t="shared" si="13"/>
        <v>216536021</v>
      </c>
      <c r="G871" s="7" t="s">
        <v>579</v>
      </c>
      <c r="H871" s="24" t="s">
        <v>109</v>
      </c>
      <c r="I871" s="32" t="s">
        <v>152</v>
      </c>
    </row>
    <row r="872" spans="1:9" x14ac:dyDescent="0.35">
      <c r="A872" s="19">
        <v>45779</v>
      </c>
      <c r="B872" s="20"/>
      <c r="C872" s="20"/>
      <c r="D872" s="20">
        <v>50000</v>
      </c>
      <c r="E872" s="99" t="s">
        <v>588</v>
      </c>
      <c r="F872" s="20">
        <f t="shared" si="13"/>
        <v>216586021</v>
      </c>
      <c r="G872" s="7" t="s">
        <v>330</v>
      </c>
      <c r="H872" s="24" t="s">
        <v>109</v>
      </c>
      <c r="I872" s="32" t="s">
        <v>152</v>
      </c>
    </row>
    <row r="873" spans="1:9" x14ac:dyDescent="0.35">
      <c r="A873" s="19">
        <v>45779</v>
      </c>
      <c r="B873" s="20"/>
      <c r="C873" s="20"/>
      <c r="D873" s="20">
        <v>10000</v>
      </c>
      <c r="E873" s="99" t="s">
        <v>588</v>
      </c>
      <c r="F873" s="20">
        <f t="shared" si="13"/>
        <v>216596021</v>
      </c>
      <c r="G873" s="7" t="s">
        <v>330</v>
      </c>
      <c r="H873" s="24" t="s">
        <v>109</v>
      </c>
      <c r="I873" s="32" t="s">
        <v>152</v>
      </c>
    </row>
    <row r="874" spans="1:9" x14ac:dyDescent="0.35">
      <c r="A874" s="19">
        <v>45779</v>
      </c>
      <c r="B874" s="20"/>
      <c r="C874" s="20"/>
      <c r="D874" s="20">
        <v>2000000</v>
      </c>
      <c r="E874" s="99" t="s">
        <v>588</v>
      </c>
      <c r="F874" s="20">
        <f t="shared" si="13"/>
        <v>218596021</v>
      </c>
      <c r="G874" s="7" t="s">
        <v>522</v>
      </c>
      <c r="H874" s="24" t="s">
        <v>109</v>
      </c>
      <c r="I874" s="32" t="s">
        <v>152</v>
      </c>
    </row>
    <row r="875" spans="1:9" x14ac:dyDescent="0.35">
      <c r="A875" s="19">
        <v>45780</v>
      </c>
      <c r="B875" s="20"/>
      <c r="C875" s="20"/>
      <c r="D875" s="20">
        <v>200000</v>
      </c>
      <c r="E875" s="99" t="s">
        <v>588</v>
      </c>
      <c r="F875" s="20">
        <f t="shared" si="13"/>
        <v>218796021</v>
      </c>
      <c r="G875" s="7" t="s">
        <v>592</v>
      </c>
      <c r="H875" s="24" t="s">
        <v>109</v>
      </c>
      <c r="I875" s="32" t="s">
        <v>152</v>
      </c>
    </row>
    <row r="876" spans="1:9" x14ac:dyDescent="0.35">
      <c r="A876" s="19">
        <v>45780</v>
      </c>
      <c r="B876" s="20">
        <v>4500000</v>
      </c>
      <c r="C876" s="20"/>
      <c r="D876" s="20"/>
      <c r="E876" s="99" t="s">
        <v>588</v>
      </c>
      <c r="F876" s="20">
        <f t="shared" si="13"/>
        <v>214296021</v>
      </c>
      <c r="G876" s="7" t="s">
        <v>593</v>
      </c>
      <c r="H876" s="24" t="s">
        <v>325</v>
      </c>
      <c r="I876" s="32" t="s">
        <v>152</v>
      </c>
    </row>
    <row r="877" spans="1:9" x14ac:dyDescent="0.35">
      <c r="A877" s="19">
        <v>45780</v>
      </c>
      <c r="B877" s="20">
        <v>6500</v>
      </c>
      <c r="C877" s="20"/>
      <c r="D877" s="20"/>
      <c r="E877" s="99" t="s">
        <v>588</v>
      </c>
      <c r="F877" s="20">
        <f t="shared" si="13"/>
        <v>214289521</v>
      </c>
      <c r="G877" s="7" t="s">
        <v>594</v>
      </c>
      <c r="H877" s="24" t="s">
        <v>325</v>
      </c>
      <c r="I877" s="32" t="s">
        <v>152</v>
      </c>
    </row>
    <row r="878" spans="1:9" x14ac:dyDescent="0.35">
      <c r="A878" s="19">
        <v>45780</v>
      </c>
      <c r="B878" s="20">
        <v>2500000</v>
      </c>
      <c r="C878" s="20"/>
      <c r="D878" s="20"/>
      <c r="E878" s="99" t="s">
        <v>588</v>
      </c>
      <c r="F878" s="20">
        <f t="shared" si="13"/>
        <v>211789521</v>
      </c>
      <c r="G878" s="7" t="s">
        <v>459</v>
      </c>
      <c r="H878" s="24" t="s">
        <v>325</v>
      </c>
      <c r="I878" s="32" t="s">
        <v>152</v>
      </c>
    </row>
    <row r="879" spans="1:9" x14ac:dyDescent="0.35">
      <c r="A879" s="19">
        <v>45780</v>
      </c>
      <c r="B879" s="20">
        <v>6500</v>
      </c>
      <c r="C879" s="20"/>
      <c r="D879" s="20"/>
      <c r="E879" s="99" t="s">
        <v>588</v>
      </c>
      <c r="F879" s="20">
        <f t="shared" si="13"/>
        <v>211783021</v>
      </c>
      <c r="G879" s="7" t="s">
        <v>595</v>
      </c>
      <c r="H879" s="24" t="s">
        <v>325</v>
      </c>
      <c r="I879" s="32" t="s">
        <v>152</v>
      </c>
    </row>
    <row r="880" spans="1:9" x14ac:dyDescent="0.35">
      <c r="A880" s="19">
        <v>45780</v>
      </c>
      <c r="B880" s="20"/>
      <c r="C880" s="20"/>
      <c r="D880" s="20">
        <v>50000</v>
      </c>
      <c r="E880" s="99" t="s">
        <v>588</v>
      </c>
      <c r="F880" s="20">
        <f t="shared" si="13"/>
        <v>211833021</v>
      </c>
      <c r="G880" s="7" t="s">
        <v>330</v>
      </c>
      <c r="H880" s="24" t="s">
        <v>109</v>
      </c>
      <c r="I880" s="32" t="s">
        <v>152</v>
      </c>
    </row>
    <row r="881" spans="1:9" x14ac:dyDescent="0.35">
      <c r="A881" s="19">
        <v>45780</v>
      </c>
      <c r="B881" s="20"/>
      <c r="C881" s="20"/>
      <c r="D881" s="20">
        <v>50000</v>
      </c>
      <c r="E881" s="99" t="s">
        <v>588</v>
      </c>
      <c r="F881" s="20">
        <f t="shared" si="13"/>
        <v>211883021</v>
      </c>
      <c r="G881" s="7" t="s">
        <v>330</v>
      </c>
      <c r="H881" s="24" t="s">
        <v>109</v>
      </c>
      <c r="I881" s="32" t="s">
        <v>152</v>
      </c>
    </row>
    <row r="882" spans="1:9" x14ac:dyDescent="0.35">
      <c r="A882" s="19">
        <v>45780</v>
      </c>
      <c r="B882" s="20"/>
      <c r="C882" s="20"/>
      <c r="D882" s="20">
        <v>25000</v>
      </c>
      <c r="E882" s="99" t="s">
        <v>588</v>
      </c>
      <c r="F882" s="20">
        <f t="shared" si="13"/>
        <v>211908021</v>
      </c>
      <c r="G882" s="7" t="s">
        <v>330</v>
      </c>
      <c r="H882" s="24" t="s">
        <v>109</v>
      </c>
      <c r="I882" s="32" t="s">
        <v>152</v>
      </c>
    </row>
    <row r="883" spans="1:9" x14ac:dyDescent="0.35">
      <c r="A883" s="19">
        <v>45780</v>
      </c>
      <c r="B883" s="20"/>
      <c r="C883" s="20"/>
      <c r="D883" s="20">
        <v>10000</v>
      </c>
      <c r="E883" s="99" t="s">
        <v>588</v>
      </c>
      <c r="F883" s="20">
        <f t="shared" si="13"/>
        <v>211918021</v>
      </c>
      <c r="G883" s="7" t="s">
        <v>330</v>
      </c>
      <c r="H883" s="24" t="s">
        <v>109</v>
      </c>
      <c r="I883" s="32" t="s">
        <v>152</v>
      </c>
    </row>
    <row r="884" spans="1:9" x14ac:dyDescent="0.35">
      <c r="A884" s="19">
        <v>45780</v>
      </c>
      <c r="B884" s="20"/>
      <c r="C884" s="20"/>
      <c r="D884" s="20">
        <v>10000</v>
      </c>
      <c r="E884" s="99" t="s">
        <v>588</v>
      </c>
      <c r="F884" s="20">
        <f t="shared" si="13"/>
        <v>211928021</v>
      </c>
      <c r="G884" s="7" t="s">
        <v>330</v>
      </c>
      <c r="H884" s="24" t="s">
        <v>109</v>
      </c>
      <c r="I884" s="32" t="s">
        <v>152</v>
      </c>
    </row>
    <row r="885" spans="1:9" x14ac:dyDescent="0.35">
      <c r="A885" s="19">
        <v>45780</v>
      </c>
      <c r="B885" s="20">
        <v>750000</v>
      </c>
      <c r="C885" s="20"/>
      <c r="D885" s="20"/>
      <c r="E885" s="99" t="s">
        <v>588</v>
      </c>
      <c r="F885" s="20">
        <f t="shared" si="13"/>
        <v>211178021</v>
      </c>
      <c r="G885" s="7" t="s">
        <v>596</v>
      </c>
      <c r="H885" s="24" t="s">
        <v>323</v>
      </c>
      <c r="I885" s="32" t="s">
        <v>152</v>
      </c>
    </row>
    <row r="886" spans="1:9" x14ac:dyDescent="0.35">
      <c r="A886" s="19">
        <v>45780</v>
      </c>
      <c r="B886" s="20">
        <v>6500</v>
      </c>
      <c r="C886" s="20"/>
      <c r="D886" s="20"/>
      <c r="E886" s="99" t="s">
        <v>588</v>
      </c>
      <c r="F886" s="20">
        <f t="shared" si="13"/>
        <v>211171521</v>
      </c>
      <c r="G886" s="7" t="s">
        <v>597</v>
      </c>
      <c r="H886" s="24" t="s">
        <v>323</v>
      </c>
      <c r="I886" s="32" t="s">
        <v>152</v>
      </c>
    </row>
    <row r="887" spans="1:9" x14ac:dyDescent="0.35">
      <c r="A887" s="19">
        <v>45781</v>
      </c>
      <c r="B887" s="20">
        <v>750000</v>
      </c>
      <c r="C887" s="20"/>
      <c r="D887" s="20"/>
      <c r="E887" s="99" t="s">
        <v>588</v>
      </c>
      <c r="F887" s="20">
        <f t="shared" si="13"/>
        <v>210421521</v>
      </c>
      <c r="G887" s="7" t="s">
        <v>598</v>
      </c>
      <c r="H887" s="24" t="s">
        <v>323</v>
      </c>
      <c r="I887" s="32" t="s">
        <v>152</v>
      </c>
    </row>
    <row r="888" spans="1:9" x14ac:dyDescent="0.35">
      <c r="A888" s="19">
        <v>45781</v>
      </c>
      <c r="B888" s="20">
        <v>6500</v>
      </c>
      <c r="C888" s="20"/>
      <c r="D888" s="20"/>
      <c r="E888" s="99" t="s">
        <v>588</v>
      </c>
      <c r="F888" s="20">
        <f t="shared" si="13"/>
        <v>210415021</v>
      </c>
      <c r="G888" s="7" t="s">
        <v>599</v>
      </c>
      <c r="H888" s="24" t="s">
        <v>323</v>
      </c>
      <c r="I888" s="32" t="s">
        <v>152</v>
      </c>
    </row>
    <row r="889" spans="1:9" x14ac:dyDescent="0.35">
      <c r="A889" s="19">
        <v>45781</v>
      </c>
      <c r="B889" s="20"/>
      <c r="C889" s="20"/>
      <c r="D889" s="20">
        <v>5000</v>
      </c>
      <c r="E889" s="99" t="s">
        <v>588</v>
      </c>
      <c r="F889" s="20">
        <f t="shared" si="13"/>
        <v>210420021</v>
      </c>
      <c r="G889" s="7" t="s">
        <v>330</v>
      </c>
      <c r="H889" s="24" t="s">
        <v>109</v>
      </c>
      <c r="I889" s="32" t="s">
        <v>152</v>
      </c>
    </row>
    <row r="890" spans="1:9" x14ac:dyDescent="0.35">
      <c r="A890" s="19">
        <v>45781</v>
      </c>
      <c r="B890" s="20"/>
      <c r="C890" s="20"/>
      <c r="D890" s="20">
        <v>10000</v>
      </c>
      <c r="E890" s="99" t="s">
        <v>588</v>
      </c>
      <c r="F890" s="20">
        <f t="shared" si="13"/>
        <v>210430021</v>
      </c>
      <c r="G890" s="7" t="s">
        <v>330</v>
      </c>
      <c r="H890" s="24" t="s">
        <v>109</v>
      </c>
      <c r="I890" s="32" t="s">
        <v>152</v>
      </c>
    </row>
    <row r="891" spans="1:9" x14ac:dyDescent="0.35">
      <c r="A891" s="19">
        <v>45781</v>
      </c>
      <c r="B891" s="20"/>
      <c r="C891" s="20"/>
      <c r="D891" s="20">
        <v>400000</v>
      </c>
      <c r="E891" s="99" t="s">
        <v>588</v>
      </c>
      <c r="F891" s="20">
        <f t="shared" si="13"/>
        <v>210830021</v>
      </c>
      <c r="G891" s="7" t="s">
        <v>600</v>
      </c>
      <c r="H891" s="24" t="s">
        <v>109</v>
      </c>
      <c r="I891" s="32" t="s">
        <v>152</v>
      </c>
    </row>
    <row r="892" spans="1:9" x14ac:dyDescent="0.35">
      <c r="A892" s="19">
        <v>45781</v>
      </c>
      <c r="B892" s="20">
        <v>75000</v>
      </c>
      <c r="C892" s="20"/>
      <c r="D892" s="20"/>
      <c r="E892" s="99" t="s">
        <v>588</v>
      </c>
      <c r="F892" s="20">
        <f t="shared" si="13"/>
        <v>210755021</v>
      </c>
      <c r="G892" s="7" t="s">
        <v>601</v>
      </c>
      <c r="H892" s="24" t="s">
        <v>320</v>
      </c>
      <c r="I892" s="32" t="s">
        <v>152</v>
      </c>
    </row>
    <row r="893" spans="1:9" x14ac:dyDescent="0.35">
      <c r="A893" s="19">
        <v>45781</v>
      </c>
      <c r="B893" s="20">
        <v>6500</v>
      </c>
      <c r="C893" s="20"/>
      <c r="D893" s="20"/>
      <c r="E893" s="99" t="s">
        <v>588</v>
      </c>
      <c r="F893" s="20">
        <f t="shared" si="13"/>
        <v>210748521</v>
      </c>
      <c r="G893" s="7" t="s">
        <v>602</v>
      </c>
      <c r="H893" s="24" t="s">
        <v>320</v>
      </c>
      <c r="I893" s="32" t="s">
        <v>152</v>
      </c>
    </row>
    <row r="894" spans="1:9" x14ac:dyDescent="0.35">
      <c r="A894" s="19">
        <v>45781</v>
      </c>
      <c r="B894" s="20"/>
      <c r="C894" s="20"/>
      <c r="D894" s="20">
        <v>150000</v>
      </c>
      <c r="E894" s="99" t="s">
        <v>588</v>
      </c>
      <c r="F894" s="20">
        <f t="shared" si="13"/>
        <v>210898521</v>
      </c>
      <c r="G894" s="7" t="s">
        <v>603</v>
      </c>
      <c r="H894" s="24" t="s">
        <v>109</v>
      </c>
      <c r="I894" s="32" t="s">
        <v>152</v>
      </c>
    </row>
    <row r="895" spans="1:9" x14ac:dyDescent="0.35">
      <c r="A895" s="19">
        <v>45781</v>
      </c>
      <c r="B895" s="20"/>
      <c r="C895" s="20"/>
      <c r="D895" s="20">
        <v>100000</v>
      </c>
      <c r="E895" s="99" t="s">
        <v>588</v>
      </c>
      <c r="F895" s="20">
        <f t="shared" si="13"/>
        <v>210998521</v>
      </c>
      <c r="G895" s="7" t="s">
        <v>330</v>
      </c>
      <c r="H895" s="24" t="s">
        <v>109</v>
      </c>
      <c r="I895" s="32" t="s">
        <v>152</v>
      </c>
    </row>
    <row r="896" spans="1:9" x14ac:dyDescent="0.35">
      <c r="A896" s="19">
        <v>45781</v>
      </c>
      <c r="B896" s="20"/>
      <c r="C896" s="20"/>
      <c r="D896" s="20">
        <v>5000000</v>
      </c>
      <c r="E896" s="99" t="s">
        <v>588</v>
      </c>
      <c r="F896" s="20">
        <f t="shared" si="13"/>
        <v>215998521</v>
      </c>
      <c r="G896" s="7" t="s">
        <v>604</v>
      </c>
      <c r="H896" s="24" t="s">
        <v>613</v>
      </c>
      <c r="I896" s="32" t="s">
        <v>152</v>
      </c>
    </row>
    <row r="897" spans="1:9" x14ac:dyDescent="0.35">
      <c r="A897" s="19">
        <v>45782</v>
      </c>
      <c r="B897" s="20"/>
      <c r="C897" s="20"/>
      <c r="D897" s="20">
        <v>50000</v>
      </c>
      <c r="E897" s="99" t="s">
        <v>588</v>
      </c>
      <c r="F897" s="20">
        <f t="shared" si="13"/>
        <v>216048521</v>
      </c>
      <c r="G897" s="7" t="s">
        <v>330</v>
      </c>
      <c r="H897" s="24" t="s">
        <v>109</v>
      </c>
      <c r="I897" s="32" t="s">
        <v>152</v>
      </c>
    </row>
    <row r="898" spans="1:9" x14ac:dyDescent="0.35">
      <c r="A898" s="19">
        <v>45782</v>
      </c>
      <c r="B898" s="20"/>
      <c r="C898" s="20"/>
      <c r="D898" s="20">
        <v>25000</v>
      </c>
      <c r="E898" s="99" t="s">
        <v>588</v>
      </c>
      <c r="F898" s="20">
        <f t="shared" si="13"/>
        <v>216073521</v>
      </c>
      <c r="G898" s="7" t="s">
        <v>330</v>
      </c>
      <c r="H898" s="24" t="s">
        <v>109</v>
      </c>
      <c r="I898" s="32" t="s">
        <v>152</v>
      </c>
    </row>
    <row r="899" spans="1:9" x14ac:dyDescent="0.35">
      <c r="A899" s="19">
        <v>45783</v>
      </c>
      <c r="B899" s="20"/>
      <c r="C899" s="20"/>
      <c r="D899" s="20">
        <v>10000</v>
      </c>
      <c r="E899" s="99" t="s">
        <v>588</v>
      </c>
      <c r="F899" s="20">
        <f t="shared" si="13"/>
        <v>216083521</v>
      </c>
      <c r="G899" s="7" t="s">
        <v>330</v>
      </c>
      <c r="H899" s="24" t="s">
        <v>109</v>
      </c>
      <c r="I899" s="32" t="s">
        <v>152</v>
      </c>
    </row>
    <row r="900" spans="1:9" x14ac:dyDescent="0.35">
      <c r="A900" s="19">
        <v>45783</v>
      </c>
      <c r="B900" s="20"/>
      <c r="C900" s="20"/>
      <c r="D900" s="20">
        <v>2</v>
      </c>
      <c r="E900" s="99" t="s">
        <v>588</v>
      </c>
      <c r="F900" s="20">
        <f t="shared" si="13"/>
        <v>216083523</v>
      </c>
      <c r="G900" s="7" t="s">
        <v>330</v>
      </c>
      <c r="H900" s="24" t="s">
        <v>109</v>
      </c>
      <c r="I900" s="32" t="s">
        <v>152</v>
      </c>
    </row>
    <row r="901" spans="1:9" x14ac:dyDescent="0.35">
      <c r="A901" s="19">
        <v>45783</v>
      </c>
      <c r="B901" s="20"/>
      <c r="C901" s="20"/>
      <c r="D901" s="195">
        <v>3203000</v>
      </c>
      <c r="E901" s="99" t="s">
        <v>588</v>
      </c>
      <c r="F901" s="20">
        <f t="shared" si="13"/>
        <v>219286523</v>
      </c>
      <c r="G901" s="24"/>
      <c r="H901" s="24" t="s">
        <v>107</v>
      </c>
      <c r="I901" s="32" t="s">
        <v>152</v>
      </c>
    </row>
    <row r="902" spans="1:9" x14ac:dyDescent="0.35">
      <c r="A902" s="19">
        <v>45783</v>
      </c>
      <c r="B902" s="20"/>
      <c r="C902" s="20"/>
      <c r="D902" s="195">
        <v>1683000</v>
      </c>
      <c r="E902" s="99" t="s">
        <v>588</v>
      </c>
      <c r="F902" s="20">
        <f t="shared" si="13"/>
        <v>220969523</v>
      </c>
      <c r="G902" s="24"/>
      <c r="H902" s="24" t="s">
        <v>109</v>
      </c>
      <c r="I902" s="32" t="s">
        <v>152</v>
      </c>
    </row>
    <row r="903" spans="1:9" x14ac:dyDescent="0.35">
      <c r="A903" s="19"/>
      <c r="B903" s="20"/>
      <c r="C903" s="20">
        <v>4886000</v>
      </c>
      <c r="D903" s="20"/>
      <c r="E903" s="99" t="s">
        <v>588</v>
      </c>
      <c r="F903" s="20">
        <f t="shared" si="13"/>
        <v>220969523</v>
      </c>
      <c r="G903" s="7" t="s">
        <v>305</v>
      </c>
      <c r="H903" s="24"/>
      <c r="I903" s="32"/>
    </row>
    <row r="904" spans="1:9" x14ac:dyDescent="0.35">
      <c r="A904" s="19">
        <v>45783</v>
      </c>
      <c r="B904" s="20"/>
      <c r="C904" s="20"/>
      <c r="D904" s="20">
        <v>3500000</v>
      </c>
      <c r="E904" s="99" t="s">
        <v>588</v>
      </c>
      <c r="F904" s="20">
        <f t="shared" si="13"/>
        <v>224469523</v>
      </c>
      <c r="G904" s="7" t="s">
        <v>605</v>
      </c>
      <c r="H904" s="24" t="s">
        <v>613</v>
      </c>
      <c r="I904" s="32" t="s">
        <v>152</v>
      </c>
    </row>
    <row r="905" spans="1:9" x14ac:dyDescent="0.35">
      <c r="A905" s="19">
        <v>45783</v>
      </c>
      <c r="B905" s="20"/>
      <c r="C905" s="20"/>
      <c r="D905" s="20">
        <v>600000</v>
      </c>
      <c r="E905" s="99" t="s">
        <v>588</v>
      </c>
      <c r="F905" s="20">
        <f t="shared" si="13"/>
        <v>225069523</v>
      </c>
      <c r="G905" s="7" t="s">
        <v>606</v>
      </c>
      <c r="H905" s="24" t="s">
        <v>109</v>
      </c>
      <c r="I905" s="32" t="s">
        <v>152</v>
      </c>
    </row>
    <row r="906" spans="1:9" x14ac:dyDescent="0.35">
      <c r="A906" s="19">
        <v>45783</v>
      </c>
      <c r="B906" s="20">
        <v>2000000</v>
      </c>
      <c r="C906" s="20"/>
      <c r="D906" s="20"/>
      <c r="E906" s="99" t="s">
        <v>588</v>
      </c>
      <c r="F906" s="20">
        <f t="shared" ref="F906:F969" si="14">+F905+D906-B906</f>
        <v>223069523</v>
      </c>
      <c r="G906" s="7" t="s">
        <v>607</v>
      </c>
      <c r="H906" s="24" t="s">
        <v>323</v>
      </c>
      <c r="I906" s="32" t="s">
        <v>152</v>
      </c>
    </row>
    <row r="907" spans="1:9" x14ac:dyDescent="0.35">
      <c r="A907" s="19">
        <v>45783</v>
      </c>
      <c r="B907" s="20">
        <v>6500</v>
      </c>
      <c r="C907" s="20"/>
      <c r="D907" s="20"/>
      <c r="E907" s="99" t="s">
        <v>588</v>
      </c>
      <c r="F907" s="20">
        <f t="shared" si="14"/>
        <v>223063023</v>
      </c>
      <c r="G907" s="7" t="s">
        <v>608</v>
      </c>
      <c r="H907" s="24" t="s">
        <v>323</v>
      </c>
      <c r="I907" s="32" t="s">
        <v>152</v>
      </c>
    </row>
    <row r="908" spans="1:9" x14ac:dyDescent="0.35">
      <c r="A908" s="19">
        <v>45784</v>
      </c>
      <c r="B908" s="20"/>
      <c r="C908" s="20"/>
      <c r="D908" s="20">
        <v>200000</v>
      </c>
      <c r="E908" s="99" t="s">
        <v>588</v>
      </c>
      <c r="F908" s="20">
        <f t="shared" si="14"/>
        <v>223263023</v>
      </c>
      <c r="G908" s="7" t="s">
        <v>531</v>
      </c>
      <c r="H908" s="24" t="s">
        <v>109</v>
      </c>
      <c r="I908" s="32" t="s">
        <v>152</v>
      </c>
    </row>
    <row r="909" spans="1:9" x14ac:dyDescent="0.35">
      <c r="A909" s="19">
        <v>45784</v>
      </c>
      <c r="B909" s="20"/>
      <c r="C909" s="20"/>
      <c r="D909" s="20">
        <v>10000</v>
      </c>
      <c r="E909" s="99" t="s">
        <v>588</v>
      </c>
      <c r="F909" s="20">
        <f t="shared" si="14"/>
        <v>223273023</v>
      </c>
      <c r="G909" s="7" t="s">
        <v>330</v>
      </c>
      <c r="H909" s="24" t="s">
        <v>109</v>
      </c>
      <c r="I909" s="32" t="s">
        <v>152</v>
      </c>
    </row>
    <row r="910" spans="1:9" x14ac:dyDescent="0.35">
      <c r="A910" s="19">
        <v>45784</v>
      </c>
      <c r="B910" s="20"/>
      <c r="C910" s="20"/>
      <c r="D910" s="20">
        <v>1000000</v>
      </c>
      <c r="E910" s="99" t="s">
        <v>588</v>
      </c>
      <c r="F910" s="20">
        <f t="shared" si="14"/>
        <v>224273023</v>
      </c>
      <c r="G910" s="7" t="s">
        <v>609</v>
      </c>
      <c r="H910" s="24" t="s">
        <v>109</v>
      </c>
      <c r="I910" s="32" t="s">
        <v>152</v>
      </c>
    </row>
    <row r="911" spans="1:9" x14ac:dyDescent="0.35">
      <c r="A911" s="19">
        <v>45784</v>
      </c>
      <c r="B911" s="20"/>
      <c r="C911" s="20"/>
      <c r="D911" s="20">
        <v>800000</v>
      </c>
      <c r="E911" s="99" t="s">
        <v>588</v>
      </c>
      <c r="F911" s="20">
        <f t="shared" si="14"/>
        <v>225073023</v>
      </c>
      <c r="G911" s="7" t="s">
        <v>610</v>
      </c>
      <c r="H911" s="24" t="s">
        <v>109</v>
      </c>
      <c r="I911" s="32" t="s">
        <v>152</v>
      </c>
    </row>
    <row r="912" spans="1:9" x14ac:dyDescent="0.35">
      <c r="A912" s="19">
        <v>45785</v>
      </c>
      <c r="B912" s="20"/>
      <c r="C912" s="20"/>
      <c r="D912" s="20">
        <v>4000000</v>
      </c>
      <c r="E912" s="99" t="s">
        <v>588</v>
      </c>
      <c r="F912" s="20">
        <f t="shared" si="14"/>
        <v>229073023</v>
      </c>
      <c r="G912" s="7" t="s">
        <v>611</v>
      </c>
      <c r="H912" s="24" t="s">
        <v>613</v>
      </c>
      <c r="I912" s="32" t="s">
        <v>152</v>
      </c>
    </row>
    <row r="913" spans="1:12" x14ac:dyDescent="0.35">
      <c r="A913" s="19">
        <v>45785</v>
      </c>
      <c r="B913" s="20"/>
      <c r="C913" s="20"/>
      <c r="D913" s="20">
        <v>4000000</v>
      </c>
      <c r="E913" s="99" t="s">
        <v>588</v>
      </c>
      <c r="F913" s="20">
        <f t="shared" si="14"/>
        <v>233073023</v>
      </c>
      <c r="G913" s="7" t="s">
        <v>612</v>
      </c>
      <c r="H913" s="24" t="s">
        <v>613</v>
      </c>
      <c r="I913" s="32" t="s">
        <v>152</v>
      </c>
    </row>
    <row r="914" spans="1:12" x14ac:dyDescent="0.35">
      <c r="A914" s="19">
        <v>45785</v>
      </c>
      <c r="B914" s="20"/>
      <c r="C914" s="20"/>
      <c r="D914" s="20">
        <v>10000</v>
      </c>
      <c r="E914" s="99" t="s">
        <v>588</v>
      </c>
      <c r="F914" s="20">
        <f t="shared" si="14"/>
        <v>233083023</v>
      </c>
      <c r="G914" s="7" t="s">
        <v>330</v>
      </c>
      <c r="H914" s="24" t="s">
        <v>109</v>
      </c>
      <c r="I914" s="32" t="s">
        <v>152</v>
      </c>
    </row>
    <row r="915" spans="1:12" x14ac:dyDescent="0.35">
      <c r="A915" s="19">
        <v>45786</v>
      </c>
      <c r="B915" s="20"/>
      <c r="C915" s="20"/>
      <c r="D915" s="20">
        <v>50000</v>
      </c>
      <c r="E915" s="99" t="s">
        <v>588</v>
      </c>
      <c r="F915" s="20">
        <f t="shared" si="14"/>
        <v>233133023</v>
      </c>
      <c r="G915" s="7" t="s">
        <v>330</v>
      </c>
      <c r="H915" s="24" t="s">
        <v>109</v>
      </c>
      <c r="I915" s="32" t="s">
        <v>152</v>
      </c>
      <c r="K915" s="181"/>
      <c r="L915" s="181"/>
    </row>
    <row r="916" spans="1:12" x14ac:dyDescent="0.35">
      <c r="A916" s="19">
        <v>45786</v>
      </c>
      <c r="B916" s="20"/>
      <c r="C916" s="20"/>
      <c r="D916" s="20">
        <v>10000</v>
      </c>
      <c r="E916" s="99" t="s">
        <v>588</v>
      </c>
      <c r="F916" s="20">
        <f t="shared" si="14"/>
        <v>233143023</v>
      </c>
      <c r="G916" s="7" t="s">
        <v>330</v>
      </c>
      <c r="H916" s="24" t="s">
        <v>109</v>
      </c>
      <c r="I916" s="32" t="s">
        <v>152</v>
      </c>
      <c r="K916" s="181"/>
      <c r="L916" s="181"/>
    </row>
    <row r="917" spans="1:12" x14ac:dyDescent="0.35">
      <c r="A917" s="19">
        <v>45786</v>
      </c>
      <c r="B917" s="20"/>
      <c r="C917" s="20"/>
      <c r="D917" s="20">
        <v>10000000</v>
      </c>
      <c r="E917" s="99" t="s">
        <v>588</v>
      </c>
      <c r="F917" s="20">
        <f t="shared" si="14"/>
        <v>243143023</v>
      </c>
      <c r="G917" s="7" t="s">
        <v>618</v>
      </c>
      <c r="H917" s="24" t="s">
        <v>619</v>
      </c>
      <c r="I917" s="32" t="s">
        <v>152</v>
      </c>
      <c r="K917" s="181"/>
      <c r="L917" s="181"/>
    </row>
    <row r="918" spans="1:12" x14ac:dyDescent="0.35">
      <c r="A918" s="19">
        <v>45787</v>
      </c>
      <c r="B918" s="20">
        <v>750000</v>
      </c>
      <c r="C918" s="20"/>
      <c r="D918" s="20"/>
      <c r="E918" s="99" t="s">
        <v>588</v>
      </c>
      <c r="F918" s="20">
        <f t="shared" si="14"/>
        <v>242393023</v>
      </c>
      <c r="G918" s="7" t="s">
        <v>620</v>
      </c>
      <c r="H918" s="24" t="s">
        <v>323</v>
      </c>
      <c r="I918" s="32" t="s">
        <v>152</v>
      </c>
      <c r="K918" s="181"/>
      <c r="L918" s="181"/>
    </row>
    <row r="919" spans="1:12" x14ac:dyDescent="0.35">
      <c r="A919" s="19">
        <v>45787</v>
      </c>
      <c r="B919" s="20">
        <v>6500</v>
      </c>
      <c r="C919" s="20"/>
      <c r="D919" s="20"/>
      <c r="E919" s="99" t="s">
        <v>588</v>
      </c>
      <c r="F919" s="20">
        <f t="shared" si="14"/>
        <v>242386523</v>
      </c>
      <c r="G919" s="7" t="s">
        <v>621</v>
      </c>
      <c r="H919" s="24" t="s">
        <v>323</v>
      </c>
      <c r="I919" s="32" t="s">
        <v>152</v>
      </c>
      <c r="K919" s="181"/>
      <c r="L919" s="181"/>
    </row>
    <row r="920" spans="1:12" x14ac:dyDescent="0.35">
      <c r="A920" s="19">
        <v>45787</v>
      </c>
      <c r="B920" s="20"/>
      <c r="C920" s="20"/>
      <c r="D920" s="20">
        <v>25000</v>
      </c>
      <c r="E920" s="99" t="s">
        <v>588</v>
      </c>
      <c r="F920" s="20">
        <f t="shared" si="14"/>
        <v>242411523</v>
      </c>
      <c r="G920" s="7" t="s">
        <v>330</v>
      </c>
      <c r="H920" s="24" t="s">
        <v>109</v>
      </c>
      <c r="I920" s="32" t="s">
        <v>152</v>
      </c>
      <c r="K920" s="181"/>
      <c r="L920" s="181"/>
    </row>
    <row r="921" spans="1:12" x14ac:dyDescent="0.35">
      <c r="A921" s="19">
        <v>45787</v>
      </c>
      <c r="B921" s="20"/>
      <c r="C921" s="20"/>
      <c r="D921" s="20">
        <v>10000</v>
      </c>
      <c r="E921" s="99" t="s">
        <v>588</v>
      </c>
      <c r="F921" s="20">
        <f t="shared" si="14"/>
        <v>242421523</v>
      </c>
      <c r="G921" s="7" t="s">
        <v>330</v>
      </c>
      <c r="H921" s="24" t="s">
        <v>109</v>
      </c>
      <c r="I921" s="32" t="s">
        <v>152</v>
      </c>
      <c r="K921" s="181"/>
      <c r="L921" s="181"/>
    </row>
    <row r="922" spans="1:12" x14ac:dyDescent="0.35">
      <c r="A922" s="19">
        <v>45787</v>
      </c>
      <c r="B922" s="20"/>
      <c r="C922" s="20"/>
      <c r="D922" s="20">
        <v>100000</v>
      </c>
      <c r="E922" s="99" t="s">
        <v>588</v>
      </c>
      <c r="F922" s="20">
        <f t="shared" si="14"/>
        <v>242521523</v>
      </c>
      <c r="G922" s="7" t="s">
        <v>330</v>
      </c>
      <c r="H922" s="24" t="s">
        <v>109</v>
      </c>
      <c r="I922" s="32" t="s">
        <v>152</v>
      </c>
      <c r="K922" s="181"/>
      <c r="L922" s="181"/>
    </row>
    <row r="923" spans="1:12" x14ac:dyDescent="0.35">
      <c r="A923" s="19">
        <v>45787</v>
      </c>
      <c r="B923" s="20"/>
      <c r="C923" s="20"/>
      <c r="D923" s="20">
        <v>10000</v>
      </c>
      <c r="E923" s="99" t="s">
        <v>588</v>
      </c>
      <c r="F923" s="20">
        <f t="shared" si="14"/>
        <v>242531523</v>
      </c>
      <c r="G923" s="7" t="s">
        <v>330</v>
      </c>
      <c r="H923" s="24" t="s">
        <v>109</v>
      </c>
      <c r="I923" s="32" t="s">
        <v>152</v>
      </c>
      <c r="K923" s="181"/>
      <c r="L923" s="181"/>
    </row>
    <row r="924" spans="1:12" x14ac:dyDescent="0.35">
      <c r="A924" s="19">
        <v>45787</v>
      </c>
      <c r="B924" s="20"/>
      <c r="C924" s="20"/>
      <c r="D924" s="20">
        <v>50000</v>
      </c>
      <c r="E924" s="99" t="s">
        <v>588</v>
      </c>
      <c r="F924" s="20">
        <f t="shared" si="14"/>
        <v>242581523</v>
      </c>
      <c r="G924" s="7" t="s">
        <v>330</v>
      </c>
      <c r="H924" s="24" t="s">
        <v>109</v>
      </c>
      <c r="I924" s="32" t="s">
        <v>152</v>
      </c>
      <c r="K924" s="181"/>
      <c r="L924" s="181"/>
    </row>
    <row r="925" spans="1:12" x14ac:dyDescent="0.35">
      <c r="A925" s="19">
        <v>45787</v>
      </c>
      <c r="B925" s="20"/>
      <c r="C925" s="20"/>
      <c r="D925" s="20">
        <v>40000</v>
      </c>
      <c r="E925" s="99" t="s">
        <v>588</v>
      </c>
      <c r="F925" s="20">
        <f t="shared" si="14"/>
        <v>242621523</v>
      </c>
      <c r="G925" s="7" t="s">
        <v>330</v>
      </c>
      <c r="H925" s="24" t="s">
        <v>109</v>
      </c>
      <c r="I925" s="32" t="s">
        <v>152</v>
      </c>
      <c r="K925" s="181"/>
      <c r="L925" s="181"/>
    </row>
    <row r="926" spans="1:12" x14ac:dyDescent="0.35">
      <c r="A926" s="19">
        <v>45787</v>
      </c>
      <c r="B926" s="20"/>
      <c r="C926" s="20"/>
      <c r="D926" s="20">
        <v>250000</v>
      </c>
      <c r="E926" s="99" t="s">
        <v>588</v>
      </c>
      <c r="F926" s="20">
        <f t="shared" si="14"/>
        <v>242871523</v>
      </c>
      <c r="G926" s="7" t="s">
        <v>330</v>
      </c>
      <c r="H926" s="24" t="s">
        <v>109</v>
      </c>
      <c r="I926" s="32" t="s">
        <v>152</v>
      </c>
      <c r="K926" s="181"/>
      <c r="L926" s="181"/>
    </row>
    <row r="927" spans="1:12" x14ac:dyDescent="0.35">
      <c r="A927" s="19">
        <v>45787</v>
      </c>
      <c r="B927" s="20"/>
      <c r="C927" s="20"/>
      <c r="D927" s="20">
        <v>5000000</v>
      </c>
      <c r="E927" s="99" t="s">
        <v>588</v>
      </c>
      <c r="F927" s="20">
        <f t="shared" si="14"/>
        <v>247871523</v>
      </c>
      <c r="G927" s="7" t="s">
        <v>618</v>
      </c>
      <c r="H927" s="24" t="s">
        <v>619</v>
      </c>
      <c r="I927" s="32" t="s">
        <v>152</v>
      </c>
      <c r="K927" s="181"/>
      <c r="L927" s="181"/>
    </row>
    <row r="928" spans="1:12" x14ac:dyDescent="0.35">
      <c r="A928" s="19">
        <v>45787</v>
      </c>
      <c r="B928" s="20">
        <v>1000000</v>
      </c>
      <c r="C928" s="20"/>
      <c r="D928" s="20"/>
      <c r="E928" s="99" t="s">
        <v>588</v>
      </c>
      <c r="F928" s="20">
        <f t="shared" si="14"/>
        <v>246871523</v>
      </c>
      <c r="G928" s="7" t="s">
        <v>622</v>
      </c>
      <c r="H928" s="24" t="s">
        <v>323</v>
      </c>
      <c r="I928" s="32" t="s">
        <v>152</v>
      </c>
      <c r="K928" s="181"/>
      <c r="L928" s="181"/>
    </row>
    <row r="929" spans="1:12" x14ac:dyDescent="0.35">
      <c r="A929" s="19">
        <v>45787</v>
      </c>
      <c r="B929" s="20">
        <v>6500</v>
      </c>
      <c r="C929" s="20"/>
      <c r="D929" s="20"/>
      <c r="E929" s="99" t="s">
        <v>588</v>
      </c>
      <c r="F929" s="20">
        <f t="shared" si="14"/>
        <v>246865023</v>
      </c>
      <c r="G929" s="7" t="s">
        <v>623</v>
      </c>
      <c r="H929" s="24" t="s">
        <v>323</v>
      </c>
      <c r="I929" s="32" t="s">
        <v>152</v>
      </c>
      <c r="K929" s="181"/>
      <c r="L929" s="181"/>
    </row>
    <row r="930" spans="1:12" x14ac:dyDescent="0.35">
      <c r="A930" s="19">
        <v>45787</v>
      </c>
      <c r="B930" s="20">
        <v>1003000</v>
      </c>
      <c r="C930" s="20"/>
      <c r="D930" s="20"/>
      <c r="E930" s="99" t="s">
        <v>588</v>
      </c>
      <c r="F930" s="20">
        <f t="shared" si="14"/>
        <v>245862023</v>
      </c>
      <c r="G930" s="7" t="s">
        <v>622</v>
      </c>
      <c r="H930" s="24" t="s">
        <v>323</v>
      </c>
      <c r="I930" s="32" t="s">
        <v>152</v>
      </c>
      <c r="K930" s="181"/>
      <c r="L930" s="181"/>
    </row>
    <row r="931" spans="1:12" x14ac:dyDescent="0.35">
      <c r="A931" s="19">
        <v>45787</v>
      </c>
      <c r="B931" s="20">
        <v>6500</v>
      </c>
      <c r="C931" s="20"/>
      <c r="D931" s="20"/>
      <c r="E931" s="99" t="s">
        <v>588</v>
      </c>
      <c r="F931" s="20">
        <f t="shared" si="14"/>
        <v>245855523</v>
      </c>
      <c r="G931" s="7" t="s">
        <v>623</v>
      </c>
      <c r="H931" s="24" t="s">
        <v>323</v>
      </c>
      <c r="I931" s="32" t="s">
        <v>152</v>
      </c>
      <c r="K931" s="181"/>
      <c r="L931" s="181"/>
    </row>
    <row r="932" spans="1:12" x14ac:dyDescent="0.35">
      <c r="A932" s="19">
        <v>45787</v>
      </c>
      <c r="B932" s="20">
        <v>750000</v>
      </c>
      <c r="C932" s="20"/>
      <c r="D932" s="20"/>
      <c r="E932" s="99" t="s">
        <v>588</v>
      </c>
      <c r="F932" s="20">
        <f t="shared" si="14"/>
        <v>245105523</v>
      </c>
      <c r="G932" s="7" t="s">
        <v>622</v>
      </c>
      <c r="H932" s="24" t="s">
        <v>323</v>
      </c>
      <c r="I932" s="32" t="s">
        <v>152</v>
      </c>
      <c r="K932" s="181"/>
      <c r="L932" s="181"/>
    </row>
    <row r="933" spans="1:12" x14ac:dyDescent="0.35">
      <c r="A933" s="19">
        <v>45787</v>
      </c>
      <c r="B933" s="20">
        <v>6500</v>
      </c>
      <c r="C933" s="20"/>
      <c r="D933" s="20"/>
      <c r="E933" s="99" t="s">
        <v>588</v>
      </c>
      <c r="F933" s="20">
        <f t="shared" si="14"/>
        <v>245099023</v>
      </c>
      <c r="G933" s="7" t="s">
        <v>623</v>
      </c>
      <c r="H933" s="24" t="s">
        <v>323</v>
      </c>
      <c r="I933" s="32" t="s">
        <v>152</v>
      </c>
      <c r="K933" s="181"/>
      <c r="L933" s="181"/>
    </row>
    <row r="934" spans="1:12" x14ac:dyDescent="0.35">
      <c r="A934" s="19">
        <v>45787</v>
      </c>
      <c r="B934" s="20">
        <v>750000</v>
      </c>
      <c r="C934" s="20"/>
      <c r="D934" s="20"/>
      <c r="E934" s="99" t="s">
        <v>588</v>
      </c>
      <c r="F934" s="20">
        <f t="shared" si="14"/>
        <v>244349023</v>
      </c>
      <c r="G934" s="7" t="s">
        <v>622</v>
      </c>
      <c r="H934" s="24" t="s">
        <v>323</v>
      </c>
      <c r="I934" s="32" t="s">
        <v>152</v>
      </c>
      <c r="K934" s="181"/>
      <c r="L934" s="181"/>
    </row>
    <row r="935" spans="1:12" x14ac:dyDescent="0.35">
      <c r="A935" s="19">
        <v>45787</v>
      </c>
      <c r="B935" s="20">
        <v>6500</v>
      </c>
      <c r="C935" s="20"/>
      <c r="D935" s="20"/>
      <c r="E935" s="99" t="s">
        <v>588</v>
      </c>
      <c r="F935" s="20">
        <f t="shared" si="14"/>
        <v>244342523</v>
      </c>
      <c r="G935" s="7" t="s">
        <v>623</v>
      </c>
      <c r="H935" s="24" t="s">
        <v>323</v>
      </c>
      <c r="I935" s="32" t="s">
        <v>152</v>
      </c>
      <c r="K935" s="181"/>
      <c r="L935" s="181"/>
    </row>
    <row r="936" spans="1:12" x14ac:dyDescent="0.35">
      <c r="A936" s="19">
        <v>45787</v>
      </c>
      <c r="B936" s="20"/>
      <c r="C936" s="20"/>
      <c r="D936" s="20">
        <v>5000000</v>
      </c>
      <c r="E936" s="99" t="s">
        <v>588</v>
      </c>
      <c r="F936" s="20">
        <f t="shared" si="14"/>
        <v>249342523</v>
      </c>
      <c r="G936" s="7" t="s">
        <v>618</v>
      </c>
      <c r="H936" s="24" t="s">
        <v>619</v>
      </c>
      <c r="I936" s="32" t="s">
        <v>152</v>
      </c>
      <c r="K936" s="181"/>
      <c r="L936" s="181"/>
    </row>
    <row r="937" spans="1:12" x14ac:dyDescent="0.35">
      <c r="A937" s="19">
        <v>45787</v>
      </c>
      <c r="B937" s="20"/>
      <c r="C937" s="20"/>
      <c r="D937" s="20">
        <v>5000000</v>
      </c>
      <c r="E937" s="99" t="s">
        <v>588</v>
      </c>
      <c r="F937" s="20">
        <f t="shared" si="14"/>
        <v>254342523</v>
      </c>
      <c r="G937" s="7" t="s">
        <v>618</v>
      </c>
      <c r="H937" s="24" t="s">
        <v>619</v>
      </c>
      <c r="I937" s="32" t="s">
        <v>152</v>
      </c>
      <c r="K937" s="181"/>
      <c r="L937" s="181"/>
    </row>
    <row r="938" spans="1:12" x14ac:dyDescent="0.35">
      <c r="A938" s="19">
        <v>45787</v>
      </c>
      <c r="B938" s="20"/>
      <c r="C938" s="20"/>
      <c r="D938" s="20">
        <v>5000000</v>
      </c>
      <c r="E938" s="99" t="s">
        <v>588</v>
      </c>
      <c r="F938" s="20">
        <f t="shared" si="14"/>
        <v>259342523</v>
      </c>
      <c r="G938" s="7" t="s">
        <v>618</v>
      </c>
      <c r="H938" s="24" t="s">
        <v>619</v>
      </c>
      <c r="I938" s="32" t="s">
        <v>152</v>
      </c>
      <c r="K938" s="181"/>
      <c r="L938" s="181"/>
    </row>
    <row r="939" spans="1:12" x14ac:dyDescent="0.35">
      <c r="A939" s="19">
        <v>45787</v>
      </c>
      <c r="B939" s="20"/>
      <c r="C939" s="20"/>
      <c r="D939" s="20">
        <v>5000000</v>
      </c>
      <c r="E939" s="99" t="s">
        <v>588</v>
      </c>
      <c r="F939" s="20">
        <f t="shared" si="14"/>
        <v>264342523</v>
      </c>
      <c r="G939" s="7" t="s">
        <v>618</v>
      </c>
      <c r="H939" s="24" t="s">
        <v>619</v>
      </c>
      <c r="I939" s="32" t="s">
        <v>152</v>
      </c>
      <c r="K939" s="181"/>
      <c r="L939" s="181"/>
    </row>
    <row r="940" spans="1:12" x14ac:dyDescent="0.35">
      <c r="A940" s="19">
        <v>45788</v>
      </c>
      <c r="B940" s="20">
        <v>750000</v>
      </c>
      <c r="C940" s="20"/>
      <c r="D940" s="20"/>
      <c r="E940" s="99" t="s">
        <v>588</v>
      </c>
      <c r="F940" s="20">
        <f t="shared" si="14"/>
        <v>263592523</v>
      </c>
      <c r="G940" s="7" t="s">
        <v>624</v>
      </c>
      <c r="H940" s="24" t="s">
        <v>323</v>
      </c>
      <c r="I940" s="32" t="s">
        <v>152</v>
      </c>
      <c r="K940" s="181"/>
      <c r="L940" s="181"/>
    </row>
    <row r="941" spans="1:12" x14ac:dyDescent="0.35">
      <c r="A941" s="19">
        <v>45788</v>
      </c>
      <c r="B941" s="20"/>
      <c r="C941" s="20"/>
      <c r="D941" s="20">
        <v>10000</v>
      </c>
      <c r="E941" s="99" t="s">
        <v>588</v>
      </c>
      <c r="F941" s="20">
        <f t="shared" si="14"/>
        <v>263602523</v>
      </c>
      <c r="G941" s="7" t="s">
        <v>330</v>
      </c>
      <c r="H941" s="24" t="s">
        <v>109</v>
      </c>
      <c r="I941" s="32" t="s">
        <v>152</v>
      </c>
      <c r="K941" s="181"/>
      <c r="L941" s="181"/>
    </row>
    <row r="942" spans="1:12" x14ac:dyDescent="0.35">
      <c r="A942" s="19">
        <v>45788</v>
      </c>
      <c r="B942" s="20"/>
      <c r="C942" s="20"/>
      <c r="D942" s="20">
        <v>10000</v>
      </c>
      <c r="E942" s="99" t="s">
        <v>588</v>
      </c>
      <c r="F942" s="20">
        <f t="shared" si="14"/>
        <v>263612523</v>
      </c>
      <c r="G942" s="7" t="s">
        <v>330</v>
      </c>
      <c r="H942" s="24" t="s">
        <v>109</v>
      </c>
      <c r="I942" s="32" t="s">
        <v>152</v>
      </c>
      <c r="K942" s="181"/>
      <c r="L942" s="181"/>
    </row>
    <row r="943" spans="1:12" x14ac:dyDescent="0.35">
      <c r="A943" s="19">
        <v>45788</v>
      </c>
      <c r="B943" s="20"/>
      <c r="C943" s="20"/>
      <c r="D943" s="20">
        <v>20000</v>
      </c>
      <c r="E943" s="99" t="s">
        <v>588</v>
      </c>
      <c r="F943" s="20">
        <f t="shared" si="14"/>
        <v>263632523</v>
      </c>
      <c r="G943" s="7" t="s">
        <v>330</v>
      </c>
      <c r="H943" s="24" t="s">
        <v>109</v>
      </c>
      <c r="I943" s="32" t="s">
        <v>152</v>
      </c>
      <c r="K943" s="181"/>
      <c r="L943" s="181"/>
    </row>
    <row r="944" spans="1:12" x14ac:dyDescent="0.35">
      <c r="A944" s="19">
        <v>45788</v>
      </c>
      <c r="B944" s="20"/>
      <c r="C944" s="20"/>
      <c r="D944" s="20">
        <v>4500000</v>
      </c>
      <c r="E944" s="99" t="s">
        <v>588</v>
      </c>
      <c r="F944" s="20">
        <f t="shared" si="14"/>
        <v>268132523</v>
      </c>
      <c r="G944" s="7" t="s">
        <v>618</v>
      </c>
      <c r="H944" s="24" t="s">
        <v>619</v>
      </c>
      <c r="I944" s="32" t="s">
        <v>152</v>
      </c>
      <c r="K944" s="181"/>
      <c r="L944" s="181"/>
    </row>
    <row r="945" spans="1:12" x14ac:dyDescent="0.35">
      <c r="A945" s="19">
        <v>45788</v>
      </c>
      <c r="B945" s="20"/>
      <c r="C945" s="20"/>
      <c r="D945" s="20">
        <v>20000000</v>
      </c>
      <c r="E945" s="99" t="s">
        <v>588</v>
      </c>
      <c r="F945" s="20">
        <f t="shared" si="14"/>
        <v>288132523</v>
      </c>
      <c r="G945" s="7" t="s">
        <v>618</v>
      </c>
      <c r="H945" s="24" t="s">
        <v>619</v>
      </c>
      <c r="I945" s="32" t="s">
        <v>152</v>
      </c>
      <c r="K945" s="181"/>
      <c r="L945" s="181"/>
    </row>
    <row r="946" spans="1:12" x14ac:dyDescent="0.35">
      <c r="A946" s="19">
        <v>45788</v>
      </c>
      <c r="B946" s="20"/>
      <c r="C946" s="20"/>
      <c r="D946" s="20">
        <v>8500000</v>
      </c>
      <c r="E946" s="99" t="s">
        <v>588</v>
      </c>
      <c r="F946" s="20">
        <f t="shared" si="14"/>
        <v>296632523</v>
      </c>
      <c r="G946" s="7" t="s">
        <v>618</v>
      </c>
      <c r="H946" s="24" t="s">
        <v>619</v>
      </c>
      <c r="I946" s="32" t="s">
        <v>152</v>
      </c>
      <c r="K946" s="181"/>
      <c r="L946" s="181"/>
    </row>
    <row r="947" spans="1:12" x14ac:dyDescent="0.35">
      <c r="A947" s="19">
        <v>45788</v>
      </c>
      <c r="B947" s="20"/>
      <c r="C947" s="20"/>
      <c r="D947" s="20">
        <v>5000000</v>
      </c>
      <c r="E947" s="99" t="s">
        <v>588</v>
      </c>
      <c r="F947" s="20">
        <f t="shared" si="14"/>
        <v>301632523</v>
      </c>
      <c r="G947" s="7" t="s">
        <v>618</v>
      </c>
      <c r="H947" s="24" t="s">
        <v>619</v>
      </c>
      <c r="I947" s="32" t="s">
        <v>152</v>
      </c>
      <c r="K947" s="181"/>
      <c r="L947" s="181"/>
    </row>
    <row r="948" spans="1:12" x14ac:dyDescent="0.35">
      <c r="A948" s="19">
        <v>45789</v>
      </c>
      <c r="B948" s="20"/>
      <c r="C948" s="20"/>
      <c r="D948" s="20">
        <v>5000000</v>
      </c>
      <c r="E948" s="99" t="s">
        <v>588</v>
      </c>
      <c r="F948" s="20">
        <f t="shared" si="14"/>
        <v>306632523</v>
      </c>
      <c r="G948" s="7" t="s">
        <v>618</v>
      </c>
      <c r="H948" s="24" t="s">
        <v>619</v>
      </c>
      <c r="I948" s="32" t="s">
        <v>152</v>
      </c>
      <c r="K948" s="181"/>
      <c r="L948" s="181"/>
    </row>
    <row r="949" spans="1:12" x14ac:dyDescent="0.35">
      <c r="A949" s="19">
        <v>45789</v>
      </c>
      <c r="B949" s="20"/>
      <c r="C949" s="20"/>
      <c r="D949" s="20">
        <v>25000</v>
      </c>
      <c r="E949" s="99" t="s">
        <v>588</v>
      </c>
      <c r="F949" s="20">
        <f t="shared" si="14"/>
        <v>306657523</v>
      </c>
      <c r="G949" s="7" t="s">
        <v>330</v>
      </c>
      <c r="H949" s="24" t="s">
        <v>109</v>
      </c>
      <c r="I949" s="32" t="s">
        <v>152</v>
      </c>
      <c r="K949" s="181"/>
      <c r="L949" s="181"/>
    </row>
    <row r="950" spans="1:12" x14ac:dyDescent="0.35">
      <c r="A950" s="19">
        <v>45789</v>
      </c>
      <c r="B950" s="20"/>
      <c r="C950" s="20"/>
      <c r="D950" s="20">
        <v>5000000</v>
      </c>
      <c r="E950" s="99" t="s">
        <v>588</v>
      </c>
      <c r="F950" s="20">
        <f t="shared" si="14"/>
        <v>311657523</v>
      </c>
      <c r="G950" s="7" t="s">
        <v>618</v>
      </c>
      <c r="H950" s="24" t="s">
        <v>619</v>
      </c>
      <c r="I950" s="32" t="s">
        <v>152</v>
      </c>
      <c r="K950" s="181"/>
      <c r="L950" s="181"/>
    </row>
    <row r="951" spans="1:12" x14ac:dyDescent="0.35">
      <c r="A951" s="19">
        <v>45789</v>
      </c>
      <c r="B951" s="20"/>
      <c r="C951" s="20"/>
      <c r="D951" s="20">
        <v>1750000</v>
      </c>
      <c r="E951" s="99" t="s">
        <v>588</v>
      </c>
      <c r="F951" s="20">
        <f t="shared" si="14"/>
        <v>313407523</v>
      </c>
      <c r="G951" s="7" t="s">
        <v>618</v>
      </c>
      <c r="H951" s="24" t="s">
        <v>619</v>
      </c>
      <c r="I951" s="32" t="s">
        <v>152</v>
      </c>
      <c r="K951" s="181"/>
      <c r="L951" s="181"/>
    </row>
    <row r="952" spans="1:12" x14ac:dyDescent="0.35">
      <c r="A952" s="19">
        <v>45789</v>
      </c>
      <c r="B952" s="20"/>
      <c r="C952" s="20"/>
      <c r="D952" s="20">
        <v>10500000</v>
      </c>
      <c r="E952" s="99" t="s">
        <v>588</v>
      </c>
      <c r="F952" s="20">
        <f t="shared" si="14"/>
        <v>323907523</v>
      </c>
      <c r="G952" s="7" t="s">
        <v>618</v>
      </c>
      <c r="H952" s="24" t="s">
        <v>619</v>
      </c>
      <c r="I952" s="32" t="s">
        <v>152</v>
      </c>
      <c r="K952" s="181"/>
      <c r="L952" s="181"/>
    </row>
    <row r="953" spans="1:12" x14ac:dyDescent="0.35">
      <c r="A953" s="19">
        <v>45789</v>
      </c>
      <c r="B953" s="20"/>
      <c r="C953" s="20"/>
      <c r="D953" s="20">
        <v>5000000</v>
      </c>
      <c r="E953" s="99" t="s">
        <v>588</v>
      </c>
      <c r="F953" s="20">
        <f t="shared" si="14"/>
        <v>328907523</v>
      </c>
      <c r="G953" s="7" t="s">
        <v>618</v>
      </c>
      <c r="H953" s="24" t="s">
        <v>619</v>
      </c>
      <c r="I953" s="32" t="s">
        <v>152</v>
      </c>
      <c r="K953" s="181"/>
      <c r="L953" s="181"/>
    </row>
    <row r="954" spans="1:12" x14ac:dyDescent="0.35">
      <c r="A954" s="19">
        <v>45790</v>
      </c>
      <c r="B954" s="20"/>
      <c r="C954" s="20"/>
      <c r="D954" s="20">
        <v>500000</v>
      </c>
      <c r="E954" s="99" t="s">
        <v>588</v>
      </c>
      <c r="F954" s="20">
        <f t="shared" si="14"/>
        <v>329407523</v>
      </c>
      <c r="G954" s="7" t="s">
        <v>330</v>
      </c>
      <c r="H954" s="24" t="s">
        <v>109</v>
      </c>
      <c r="I954" s="32" t="s">
        <v>152</v>
      </c>
      <c r="K954" s="181"/>
      <c r="L954" s="181"/>
    </row>
    <row r="955" spans="1:12" x14ac:dyDescent="0.35">
      <c r="A955" s="19">
        <v>45790</v>
      </c>
      <c r="B955" s="20"/>
      <c r="C955" s="20"/>
      <c r="D955" s="20">
        <v>3500000</v>
      </c>
      <c r="E955" s="99" t="s">
        <v>588</v>
      </c>
      <c r="F955" s="20">
        <f t="shared" si="14"/>
        <v>332907523</v>
      </c>
      <c r="G955" s="7" t="s">
        <v>618</v>
      </c>
      <c r="H955" s="24" t="s">
        <v>619</v>
      </c>
      <c r="I955" s="32" t="s">
        <v>152</v>
      </c>
      <c r="K955" s="181"/>
      <c r="L955" s="181"/>
    </row>
    <row r="956" spans="1:12" x14ac:dyDescent="0.35">
      <c r="A956" s="19">
        <v>45790</v>
      </c>
      <c r="B956" s="20"/>
      <c r="C956" s="20"/>
      <c r="D956" s="20">
        <v>5000000</v>
      </c>
      <c r="E956" s="99" t="s">
        <v>588</v>
      </c>
      <c r="F956" s="20">
        <f t="shared" si="14"/>
        <v>337907523</v>
      </c>
      <c r="G956" s="7" t="s">
        <v>618</v>
      </c>
      <c r="H956" s="24" t="s">
        <v>619</v>
      </c>
      <c r="I956" s="32" t="s">
        <v>152</v>
      </c>
      <c r="K956" s="181"/>
      <c r="L956" s="181"/>
    </row>
    <row r="957" spans="1:12" x14ac:dyDescent="0.35">
      <c r="A957" s="19">
        <v>45790</v>
      </c>
      <c r="B957" s="20"/>
      <c r="C957" s="20"/>
      <c r="D957" s="20">
        <v>4000000</v>
      </c>
      <c r="E957" s="99" t="s">
        <v>588</v>
      </c>
      <c r="F957" s="20">
        <f t="shared" si="14"/>
        <v>341907523</v>
      </c>
      <c r="G957" s="7" t="s">
        <v>618</v>
      </c>
      <c r="H957" s="24" t="s">
        <v>619</v>
      </c>
      <c r="I957" s="32" t="s">
        <v>152</v>
      </c>
      <c r="K957" s="181"/>
      <c r="L957" s="181"/>
    </row>
    <row r="958" spans="1:12" x14ac:dyDescent="0.35">
      <c r="A958" s="19">
        <v>45791</v>
      </c>
      <c r="B958" s="20"/>
      <c r="C958" s="20"/>
      <c r="D958" s="20">
        <v>4500000</v>
      </c>
      <c r="E958" s="99" t="s">
        <v>588</v>
      </c>
      <c r="F958" s="20">
        <f t="shared" si="14"/>
        <v>346407523</v>
      </c>
      <c r="G958" s="7" t="s">
        <v>618</v>
      </c>
      <c r="H958" s="24" t="s">
        <v>619</v>
      </c>
      <c r="I958" s="32" t="s">
        <v>152</v>
      </c>
      <c r="K958" s="181"/>
      <c r="L958" s="181"/>
    </row>
    <row r="959" spans="1:12" x14ac:dyDescent="0.35">
      <c r="A959" s="19">
        <v>45791</v>
      </c>
      <c r="B959" s="20"/>
      <c r="C959" s="20"/>
      <c r="D959" s="20">
        <v>350000</v>
      </c>
      <c r="E959" s="99" t="s">
        <v>588</v>
      </c>
      <c r="F959" s="20">
        <f t="shared" si="14"/>
        <v>346757523</v>
      </c>
      <c r="G959" s="7" t="s">
        <v>330</v>
      </c>
      <c r="H959" s="24" t="s">
        <v>109</v>
      </c>
      <c r="I959" s="32" t="s">
        <v>152</v>
      </c>
      <c r="K959" s="181"/>
      <c r="L959" s="181"/>
    </row>
    <row r="960" spans="1:12" x14ac:dyDescent="0.35">
      <c r="A960" s="19">
        <v>45791</v>
      </c>
      <c r="B960" s="20"/>
      <c r="C960" s="20"/>
      <c r="D960" s="20">
        <v>28000000</v>
      </c>
      <c r="E960" s="99" t="s">
        <v>588</v>
      </c>
      <c r="F960" s="20">
        <f t="shared" si="14"/>
        <v>374757523</v>
      </c>
      <c r="G960" s="7" t="s">
        <v>618</v>
      </c>
      <c r="H960" s="24" t="s">
        <v>619</v>
      </c>
      <c r="I960" s="32" t="s">
        <v>152</v>
      </c>
      <c r="K960" s="181"/>
      <c r="L960" s="181"/>
    </row>
    <row r="961" spans="1:12" x14ac:dyDescent="0.35">
      <c r="A961" s="19">
        <v>45791</v>
      </c>
      <c r="B961" s="20"/>
      <c r="C961" s="20"/>
      <c r="D961" s="23">
        <v>3162000</v>
      </c>
      <c r="E961" s="99" t="s">
        <v>588</v>
      </c>
      <c r="F961" s="20">
        <f t="shared" si="14"/>
        <v>377919523</v>
      </c>
      <c r="G961" s="24"/>
      <c r="H961" s="24" t="s">
        <v>107</v>
      </c>
      <c r="I961" s="32" t="s">
        <v>152</v>
      </c>
      <c r="K961" s="181"/>
      <c r="L961" s="181"/>
    </row>
    <row r="962" spans="1:12" x14ac:dyDescent="0.35">
      <c r="A962" s="19">
        <v>45791</v>
      </c>
      <c r="B962" s="20"/>
      <c r="C962" s="20"/>
      <c r="D962" s="23">
        <v>569000</v>
      </c>
      <c r="E962" s="99" t="s">
        <v>588</v>
      </c>
      <c r="F962" s="20">
        <f t="shared" si="14"/>
        <v>378488523</v>
      </c>
      <c r="G962" s="24"/>
      <c r="H962" s="24" t="s">
        <v>109</v>
      </c>
      <c r="I962" s="32" t="s">
        <v>152</v>
      </c>
      <c r="K962" s="181"/>
      <c r="L962" s="181"/>
    </row>
    <row r="963" spans="1:12" x14ac:dyDescent="0.35">
      <c r="A963" s="19"/>
      <c r="B963" s="20"/>
      <c r="C963" s="20">
        <v>3731000</v>
      </c>
      <c r="D963" s="20"/>
      <c r="E963" s="99"/>
      <c r="F963" s="20">
        <f t="shared" si="14"/>
        <v>378488523</v>
      </c>
      <c r="G963" s="7" t="s">
        <v>625</v>
      </c>
      <c r="H963" s="24"/>
      <c r="I963" s="32"/>
      <c r="K963" s="181"/>
      <c r="L963" s="181"/>
    </row>
    <row r="964" spans="1:12" x14ac:dyDescent="0.35">
      <c r="A964" s="19">
        <v>45791</v>
      </c>
      <c r="B964" s="20"/>
      <c r="C964" s="20"/>
      <c r="D964" s="20">
        <v>4500000</v>
      </c>
      <c r="E964" s="99" t="s">
        <v>588</v>
      </c>
      <c r="F964" s="20">
        <f t="shared" si="14"/>
        <v>382988523</v>
      </c>
      <c r="G964" s="7" t="s">
        <v>618</v>
      </c>
      <c r="H964" s="24" t="s">
        <v>619</v>
      </c>
      <c r="I964" s="32" t="s">
        <v>152</v>
      </c>
      <c r="K964" s="181"/>
      <c r="L964" s="181"/>
    </row>
    <row r="965" spans="1:12" x14ac:dyDescent="0.35">
      <c r="A965" s="19">
        <v>45791</v>
      </c>
      <c r="B965" s="20"/>
      <c r="C965" s="20"/>
      <c r="D965" s="20">
        <v>4000000</v>
      </c>
      <c r="E965" s="99" t="s">
        <v>588</v>
      </c>
      <c r="F965" s="20">
        <f t="shared" si="14"/>
        <v>386988523</v>
      </c>
      <c r="G965" s="7" t="s">
        <v>618</v>
      </c>
      <c r="H965" s="24" t="s">
        <v>619</v>
      </c>
      <c r="I965" s="32" t="s">
        <v>152</v>
      </c>
      <c r="K965" s="181"/>
      <c r="L965" s="181"/>
    </row>
    <row r="966" spans="1:12" x14ac:dyDescent="0.35">
      <c r="A966" s="19">
        <v>45791</v>
      </c>
      <c r="B966" s="20"/>
      <c r="C966" s="20"/>
      <c r="D966" s="20">
        <v>3500000</v>
      </c>
      <c r="E966" s="99" t="s">
        <v>588</v>
      </c>
      <c r="F966" s="20">
        <f t="shared" si="14"/>
        <v>390488523</v>
      </c>
      <c r="G966" s="7" t="s">
        <v>618</v>
      </c>
      <c r="H966" s="24" t="s">
        <v>619</v>
      </c>
      <c r="I966" s="32" t="s">
        <v>152</v>
      </c>
      <c r="K966" s="181"/>
      <c r="L966" s="181"/>
    </row>
    <row r="967" spans="1:12" x14ac:dyDescent="0.35">
      <c r="A967" s="19">
        <v>45791</v>
      </c>
      <c r="B967" s="20"/>
      <c r="C967" s="20"/>
      <c r="D967" s="20">
        <v>4000000</v>
      </c>
      <c r="E967" s="99" t="s">
        <v>588</v>
      </c>
      <c r="F967" s="20">
        <f t="shared" si="14"/>
        <v>394488523</v>
      </c>
      <c r="G967" s="7" t="s">
        <v>618</v>
      </c>
      <c r="H967" s="24" t="s">
        <v>619</v>
      </c>
      <c r="I967" s="32" t="s">
        <v>152</v>
      </c>
      <c r="K967" s="181"/>
      <c r="L967" s="181"/>
    </row>
    <row r="968" spans="1:12" x14ac:dyDescent="0.35">
      <c r="A968" s="19">
        <v>45792</v>
      </c>
      <c r="B968" s="20"/>
      <c r="C968" s="20"/>
      <c r="D968" s="20">
        <v>50000</v>
      </c>
      <c r="E968" s="99" t="s">
        <v>588</v>
      </c>
      <c r="F968" s="20">
        <f t="shared" si="14"/>
        <v>394538523</v>
      </c>
      <c r="G968" s="7" t="s">
        <v>330</v>
      </c>
      <c r="H968" s="24" t="s">
        <v>109</v>
      </c>
      <c r="I968" s="32" t="s">
        <v>152</v>
      </c>
      <c r="K968" s="181"/>
      <c r="L968" s="181"/>
    </row>
    <row r="969" spans="1:12" x14ac:dyDescent="0.35">
      <c r="A969" s="19">
        <v>45792</v>
      </c>
      <c r="B969" s="20"/>
      <c r="C969" s="20"/>
      <c r="D969" s="20">
        <v>10000</v>
      </c>
      <c r="E969" s="99" t="s">
        <v>588</v>
      </c>
      <c r="F969" s="20">
        <f t="shared" si="14"/>
        <v>394548523</v>
      </c>
      <c r="G969" s="7" t="s">
        <v>330</v>
      </c>
      <c r="H969" s="24" t="s">
        <v>109</v>
      </c>
      <c r="I969" s="32" t="s">
        <v>152</v>
      </c>
      <c r="K969" s="181"/>
      <c r="L969" s="181"/>
    </row>
    <row r="970" spans="1:12" x14ac:dyDescent="0.35">
      <c r="A970" s="19">
        <v>45792</v>
      </c>
      <c r="B970" s="20"/>
      <c r="C970" s="20"/>
      <c r="D970" s="20">
        <v>10000</v>
      </c>
      <c r="E970" s="99" t="s">
        <v>588</v>
      </c>
      <c r="F970" s="20">
        <f t="shared" ref="F970:F1033" si="15">+F969+D970-B970</f>
        <v>394558523</v>
      </c>
      <c r="G970" s="7" t="s">
        <v>330</v>
      </c>
      <c r="H970" s="24" t="s">
        <v>109</v>
      </c>
      <c r="I970" s="32" t="s">
        <v>152</v>
      </c>
      <c r="K970" s="181"/>
      <c r="L970" s="181"/>
    </row>
    <row r="971" spans="1:12" x14ac:dyDescent="0.35">
      <c r="A971" s="19">
        <v>45792</v>
      </c>
      <c r="B971" s="20"/>
      <c r="C971" s="20"/>
      <c r="D971" s="20">
        <v>4000000</v>
      </c>
      <c r="E971" s="99" t="s">
        <v>588</v>
      </c>
      <c r="F971" s="20">
        <f t="shared" si="15"/>
        <v>398558523</v>
      </c>
      <c r="G971" s="7" t="s">
        <v>618</v>
      </c>
      <c r="H971" s="24" t="s">
        <v>619</v>
      </c>
      <c r="I971" s="32" t="s">
        <v>152</v>
      </c>
      <c r="K971" s="181"/>
      <c r="L971" s="181"/>
    </row>
    <row r="972" spans="1:12" x14ac:dyDescent="0.35">
      <c r="A972" s="19">
        <v>45792</v>
      </c>
      <c r="B972" s="20"/>
      <c r="C972" s="20"/>
      <c r="D972" s="20">
        <v>8500000</v>
      </c>
      <c r="E972" s="99" t="s">
        <v>588</v>
      </c>
      <c r="F972" s="20">
        <f t="shared" si="15"/>
        <v>407058523</v>
      </c>
      <c r="G972" s="7" t="s">
        <v>618</v>
      </c>
      <c r="H972" s="24" t="s">
        <v>619</v>
      </c>
      <c r="I972" s="32" t="s">
        <v>152</v>
      </c>
      <c r="K972" s="181"/>
      <c r="L972" s="181"/>
    </row>
    <row r="973" spans="1:12" x14ac:dyDescent="0.35">
      <c r="A973" s="19">
        <v>45793</v>
      </c>
      <c r="B973" s="20"/>
      <c r="C973" s="20"/>
      <c r="D973" s="20">
        <v>10000</v>
      </c>
      <c r="E973" s="99" t="s">
        <v>588</v>
      </c>
      <c r="F973" s="20">
        <f t="shared" si="15"/>
        <v>407068523</v>
      </c>
      <c r="G973" s="7" t="s">
        <v>330</v>
      </c>
      <c r="H973" s="24" t="s">
        <v>109</v>
      </c>
      <c r="I973" s="32" t="s">
        <v>152</v>
      </c>
      <c r="K973" s="181"/>
      <c r="L973" s="181"/>
    </row>
    <row r="974" spans="1:12" x14ac:dyDescent="0.35">
      <c r="A974" s="19">
        <v>45793</v>
      </c>
      <c r="B974" s="20"/>
      <c r="C974" s="20"/>
      <c r="D974" s="20">
        <v>10000</v>
      </c>
      <c r="E974" s="99" t="s">
        <v>588</v>
      </c>
      <c r="F974" s="20">
        <f t="shared" si="15"/>
        <v>407078523</v>
      </c>
      <c r="G974" s="7" t="s">
        <v>330</v>
      </c>
      <c r="H974" s="24" t="s">
        <v>109</v>
      </c>
      <c r="I974" s="32" t="s">
        <v>152</v>
      </c>
      <c r="K974" s="181"/>
      <c r="L974" s="181"/>
    </row>
    <row r="975" spans="1:12" x14ac:dyDescent="0.35">
      <c r="A975" s="19">
        <v>45793</v>
      </c>
      <c r="B975" s="20"/>
      <c r="C975" s="20"/>
      <c r="D975" s="20">
        <v>35000</v>
      </c>
      <c r="E975" s="99" t="s">
        <v>588</v>
      </c>
      <c r="F975" s="20">
        <f t="shared" si="15"/>
        <v>407113523</v>
      </c>
      <c r="G975" s="7" t="s">
        <v>330</v>
      </c>
      <c r="H975" s="24" t="s">
        <v>109</v>
      </c>
      <c r="I975" s="32" t="s">
        <v>152</v>
      </c>
      <c r="K975" s="181"/>
      <c r="L975" s="181"/>
    </row>
    <row r="976" spans="1:12" x14ac:dyDescent="0.35">
      <c r="A976" s="19">
        <v>45793</v>
      </c>
      <c r="B976" s="20">
        <v>30000000</v>
      </c>
      <c r="C976" s="20"/>
      <c r="D976" s="20"/>
      <c r="E976" s="99" t="s">
        <v>588</v>
      </c>
      <c r="F976" s="20">
        <f t="shared" si="15"/>
        <v>377113523</v>
      </c>
      <c r="G976" s="7" t="s">
        <v>627</v>
      </c>
      <c r="H976" s="24" t="s">
        <v>614</v>
      </c>
      <c r="I976" s="32" t="s">
        <v>152</v>
      </c>
      <c r="K976" s="181"/>
      <c r="L976" s="181"/>
    </row>
    <row r="977" spans="1:12" x14ac:dyDescent="0.35">
      <c r="A977" s="19">
        <v>45793</v>
      </c>
      <c r="B977" s="20">
        <v>2900</v>
      </c>
      <c r="C977" s="20"/>
      <c r="D977" s="20"/>
      <c r="E977" s="99" t="s">
        <v>588</v>
      </c>
      <c r="F977" s="20">
        <f t="shared" si="15"/>
        <v>377110623</v>
      </c>
      <c r="G977" s="7" t="s">
        <v>628</v>
      </c>
      <c r="H977" s="24" t="s">
        <v>614</v>
      </c>
      <c r="I977" s="32" t="s">
        <v>152</v>
      </c>
      <c r="K977" s="181"/>
      <c r="L977" s="181"/>
    </row>
    <row r="978" spans="1:12" x14ac:dyDescent="0.35">
      <c r="A978" s="19">
        <v>45793</v>
      </c>
      <c r="B978" s="20">
        <v>6000</v>
      </c>
      <c r="C978" s="20"/>
      <c r="D978" s="20"/>
      <c r="E978" s="99" t="s">
        <v>588</v>
      </c>
      <c r="F978" s="20">
        <f t="shared" si="15"/>
        <v>377104623</v>
      </c>
      <c r="G978" s="7" t="s">
        <v>629</v>
      </c>
      <c r="H978" s="24" t="s">
        <v>320</v>
      </c>
      <c r="I978" s="32" t="s">
        <v>152</v>
      </c>
      <c r="K978" s="181"/>
      <c r="L978" s="181"/>
    </row>
    <row r="979" spans="1:12" x14ac:dyDescent="0.35">
      <c r="A979" s="19">
        <v>45793</v>
      </c>
      <c r="B979" s="20"/>
      <c r="C979" s="20"/>
      <c r="D979" s="20">
        <v>5000000</v>
      </c>
      <c r="E979" s="99" t="s">
        <v>588</v>
      </c>
      <c r="F979" s="20">
        <f t="shared" si="15"/>
        <v>382104623</v>
      </c>
      <c r="G979" s="7" t="s">
        <v>630</v>
      </c>
      <c r="H979" s="24" t="s">
        <v>619</v>
      </c>
      <c r="I979" s="32" t="s">
        <v>152</v>
      </c>
      <c r="K979" s="181"/>
      <c r="L979" s="181"/>
    </row>
    <row r="980" spans="1:12" x14ac:dyDescent="0.35">
      <c r="A980" s="19">
        <v>45794</v>
      </c>
      <c r="B980" s="20">
        <v>750000</v>
      </c>
      <c r="C980" s="20"/>
      <c r="D980" s="20"/>
      <c r="E980" s="99" t="s">
        <v>588</v>
      </c>
      <c r="F980" s="20">
        <f t="shared" si="15"/>
        <v>381354623</v>
      </c>
      <c r="G980" s="7" t="s">
        <v>631</v>
      </c>
      <c r="H980" s="24" t="s">
        <v>323</v>
      </c>
      <c r="I980" s="32" t="s">
        <v>152</v>
      </c>
      <c r="K980" s="181"/>
      <c r="L980" s="181"/>
    </row>
    <row r="981" spans="1:12" x14ac:dyDescent="0.35">
      <c r="A981" s="19">
        <v>45794</v>
      </c>
      <c r="B981" s="20"/>
      <c r="C981" s="20"/>
      <c r="D981" s="20">
        <v>7500000</v>
      </c>
      <c r="E981" s="99" t="s">
        <v>588</v>
      </c>
      <c r="F981" s="20">
        <f t="shared" si="15"/>
        <v>388854623</v>
      </c>
      <c r="G981" s="7" t="s">
        <v>630</v>
      </c>
      <c r="H981" s="24" t="s">
        <v>619</v>
      </c>
      <c r="I981" s="32" t="s">
        <v>152</v>
      </c>
      <c r="K981" s="181"/>
      <c r="L981" s="181"/>
    </row>
    <row r="982" spans="1:12" x14ac:dyDescent="0.35">
      <c r="A982" s="19">
        <v>45794</v>
      </c>
      <c r="B982" s="20"/>
      <c r="C982" s="20"/>
      <c r="D982" s="20">
        <v>100000</v>
      </c>
      <c r="E982" s="99" t="s">
        <v>588</v>
      </c>
      <c r="F982" s="20">
        <f t="shared" si="15"/>
        <v>388954623</v>
      </c>
      <c r="G982" s="7" t="s">
        <v>330</v>
      </c>
      <c r="H982" s="24" t="s">
        <v>109</v>
      </c>
      <c r="I982" s="32" t="s">
        <v>152</v>
      </c>
      <c r="K982" s="181"/>
      <c r="L982" s="181"/>
    </row>
    <row r="983" spans="1:12" x14ac:dyDescent="0.35">
      <c r="A983" s="19">
        <v>45794</v>
      </c>
      <c r="B983" s="20"/>
      <c r="C983" s="20"/>
      <c r="D983" s="20">
        <v>25000</v>
      </c>
      <c r="E983" s="99" t="s">
        <v>588</v>
      </c>
      <c r="F983" s="20">
        <f t="shared" si="15"/>
        <v>388979623</v>
      </c>
      <c r="G983" s="7" t="s">
        <v>330</v>
      </c>
      <c r="H983" s="24" t="s">
        <v>109</v>
      </c>
      <c r="I983" s="32" t="s">
        <v>152</v>
      </c>
      <c r="K983" s="181"/>
      <c r="L983" s="181"/>
    </row>
    <row r="984" spans="1:12" x14ac:dyDescent="0.35">
      <c r="A984" s="19">
        <v>45794</v>
      </c>
      <c r="B984" s="20"/>
      <c r="C984" s="20"/>
      <c r="D984" s="20">
        <v>10000</v>
      </c>
      <c r="E984" s="99" t="s">
        <v>588</v>
      </c>
      <c r="F984" s="20">
        <f t="shared" si="15"/>
        <v>388989623</v>
      </c>
      <c r="G984" s="7" t="s">
        <v>330</v>
      </c>
      <c r="H984" s="24" t="s">
        <v>109</v>
      </c>
      <c r="I984" s="32" t="s">
        <v>152</v>
      </c>
      <c r="K984" s="181"/>
      <c r="L984" s="181"/>
    </row>
    <row r="985" spans="1:12" x14ac:dyDescent="0.35">
      <c r="A985" s="19">
        <v>45794</v>
      </c>
      <c r="B985" s="20"/>
      <c r="C985" s="20"/>
      <c r="D985" s="20">
        <v>5000</v>
      </c>
      <c r="E985" s="99" t="s">
        <v>588</v>
      </c>
      <c r="F985" s="20">
        <f t="shared" si="15"/>
        <v>388994623</v>
      </c>
      <c r="G985" s="7" t="s">
        <v>330</v>
      </c>
      <c r="H985" s="24" t="s">
        <v>109</v>
      </c>
      <c r="I985" s="32" t="s">
        <v>152</v>
      </c>
      <c r="K985" s="181"/>
      <c r="L985" s="181"/>
    </row>
    <row r="986" spans="1:12" x14ac:dyDescent="0.35">
      <c r="A986" s="19">
        <v>45794</v>
      </c>
      <c r="B986" s="20"/>
      <c r="C986" s="20"/>
      <c r="D986" s="20">
        <v>20000</v>
      </c>
      <c r="E986" s="99" t="s">
        <v>588</v>
      </c>
      <c r="F986" s="20">
        <f t="shared" si="15"/>
        <v>389014623</v>
      </c>
      <c r="G986" s="7" t="s">
        <v>330</v>
      </c>
      <c r="H986" s="24" t="s">
        <v>109</v>
      </c>
      <c r="I986" s="32" t="s">
        <v>152</v>
      </c>
      <c r="K986" s="181"/>
      <c r="L986" s="181"/>
    </row>
    <row r="987" spans="1:12" x14ac:dyDescent="0.35">
      <c r="A987" s="19">
        <v>45794</v>
      </c>
      <c r="B987" s="20"/>
      <c r="C987" s="20"/>
      <c r="D987" s="20">
        <v>2000</v>
      </c>
      <c r="E987" s="99" t="s">
        <v>588</v>
      </c>
      <c r="F987" s="20">
        <f t="shared" si="15"/>
        <v>389016623</v>
      </c>
      <c r="G987" s="7" t="s">
        <v>330</v>
      </c>
      <c r="H987" s="24" t="s">
        <v>109</v>
      </c>
      <c r="I987" s="32" t="s">
        <v>152</v>
      </c>
      <c r="K987" s="181"/>
      <c r="L987" s="181"/>
    </row>
    <row r="988" spans="1:12" x14ac:dyDescent="0.35">
      <c r="A988" s="19">
        <v>45794</v>
      </c>
      <c r="B988" s="20"/>
      <c r="C988" s="20"/>
      <c r="D988" s="20">
        <v>4000000</v>
      </c>
      <c r="E988" s="99" t="s">
        <v>588</v>
      </c>
      <c r="F988" s="20">
        <f t="shared" si="15"/>
        <v>393016623</v>
      </c>
      <c r="G988" s="7" t="s">
        <v>630</v>
      </c>
      <c r="H988" s="24" t="s">
        <v>619</v>
      </c>
      <c r="I988" s="32" t="s">
        <v>152</v>
      </c>
      <c r="K988" s="181"/>
      <c r="L988" s="181"/>
    </row>
    <row r="989" spans="1:12" x14ac:dyDescent="0.35">
      <c r="A989" s="19">
        <v>45794</v>
      </c>
      <c r="B989" s="20"/>
      <c r="C989" s="20"/>
      <c r="D989" s="20">
        <v>3500000</v>
      </c>
      <c r="E989" s="99" t="s">
        <v>588</v>
      </c>
      <c r="F989" s="20">
        <f t="shared" si="15"/>
        <v>396516623</v>
      </c>
      <c r="G989" s="7" t="s">
        <v>630</v>
      </c>
      <c r="H989" s="24" t="s">
        <v>619</v>
      </c>
      <c r="I989" s="32" t="s">
        <v>152</v>
      </c>
      <c r="K989" s="181"/>
      <c r="L989" s="181"/>
    </row>
    <row r="990" spans="1:12" x14ac:dyDescent="0.35">
      <c r="A990" s="19">
        <v>45795</v>
      </c>
      <c r="B990" s="20">
        <v>750000</v>
      </c>
      <c r="C990" s="20"/>
      <c r="D990" s="20"/>
      <c r="E990" s="99" t="s">
        <v>588</v>
      </c>
      <c r="F990" s="20">
        <f t="shared" si="15"/>
        <v>395766623</v>
      </c>
      <c r="G990" s="7" t="s">
        <v>632</v>
      </c>
      <c r="H990" s="24" t="s">
        <v>323</v>
      </c>
      <c r="I990" s="32" t="s">
        <v>152</v>
      </c>
      <c r="K990" s="181"/>
      <c r="L990" s="181"/>
    </row>
    <row r="991" spans="1:12" x14ac:dyDescent="0.35">
      <c r="A991" s="19">
        <v>45795</v>
      </c>
      <c r="B991" s="20">
        <v>6500</v>
      </c>
      <c r="C991" s="20"/>
      <c r="D991" s="20"/>
      <c r="E991" s="99" t="s">
        <v>588</v>
      </c>
      <c r="F991" s="20">
        <f t="shared" si="15"/>
        <v>395760123</v>
      </c>
      <c r="G991" s="7" t="s">
        <v>633</v>
      </c>
      <c r="H991" s="24" t="s">
        <v>323</v>
      </c>
      <c r="I991" s="32" t="s">
        <v>152</v>
      </c>
      <c r="K991" s="181"/>
      <c r="L991" s="181"/>
    </row>
    <row r="992" spans="1:12" x14ac:dyDescent="0.35">
      <c r="A992" s="19">
        <v>45795</v>
      </c>
      <c r="B992" s="20"/>
      <c r="C992" s="20"/>
      <c r="D992" s="20">
        <v>10000</v>
      </c>
      <c r="E992" s="99" t="s">
        <v>588</v>
      </c>
      <c r="F992" s="20">
        <f t="shared" si="15"/>
        <v>395770123</v>
      </c>
      <c r="G992" s="7" t="s">
        <v>330</v>
      </c>
      <c r="H992" s="24" t="s">
        <v>109</v>
      </c>
      <c r="I992" s="32" t="s">
        <v>152</v>
      </c>
      <c r="K992" s="181"/>
      <c r="L992" s="181"/>
    </row>
    <row r="993" spans="1:12" x14ac:dyDescent="0.35">
      <c r="A993" s="19">
        <v>45795</v>
      </c>
      <c r="B993" s="20"/>
      <c r="C993" s="20"/>
      <c r="D993" s="20">
        <v>10000</v>
      </c>
      <c r="E993" s="99" t="s">
        <v>588</v>
      </c>
      <c r="F993" s="20">
        <f t="shared" si="15"/>
        <v>395780123</v>
      </c>
      <c r="G993" s="7" t="s">
        <v>330</v>
      </c>
      <c r="H993" s="24" t="s">
        <v>109</v>
      </c>
      <c r="I993" s="32" t="s">
        <v>152</v>
      </c>
      <c r="K993" s="181"/>
      <c r="L993" s="181"/>
    </row>
    <row r="994" spans="1:12" ht="15" customHeight="1" x14ac:dyDescent="0.35">
      <c r="A994" s="19">
        <v>45795</v>
      </c>
      <c r="B994" s="20">
        <v>5000000</v>
      </c>
      <c r="C994" s="20"/>
      <c r="D994" s="20"/>
      <c r="E994" s="99" t="s">
        <v>588</v>
      </c>
      <c r="F994" s="20">
        <f t="shared" si="15"/>
        <v>390780123</v>
      </c>
      <c r="G994" s="7" t="s">
        <v>634</v>
      </c>
      <c r="H994" s="24" t="s">
        <v>323</v>
      </c>
      <c r="I994" s="32" t="s">
        <v>152</v>
      </c>
      <c r="K994" s="181"/>
      <c r="L994" s="181"/>
    </row>
    <row r="995" spans="1:12" x14ac:dyDescent="0.35">
      <c r="A995" s="19">
        <v>45795</v>
      </c>
      <c r="B995" s="20">
        <v>6500</v>
      </c>
      <c r="C995" s="20"/>
      <c r="D995" s="20"/>
      <c r="E995" s="99" t="s">
        <v>588</v>
      </c>
      <c r="F995" s="20">
        <f t="shared" si="15"/>
        <v>390773623</v>
      </c>
      <c r="G995" s="7" t="s">
        <v>635</v>
      </c>
      <c r="H995" s="24" t="s">
        <v>323</v>
      </c>
      <c r="I995" s="32" t="s">
        <v>152</v>
      </c>
      <c r="K995" s="181"/>
      <c r="L995" s="181"/>
    </row>
    <row r="996" spans="1:12" x14ac:dyDescent="0.35">
      <c r="A996" s="19">
        <v>45795</v>
      </c>
      <c r="B996" s="20"/>
      <c r="C996" s="20"/>
      <c r="D996" s="20">
        <v>3500000</v>
      </c>
      <c r="E996" s="99" t="s">
        <v>588</v>
      </c>
      <c r="F996" s="20">
        <f t="shared" si="15"/>
        <v>394273623</v>
      </c>
      <c r="G996" s="7" t="s">
        <v>630</v>
      </c>
      <c r="H996" s="24" t="s">
        <v>619</v>
      </c>
      <c r="I996" s="32" t="s">
        <v>152</v>
      </c>
      <c r="K996" s="181"/>
      <c r="L996" s="181"/>
    </row>
    <row r="997" spans="1:12" x14ac:dyDescent="0.35">
      <c r="A997" s="19">
        <v>45795</v>
      </c>
      <c r="B997" s="20"/>
      <c r="C997" s="20"/>
      <c r="D997" s="20">
        <v>7500000</v>
      </c>
      <c r="E997" s="99" t="s">
        <v>588</v>
      </c>
      <c r="F997" s="20">
        <f t="shared" si="15"/>
        <v>401773623</v>
      </c>
      <c r="G997" s="7" t="s">
        <v>630</v>
      </c>
      <c r="H997" s="24" t="s">
        <v>619</v>
      </c>
      <c r="I997" s="32" t="s">
        <v>152</v>
      </c>
      <c r="K997" s="181"/>
      <c r="L997" s="181"/>
    </row>
    <row r="998" spans="1:12" x14ac:dyDescent="0.35">
      <c r="A998" s="19">
        <v>45795</v>
      </c>
      <c r="B998" s="20"/>
      <c r="C998" s="20"/>
      <c r="D998" s="20">
        <v>4000000</v>
      </c>
      <c r="E998" s="99" t="s">
        <v>588</v>
      </c>
      <c r="F998" s="20">
        <f t="shared" si="15"/>
        <v>405773623</v>
      </c>
      <c r="G998" s="7" t="s">
        <v>630</v>
      </c>
      <c r="H998" s="24" t="s">
        <v>619</v>
      </c>
      <c r="I998" s="32" t="s">
        <v>152</v>
      </c>
      <c r="K998" s="181"/>
      <c r="L998" s="181"/>
    </row>
    <row r="999" spans="1:12" x14ac:dyDescent="0.35">
      <c r="A999" s="19">
        <v>45795</v>
      </c>
      <c r="B999" s="20"/>
      <c r="C999" s="20"/>
      <c r="D999" s="20">
        <v>7000000</v>
      </c>
      <c r="E999" s="99" t="s">
        <v>588</v>
      </c>
      <c r="F999" s="20">
        <f t="shared" si="15"/>
        <v>412773623</v>
      </c>
      <c r="G999" s="7" t="s">
        <v>630</v>
      </c>
      <c r="H999" s="24" t="s">
        <v>619</v>
      </c>
      <c r="I999" s="32" t="s">
        <v>152</v>
      </c>
      <c r="K999" s="181"/>
      <c r="L999" s="181"/>
    </row>
    <row r="1000" spans="1:12" x14ac:dyDescent="0.35">
      <c r="A1000" s="19">
        <v>45796</v>
      </c>
      <c r="B1000" s="20"/>
      <c r="C1000" s="20"/>
      <c r="D1000" s="196">
        <v>3633000</v>
      </c>
      <c r="E1000" s="99" t="s">
        <v>588</v>
      </c>
      <c r="F1000" s="20">
        <f t="shared" si="15"/>
        <v>416406623</v>
      </c>
      <c r="G1000" s="7"/>
      <c r="H1000" s="24" t="s">
        <v>107</v>
      </c>
      <c r="I1000" s="32" t="s">
        <v>152</v>
      </c>
      <c r="K1000" s="181"/>
      <c r="L1000" s="181"/>
    </row>
    <row r="1001" spans="1:12" x14ac:dyDescent="0.35">
      <c r="A1001" s="19">
        <v>45796</v>
      </c>
      <c r="B1001" s="20"/>
      <c r="C1001" s="20"/>
      <c r="D1001" s="196">
        <v>3637000</v>
      </c>
      <c r="E1001" s="99" t="s">
        <v>588</v>
      </c>
      <c r="F1001" s="20">
        <f t="shared" si="15"/>
        <v>420043623</v>
      </c>
      <c r="G1001" s="7"/>
      <c r="H1001" s="24" t="s">
        <v>109</v>
      </c>
      <c r="I1001" s="32" t="s">
        <v>152</v>
      </c>
      <c r="K1001" s="181"/>
      <c r="L1001" s="181"/>
    </row>
    <row r="1002" spans="1:12" x14ac:dyDescent="0.35">
      <c r="A1002" s="19"/>
      <c r="B1002" s="20"/>
      <c r="C1002" s="20">
        <v>7270000</v>
      </c>
      <c r="D1002" s="20"/>
      <c r="E1002" s="99"/>
      <c r="F1002" s="20">
        <f t="shared" si="15"/>
        <v>420043623</v>
      </c>
      <c r="G1002" s="7" t="s">
        <v>636</v>
      </c>
      <c r="H1002" s="24"/>
      <c r="I1002" s="32"/>
      <c r="K1002" s="181"/>
      <c r="L1002" s="181"/>
    </row>
    <row r="1003" spans="1:12" x14ac:dyDescent="0.35">
      <c r="A1003" s="19">
        <v>45796</v>
      </c>
      <c r="B1003" s="20"/>
      <c r="C1003" s="20"/>
      <c r="D1003" s="20">
        <v>4000000</v>
      </c>
      <c r="E1003" s="99" t="s">
        <v>588</v>
      </c>
      <c r="F1003" s="20">
        <f t="shared" si="15"/>
        <v>424043623</v>
      </c>
      <c r="G1003" s="7" t="s">
        <v>630</v>
      </c>
      <c r="H1003" s="24" t="s">
        <v>619</v>
      </c>
      <c r="I1003" s="32" t="s">
        <v>152</v>
      </c>
      <c r="K1003" s="181"/>
      <c r="L1003" s="181"/>
    </row>
    <row r="1004" spans="1:12" x14ac:dyDescent="0.35">
      <c r="A1004" s="19">
        <v>45796</v>
      </c>
      <c r="B1004" s="20"/>
      <c r="C1004" s="20"/>
      <c r="D1004" s="20">
        <v>11000000</v>
      </c>
      <c r="E1004" s="99" t="s">
        <v>588</v>
      </c>
      <c r="F1004" s="20">
        <f t="shared" si="15"/>
        <v>435043623</v>
      </c>
      <c r="G1004" s="7" t="s">
        <v>630</v>
      </c>
      <c r="H1004" s="24" t="s">
        <v>619</v>
      </c>
      <c r="I1004" s="32" t="s">
        <v>152</v>
      </c>
      <c r="K1004" s="181"/>
      <c r="L1004" s="181"/>
    </row>
    <row r="1005" spans="1:12" x14ac:dyDescent="0.35">
      <c r="A1005" s="19">
        <v>45796</v>
      </c>
      <c r="B1005" s="20"/>
      <c r="C1005" s="20"/>
      <c r="D1005" s="20">
        <v>4000000</v>
      </c>
      <c r="E1005" s="99" t="s">
        <v>588</v>
      </c>
      <c r="F1005" s="20">
        <f t="shared" si="15"/>
        <v>439043623</v>
      </c>
      <c r="G1005" s="7" t="s">
        <v>630</v>
      </c>
      <c r="H1005" s="24" t="s">
        <v>619</v>
      </c>
      <c r="I1005" s="32" t="s">
        <v>152</v>
      </c>
      <c r="K1005" s="181"/>
      <c r="L1005" s="181"/>
    </row>
    <row r="1006" spans="1:12" x14ac:dyDescent="0.35">
      <c r="A1006" s="19">
        <v>45796</v>
      </c>
      <c r="B1006" s="20"/>
      <c r="C1006" s="20"/>
      <c r="D1006" s="20">
        <v>4000000</v>
      </c>
      <c r="E1006" s="99" t="s">
        <v>588</v>
      </c>
      <c r="F1006" s="20">
        <f t="shared" si="15"/>
        <v>443043623</v>
      </c>
      <c r="G1006" s="7" t="s">
        <v>630</v>
      </c>
      <c r="H1006" s="24" t="s">
        <v>619</v>
      </c>
      <c r="I1006" s="32" t="s">
        <v>152</v>
      </c>
      <c r="K1006" s="181"/>
      <c r="L1006" s="181"/>
    </row>
    <row r="1007" spans="1:12" x14ac:dyDescent="0.35">
      <c r="A1007" s="19">
        <v>45797</v>
      </c>
      <c r="B1007" s="20"/>
      <c r="C1007" s="20"/>
      <c r="D1007" s="20">
        <v>3500000</v>
      </c>
      <c r="E1007" s="99" t="s">
        <v>588</v>
      </c>
      <c r="F1007" s="20">
        <f t="shared" si="15"/>
        <v>446543623</v>
      </c>
      <c r="G1007" s="7" t="s">
        <v>630</v>
      </c>
      <c r="H1007" s="24" t="s">
        <v>619</v>
      </c>
      <c r="I1007" s="32" t="s">
        <v>152</v>
      </c>
      <c r="K1007" s="181"/>
      <c r="L1007" s="181"/>
    </row>
    <row r="1008" spans="1:12" x14ac:dyDescent="0.35">
      <c r="A1008" s="19">
        <v>45797</v>
      </c>
      <c r="B1008" s="20"/>
      <c r="C1008" s="20"/>
      <c r="D1008" s="20">
        <v>10000</v>
      </c>
      <c r="E1008" s="99" t="s">
        <v>588</v>
      </c>
      <c r="F1008" s="20">
        <f t="shared" si="15"/>
        <v>446553623</v>
      </c>
      <c r="G1008" s="7" t="s">
        <v>330</v>
      </c>
      <c r="H1008" s="24" t="s">
        <v>109</v>
      </c>
      <c r="I1008" s="32" t="s">
        <v>152</v>
      </c>
      <c r="K1008" s="181"/>
      <c r="L1008" s="181"/>
    </row>
    <row r="1009" spans="1:12" x14ac:dyDescent="0.35">
      <c r="A1009" s="19">
        <v>45797</v>
      </c>
      <c r="B1009" s="20"/>
      <c r="C1009" s="20"/>
      <c r="D1009" s="20">
        <v>3500000</v>
      </c>
      <c r="E1009" s="99" t="s">
        <v>588</v>
      </c>
      <c r="F1009" s="20">
        <f t="shared" si="15"/>
        <v>450053623</v>
      </c>
      <c r="G1009" s="7" t="s">
        <v>630</v>
      </c>
      <c r="H1009" s="24" t="s">
        <v>619</v>
      </c>
      <c r="I1009" s="32" t="s">
        <v>152</v>
      </c>
      <c r="K1009" s="181"/>
      <c r="L1009" s="181"/>
    </row>
    <row r="1010" spans="1:12" x14ac:dyDescent="0.35">
      <c r="A1010" s="19">
        <v>45798</v>
      </c>
      <c r="B1010" s="20"/>
      <c r="C1010" s="20"/>
      <c r="D1010" s="20">
        <v>5000000</v>
      </c>
      <c r="E1010" s="99" t="s">
        <v>588</v>
      </c>
      <c r="F1010" s="20">
        <f t="shared" si="15"/>
        <v>455053623</v>
      </c>
      <c r="G1010" s="7" t="s">
        <v>630</v>
      </c>
      <c r="H1010" s="24" t="s">
        <v>619</v>
      </c>
      <c r="I1010" s="32" t="s">
        <v>152</v>
      </c>
      <c r="K1010" s="181"/>
      <c r="L1010" s="181"/>
    </row>
    <row r="1011" spans="1:12" x14ac:dyDescent="0.35">
      <c r="A1011" s="19">
        <v>45798</v>
      </c>
      <c r="B1011" s="20"/>
      <c r="C1011" s="20"/>
      <c r="D1011" s="20">
        <v>10000</v>
      </c>
      <c r="E1011" s="99" t="s">
        <v>588</v>
      </c>
      <c r="F1011" s="20">
        <f t="shared" si="15"/>
        <v>455063623</v>
      </c>
      <c r="G1011" s="7" t="s">
        <v>330</v>
      </c>
      <c r="H1011" s="24" t="s">
        <v>109</v>
      </c>
      <c r="I1011" s="32" t="s">
        <v>152</v>
      </c>
      <c r="K1011" s="181"/>
      <c r="L1011" s="181"/>
    </row>
    <row r="1012" spans="1:12" x14ac:dyDescent="0.35">
      <c r="A1012" s="19">
        <v>45798</v>
      </c>
      <c r="B1012" s="20"/>
      <c r="C1012" s="20"/>
      <c r="D1012" s="20">
        <v>4500000</v>
      </c>
      <c r="E1012" s="99" t="s">
        <v>588</v>
      </c>
      <c r="F1012" s="20">
        <f t="shared" si="15"/>
        <v>459563623</v>
      </c>
      <c r="G1012" s="7" t="s">
        <v>630</v>
      </c>
      <c r="H1012" s="24" t="s">
        <v>619</v>
      </c>
      <c r="I1012" s="32" t="s">
        <v>152</v>
      </c>
      <c r="K1012" s="181"/>
      <c r="L1012" s="181"/>
    </row>
    <row r="1013" spans="1:12" x14ac:dyDescent="0.35">
      <c r="A1013" s="19">
        <v>45799</v>
      </c>
      <c r="B1013" s="20"/>
      <c r="C1013" s="20"/>
      <c r="D1013" s="20">
        <v>4500000</v>
      </c>
      <c r="E1013" s="99" t="s">
        <v>588</v>
      </c>
      <c r="F1013" s="20">
        <f t="shared" si="15"/>
        <v>464063623</v>
      </c>
      <c r="G1013" s="7" t="s">
        <v>630</v>
      </c>
      <c r="H1013" s="24" t="s">
        <v>619</v>
      </c>
      <c r="I1013" s="32" t="s">
        <v>152</v>
      </c>
      <c r="K1013" s="181"/>
      <c r="L1013" s="181"/>
    </row>
    <row r="1014" spans="1:12" x14ac:dyDescent="0.35">
      <c r="A1014" s="19">
        <v>45799</v>
      </c>
      <c r="B1014" s="20"/>
      <c r="C1014" s="20"/>
      <c r="D1014" s="20">
        <v>4500000</v>
      </c>
      <c r="E1014" s="99" t="s">
        <v>588</v>
      </c>
      <c r="F1014" s="20">
        <f t="shared" si="15"/>
        <v>468563623</v>
      </c>
      <c r="G1014" s="7" t="s">
        <v>630</v>
      </c>
      <c r="H1014" s="24" t="s">
        <v>619</v>
      </c>
      <c r="I1014" s="32" t="s">
        <v>152</v>
      </c>
      <c r="K1014" s="181"/>
      <c r="L1014" s="181"/>
    </row>
    <row r="1015" spans="1:12" x14ac:dyDescent="0.35">
      <c r="A1015" s="19">
        <v>45799</v>
      </c>
      <c r="B1015" s="20"/>
      <c r="C1015" s="20"/>
      <c r="D1015" s="20">
        <v>50000</v>
      </c>
      <c r="E1015" s="99" t="s">
        <v>588</v>
      </c>
      <c r="F1015" s="20">
        <f t="shared" si="15"/>
        <v>468613623</v>
      </c>
      <c r="G1015" s="7" t="s">
        <v>330</v>
      </c>
      <c r="H1015" s="24" t="s">
        <v>109</v>
      </c>
      <c r="I1015" s="32" t="s">
        <v>152</v>
      </c>
      <c r="K1015" s="181"/>
      <c r="L1015" s="181"/>
    </row>
    <row r="1016" spans="1:12" x14ac:dyDescent="0.35">
      <c r="A1016" s="19">
        <v>45799</v>
      </c>
      <c r="B1016" s="20"/>
      <c r="C1016" s="20"/>
      <c r="D1016" s="20">
        <v>100000</v>
      </c>
      <c r="E1016" s="99" t="s">
        <v>588</v>
      </c>
      <c r="F1016" s="20">
        <f t="shared" si="15"/>
        <v>468713623</v>
      </c>
      <c r="G1016" s="7" t="s">
        <v>330</v>
      </c>
      <c r="H1016" s="24" t="s">
        <v>109</v>
      </c>
      <c r="I1016" s="32" t="s">
        <v>152</v>
      </c>
      <c r="K1016" s="181"/>
      <c r="L1016" s="181"/>
    </row>
    <row r="1017" spans="1:12" x14ac:dyDescent="0.35">
      <c r="A1017" s="19">
        <v>45799</v>
      </c>
      <c r="B1017" s="20"/>
      <c r="C1017" s="20"/>
      <c r="D1017" s="20">
        <v>10000</v>
      </c>
      <c r="E1017" s="99" t="s">
        <v>588</v>
      </c>
      <c r="F1017" s="20">
        <f t="shared" si="15"/>
        <v>468723623</v>
      </c>
      <c r="G1017" s="7" t="s">
        <v>330</v>
      </c>
      <c r="H1017" s="24" t="s">
        <v>109</v>
      </c>
      <c r="I1017" s="32" t="s">
        <v>152</v>
      </c>
      <c r="K1017" s="181"/>
      <c r="L1017" s="181"/>
    </row>
    <row r="1018" spans="1:12" x14ac:dyDescent="0.35">
      <c r="A1018" s="19">
        <v>45799</v>
      </c>
      <c r="B1018" s="20"/>
      <c r="C1018" s="20"/>
      <c r="D1018" s="20">
        <v>3735000</v>
      </c>
      <c r="E1018" s="99" t="s">
        <v>588</v>
      </c>
      <c r="F1018" s="20">
        <f t="shared" si="15"/>
        <v>472458623</v>
      </c>
      <c r="G1018" s="7" t="s">
        <v>630</v>
      </c>
      <c r="H1018" s="24" t="s">
        <v>619</v>
      </c>
      <c r="I1018" s="32" t="s">
        <v>152</v>
      </c>
      <c r="K1018" s="181"/>
      <c r="L1018" s="181"/>
    </row>
    <row r="1019" spans="1:12" x14ac:dyDescent="0.35">
      <c r="A1019" s="19">
        <v>45800</v>
      </c>
      <c r="B1019" s="20"/>
      <c r="C1019" s="20"/>
      <c r="D1019" s="20">
        <v>11500000</v>
      </c>
      <c r="E1019" s="99" t="s">
        <v>588</v>
      </c>
      <c r="F1019" s="20">
        <f t="shared" si="15"/>
        <v>483958623</v>
      </c>
      <c r="G1019" s="7" t="s">
        <v>630</v>
      </c>
      <c r="H1019" s="24" t="s">
        <v>619</v>
      </c>
      <c r="I1019" s="32" t="s">
        <v>152</v>
      </c>
      <c r="K1019" s="181"/>
      <c r="L1019" s="181"/>
    </row>
    <row r="1020" spans="1:12" x14ac:dyDescent="0.35">
      <c r="A1020" s="19">
        <v>45800</v>
      </c>
      <c r="B1020" s="20"/>
      <c r="C1020" s="20"/>
      <c r="D1020" s="20">
        <v>8500000</v>
      </c>
      <c r="E1020" s="99" t="s">
        <v>588</v>
      </c>
      <c r="F1020" s="20">
        <f t="shared" si="15"/>
        <v>492458623</v>
      </c>
      <c r="G1020" s="7" t="s">
        <v>630</v>
      </c>
      <c r="H1020" s="24" t="s">
        <v>619</v>
      </c>
      <c r="I1020" s="32" t="s">
        <v>152</v>
      </c>
      <c r="K1020" s="181"/>
      <c r="L1020" s="181"/>
    </row>
    <row r="1021" spans="1:12" x14ac:dyDescent="0.35">
      <c r="A1021" s="19">
        <v>45800</v>
      </c>
      <c r="B1021" s="20"/>
      <c r="C1021" s="20"/>
      <c r="D1021" s="20">
        <v>50000</v>
      </c>
      <c r="E1021" s="99" t="s">
        <v>588</v>
      </c>
      <c r="F1021" s="20">
        <f t="shared" si="15"/>
        <v>492508623</v>
      </c>
      <c r="G1021" s="7" t="s">
        <v>330</v>
      </c>
      <c r="H1021" s="24" t="s">
        <v>109</v>
      </c>
      <c r="I1021" s="32" t="s">
        <v>152</v>
      </c>
      <c r="K1021" s="181"/>
      <c r="L1021" s="181"/>
    </row>
    <row r="1022" spans="1:12" x14ac:dyDescent="0.35">
      <c r="A1022" s="19">
        <v>45800</v>
      </c>
      <c r="B1022" s="20"/>
      <c r="C1022" s="20"/>
      <c r="D1022" s="20">
        <v>50000</v>
      </c>
      <c r="E1022" s="99" t="s">
        <v>588</v>
      </c>
      <c r="F1022" s="20">
        <f t="shared" si="15"/>
        <v>492558623</v>
      </c>
      <c r="G1022" s="7" t="s">
        <v>330</v>
      </c>
      <c r="H1022" s="24" t="s">
        <v>109</v>
      </c>
      <c r="I1022" s="32" t="s">
        <v>152</v>
      </c>
      <c r="K1022" s="181"/>
      <c r="L1022" s="181"/>
    </row>
    <row r="1023" spans="1:12" x14ac:dyDescent="0.35">
      <c r="A1023" s="19">
        <v>45800</v>
      </c>
      <c r="B1023" s="20"/>
      <c r="C1023" s="20"/>
      <c r="D1023" s="20">
        <v>100000</v>
      </c>
      <c r="E1023" s="99" t="s">
        <v>588</v>
      </c>
      <c r="F1023" s="20">
        <f t="shared" si="15"/>
        <v>492658623</v>
      </c>
      <c r="G1023" s="7" t="s">
        <v>330</v>
      </c>
      <c r="H1023" s="24" t="s">
        <v>109</v>
      </c>
      <c r="I1023" s="32" t="s">
        <v>152</v>
      </c>
      <c r="K1023" s="181"/>
      <c r="L1023" s="181"/>
    </row>
    <row r="1024" spans="1:12" x14ac:dyDescent="0.35">
      <c r="A1024" s="19">
        <v>45800</v>
      </c>
      <c r="B1024" s="20"/>
      <c r="C1024" s="20"/>
      <c r="D1024" s="20">
        <v>20000</v>
      </c>
      <c r="E1024" s="99" t="s">
        <v>588</v>
      </c>
      <c r="F1024" s="20">
        <f t="shared" si="15"/>
        <v>492678623</v>
      </c>
      <c r="G1024" s="7" t="s">
        <v>330</v>
      </c>
      <c r="H1024" s="24" t="s">
        <v>109</v>
      </c>
      <c r="I1024" s="32" t="s">
        <v>152</v>
      </c>
      <c r="K1024" s="181"/>
      <c r="L1024" s="181"/>
    </row>
    <row r="1025" spans="1:12" x14ac:dyDescent="0.35">
      <c r="A1025" s="19">
        <v>45800</v>
      </c>
      <c r="B1025" s="20"/>
      <c r="C1025" s="20"/>
      <c r="D1025" s="20">
        <v>100000</v>
      </c>
      <c r="E1025" s="99" t="s">
        <v>588</v>
      </c>
      <c r="F1025" s="20">
        <f t="shared" si="15"/>
        <v>492778623</v>
      </c>
      <c r="G1025" s="7" t="s">
        <v>330</v>
      </c>
      <c r="H1025" s="24" t="s">
        <v>109</v>
      </c>
      <c r="I1025" s="32" t="s">
        <v>152</v>
      </c>
      <c r="K1025" s="181"/>
      <c r="L1025" s="181"/>
    </row>
    <row r="1026" spans="1:12" x14ac:dyDescent="0.35">
      <c r="A1026" s="19">
        <v>45800</v>
      </c>
      <c r="B1026" s="20"/>
      <c r="C1026" s="20"/>
      <c r="D1026" s="20">
        <v>50000</v>
      </c>
      <c r="E1026" s="99" t="s">
        <v>588</v>
      </c>
      <c r="F1026" s="20">
        <f t="shared" si="15"/>
        <v>492828623</v>
      </c>
      <c r="G1026" s="7" t="s">
        <v>330</v>
      </c>
      <c r="H1026" s="24" t="s">
        <v>109</v>
      </c>
      <c r="I1026" s="32" t="s">
        <v>152</v>
      </c>
      <c r="K1026" s="181"/>
      <c r="L1026" s="181"/>
    </row>
    <row r="1027" spans="1:12" x14ac:dyDescent="0.35">
      <c r="A1027" s="19">
        <v>45800</v>
      </c>
      <c r="B1027" s="20"/>
      <c r="C1027" s="20"/>
      <c r="D1027" s="20">
        <v>100000</v>
      </c>
      <c r="E1027" s="99" t="s">
        <v>588</v>
      </c>
      <c r="F1027" s="20">
        <f t="shared" si="15"/>
        <v>492928623</v>
      </c>
      <c r="G1027" s="7" t="s">
        <v>330</v>
      </c>
      <c r="H1027" s="24" t="s">
        <v>109</v>
      </c>
      <c r="I1027" s="32" t="s">
        <v>152</v>
      </c>
      <c r="K1027" s="181"/>
      <c r="L1027" s="181"/>
    </row>
    <row r="1028" spans="1:12" x14ac:dyDescent="0.35">
      <c r="A1028" s="19">
        <v>45800</v>
      </c>
      <c r="B1028" s="20"/>
      <c r="C1028" s="20"/>
      <c r="D1028" s="20">
        <v>50000</v>
      </c>
      <c r="E1028" s="99" t="s">
        <v>588</v>
      </c>
      <c r="F1028" s="20">
        <f t="shared" si="15"/>
        <v>492978623</v>
      </c>
      <c r="G1028" s="7" t="s">
        <v>330</v>
      </c>
      <c r="H1028" s="24" t="s">
        <v>109</v>
      </c>
      <c r="I1028" s="32" t="s">
        <v>152</v>
      </c>
      <c r="K1028" s="181"/>
      <c r="L1028" s="181"/>
    </row>
    <row r="1029" spans="1:12" x14ac:dyDescent="0.35">
      <c r="A1029" s="19">
        <v>45800</v>
      </c>
      <c r="B1029" s="20"/>
      <c r="C1029" s="20"/>
      <c r="D1029" s="20">
        <v>20000</v>
      </c>
      <c r="E1029" s="99" t="s">
        <v>588</v>
      </c>
      <c r="F1029" s="20">
        <f t="shared" si="15"/>
        <v>492998623</v>
      </c>
      <c r="G1029" s="7" t="s">
        <v>330</v>
      </c>
      <c r="H1029" s="24" t="s">
        <v>109</v>
      </c>
      <c r="I1029" s="32" t="s">
        <v>152</v>
      </c>
      <c r="K1029" s="181"/>
      <c r="L1029" s="181"/>
    </row>
    <row r="1030" spans="1:12" x14ac:dyDescent="0.35">
      <c r="A1030" s="19">
        <v>45800</v>
      </c>
      <c r="B1030" s="20"/>
      <c r="C1030" s="20"/>
      <c r="D1030" s="20">
        <v>10000</v>
      </c>
      <c r="E1030" s="99" t="s">
        <v>588</v>
      </c>
      <c r="F1030" s="20">
        <f t="shared" si="15"/>
        <v>493008623</v>
      </c>
      <c r="G1030" s="7" t="s">
        <v>330</v>
      </c>
      <c r="H1030" s="24" t="s">
        <v>109</v>
      </c>
      <c r="I1030" s="32" t="s">
        <v>152</v>
      </c>
      <c r="K1030" s="181"/>
      <c r="L1030" s="181"/>
    </row>
    <row r="1031" spans="1:12" x14ac:dyDescent="0.35">
      <c r="A1031" s="19">
        <v>45800</v>
      </c>
      <c r="B1031" s="20"/>
      <c r="C1031" s="20"/>
      <c r="D1031" s="20">
        <v>4000000</v>
      </c>
      <c r="E1031" s="99" t="s">
        <v>588</v>
      </c>
      <c r="F1031" s="20">
        <f t="shared" si="15"/>
        <v>497008623</v>
      </c>
      <c r="G1031" s="7" t="s">
        <v>630</v>
      </c>
      <c r="H1031" s="24" t="s">
        <v>619</v>
      </c>
      <c r="I1031" s="32" t="s">
        <v>152</v>
      </c>
      <c r="K1031" s="181"/>
      <c r="L1031" s="181"/>
    </row>
    <row r="1032" spans="1:12" x14ac:dyDescent="0.35">
      <c r="A1032" s="19">
        <v>45800</v>
      </c>
      <c r="B1032" s="20"/>
      <c r="C1032" s="20"/>
      <c r="D1032" s="20">
        <v>50000</v>
      </c>
      <c r="E1032" s="99" t="s">
        <v>588</v>
      </c>
      <c r="F1032" s="20">
        <f t="shared" si="15"/>
        <v>497058623</v>
      </c>
      <c r="G1032" s="7" t="s">
        <v>330</v>
      </c>
      <c r="H1032" s="24" t="s">
        <v>109</v>
      </c>
      <c r="I1032" s="32" t="s">
        <v>152</v>
      </c>
      <c r="K1032" s="181"/>
      <c r="L1032" s="181"/>
    </row>
    <row r="1033" spans="1:12" x14ac:dyDescent="0.35">
      <c r="A1033" s="19">
        <v>45800</v>
      </c>
      <c r="B1033" s="20"/>
      <c r="C1033" s="20"/>
      <c r="D1033" s="20">
        <v>1000</v>
      </c>
      <c r="E1033" s="99" t="s">
        <v>588</v>
      </c>
      <c r="F1033" s="20">
        <f t="shared" si="15"/>
        <v>497059623</v>
      </c>
      <c r="G1033" s="7" t="s">
        <v>330</v>
      </c>
      <c r="H1033" s="24" t="s">
        <v>109</v>
      </c>
      <c r="I1033" s="32" t="s">
        <v>152</v>
      </c>
      <c r="K1033" s="181"/>
      <c r="L1033" s="181"/>
    </row>
    <row r="1034" spans="1:12" x14ac:dyDescent="0.35">
      <c r="A1034" s="19">
        <v>45800</v>
      </c>
      <c r="B1034" s="20"/>
      <c r="C1034" s="20"/>
      <c r="D1034" s="20">
        <v>2000000</v>
      </c>
      <c r="E1034" s="99" t="s">
        <v>588</v>
      </c>
      <c r="F1034" s="20">
        <f t="shared" ref="F1034:F1097" si="16">+F1033+D1034-B1034</f>
        <v>499059623</v>
      </c>
      <c r="G1034" s="7" t="s">
        <v>609</v>
      </c>
      <c r="H1034" s="24" t="s">
        <v>109</v>
      </c>
      <c r="I1034" s="32" t="s">
        <v>152</v>
      </c>
      <c r="K1034" s="181"/>
      <c r="L1034" s="181"/>
    </row>
    <row r="1035" spans="1:12" x14ac:dyDescent="0.35">
      <c r="A1035" s="19">
        <v>45800</v>
      </c>
      <c r="B1035" s="20"/>
      <c r="C1035" s="20"/>
      <c r="D1035" s="20">
        <v>4000000</v>
      </c>
      <c r="E1035" s="99" t="s">
        <v>588</v>
      </c>
      <c r="F1035" s="20">
        <f t="shared" si="16"/>
        <v>503059623</v>
      </c>
      <c r="G1035" s="7" t="s">
        <v>630</v>
      </c>
      <c r="H1035" s="24" t="s">
        <v>619</v>
      </c>
      <c r="I1035" s="32" t="s">
        <v>152</v>
      </c>
      <c r="K1035" s="181"/>
      <c r="L1035" s="181"/>
    </row>
    <row r="1036" spans="1:12" x14ac:dyDescent="0.35">
      <c r="A1036" s="19">
        <v>45801</v>
      </c>
      <c r="B1036" s="20"/>
      <c r="C1036" s="20"/>
      <c r="D1036" s="20">
        <v>100000</v>
      </c>
      <c r="E1036" s="99" t="s">
        <v>588</v>
      </c>
      <c r="F1036" s="20">
        <f t="shared" si="16"/>
        <v>503159623</v>
      </c>
      <c r="G1036" s="7" t="s">
        <v>330</v>
      </c>
      <c r="H1036" s="24" t="s">
        <v>109</v>
      </c>
      <c r="I1036" s="32" t="s">
        <v>152</v>
      </c>
      <c r="K1036" s="181"/>
      <c r="L1036" s="181"/>
    </row>
    <row r="1037" spans="1:12" x14ac:dyDescent="0.35">
      <c r="A1037" s="19">
        <v>45801</v>
      </c>
      <c r="B1037" s="20"/>
      <c r="C1037" s="20"/>
      <c r="D1037" s="20">
        <v>25000</v>
      </c>
      <c r="E1037" s="99" t="s">
        <v>588</v>
      </c>
      <c r="F1037" s="20">
        <f t="shared" si="16"/>
        <v>503184623</v>
      </c>
      <c r="G1037" s="7" t="s">
        <v>330</v>
      </c>
      <c r="H1037" s="24" t="s">
        <v>109</v>
      </c>
      <c r="I1037" s="32" t="s">
        <v>152</v>
      </c>
      <c r="K1037" s="181"/>
      <c r="L1037" s="181"/>
    </row>
    <row r="1038" spans="1:12" x14ac:dyDescent="0.35">
      <c r="A1038" s="19">
        <v>45801</v>
      </c>
      <c r="B1038" s="20"/>
      <c r="C1038" s="20"/>
      <c r="D1038" s="20">
        <v>50000</v>
      </c>
      <c r="E1038" s="99" t="s">
        <v>588</v>
      </c>
      <c r="F1038" s="20">
        <f t="shared" si="16"/>
        <v>503234623</v>
      </c>
      <c r="G1038" s="7" t="s">
        <v>330</v>
      </c>
      <c r="H1038" s="24" t="s">
        <v>109</v>
      </c>
      <c r="I1038" s="32" t="s">
        <v>152</v>
      </c>
      <c r="K1038" s="181"/>
      <c r="L1038" s="181"/>
    </row>
    <row r="1039" spans="1:12" x14ac:dyDescent="0.35">
      <c r="A1039" s="19">
        <v>45801</v>
      </c>
      <c r="B1039" s="20"/>
      <c r="C1039" s="20"/>
      <c r="D1039" s="20">
        <v>50000</v>
      </c>
      <c r="E1039" s="99" t="s">
        <v>588</v>
      </c>
      <c r="F1039" s="20">
        <f t="shared" si="16"/>
        <v>503284623</v>
      </c>
      <c r="G1039" s="7" t="s">
        <v>330</v>
      </c>
      <c r="H1039" s="24" t="s">
        <v>109</v>
      </c>
      <c r="I1039" s="32" t="s">
        <v>152</v>
      </c>
      <c r="K1039" s="181"/>
      <c r="L1039" s="181"/>
    </row>
    <row r="1040" spans="1:12" x14ac:dyDescent="0.35">
      <c r="A1040" s="19">
        <v>45801</v>
      </c>
      <c r="B1040" s="20"/>
      <c r="C1040" s="20"/>
      <c r="D1040" s="20">
        <v>10000</v>
      </c>
      <c r="E1040" s="99" t="s">
        <v>588</v>
      </c>
      <c r="F1040" s="20">
        <f t="shared" si="16"/>
        <v>503294623</v>
      </c>
      <c r="G1040" s="7" t="s">
        <v>330</v>
      </c>
      <c r="H1040" s="24" t="s">
        <v>109</v>
      </c>
      <c r="I1040" s="32" t="s">
        <v>152</v>
      </c>
      <c r="K1040" s="181"/>
      <c r="L1040" s="181"/>
    </row>
    <row r="1041" spans="1:12" x14ac:dyDescent="0.35">
      <c r="A1041" s="19">
        <v>45801</v>
      </c>
      <c r="B1041" s="20"/>
      <c r="C1041" s="20"/>
      <c r="D1041" s="20">
        <v>20000</v>
      </c>
      <c r="E1041" s="99" t="s">
        <v>588</v>
      </c>
      <c r="F1041" s="20">
        <f t="shared" si="16"/>
        <v>503314623</v>
      </c>
      <c r="G1041" s="7" t="s">
        <v>330</v>
      </c>
      <c r="H1041" s="24" t="s">
        <v>109</v>
      </c>
      <c r="I1041" s="32" t="s">
        <v>152</v>
      </c>
      <c r="K1041" s="181"/>
      <c r="L1041" s="181"/>
    </row>
    <row r="1042" spans="1:12" x14ac:dyDescent="0.35">
      <c r="A1042" s="19">
        <v>45801</v>
      </c>
      <c r="B1042" s="20"/>
      <c r="C1042" s="20"/>
      <c r="D1042" s="20">
        <v>50000</v>
      </c>
      <c r="E1042" s="99" t="s">
        <v>588</v>
      </c>
      <c r="F1042" s="20">
        <f t="shared" si="16"/>
        <v>503364623</v>
      </c>
      <c r="G1042" s="7" t="s">
        <v>330</v>
      </c>
      <c r="H1042" s="24" t="s">
        <v>109</v>
      </c>
      <c r="I1042" s="32" t="s">
        <v>152</v>
      </c>
      <c r="K1042" s="181"/>
      <c r="L1042" s="181"/>
    </row>
    <row r="1043" spans="1:12" x14ac:dyDescent="0.35">
      <c r="A1043" s="19">
        <v>45801</v>
      </c>
      <c r="B1043" s="20"/>
      <c r="C1043" s="20"/>
      <c r="D1043" s="20">
        <v>10000</v>
      </c>
      <c r="E1043" s="99" t="s">
        <v>588</v>
      </c>
      <c r="F1043" s="20">
        <f t="shared" si="16"/>
        <v>503374623</v>
      </c>
      <c r="G1043" s="7" t="s">
        <v>330</v>
      </c>
      <c r="H1043" s="24" t="s">
        <v>109</v>
      </c>
      <c r="I1043" s="32" t="s">
        <v>152</v>
      </c>
      <c r="K1043" s="181"/>
      <c r="L1043" s="181"/>
    </row>
    <row r="1044" spans="1:12" x14ac:dyDescent="0.35">
      <c r="A1044" s="19">
        <v>45801</v>
      </c>
      <c r="B1044" s="20"/>
      <c r="C1044" s="20"/>
      <c r="D1044" s="20">
        <v>1750000</v>
      </c>
      <c r="E1044" s="99" t="s">
        <v>588</v>
      </c>
      <c r="F1044" s="20">
        <f t="shared" si="16"/>
        <v>505124623</v>
      </c>
      <c r="G1044" s="7" t="s">
        <v>630</v>
      </c>
      <c r="H1044" s="24" t="s">
        <v>619</v>
      </c>
      <c r="I1044" s="32" t="s">
        <v>152</v>
      </c>
      <c r="K1044" s="181"/>
      <c r="L1044" s="181"/>
    </row>
    <row r="1045" spans="1:12" x14ac:dyDescent="0.35">
      <c r="A1045" s="19">
        <v>45802</v>
      </c>
      <c r="B1045" s="20"/>
      <c r="C1045" s="20"/>
      <c r="D1045" s="20">
        <v>7000000</v>
      </c>
      <c r="E1045" s="99" t="s">
        <v>588</v>
      </c>
      <c r="F1045" s="20">
        <f t="shared" si="16"/>
        <v>512124623</v>
      </c>
      <c r="G1045" s="7" t="s">
        <v>630</v>
      </c>
      <c r="H1045" s="24" t="s">
        <v>619</v>
      </c>
      <c r="I1045" s="32" t="s">
        <v>152</v>
      </c>
      <c r="K1045" s="181"/>
      <c r="L1045" s="181"/>
    </row>
    <row r="1046" spans="1:12" x14ac:dyDescent="0.35">
      <c r="A1046" s="19">
        <v>45802</v>
      </c>
      <c r="B1046" s="20"/>
      <c r="C1046" s="20"/>
      <c r="D1046" s="20">
        <v>3500000</v>
      </c>
      <c r="E1046" s="99" t="s">
        <v>588</v>
      </c>
      <c r="F1046" s="20">
        <f t="shared" si="16"/>
        <v>515624623</v>
      </c>
      <c r="G1046" s="7" t="s">
        <v>630</v>
      </c>
      <c r="H1046" s="24" t="s">
        <v>619</v>
      </c>
      <c r="I1046" s="32" t="s">
        <v>152</v>
      </c>
      <c r="K1046" s="181"/>
      <c r="L1046" s="181"/>
    </row>
    <row r="1047" spans="1:12" x14ac:dyDescent="0.35">
      <c r="A1047" s="19">
        <v>45802</v>
      </c>
      <c r="B1047" s="20">
        <v>750000</v>
      </c>
      <c r="C1047" s="20"/>
      <c r="D1047" s="20"/>
      <c r="E1047" s="99" t="s">
        <v>588</v>
      </c>
      <c r="F1047" s="20">
        <f t="shared" si="16"/>
        <v>514874623</v>
      </c>
      <c r="G1047" s="7" t="s">
        <v>645</v>
      </c>
      <c r="H1047" s="24" t="s">
        <v>323</v>
      </c>
      <c r="I1047" s="32" t="s">
        <v>152</v>
      </c>
      <c r="K1047" s="181"/>
      <c r="L1047" s="181"/>
    </row>
    <row r="1048" spans="1:12" x14ac:dyDescent="0.35">
      <c r="A1048" s="19">
        <v>45802</v>
      </c>
      <c r="B1048" s="20">
        <v>6500</v>
      </c>
      <c r="C1048" s="20"/>
      <c r="D1048" s="20"/>
      <c r="E1048" s="99" t="s">
        <v>588</v>
      </c>
      <c r="F1048" s="20">
        <f t="shared" si="16"/>
        <v>514868123</v>
      </c>
      <c r="G1048" s="7" t="s">
        <v>646</v>
      </c>
      <c r="H1048" s="24" t="s">
        <v>323</v>
      </c>
      <c r="I1048" s="32" t="s">
        <v>152</v>
      </c>
      <c r="K1048" s="181"/>
      <c r="L1048" s="181"/>
    </row>
    <row r="1049" spans="1:12" x14ac:dyDescent="0.35">
      <c r="A1049" s="19">
        <v>45802</v>
      </c>
      <c r="B1049" s="20"/>
      <c r="C1049" s="20"/>
      <c r="D1049" s="20">
        <v>5000000</v>
      </c>
      <c r="E1049" s="99" t="s">
        <v>588</v>
      </c>
      <c r="F1049" s="20">
        <f t="shared" si="16"/>
        <v>519868123</v>
      </c>
      <c r="G1049" s="7" t="s">
        <v>630</v>
      </c>
      <c r="H1049" s="24" t="s">
        <v>619</v>
      </c>
      <c r="I1049" s="32" t="s">
        <v>152</v>
      </c>
      <c r="K1049" s="181"/>
      <c r="L1049" s="181"/>
    </row>
    <row r="1050" spans="1:12" x14ac:dyDescent="0.35">
      <c r="A1050" s="19">
        <v>45802</v>
      </c>
      <c r="B1050" s="20"/>
      <c r="C1050" s="20"/>
      <c r="D1050" s="20">
        <v>8000000</v>
      </c>
      <c r="E1050" s="99" t="s">
        <v>588</v>
      </c>
      <c r="F1050" s="20">
        <f t="shared" si="16"/>
        <v>527868123</v>
      </c>
      <c r="G1050" s="7" t="s">
        <v>630</v>
      </c>
      <c r="H1050" s="24" t="s">
        <v>619</v>
      </c>
      <c r="I1050" s="32" t="s">
        <v>152</v>
      </c>
      <c r="K1050" s="181"/>
      <c r="L1050" s="181"/>
    </row>
    <row r="1051" spans="1:12" x14ac:dyDescent="0.35">
      <c r="A1051" s="19">
        <v>45802</v>
      </c>
      <c r="B1051" s="20"/>
      <c r="C1051" s="20"/>
      <c r="D1051" s="20">
        <v>24500000</v>
      </c>
      <c r="E1051" s="99" t="s">
        <v>588</v>
      </c>
      <c r="F1051" s="20">
        <f t="shared" si="16"/>
        <v>552368123</v>
      </c>
      <c r="G1051" s="7" t="s">
        <v>630</v>
      </c>
      <c r="H1051" s="24" t="s">
        <v>619</v>
      </c>
      <c r="I1051" s="32" t="s">
        <v>152</v>
      </c>
      <c r="K1051" s="181"/>
      <c r="L1051" s="181"/>
    </row>
    <row r="1052" spans="1:12" x14ac:dyDescent="0.35">
      <c r="A1052" s="19">
        <v>45802</v>
      </c>
      <c r="B1052" s="20"/>
      <c r="C1052" s="20"/>
      <c r="D1052" s="20">
        <v>24500000</v>
      </c>
      <c r="E1052" s="99" t="s">
        <v>588</v>
      </c>
      <c r="F1052" s="20">
        <f t="shared" si="16"/>
        <v>576868123</v>
      </c>
      <c r="G1052" s="7" t="s">
        <v>630</v>
      </c>
      <c r="H1052" s="24" t="s">
        <v>619</v>
      </c>
      <c r="I1052" s="32" t="s">
        <v>152</v>
      </c>
      <c r="K1052" s="181"/>
      <c r="L1052" s="181"/>
    </row>
    <row r="1053" spans="1:12" x14ac:dyDescent="0.35">
      <c r="A1053" s="19">
        <v>45803</v>
      </c>
      <c r="B1053" s="20"/>
      <c r="C1053" s="20"/>
      <c r="D1053" s="20">
        <v>200000</v>
      </c>
      <c r="E1053" s="99" t="s">
        <v>588</v>
      </c>
      <c r="F1053" s="20">
        <f t="shared" si="16"/>
        <v>577068123</v>
      </c>
      <c r="G1053" s="7" t="s">
        <v>306</v>
      </c>
      <c r="H1053" s="24" t="s">
        <v>140</v>
      </c>
      <c r="I1053" s="32" t="s">
        <v>152</v>
      </c>
      <c r="K1053" s="181"/>
      <c r="L1053" s="181"/>
    </row>
    <row r="1054" spans="1:12" x14ac:dyDescent="0.35">
      <c r="A1054" s="19">
        <v>45803</v>
      </c>
      <c r="B1054" s="20"/>
      <c r="C1054" s="20"/>
      <c r="D1054" s="20">
        <v>4000000</v>
      </c>
      <c r="E1054" s="99" t="s">
        <v>588</v>
      </c>
      <c r="F1054" s="20">
        <f t="shared" si="16"/>
        <v>581068123</v>
      </c>
      <c r="G1054" s="7" t="s">
        <v>630</v>
      </c>
      <c r="H1054" s="24" t="s">
        <v>619</v>
      </c>
      <c r="I1054" s="32" t="s">
        <v>152</v>
      </c>
      <c r="K1054" s="181"/>
      <c r="L1054" s="181"/>
    </row>
    <row r="1055" spans="1:12" x14ac:dyDescent="0.35">
      <c r="A1055" s="19">
        <v>45803</v>
      </c>
      <c r="B1055" s="20"/>
      <c r="C1055" s="20"/>
      <c r="D1055" s="20">
        <v>10000</v>
      </c>
      <c r="E1055" s="99" t="s">
        <v>588</v>
      </c>
      <c r="F1055" s="20">
        <f t="shared" si="16"/>
        <v>581078123</v>
      </c>
      <c r="G1055" s="7" t="s">
        <v>330</v>
      </c>
      <c r="H1055" s="24" t="s">
        <v>109</v>
      </c>
      <c r="I1055" s="32" t="s">
        <v>152</v>
      </c>
      <c r="K1055" s="181"/>
      <c r="L1055" s="181"/>
    </row>
    <row r="1056" spans="1:12" x14ac:dyDescent="0.35">
      <c r="A1056" s="19">
        <v>45803</v>
      </c>
      <c r="B1056" s="20"/>
      <c r="C1056" s="20"/>
      <c r="D1056" s="20">
        <v>20000</v>
      </c>
      <c r="E1056" s="99" t="s">
        <v>588</v>
      </c>
      <c r="F1056" s="20">
        <f t="shared" si="16"/>
        <v>581098123</v>
      </c>
      <c r="G1056" s="7" t="s">
        <v>330</v>
      </c>
      <c r="H1056" s="24" t="s">
        <v>109</v>
      </c>
      <c r="I1056" s="32" t="s">
        <v>152</v>
      </c>
      <c r="K1056" s="181"/>
      <c r="L1056" s="181"/>
    </row>
    <row r="1057" spans="1:12" x14ac:dyDescent="0.35">
      <c r="A1057" s="19">
        <v>45803</v>
      </c>
      <c r="B1057" s="20"/>
      <c r="C1057" s="20"/>
      <c r="D1057" s="197">
        <v>3709000</v>
      </c>
      <c r="E1057" s="99" t="s">
        <v>588</v>
      </c>
      <c r="F1057" s="20">
        <f t="shared" si="16"/>
        <v>584807123</v>
      </c>
      <c r="G1057" s="7"/>
      <c r="H1057" s="24" t="s">
        <v>107</v>
      </c>
      <c r="I1057" s="32" t="s">
        <v>152</v>
      </c>
      <c r="K1057" s="181"/>
      <c r="L1057" s="181"/>
    </row>
    <row r="1058" spans="1:12" x14ac:dyDescent="0.35">
      <c r="A1058" s="19">
        <v>45803</v>
      </c>
      <c r="B1058" s="20"/>
      <c r="C1058" s="20"/>
      <c r="D1058" s="197">
        <v>2039000</v>
      </c>
      <c r="E1058" s="99" t="s">
        <v>588</v>
      </c>
      <c r="F1058" s="20">
        <f t="shared" si="16"/>
        <v>586846123</v>
      </c>
      <c r="G1058" s="7"/>
      <c r="H1058" s="24" t="s">
        <v>109</v>
      </c>
      <c r="I1058" s="32" t="s">
        <v>152</v>
      </c>
      <c r="K1058" s="181"/>
      <c r="L1058" s="181"/>
    </row>
    <row r="1059" spans="1:12" x14ac:dyDescent="0.35">
      <c r="A1059" s="19"/>
      <c r="B1059" s="20"/>
      <c r="C1059" s="20">
        <v>5748000</v>
      </c>
      <c r="D1059" s="20"/>
      <c r="E1059" s="99"/>
      <c r="F1059" s="20">
        <f t="shared" si="16"/>
        <v>586846123</v>
      </c>
      <c r="G1059" s="7" t="s">
        <v>305</v>
      </c>
      <c r="H1059" s="24"/>
      <c r="I1059" s="32"/>
      <c r="K1059" s="181"/>
      <c r="L1059" s="181"/>
    </row>
    <row r="1060" spans="1:12" x14ac:dyDescent="0.35">
      <c r="A1060" s="19">
        <v>45803</v>
      </c>
      <c r="B1060" s="20"/>
      <c r="C1060" s="20"/>
      <c r="D1060" s="20">
        <v>4000000</v>
      </c>
      <c r="E1060" s="99" t="s">
        <v>588</v>
      </c>
      <c r="F1060" s="20">
        <f t="shared" si="16"/>
        <v>590846123</v>
      </c>
      <c r="G1060" s="7" t="s">
        <v>630</v>
      </c>
      <c r="H1060" s="24" t="s">
        <v>619</v>
      </c>
      <c r="I1060" s="32" t="s">
        <v>152</v>
      </c>
      <c r="K1060" s="181"/>
      <c r="L1060" s="181"/>
    </row>
    <row r="1061" spans="1:12" x14ac:dyDescent="0.35">
      <c r="A1061" s="19">
        <v>45804</v>
      </c>
      <c r="B1061" s="20">
        <v>2000000</v>
      </c>
      <c r="C1061" s="20"/>
      <c r="D1061" s="20"/>
      <c r="E1061" s="99" t="s">
        <v>588</v>
      </c>
      <c r="F1061" s="20">
        <f t="shared" si="16"/>
        <v>588846123</v>
      </c>
      <c r="G1061" s="7" t="s">
        <v>647</v>
      </c>
      <c r="H1061" s="24" t="s">
        <v>321</v>
      </c>
      <c r="I1061" s="32" t="s">
        <v>152</v>
      </c>
      <c r="K1061" s="181"/>
      <c r="L1061" s="181"/>
    </row>
    <row r="1062" spans="1:12" x14ac:dyDescent="0.35">
      <c r="A1062" s="19">
        <v>45804</v>
      </c>
      <c r="B1062" s="20">
        <v>6500</v>
      </c>
      <c r="C1062" s="20"/>
      <c r="D1062" s="20"/>
      <c r="E1062" s="99" t="s">
        <v>588</v>
      </c>
      <c r="F1062" s="20">
        <f t="shared" si="16"/>
        <v>588839623</v>
      </c>
      <c r="G1062" s="7" t="s">
        <v>648</v>
      </c>
      <c r="H1062" s="24" t="s">
        <v>321</v>
      </c>
      <c r="I1062" s="32" t="s">
        <v>152</v>
      </c>
      <c r="K1062" s="181"/>
      <c r="L1062" s="181"/>
    </row>
    <row r="1063" spans="1:12" x14ac:dyDescent="0.35">
      <c r="A1063" s="19">
        <v>45804</v>
      </c>
      <c r="B1063" s="20"/>
      <c r="C1063" s="20"/>
      <c r="D1063" s="20">
        <v>50000</v>
      </c>
      <c r="E1063" s="99" t="s">
        <v>588</v>
      </c>
      <c r="F1063" s="20">
        <f t="shared" si="16"/>
        <v>588889623</v>
      </c>
      <c r="G1063" s="7" t="s">
        <v>330</v>
      </c>
      <c r="H1063" s="24" t="s">
        <v>109</v>
      </c>
      <c r="I1063" s="32" t="s">
        <v>152</v>
      </c>
      <c r="K1063" s="181"/>
      <c r="L1063" s="181"/>
    </row>
    <row r="1064" spans="1:12" x14ac:dyDescent="0.35">
      <c r="A1064" s="19">
        <v>45804</v>
      </c>
      <c r="B1064" s="20"/>
      <c r="C1064" s="20"/>
      <c r="D1064" s="20">
        <v>10000</v>
      </c>
      <c r="E1064" s="99" t="s">
        <v>588</v>
      </c>
      <c r="F1064" s="20">
        <f t="shared" si="16"/>
        <v>588899623</v>
      </c>
      <c r="G1064" s="7" t="s">
        <v>330</v>
      </c>
      <c r="H1064" s="24" t="s">
        <v>109</v>
      </c>
      <c r="I1064" s="32" t="s">
        <v>152</v>
      </c>
      <c r="K1064" s="181"/>
      <c r="L1064" s="181"/>
    </row>
    <row r="1065" spans="1:12" x14ac:dyDescent="0.35">
      <c r="A1065" s="19">
        <v>45804</v>
      </c>
      <c r="B1065" s="20"/>
      <c r="C1065" s="20"/>
      <c r="D1065" s="20">
        <v>50000</v>
      </c>
      <c r="E1065" s="99" t="s">
        <v>588</v>
      </c>
      <c r="F1065" s="20">
        <f t="shared" si="16"/>
        <v>588949623</v>
      </c>
      <c r="G1065" s="7" t="s">
        <v>330</v>
      </c>
      <c r="H1065" s="24" t="s">
        <v>109</v>
      </c>
      <c r="I1065" s="32" t="s">
        <v>152</v>
      </c>
      <c r="K1065" s="181"/>
      <c r="L1065" s="181"/>
    </row>
    <row r="1066" spans="1:12" x14ac:dyDescent="0.35">
      <c r="A1066" s="19">
        <v>45804</v>
      </c>
      <c r="B1066" s="20">
        <v>2500000</v>
      </c>
      <c r="C1066" s="20"/>
      <c r="D1066" s="20"/>
      <c r="E1066" s="99" t="s">
        <v>588</v>
      </c>
      <c r="F1066" s="20">
        <f t="shared" si="16"/>
        <v>586449623</v>
      </c>
      <c r="G1066" s="7" t="s">
        <v>649</v>
      </c>
      <c r="H1066" s="24" t="s">
        <v>325</v>
      </c>
      <c r="I1066" s="32" t="s">
        <v>152</v>
      </c>
      <c r="K1066" s="181"/>
      <c r="L1066" s="181"/>
    </row>
    <row r="1067" spans="1:12" x14ac:dyDescent="0.35">
      <c r="A1067" s="19">
        <v>45804</v>
      </c>
      <c r="B1067" s="20">
        <v>6500</v>
      </c>
      <c r="C1067" s="20"/>
      <c r="D1067" s="20"/>
      <c r="E1067" s="99" t="s">
        <v>588</v>
      </c>
      <c r="F1067" s="20">
        <f t="shared" si="16"/>
        <v>586443123</v>
      </c>
      <c r="G1067" s="7" t="s">
        <v>649</v>
      </c>
      <c r="H1067" s="24" t="s">
        <v>325</v>
      </c>
      <c r="I1067" s="32" t="s">
        <v>152</v>
      </c>
      <c r="K1067" s="181"/>
      <c r="L1067" s="181"/>
    </row>
    <row r="1068" spans="1:12" x14ac:dyDescent="0.35">
      <c r="A1068" s="19">
        <v>45804</v>
      </c>
      <c r="B1068" s="20">
        <v>1000000</v>
      </c>
      <c r="C1068" s="20"/>
      <c r="D1068" s="20"/>
      <c r="E1068" s="99" t="s">
        <v>588</v>
      </c>
      <c r="F1068" s="20">
        <f t="shared" si="16"/>
        <v>585443123</v>
      </c>
      <c r="G1068" s="7" t="s">
        <v>649</v>
      </c>
      <c r="H1068" s="24" t="s">
        <v>325</v>
      </c>
      <c r="I1068" s="32" t="s">
        <v>152</v>
      </c>
      <c r="K1068" s="181"/>
      <c r="L1068" s="181"/>
    </row>
    <row r="1069" spans="1:12" x14ac:dyDescent="0.35">
      <c r="A1069" s="19">
        <v>45804</v>
      </c>
      <c r="B1069" s="20">
        <v>6500</v>
      </c>
      <c r="C1069" s="20"/>
      <c r="D1069" s="20"/>
      <c r="E1069" s="99" t="s">
        <v>588</v>
      </c>
      <c r="F1069" s="20">
        <f t="shared" si="16"/>
        <v>585436623</v>
      </c>
      <c r="G1069" s="7" t="s">
        <v>649</v>
      </c>
      <c r="H1069" s="24" t="s">
        <v>325</v>
      </c>
      <c r="I1069" s="32" t="s">
        <v>152</v>
      </c>
      <c r="K1069" s="181"/>
      <c r="L1069" s="181"/>
    </row>
    <row r="1070" spans="1:12" x14ac:dyDescent="0.35">
      <c r="A1070" s="19">
        <v>45804</v>
      </c>
      <c r="B1070" s="20">
        <v>2700000</v>
      </c>
      <c r="C1070" s="20"/>
      <c r="D1070" s="20"/>
      <c r="E1070" s="99" t="s">
        <v>588</v>
      </c>
      <c r="F1070" s="20">
        <f t="shared" si="16"/>
        <v>582736623</v>
      </c>
      <c r="G1070" s="7" t="s">
        <v>650</v>
      </c>
      <c r="H1070" s="24" t="s">
        <v>201</v>
      </c>
      <c r="I1070" s="32" t="s">
        <v>152</v>
      </c>
      <c r="K1070" s="181"/>
      <c r="L1070" s="181"/>
    </row>
    <row r="1071" spans="1:12" x14ac:dyDescent="0.35">
      <c r="A1071" s="19">
        <v>45804</v>
      </c>
      <c r="B1071" s="20">
        <v>6500</v>
      </c>
      <c r="C1071" s="20"/>
      <c r="D1071" s="20"/>
      <c r="E1071" s="99" t="s">
        <v>588</v>
      </c>
      <c r="F1071" s="20">
        <f t="shared" si="16"/>
        <v>582730123</v>
      </c>
      <c r="G1071" s="7" t="s">
        <v>651</v>
      </c>
      <c r="H1071" s="24" t="s">
        <v>201</v>
      </c>
      <c r="I1071" s="32" t="s">
        <v>152</v>
      </c>
      <c r="K1071" s="181"/>
      <c r="L1071" s="181"/>
    </row>
    <row r="1072" spans="1:12" x14ac:dyDescent="0.35">
      <c r="A1072" s="19">
        <v>45804</v>
      </c>
      <c r="B1072" s="20">
        <v>550000</v>
      </c>
      <c r="C1072" s="20"/>
      <c r="D1072" s="20"/>
      <c r="E1072" s="99" t="s">
        <v>588</v>
      </c>
      <c r="F1072" s="20">
        <f t="shared" si="16"/>
        <v>582180123</v>
      </c>
      <c r="G1072" s="7" t="s">
        <v>649</v>
      </c>
      <c r="H1072" s="24" t="s">
        <v>325</v>
      </c>
      <c r="I1072" s="32" t="s">
        <v>152</v>
      </c>
      <c r="K1072" s="181"/>
      <c r="L1072" s="181"/>
    </row>
    <row r="1073" spans="1:12" x14ac:dyDescent="0.35">
      <c r="A1073" s="19">
        <v>45804</v>
      </c>
      <c r="B1073" s="20">
        <v>6500</v>
      </c>
      <c r="C1073" s="20"/>
      <c r="D1073" s="20"/>
      <c r="E1073" s="99" t="s">
        <v>588</v>
      </c>
      <c r="F1073" s="20">
        <f t="shared" si="16"/>
        <v>582173623</v>
      </c>
      <c r="G1073" s="7" t="s">
        <v>649</v>
      </c>
      <c r="H1073" s="24" t="s">
        <v>325</v>
      </c>
      <c r="I1073" s="32" t="s">
        <v>152</v>
      </c>
      <c r="K1073" s="181"/>
      <c r="L1073" s="181"/>
    </row>
    <row r="1074" spans="1:12" x14ac:dyDescent="0.35">
      <c r="A1074" s="19">
        <v>45804</v>
      </c>
      <c r="B1074" s="20">
        <v>3500000</v>
      </c>
      <c r="C1074" s="20"/>
      <c r="D1074" s="20"/>
      <c r="E1074" s="99" t="s">
        <v>588</v>
      </c>
      <c r="F1074" s="20">
        <f t="shared" si="16"/>
        <v>578673623</v>
      </c>
      <c r="G1074" s="7" t="s">
        <v>649</v>
      </c>
      <c r="H1074" s="24" t="s">
        <v>325</v>
      </c>
      <c r="I1074" s="32" t="s">
        <v>152</v>
      </c>
      <c r="K1074" s="181"/>
      <c r="L1074" s="181"/>
    </row>
    <row r="1075" spans="1:12" x14ac:dyDescent="0.35">
      <c r="A1075" s="19">
        <v>45804</v>
      </c>
      <c r="B1075" s="20">
        <v>6500</v>
      </c>
      <c r="C1075" s="20"/>
      <c r="D1075" s="20"/>
      <c r="E1075" s="99" t="s">
        <v>588</v>
      </c>
      <c r="F1075" s="20">
        <f t="shared" si="16"/>
        <v>578667123</v>
      </c>
      <c r="G1075" s="7" t="s">
        <v>649</v>
      </c>
      <c r="H1075" s="24" t="s">
        <v>325</v>
      </c>
      <c r="I1075" s="32" t="s">
        <v>152</v>
      </c>
      <c r="K1075" s="181"/>
      <c r="L1075" s="181"/>
    </row>
    <row r="1076" spans="1:12" x14ac:dyDescent="0.35">
      <c r="A1076" s="19">
        <v>45804</v>
      </c>
      <c r="B1076" s="20">
        <v>4000000</v>
      </c>
      <c r="C1076" s="20"/>
      <c r="D1076" s="20"/>
      <c r="E1076" s="99" t="s">
        <v>588</v>
      </c>
      <c r="F1076" s="20">
        <f t="shared" si="16"/>
        <v>574667123</v>
      </c>
      <c r="G1076" s="7" t="s">
        <v>652</v>
      </c>
      <c r="H1076" s="24" t="s">
        <v>201</v>
      </c>
      <c r="I1076" s="32" t="s">
        <v>152</v>
      </c>
      <c r="K1076" s="181"/>
      <c r="L1076" s="181"/>
    </row>
    <row r="1077" spans="1:12" x14ac:dyDescent="0.35">
      <c r="A1077" s="19">
        <v>45804</v>
      </c>
      <c r="B1077" s="20">
        <v>6500</v>
      </c>
      <c r="C1077" s="20"/>
      <c r="D1077" s="20"/>
      <c r="E1077" s="99" t="s">
        <v>588</v>
      </c>
      <c r="F1077" s="20">
        <f t="shared" si="16"/>
        <v>574660623</v>
      </c>
      <c r="G1077" s="7" t="s">
        <v>653</v>
      </c>
      <c r="H1077" s="24" t="s">
        <v>201</v>
      </c>
      <c r="I1077" s="32" t="s">
        <v>152</v>
      </c>
      <c r="K1077" s="181"/>
      <c r="L1077" s="181"/>
    </row>
    <row r="1078" spans="1:12" x14ac:dyDescent="0.35">
      <c r="A1078" s="19">
        <v>45804</v>
      </c>
      <c r="B1078" s="20">
        <v>2250000</v>
      </c>
      <c r="C1078" s="20"/>
      <c r="D1078" s="20"/>
      <c r="E1078" s="99" t="s">
        <v>588</v>
      </c>
      <c r="F1078" s="20">
        <f t="shared" si="16"/>
        <v>572410623</v>
      </c>
      <c r="G1078" s="7" t="s">
        <v>649</v>
      </c>
      <c r="H1078" s="24" t="s">
        <v>325</v>
      </c>
      <c r="I1078" s="32" t="s">
        <v>152</v>
      </c>
      <c r="K1078" s="181"/>
      <c r="L1078" s="181"/>
    </row>
    <row r="1079" spans="1:12" x14ac:dyDescent="0.35">
      <c r="A1079" s="19">
        <v>45804</v>
      </c>
      <c r="B1079" s="20">
        <v>6500</v>
      </c>
      <c r="C1079" s="20"/>
      <c r="D1079" s="20"/>
      <c r="E1079" s="99" t="s">
        <v>588</v>
      </c>
      <c r="F1079" s="20">
        <f t="shared" si="16"/>
        <v>572404123</v>
      </c>
      <c r="G1079" s="7" t="s">
        <v>649</v>
      </c>
      <c r="H1079" s="24" t="s">
        <v>325</v>
      </c>
      <c r="I1079" s="32" t="s">
        <v>152</v>
      </c>
      <c r="K1079" s="181"/>
      <c r="L1079" s="181"/>
    </row>
    <row r="1080" spans="1:12" x14ac:dyDescent="0.35">
      <c r="A1080" s="19">
        <v>45804</v>
      </c>
      <c r="B1080" s="20">
        <v>2750000</v>
      </c>
      <c r="C1080" s="20"/>
      <c r="D1080" s="20"/>
      <c r="E1080" s="99" t="s">
        <v>588</v>
      </c>
      <c r="F1080" s="20">
        <f t="shared" si="16"/>
        <v>569654123</v>
      </c>
      <c r="G1080" s="7" t="s">
        <v>649</v>
      </c>
      <c r="H1080" s="24" t="s">
        <v>325</v>
      </c>
      <c r="I1080" s="32" t="s">
        <v>152</v>
      </c>
      <c r="K1080" s="181"/>
      <c r="L1080" s="181"/>
    </row>
    <row r="1081" spans="1:12" x14ac:dyDescent="0.35">
      <c r="A1081" s="19">
        <v>45804</v>
      </c>
      <c r="B1081" s="20"/>
      <c r="C1081" s="20"/>
      <c r="D1081" s="20">
        <v>3500000</v>
      </c>
      <c r="E1081" s="99" t="s">
        <v>588</v>
      </c>
      <c r="F1081" s="20">
        <f t="shared" si="16"/>
        <v>573154123</v>
      </c>
      <c r="G1081" s="7" t="s">
        <v>630</v>
      </c>
      <c r="H1081" s="24" t="s">
        <v>619</v>
      </c>
      <c r="I1081" s="32" t="s">
        <v>152</v>
      </c>
      <c r="K1081" s="181"/>
      <c r="L1081" s="181"/>
    </row>
    <row r="1082" spans="1:12" x14ac:dyDescent="0.35">
      <c r="A1082" s="19">
        <v>45804</v>
      </c>
      <c r="B1082" s="20"/>
      <c r="C1082" s="20"/>
      <c r="D1082" s="20">
        <v>1750000</v>
      </c>
      <c r="E1082" s="99" t="s">
        <v>588</v>
      </c>
      <c r="F1082" s="20">
        <f t="shared" si="16"/>
        <v>574904123</v>
      </c>
      <c r="G1082" s="7" t="s">
        <v>630</v>
      </c>
      <c r="H1082" s="24" t="s">
        <v>619</v>
      </c>
      <c r="I1082" s="32" t="s">
        <v>152</v>
      </c>
      <c r="K1082" s="181"/>
      <c r="L1082" s="181"/>
    </row>
    <row r="1083" spans="1:12" x14ac:dyDescent="0.35">
      <c r="A1083" s="19">
        <v>45804</v>
      </c>
      <c r="B1083" s="20"/>
      <c r="C1083" s="20"/>
      <c r="D1083" s="20">
        <v>4000000</v>
      </c>
      <c r="E1083" s="99" t="s">
        <v>588</v>
      </c>
      <c r="F1083" s="20">
        <f t="shared" si="16"/>
        <v>578904123</v>
      </c>
      <c r="G1083" s="7" t="s">
        <v>630</v>
      </c>
      <c r="H1083" s="24" t="s">
        <v>619</v>
      </c>
      <c r="I1083" s="32" t="s">
        <v>152</v>
      </c>
      <c r="K1083" s="181"/>
      <c r="L1083" s="181"/>
    </row>
    <row r="1084" spans="1:12" x14ac:dyDescent="0.35">
      <c r="A1084" s="19">
        <v>45805</v>
      </c>
      <c r="B1084" s="20"/>
      <c r="C1084" s="20"/>
      <c r="D1084" s="20">
        <v>31500000</v>
      </c>
      <c r="E1084" s="99" t="s">
        <v>588</v>
      </c>
      <c r="F1084" s="20">
        <f t="shared" si="16"/>
        <v>610404123</v>
      </c>
      <c r="G1084" s="7" t="s">
        <v>630</v>
      </c>
      <c r="H1084" s="24" t="s">
        <v>619</v>
      </c>
      <c r="I1084" s="32" t="s">
        <v>152</v>
      </c>
      <c r="K1084" s="181"/>
      <c r="L1084" s="181"/>
    </row>
    <row r="1085" spans="1:12" x14ac:dyDescent="0.35">
      <c r="A1085" s="19">
        <v>45805</v>
      </c>
      <c r="B1085" s="20"/>
      <c r="C1085" s="20"/>
      <c r="D1085" s="20">
        <v>10000</v>
      </c>
      <c r="E1085" s="99" t="s">
        <v>588</v>
      </c>
      <c r="F1085" s="20">
        <f t="shared" si="16"/>
        <v>610414123</v>
      </c>
      <c r="G1085" s="7" t="s">
        <v>330</v>
      </c>
      <c r="H1085" s="24" t="s">
        <v>109</v>
      </c>
      <c r="I1085" s="32" t="s">
        <v>152</v>
      </c>
      <c r="K1085" s="181"/>
      <c r="L1085" s="181"/>
    </row>
    <row r="1086" spans="1:12" x14ac:dyDescent="0.35">
      <c r="A1086" s="19">
        <v>45805</v>
      </c>
      <c r="B1086" s="20"/>
      <c r="C1086" s="20"/>
      <c r="D1086" s="20">
        <v>4000000</v>
      </c>
      <c r="E1086" s="99" t="s">
        <v>588</v>
      </c>
      <c r="F1086" s="20">
        <f t="shared" si="16"/>
        <v>614414123</v>
      </c>
      <c r="G1086" s="7" t="s">
        <v>630</v>
      </c>
      <c r="H1086" s="24" t="s">
        <v>619</v>
      </c>
      <c r="I1086" s="32" t="s">
        <v>152</v>
      </c>
      <c r="K1086" s="181"/>
      <c r="L1086" s="181"/>
    </row>
    <row r="1087" spans="1:12" x14ac:dyDescent="0.35">
      <c r="A1087" s="19">
        <v>45805</v>
      </c>
      <c r="B1087" s="20"/>
      <c r="C1087" s="20"/>
      <c r="D1087" s="20">
        <v>3500000</v>
      </c>
      <c r="E1087" s="99" t="s">
        <v>588</v>
      </c>
      <c r="F1087" s="20">
        <f t="shared" si="16"/>
        <v>617914123</v>
      </c>
      <c r="G1087" s="7" t="s">
        <v>630</v>
      </c>
      <c r="H1087" s="24" t="s">
        <v>619</v>
      </c>
      <c r="I1087" s="32" t="s">
        <v>152</v>
      </c>
      <c r="K1087" s="181"/>
      <c r="L1087" s="181"/>
    </row>
    <row r="1088" spans="1:12" x14ac:dyDescent="0.35">
      <c r="A1088" s="19">
        <v>45805</v>
      </c>
      <c r="B1088" s="20">
        <v>30000000</v>
      </c>
      <c r="C1088" s="20"/>
      <c r="D1088" s="20"/>
      <c r="E1088" s="99" t="s">
        <v>588</v>
      </c>
      <c r="F1088" s="20">
        <f t="shared" si="16"/>
        <v>587914123</v>
      </c>
      <c r="G1088" s="7" t="s">
        <v>654</v>
      </c>
      <c r="H1088" s="24" t="s">
        <v>614</v>
      </c>
      <c r="I1088" s="32" t="s">
        <v>152</v>
      </c>
      <c r="K1088" s="181"/>
      <c r="L1088" s="181"/>
    </row>
    <row r="1089" spans="1:12" x14ac:dyDescent="0.35">
      <c r="A1089" s="19">
        <v>45805</v>
      </c>
      <c r="B1089" s="20">
        <v>6500</v>
      </c>
      <c r="C1089" s="20"/>
      <c r="D1089" s="20"/>
      <c r="E1089" s="99" t="s">
        <v>588</v>
      </c>
      <c r="F1089" s="20">
        <f t="shared" si="16"/>
        <v>587907623</v>
      </c>
      <c r="G1089" s="7" t="s">
        <v>655</v>
      </c>
      <c r="H1089" s="24" t="s">
        <v>614</v>
      </c>
      <c r="I1089" s="32" t="s">
        <v>152</v>
      </c>
      <c r="K1089" s="181"/>
      <c r="L1089" s="181"/>
    </row>
    <row r="1090" spans="1:12" x14ac:dyDescent="0.35">
      <c r="A1090" s="19">
        <v>45805</v>
      </c>
      <c r="B1090" s="20">
        <v>20000000</v>
      </c>
      <c r="C1090" s="20"/>
      <c r="D1090" s="20"/>
      <c r="E1090" s="99" t="s">
        <v>588</v>
      </c>
      <c r="F1090" s="20">
        <f t="shared" si="16"/>
        <v>567907623</v>
      </c>
      <c r="G1090" s="7" t="s">
        <v>654</v>
      </c>
      <c r="H1090" s="24" t="s">
        <v>614</v>
      </c>
      <c r="I1090" s="32" t="s">
        <v>152</v>
      </c>
      <c r="K1090" s="181"/>
      <c r="L1090" s="181"/>
    </row>
    <row r="1091" spans="1:12" x14ac:dyDescent="0.35">
      <c r="A1091" s="19">
        <v>45805</v>
      </c>
      <c r="B1091" s="20">
        <v>45000000</v>
      </c>
      <c r="C1091" s="20"/>
      <c r="D1091" s="20"/>
      <c r="E1091" s="99" t="s">
        <v>588</v>
      </c>
      <c r="F1091" s="20">
        <f t="shared" si="16"/>
        <v>522907623</v>
      </c>
      <c r="G1091" s="7" t="s">
        <v>654</v>
      </c>
      <c r="H1091" s="24" t="s">
        <v>614</v>
      </c>
      <c r="I1091" s="32" t="s">
        <v>152</v>
      </c>
      <c r="K1091" s="181"/>
      <c r="L1091" s="181"/>
    </row>
    <row r="1092" spans="1:12" x14ac:dyDescent="0.35">
      <c r="A1092" s="19">
        <v>45805</v>
      </c>
      <c r="B1092" s="20"/>
      <c r="C1092" s="20"/>
      <c r="D1092" s="20">
        <v>7500000</v>
      </c>
      <c r="E1092" s="99" t="s">
        <v>588</v>
      </c>
      <c r="F1092" s="20">
        <f t="shared" si="16"/>
        <v>530407623</v>
      </c>
      <c r="G1092" s="7" t="s">
        <v>630</v>
      </c>
      <c r="H1092" s="24" t="s">
        <v>619</v>
      </c>
      <c r="I1092" s="32" t="s">
        <v>152</v>
      </c>
      <c r="K1092" s="181"/>
      <c r="L1092" s="181"/>
    </row>
    <row r="1093" spans="1:12" x14ac:dyDescent="0.35">
      <c r="A1093" s="19">
        <v>45805</v>
      </c>
      <c r="B1093" s="20"/>
      <c r="C1093" s="20"/>
      <c r="D1093" s="20">
        <v>3500000</v>
      </c>
      <c r="E1093" s="99" t="s">
        <v>588</v>
      </c>
      <c r="F1093" s="20">
        <f t="shared" si="16"/>
        <v>533907623</v>
      </c>
      <c r="G1093" s="7" t="s">
        <v>630</v>
      </c>
      <c r="H1093" s="24" t="s">
        <v>619</v>
      </c>
      <c r="I1093" s="32" t="s">
        <v>152</v>
      </c>
      <c r="K1093" s="181"/>
      <c r="L1093" s="181"/>
    </row>
    <row r="1094" spans="1:12" x14ac:dyDescent="0.35">
      <c r="A1094" s="19">
        <v>45805</v>
      </c>
      <c r="B1094" s="20"/>
      <c r="C1094" s="20"/>
      <c r="D1094" s="20">
        <v>250000</v>
      </c>
      <c r="E1094" s="99" t="s">
        <v>588</v>
      </c>
      <c r="F1094" s="20">
        <f t="shared" si="16"/>
        <v>534157623</v>
      </c>
      <c r="G1094" s="7" t="s">
        <v>630</v>
      </c>
      <c r="H1094" s="24" t="s">
        <v>619</v>
      </c>
      <c r="I1094" s="32" t="s">
        <v>152</v>
      </c>
      <c r="K1094" s="181"/>
      <c r="L1094" s="181"/>
    </row>
    <row r="1095" spans="1:12" x14ac:dyDescent="0.35">
      <c r="A1095" s="19">
        <v>45805</v>
      </c>
      <c r="B1095" s="20"/>
      <c r="C1095" s="20"/>
      <c r="D1095" s="20">
        <v>4000000</v>
      </c>
      <c r="E1095" s="99" t="s">
        <v>588</v>
      </c>
      <c r="F1095" s="20">
        <f t="shared" si="16"/>
        <v>538157623</v>
      </c>
      <c r="G1095" s="7" t="s">
        <v>630</v>
      </c>
      <c r="H1095" s="24" t="s">
        <v>619</v>
      </c>
      <c r="I1095" s="32" t="s">
        <v>152</v>
      </c>
      <c r="K1095" s="181"/>
      <c r="L1095" s="181"/>
    </row>
    <row r="1096" spans="1:12" x14ac:dyDescent="0.35">
      <c r="A1096" s="19">
        <v>45805</v>
      </c>
      <c r="B1096" s="20"/>
      <c r="C1096" s="20"/>
      <c r="D1096" s="20">
        <v>300000</v>
      </c>
      <c r="E1096" s="99" t="s">
        <v>588</v>
      </c>
      <c r="F1096" s="20">
        <f t="shared" si="16"/>
        <v>538457623</v>
      </c>
      <c r="G1096" s="7" t="s">
        <v>577</v>
      </c>
      <c r="H1096" s="24" t="s">
        <v>109</v>
      </c>
      <c r="I1096" s="32" t="s">
        <v>152</v>
      </c>
      <c r="K1096" s="181"/>
      <c r="L1096" s="181"/>
    </row>
    <row r="1097" spans="1:12" x14ac:dyDescent="0.35">
      <c r="A1097" s="19">
        <v>45805</v>
      </c>
      <c r="B1097" s="20">
        <v>500000</v>
      </c>
      <c r="C1097" s="20"/>
      <c r="D1097" s="20"/>
      <c r="E1097" s="99" t="s">
        <v>588</v>
      </c>
      <c r="F1097" s="20">
        <f t="shared" si="16"/>
        <v>537957623</v>
      </c>
      <c r="G1097" s="7" t="s">
        <v>656</v>
      </c>
      <c r="H1097" s="24" t="s">
        <v>614</v>
      </c>
      <c r="I1097" s="32" t="s">
        <v>152</v>
      </c>
      <c r="K1097" s="181"/>
      <c r="L1097" s="181"/>
    </row>
    <row r="1098" spans="1:12" x14ac:dyDescent="0.35">
      <c r="A1098" s="19">
        <v>45805</v>
      </c>
      <c r="B1098" s="20">
        <v>6500</v>
      </c>
      <c r="C1098" s="20"/>
      <c r="D1098" s="20"/>
      <c r="E1098" s="99" t="s">
        <v>588</v>
      </c>
      <c r="F1098" s="20">
        <f t="shared" ref="F1098:F1161" si="17">+F1097+D1098-B1098</f>
        <v>537951123</v>
      </c>
      <c r="G1098" s="7" t="s">
        <v>657</v>
      </c>
      <c r="H1098" s="24" t="s">
        <v>614</v>
      </c>
      <c r="I1098" s="32" t="s">
        <v>152</v>
      </c>
      <c r="K1098" s="181"/>
      <c r="L1098" s="181"/>
    </row>
    <row r="1099" spans="1:12" x14ac:dyDescent="0.35">
      <c r="A1099" s="19">
        <v>45805</v>
      </c>
      <c r="B1099" s="20"/>
      <c r="C1099" s="20"/>
      <c r="D1099" s="20">
        <v>5000000</v>
      </c>
      <c r="E1099" s="99" t="s">
        <v>588</v>
      </c>
      <c r="F1099" s="20">
        <f t="shared" si="17"/>
        <v>542951123</v>
      </c>
      <c r="G1099" s="7" t="s">
        <v>630</v>
      </c>
      <c r="H1099" s="24" t="s">
        <v>619</v>
      </c>
      <c r="I1099" s="32" t="s">
        <v>152</v>
      </c>
      <c r="K1099" s="181"/>
      <c r="L1099" s="181"/>
    </row>
    <row r="1100" spans="1:12" x14ac:dyDescent="0.35">
      <c r="A1100" s="19">
        <v>45805</v>
      </c>
      <c r="B1100" s="20">
        <v>15000000</v>
      </c>
      <c r="C1100" s="20"/>
      <c r="D1100" s="20"/>
      <c r="E1100" s="99" t="s">
        <v>588</v>
      </c>
      <c r="F1100" s="20">
        <f t="shared" si="17"/>
        <v>527951123</v>
      </c>
      <c r="G1100" s="7" t="s">
        <v>654</v>
      </c>
      <c r="H1100" s="24" t="s">
        <v>614</v>
      </c>
      <c r="I1100" s="32" t="s">
        <v>152</v>
      </c>
      <c r="K1100" s="181"/>
      <c r="L1100" s="181"/>
    </row>
    <row r="1101" spans="1:12" x14ac:dyDescent="0.35">
      <c r="A1101" s="19">
        <v>45805</v>
      </c>
      <c r="B1101" s="20">
        <v>6500</v>
      </c>
      <c r="C1101" s="20"/>
      <c r="D1101" s="20"/>
      <c r="E1101" s="99" t="s">
        <v>588</v>
      </c>
      <c r="F1101" s="20">
        <f t="shared" si="17"/>
        <v>527944623</v>
      </c>
      <c r="G1101" s="7" t="s">
        <v>655</v>
      </c>
      <c r="H1101" s="24" t="s">
        <v>614</v>
      </c>
      <c r="I1101" s="32" t="s">
        <v>152</v>
      </c>
      <c r="K1101" s="181"/>
      <c r="L1101" s="181"/>
    </row>
    <row r="1102" spans="1:12" x14ac:dyDescent="0.35">
      <c r="A1102" s="19">
        <v>45806</v>
      </c>
      <c r="B1102" s="20"/>
      <c r="C1102" s="20"/>
      <c r="D1102" s="20">
        <v>10000</v>
      </c>
      <c r="E1102" s="99" t="s">
        <v>588</v>
      </c>
      <c r="F1102" s="20">
        <f t="shared" si="17"/>
        <v>527954623</v>
      </c>
      <c r="G1102" s="7" t="s">
        <v>330</v>
      </c>
      <c r="H1102" s="24" t="s">
        <v>109</v>
      </c>
      <c r="I1102" s="32" t="s">
        <v>152</v>
      </c>
      <c r="K1102" s="181"/>
      <c r="L1102" s="181"/>
    </row>
    <row r="1103" spans="1:12" x14ac:dyDescent="0.35">
      <c r="A1103" s="19">
        <v>45805</v>
      </c>
      <c r="B1103" s="20"/>
      <c r="C1103" s="20"/>
      <c r="D1103" s="20">
        <v>3500000</v>
      </c>
      <c r="E1103" s="99" t="s">
        <v>588</v>
      </c>
      <c r="F1103" s="20">
        <f t="shared" si="17"/>
        <v>531454623</v>
      </c>
      <c r="G1103" s="7" t="s">
        <v>630</v>
      </c>
      <c r="H1103" s="24" t="s">
        <v>619</v>
      </c>
      <c r="I1103" s="32" t="s">
        <v>152</v>
      </c>
      <c r="K1103" s="181"/>
      <c r="L1103" s="181"/>
    </row>
    <row r="1104" spans="1:12" x14ac:dyDescent="0.35">
      <c r="A1104" s="19">
        <v>45805</v>
      </c>
      <c r="B1104" s="20"/>
      <c r="C1104" s="20"/>
      <c r="D1104" s="20">
        <v>3500000</v>
      </c>
      <c r="E1104" s="99" t="s">
        <v>588</v>
      </c>
      <c r="F1104" s="20">
        <f t="shared" si="17"/>
        <v>534954623</v>
      </c>
      <c r="G1104" s="7" t="s">
        <v>630</v>
      </c>
      <c r="H1104" s="24" t="s">
        <v>619</v>
      </c>
      <c r="I1104" s="32" t="s">
        <v>152</v>
      </c>
      <c r="K1104" s="181"/>
      <c r="L1104" s="181"/>
    </row>
    <row r="1105" spans="1:12" x14ac:dyDescent="0.35">
      <c r="A1105" s="19">
        <v>45805</v>
      </c>
      <c r="B1105" s="20"/>
      <c r="C1105" s="20"/>
      <c r="D1105" s="20">
        <v>4000000</v>
      </c>
      <c r="E1105" s="99" t="s">
        <v>588</v>
      </c>
      <c r="F1105" s="20">
        <f t="shared" si="17"/>
        <v>538954623</v>
      </c>
      <c r="G1105" s="7" t="s">
        <v>630</v>
      </c>
      <c r="H1105" s="24" t="s">
        <v>619</v>
      </c>
      <c r="I1105" s="32" t="s">
        <v>152</v>
      </c>
      <c r="K1105" s="181"/>
      <c r="L1105" s="181"/>
    </row>
    <row r="1106" spans="1:12" x14ac:dyDescent="0.35">
      <c r="A1106" s="19">
        <v>45805</v>
      </c>
      <c r="B1106" s="20"/>
      <c r="C1106" s="20"/>
      <c r="D1106" s="20">
        <v>100000</v>
      </c>
      <c r="E1106" s="99" t="s">
        <v>588</v>
      </c>
      <c r="F1106" s="20">
        <f t="shared" si="17"/>
        <v>539054623</v>
      </c>
      <c r="G1106" s="7" t="s">
        <v>424</v>
      </c>
      <c r="H1106" s="24" t="s">
        <v>109</v>
      </c>
      <c r="I1106" s="32" t="s">
        <v>152</v>
      </c>
      <c r="K1106" s="181"/>
      <c r="L1106" s="181"/>
    </row>
    <row r="1107" spans="1:12" x14ac:dyDescent="0.35">
      <c r="A1107" s="19">
        <v>45805</v>
      </c>
      <c r="B1107" s="20"/>
      <c r="C1107" s="20"/>
      <c r="D1107" s="20">
        <v>5000000</v>
      </c>
      <c r="E1107" s="99" t="s">
        <v>588</v>
      </c>
      <c r="F1107" s="20">
        <f t="shared" si="17"/>
        <v>544054623</v>
      </c>
      <c r="G1107" s="7" t="s">
        <v>630</v>
      </c>
      <c r="H1107" s="24" t="s">
        <v>619</v>
      </c>
      <c r="I1107" s="32" t="s">
        <v>152</v>
      </c>
      <c r="K1107" s="181"/>
      <c r="L1107" s="181"/>
    </row>
    <row r="1108" spans="1:12" x14ac:dyDescent="0.35">
      <c r="A1108" s="19">
        <v>45805</v>
      </c>
      <c r="B1108" s="20">
        <v>15000000</v>
      </c>
      <c r="C1108" s="20"/>
      <c r="D1108" s="20"/>
      <c r="E1108" s="99" t="s">
        <v>588</v>
      </c>
      <c r="F1108" s="20">
        <f t="shared" si="17"/>
        <v>529054623</v>
      </c>
      <c r="G1108" s="7" t="s">
        <v>661</v>
      </c>
      <c r="H1108" s="24" t="s">
        <v>614</v>
      </c>
      <c r="I1108" s="32" t="s">
        <v>152</v>
      </c>
      <c r="K1108" s="181"/>
      <c r="L1108" s="181"/>
    </row>
    <row r="1109" spans="1:12" x14ac:dyDescent="0.35">
      <c r="A1109" s="19">
        <v>45805</v>
      </c>
      <c r="B1109" s="20">
        <v>6500</v>
      </c>
      <c r="C1109" s="20"/>
      <c r="D1109" s="20"/>
      <c r="E1109" s="99" t="s">
        <v>588</v>
      </c>
      <c r="F1109" s="20">
        <f t="shared" si="17"/>
        <v>529048123</v>
      </c>
      <c r="G1109" s="7" t="s">
        <v>662</v>
      </c>
      <c r="H1109" s="24" t="s">
        <v>614</v>
      </c>
      <c r="I1109" s="32" t="s">
        <v>152</v>
      </c>
      <c r="K1109" s="181"/>
      <c r="L1109" s="181"/>
    </row>
    <row r="1110" spans="1:12" x14ac:dyDescent="0.35">
      <c r="A1110" s="19">
        <v>45807</v>
      </c>
      <c r="B1110" s="20"/>
      <c r="C1110" s="20"/>
      <c r="D1110" s="20">
        <v>10000</v>
      </c>
      <c r="E1110" s="99" t="s">
        <v>588</v>
      </c>
      <c r="F1110" s="20">
        <f t="shared" si="17"/>
        <v>529058123</v>
      </c>
      <c r="G1110" s="7" t="s">
        <v>330</v>
      </c>
      <c r="H1110" s="24" t="s">
        <v>109</v>
      </c>
      <c r="I1110" s="32" t="s">
        <v>152</v>
      </c>
      <c r="K1110" s="181"/>
      <c r="L1110" s="181"/>
    </row>
    <row r="1111" spans="1:12" x14ac:dyDescent="0.35">
      <c r="A1111" s="19">
        <v>45805</v>
      </c>
      <c r="B1111" s="20"/>
      <c r="C1111" s="20"/>
      <c r="D1111" s="20">
        <v>3500000</v>
      </c>
      <c r="E1111" s="99" t="s">
        <v>588</v>
      </c>
      <c r="F1111" s="20">
        <f t="shared" si="17"/>
        <v>532558123</v>
      </c>
      <c r="G1111" s="7" t="s">
        <v>630</v>
      </c>
      <c r="H1111" s="24" t="s">
        <v>619</v>
      </c>
      <c r="I1111" s="32" t="s">
        <v>152</v>
      </c>
      <c r="K1111" s="181"/>
      <c r="L1111" s="181"/>
    </row>
    <row r="1112" spans="1:12" x14ac:dyDescent="0.35">
      <c r="A1112" s="19">
        <v>45805</v>
      </c>
      <c r="B1112" s="20"/>
      <c r="C1112" s="20"/>
      <c r="D1112" s="20">
        <v>3500000</v>
      </c>
      <c r="E1112" s="99" t="s">
        <v>588</v>
      </c>
      <c r="F1112" s="20">
        <f t="shared" si="17"/>
        <v>536058123</v>
      </c>
      <c r="G1112" s="7" t="s">
        <v>630</v>
      </c>
      <c r="H1112" s="24" t="s">
        <v>619</v>
      </c>
      <c r="I1112" s="32" t="s">
        <v>152</v>
      </c>
      <c r="K1112" s="181"/>
      <c r="L1112" s="181"/>
    </row>
    <row r="1113" spans="1:12" x14ac:dyDescent="0.35">
      <c r="A1113" s="19">
        <v>45805</v>
      </c>
      <c r="B1113" s="20"/>
      <c r="C1113" s="20"/>
      <c r="D1113" s="20">
        <v>11500000</v>
      </c>
      <c r="E1113" s="99" t="s">
        <v>588</v>
      </c>
      <c r="F1113" s="20">
        <f t="shared" si="17"/>
        <v>547558123</v>
      </c>
      <c r="G1113" s="7" t="s">
        <v>630</v>
      </c>
      <c r="H1113" s="24" t="s">
        <v>619</v>
      </c>
      <c r="I1113" s="32" t="s">
        <v>152</v>
      </c>
      <c r="K1113" s="181"/>
      <c r="L1113" s="181"/>
    </row>
    <row r="1114" spans="1:12" x14ac:dyDescent="0.35">
      <c r="A1114" s="19">
        <v>45805</v>
      </c>
      <c r="B1114" s="20"/>
      <c r="C1114" s="20"/>
      <c r="D1114" s="20">
        <v>3500000</v>
      </c>
      <c r="E1114" s="99" t="s">
        <v>588</v>
      </c>
      <c r="F1114" s="20">
        <f t="shared" si="17"/>
        <v>551058123</v>
      </c>
      <c r="G1114" s="7" t="s">
        <v>630</v>
      </c>
      <c r="H1114" s="24" t="s">
        <v>619</v>
      </c>
      <c r="I1114" s="32" t="s">
        <v>152</v>
      </c>
      <c r="K1114" s="181"/>
      <c r="L1114" s="181"/>
    </row>
    <row r="1115" spans="1:12" x14ac:dyDescent="0.35">
      <c r="A1115" s="19">
        <v>45805</v>
      </c>
      <c r="B1115" s="20"/>
      <c r="C1115" s="20"/>
      <c r="D1115" s="20">
        <v>24500000</v>
      </c>
      <c r="E1115" s="99" t="s">
        <v>588</v>
      </c>
      <c r="F1115" s="20">
        <f t="shared" si="17"/>
        <v>575558123</v>
      </c>
      <c r="G1115" s="7" t="s">
        <v>630</v>
      </c>
      <c r="H1115" s="24" t="s">
        <v>619</v>
      </c>
      <c r="I1115" s="32" t="s">
        <v>152</v>
      </c>
      <c r="K1115" s="181"/>
      <c r="L1115" s="181"/>
    </row>
    <row r="1116" spans="1:12" x14ac:dyDescent="0.35">
      <c r="A1116" s="19">
        <v>45805</v>
      </c>
      <c r="B1116" s="20"/>
      <c r="C1116" s="20"/>
      <c r="D1116" s="20">
        <v>7000000</v>
      </c>
      <c r="E1116" s="99" t="s">
        <v>588</v>
      </c>
      <c r="F1116" s="20">
        <f t="shared" si="17"/>
        <v>582558123</v>
      </c>
      <c r="G1116" s="7" t="s">
        <v>630</v>
      </c>
      <c r="H1116" s="24" t="s">
        <v>619</v>
      </c>
      <c r="I1116" s="32" t="s">
        <v>152</v>
      </c>
      <c r="K1116" s="181"/>
      <c r="L1116" s="181"/>
    </row>
    <row r="1117" spans="1:12" x14ac:dyDescent="0.35">
      <c r="A1117" s="19">
        <v>45808</v>
      </c>
      <c r="B1117" s="20"/>
      <c r="C1117" s="20"/>
      <c r="D1117" s="20">
        <v>50000</v>
      </c>
      <c r="E1117" s="99" t="s">
        <v>588</v>
      </c>
      <c r="F1117" s="20">
        <f t="shared" si="17"/>
        <v>582608123</v>
      </c>
      <c r="G1117" s="7" t="s">
        <v>330</v>
      </c>
      <c r="H1117" s="24" t="s">
        <v>109</v>
      </c>
      <c r="I1117" s="32" t="s">
        <v>152</v>
      </c>
      <c r="K1117" s="181"/>
      <c r="L1117" s="181"/>
    </row>
    <row r="1118" spans="1:12" x14ac:dyDescent="0.35">
      <c r="A1118" s="19">
        <v>45808</v>
      </c>
      <c r="B1118" s="20"/>
      <c r="C1118" s="20"/>
      <c r="D1118" s="20">
        <v>100000</v>
      </c>
      <c r="E1118" s="99" t="s">
        <v>588</v>
      </c>
      <c r="F1118" s="20">
        <f t="shared" si="17"/>
        <v>582708123</v>
      </c>
      <c r="G1118" s="7" t="s">
        <v>330</v>
      </c>
      <c r="H1118" s="24" t="s">
        <v>109</v>
      </c>
      <c r="I1118" s="32" t="s">
        <v>152</v>
      </c>
      <c r="K1118" s="181"/>
      <c r="L1118" s="181"/>
    </row>
    <row r="1119" spans="1:12" x14ac:dyDescent="0.35">
      <c r="A1119" s="19">
        <v>45808</v>
      </c>
      <c r="B1119" s="20"/>
      <c r="C1119" s="20"/>
      <c r="D1119" s="20">
        <v>50000</v>
      </c>
      <c r="E1119" s="99" t="s">
        <v>588</v>
      </c>
      <c r="F1119" s="20">
        <f t="shared" si="17"/>
        <v>582758123</v>
      </c>
      <c r="G1119" s="7" t="s">
        <v>330</v>
      </c>
      <c r="H1119" s="24" t="s">
        <v>109</v>
      </c>
      <c r="I1119" s="32" t="s">
        <v>152</v>
      </c>
      <c r="K1119" s="181"/>
      <c r="L1119" s="181"/>
    </row>
    <row r="1120" spans="1:12" x14ac:dyDescent="0.35">
      <c r="A1120" s="19">
        <v>45808</v>
      </c>
      <c r="B1120" s="20"/>
      <c r="C1120" s="20"/>
      <c r="D1120" s="20">
        <v>50000</v>
      </c>
      <c r="E1120" s="99" t="s">
        <v>588</v>
      </c>
      <c r="F1120" s="20">
        <f t="shared" si="17"/>
        <v>582808123</v>
      </c>
      <c r="G1120" s="7" t="s">
        <v>330</v>
      </c>
      <c r="H1120" s="24" t="s">
        <v>109</v>
      </c>
      <c r="I1120" s="32" t="s">
        <v>152</v>
      </c>
      <c r="K1120" s="181"/>
      <c r="L1120" s="181"/>
    </row>
    <row r="1121" spans="1:12" x14ac:dyDescent="0.35">
      <c r="A1121" s="19">
        <v>45808</v>
      </c>
      <c r="B1121" s="20"/>
      <c r="C1121" s="20"/>
      <c r="D1121" s="20">
        <v>50000</v>
      </c>
      <c r="E1121" s="99" t="s">
        <v>588</v>
      </c>
      <c r="F1121" s="20">
        <f t="shared" si="17"/>
        <v>582858123</v>
      </c>
      <c r="G1121" s="7" t="s">
        <v>330</v>
      </c>
      <c r="H1121" s="24" t="s">
        <v>109</v>
      </c>
      <c r="I1121" s="32" t="s">
        <v>152</v>
      </c>
      <c r="K1121" s="181"/>
      <c r="L1121" s="181"/>
    </row>
    <row r="1122" spans="1:12" x14ac:dyDescent="0.35">
      <c r="A1122" s="19">
        <v>45808</v>
      </c>
      <c r="B1122" s="20"/>
      <c r="C1122" s="20"/>
      <c r="D1122" s="20">
        <v>20000</v>
      </c>
      <c r="E1122" s="99" t="s">
        <v>588</v>
      </c>
      <c r="F1122" s="20">
        <f t="shared" si="17"/>
        <v>582878123</v>
      </c>
      <c r="G1122" s="7" t="s">
        <v>330</v>
      </c>
      <c r="H1122" s="24" t="s">
        <v>109</v>
      </c>
      <c r="I1122" s="32" t="s">
        <v>152</v>
      </c>
      <c r="K1122" s="181"/>
      <c r="L1122" s="181"/>
    </row>
    <row r="1123" spans="1:12" x14ac:dyDescent="0.35">
      <c r="A1123" s="19">
        <v>45808</v>
      </c>
      <c r="B1123" s="20"/>
      <c r="C1123" s="20"/>
      <c r="D1123" s="20">
        <v>50000</v>
      </c>
      <c r="E1123" s="99" t="s">
        <v>588</v>
      </c>
      <c r="F1123" s="20">
        <f t="shared" si="17"/>
        <v>582928123</v>
      </c>
      <c r="G1123" s="7" t="s">
        <v>330</v>
      </c>
      <c r="H1123" s="24" t="s">
        <v>109</v>
      </c>
      <c r="I1123" s="32" t="s">
        <v>152</v>
      </c>
      <c r="K1123" s="181"/>
      <c r="L1123" s="181"/>
    </row>
    <row r="1124" spans="1:12" x14ac:dyDescent="0.35">
      <c r="A1124" s="19">
        <v>45808</v>
      </c>
      <c r="B1124" s="20"/>
      <c r="C1124" s="20"/>
      <c r="D1124" s="20">
        <v>10000</v>
      </c>
      <c r="E1124" s="99" t="s">
        <v>588</v>
      </c>
      <c r="F1124" s="20">
        <f t="shared" si="17"/>
        <v>582938123</v>
      </c>
      <c r="G1124" s="7" t="s">
        <v>330</v>
      </c>
      <c r="H1124" s="24" t="s">
        <v>109</v>
      </c>
      <c r="I1124" s="32" t="s">
        <v>152</v>
      </c>
      <c r="K1124" s="181"/>
      <c r="L1124" s="181"/>
    </row>
    <row r="1125" spans="1:12" x14ac:dyDescent="0.35">
      <c r="A1125" s="19">
        <v>45808</v>
      </c>
      <c r="B1125" s="20"/>
      <c r="C1125" s="20"/>
      <c r="D1125" s="20">
        <v>50000</v>
      </c>
      <c r="E1125" s="99" t="s">
        <v>588</v>
      </c>
      <c r="F1125" s="20">
        <f t="shared" si="17"/>
        <v>582988123</v>
      </c>
      <c r="G1125" s="7" t="s">
        <v>330</v>
      </c>
      <c r="H1125" s="24" t="s">
        <v>109</v>
      </c>
      <c r="I1125" s="32" t="s">
        <v>152</v>
      </c>
      <c r="K1125" s="181"/>
      <c r="L1125" s="181"/>
    </row>
    <row r="1126" spans="1:12" x14ac:dyDescent="0.35">
      <c r="A1126" s="19">
        <v>45808</v>
      </c>
      <c r="B1126" s="20"/>
      <c r="C1126" s="20"/>
      <c r="D1126" s="20">
        <v>43000</v>
      </c>
      <c r="E1126" s="99" t="s">
        <v>588</v>
      </c>
      <c r="F1126" s="20">
        <f t="shared" si="17"/>
        <v>583031123</v>
      </c>
      <c r="G1126" s="7" t="s">
        <v>330</v>
      </c>
      <c r="H1126" s="24" t="s">
        <v>109</v>
      </c>
      <c r="I1126" s="32" t="s">
        <v>152</v>
      </c>
      <c r="K1126" s="181"/>
      <c r="L1126" s="181"/>
    </row>
    <row r="1127" spans="1:12" x14ac:dyDescent="0.35">
      <c r="A1127" s="19">
        <v>45808</v>
      </c>
      <c r="B1127" s="20"/>
      <c r="C1127" s="20"/>
      <c r="D1127" s="20">
        <v>50000</v>
      </c>
      <c r="E1127" s="99" t="s">
        <v>588</v>
      </c>
      <c r="F1127" s="20">
        <f t="shared" si="17"/>
        <v>583081123</v>
      </c>
      <c r="G1127" s="7" t="s">
        <v>330</v>
      </c>
      <c r="H1127" s="24" t="s">
        <v>109</v>
      </c>
      <c r="I1127" s="32" t="s">
        <v>152</v>
      </c>
      <c r="K1127" s="181"/>
      <c r="L1127" s="181"/>
    </row>
    <row r="1128" spans="1:12" x14ac:dyDescent="0.35">
      <c r="A1128" s="19">
        <v>45808</v>
      </c>
      <c r="B1128" s="20"/>
      <c r="C1128" s="20"/>
      <c r="D1128" s="20">
        <v>50000</v>
      </c>
      <c r="E1128" s="99" t="s">
        <v>588</v>
      </c>
      <c r="F1128" s="20">
        <f t="shared" si="17"/>
        <v>583131123</v>
      </c>
      <c r="G1128" s="7" t="s">
        <v>330</v>
      </c>
      <c r="H1128" s="24" t="s">
        <v>109</v>
      </c>
      <c r="I1128" s="32" t="s">
        <v>152</v>
      </c>
      <c r="K1128" s="181"/>
      <c r="L1128" s="181"/>
    </row>
    <row r="1129" spans="1:12" x14ac:dyDescent="0.35">
      <c r="A1129" s="19">
        <v>45808</v>
      </c>
      <c r="B1129" s="20"/>
      <c r="C1129" s="20"/>
      <c r="D1129" s="20">
        <v>5011</v>
      </c>
      <c r="E1129" s="99" t="s">
        <v>588</v>
      </c>
      <c r="F1129" s="20">
        <f t="shared" si="17"/>
        <v>583136134</v>
      </c>
      <c r="G1129" s="7" t="s">
        <v>330</v>
      </c>
      <c r="H1129" s="24" t="s">
        <v>109</v>
      </c>
      <c r="I1129" s="32" t="s">
        <v>152</v>
      </c>
      <c r="K1129" s="181"/>
      <c r="L1129" s="181"/>
    </row>
    <row r="1130" spans="1:12" x14ac:dyDescent="0.35">
      <c r="A1130" s="19">
        <v>45808</v>
      </c>
      <c r="B1130" s="20"/>
      <c r="C1130" s="20"/>
      <c r="D1130" s="20">
        <v>10000</v>
      </c>
      <c r="E1130" s="99" t="s">
        <v>588</v>
      </c>
      <c r="F1130" s="20">
        <f t="shared" si="17"/>
        <v>583146134</v>
      </c>
      <c r="G1130" s="7" t="s">
        <v>330</v>
      </c>
      <c r="H1130" s="24" t="s">
        <v>109</v>
      </c>
      <c r="I1130" s="32" t="s">
        <v>152</v>
      </c>
      <c r="K1130" s="181"/>
      <c r="L1130" s="181"/>
    </row>
    <row r="1131" spans="1:12" x14ac:dyDescent="0.35">
      <c r="A1131" s="19">
        <v>45808</v>
      </c>
      <c r="B1131" s="20"/>
      <c r="C1131" s="20"/>
      <c r="D1131" s="20">
        <v>5000</v>
      </c>
      <c r="E1131" s="99" t="s">
        <v>588</v>
      </c>
      <c r="F1131" s="20">
        <f t="shared" si="17"/>
        <v>583151134</v>
      </c>
      <c r="G1131" s="7" t="s">
        <v>330</v>
      </c>
      <c r="H1131" s="24" t="s">
        <v>109</v>
      </c>
      <c r="I1131" s="32" t="s">
        <v>152</v>
      </c>
      <c r="K1131" s="181"/>
      <c r="L1131" s="181"/>
    </row>
    <row r="1132" spans="1:12" x14ac:dyDescent="0.35">
      <c r="A1132" s="19">
        <v>45808</v>
      </c>
      <c r="B1132" s="20"/>
      <c r="C1132" s="20"/>
      <c r="D1132" s="20">
        <v>100000</v>
      </c>
      <c r="E1132" s="99" t="s">
        <v>588</v>
      </c>
      <c r="F1132" s="20">
        <f t="shared" si="17"/>
        <v>583251134</v>
      </c>
      <c r="G1132" s="7" t="s">
        <v>330</v>
      </c>
      <c r="H1132" s="24" t="s">
        <v>109</v>
      </c>
      <c r="I1132" s="32" t="s">
        <v>152</v>
      </c>
      <c r="K1132" s="181"/>
      <c r="L1132" s="181"/>
    </row>
    <row r="1133" spans="1:12" x14ac:dyDescent="0.35">
      <c r="A1133" s="19">
        <v>45805</v>
      </c>
      <c r="B1133" s="20">
        <v>730000</v>
      </c>
      <c r="C1133" s="20"/>
      <c r="D1133" s="20"/>
      <c r="E1133" s="99" t="s">
        <v>588</v>
      </c>
      <c r="F1133" s="20">
        <f t="shared" si="17"/>
        <v>582521134</v>
      </c>
      <c r="G1133" s="7" t="s">
        <v>663</v>
      </c>
      <c r="H1133" s="24" t="s">
        <v>614</v>
      </c>
      <c r="I1133" s="32" t="s">
        <v>152</v>
      </c>
      <c r="K1133" s="181"/>
      <c r="L1133" s="181"/>
    </row>
    <row r="1134" spans="1:12" x14ac:dyDescent="0.35">
      <c r="A1134" s="19">
        <v>45805</v>
      </c>
      <c r="B1134" s="20">
        <v>6500</v>
      </c>
      <c r="C1134" s="20"/>
      <c r="D1134" s="20"/>
      <c r="E1134" s="99" t="s">
        <v>588</v>
      </c>
      <c r="F1134" s="20">
        <f t="shared" si="17"/>
        <v>582514634</v>
      </c>
      <c r="G1134" s="7" t="s">
        <v>663</v>
      </c>
      <c r="H1134" s="24" t="s">
        <v>614</v>
      </c>
      <c r="I1134" s="32" t="s">
        <v>152</v>
      </c>
      <c r="K1134" s="181"/>
      <c r="L1134" s="181"/>
    </row>
    <row r="1135" spans="1:12" x14ac:dyDescent="0.35">
      <c r="A1135" s="19">
        <v>45805</v>
      </c>
      <c r="B1135" s="20">
        <v>750000</v>
      </c>
      <c r="C1135" s="20"/>
      <c r="D1135" s="20"/>
      <c r="E1135" s="99" t="s">
        <v>588</v>
      </c>
      <c r="F1135" s="20">
        <f t="shared" si="17"/>
        <v>581764634</v>
      </c>
      <c r="G1135" s="7" t="s">
        <v>664</v>
      </c>
      <c r="H1135" s="24" t="s">
        <v>323</v>
      </c>
      <c r="I1135" s="32" t="s">
        <v>152</v>
      </c>
      <c r="K1135" s="181"/>
      <c r="L1135" s="181"/>
    </row>
    <row r="1136" spans="1:12" x14ac:dyDescent="0.35">
      <c r="A1136" s="19">
        <v>45805</v>
      </c>
      <c r="B1136" s="20">
        <v>6500</v>
      </c>
      <c r="C1136" s="20"/>
      <c r="D1136" s="20"/>
      <c r="E1136" s="99" t="s">
        <v>588</v>
      </c>
      <c r="F1136" s="20">
        <f t="shared" si="17"/>
        <v>581758134</v>
      </c>
      <c r="G1136" s="7" t="s">
        <v>664</v>
      </c>
      <c r="H1136" s="24" t="s">
        <v>323</v>
      </c>
      <c r="I1136" s="32" t="s">
        <v>152</v>
      </c>
      <c r="K1136" s="181"/>
      <c r="L1136" s="181"/>
    </row>
    <row r="1137" spans="1:12" x14ac:dyDescent="0.35">
      <c r="A1137" s="19">
        <v>45805</v>
      </c>
      <c r="B1137" s="20"/>
      <c r="C1137" s="20"/>
      <c r="D1137" s="20">
        <v>1750000</v>
      </c>
      <c r="E1137" s="99" t="s">
        <v>588</v>
      </c>
      <c r="F1137" s="20">
        <f t="shared" si="17"/>
        <v>583508134</v>
      </c>
      <c r="G1137" s="7" t="s">
        <v>630</v>
      </c>
      <c r="H1137" s="24" t="s">
        <v>619</v>
      </c>
      <c r="I1137" s="32" t="s">
        <v>152</v>
      </c>
      <c r="K1137" s="181"/>
      <c r="L1137" s="181"/>
    </row>
    <row r="1138" spans="1:12" x14ac:dyDescent="0.35">
      <c r="A1138" s="19">
        <v>45805</v>
      </c>
      <c r="B1138" s="20"/>
      <c r="C1138" s="20"/>
      <c r="D1138" s="20">
        <v>3500000</v>
      </c>
      <c r="E1138" s="99" t="s">
        <v>588</v>
      </c>
      <c r="F1138" s="20">
        <f t="shared" si="17"/>
        <v>587008134</v>
      </c>
      <c r="G1138" s="7" t="s">
        <v>630</v>
      </c>
      <c r="H1138" s="24" t="s">
        <v>619</v>
      </c>
      <c r="I1138" s="32" t="s">
        <v>152</v>
      </c>
      <c r="K1138" s="181"/>
      <c r="L1138" s="181"/>
    </row>
    <row r="1139" spans="1:12" x14ac:dyDescent="0.35">
      <c r="A1139" s="19">
        <v>45805</v>
      </c>
      <c r="B1139" s="20">
        <v>500000</v>
      </c>
      <c r="C1139" s="20"/>
      <c r="D1139" s="20"/>
      <c r="E1139" s="99" t="s">
        <v>588</v>
      </c>
      <c r="F1139" s="20">
        <f t="shared" si="17"/>
        <v>586508134</v>
      </c>
      <c r="G1139" s="7" t="s">
        <v>665</v>
      </c>
      <c r="H1139" s="24" t="s">
        <v>614</v>
      </c>
      <c r="I1139" s="32" t="s">
        <v>152</v>
      </c>
      <c r="K1139" s="181"/>
      <c r="L1139" s="181"/>
    </row>
    <row r="1140" spans="1:12" x14ac:dyDescent="0.35">
      <c r="A1140" s="19">
        <v>45805</v>
      </c>
      <c r="B1140" s="20">
        <v>6500</v>
      </c>
      <c r="C1140" s="20"/>
      <c r="D1140" s="20"/>
      <c r="E1140" s="99" t="s">
        <v>588</v>
      </c>
      <c r="F1140" s="20">
        <f t="shared" si="17"/>
        <v>586501634</v>
      </c>
      <c r="G1140" s="7" t="s">
        <v>666</v>
      </c>
      <c r="H1140" s="24" t="s">
        <v>614</v>
      </c>
      <c r="I1140" s="32" t="s">
        <v>152</v>
      </c>
      <c r="K1140" s="181"/>
      <c r="L1140" s="181"/>
    </row>
    <row r="1141" spans="1:12" x14ac:dyDescent="0.35">
      <c r="A1141" s="19">
        <v>45805</v>
      </c>
      <c r="B1141" s="20"/>
      <c r="C1141" s="20"/>
      <c r="D1141" s="20">
        <v>3500000</v>
      </c>
      <c r="E1141" s="99" t="s">
        <v>588</v>
      </c>
      <c r="F1141" s="20">
        <f t="shared" si="17"/>
        <v>590001634</v>
      </c>
      <c r="G1141" s="7" t="s">
        <v>630</v>
      </c>
      <c r="H1141" s="24" t="s">
        <v>619</v>
      </c>
      <c r="I1141" s="32" t="s">
        <v>152</v>
      </c>
      <c r="K1141" s="181"/>
      <c r="L1141" s="181"/>
    </row>
    <row r="1142" spans="1:12" x14ac:dyDescent="0.35">
      <c r="A1142" s="19">
        <v>45805</v>
      </c>
      <c r="B1142" s="20"/>
      <c r="C1142" s="20"/>
      <c r="D1142" s="20">
        <v>3500000</v>
      </c>
      <c r="E1142" s="99" t="s">
        <v>732</v>
      </c>
      <c r="F1142" s="20">
        <f t="shared" si="17"/>
        <v>593501634</v>
      </c>
      <c r="G1142" s="7" t="s">
        <v>630</v>
      </c>
      <c r="H1142" s="24" t="s">
        <v>619</v>
      </c>
      <c r="I1142" s="32" t="s">
        <v>152</v>
      </c>
      <c r="K1142" s="181"/>
      <c r="L1142" s="181"/>
    </row>
    <row r="1143" spans="1:12" x14ac:dyDescent="0.35">
      <c r="A1143" s="19">
        <v>45809</v>
      </c>
      <c r="B1143" s="20">
        <v>750000</v>
      </c>
      <c r="C1143" s="20"/>
      <c r="D1143" s="20"/>
      <c r="E1143" s="99" t="s">
        <v>732</v>
      </c>
      <c r="F1143" s="20">
        <f t="shared" si="17"/>
        <v>592751634</v>
      </c>
      <c r="G1143" s="7" t="s">
        <v>672</v>
      </c>
      <c r="H1143" s="24" t="s">
        <v>323</v>
      </c>
      <c r="I1143" s="32" t="s">
        <v>152</v>
      </c>
      <c r="K1143" s="181"/>
      <c r="L1143" s="181"/>
    </row>
    <row r="1144" spans="1:12" x14ac:dyDescent="0.35">
      <c r="A1144" s="19">
        <v>45809</v>
      </c>
      <c r="B1144" s="20">
        <v>6500</v>
      </c>
      <c r="C1144" s="20"/>
      <c r="D1144" s="20"/>
      <c r="E1144" s="99" t="s">
        <v>732</v>
      </c>
      <c r="F1144" s="20">
        <f t="shared" si="17"/>
        <v>592745134</v>
      </c>
      <c r="G1144" s="7" t="s">
        <v>673</v>
      </c>
      <c r="H1144" s="24" t="s">
        <v>323</v>
      </c>
      <c r="I1144" s="32" t="s">
        <v>152</v>
      </c>
      <c r="K1144" s="181"/>
      <c r="L1144" s="181"/>
    </row>
    <row r="1145" spans="1:12" x14ac:dyDescent="0.35">
      <c r="A1145" s="19">
        <v>45809</v>
      </c>
      <c r="B1145" s="20"/>
      <c r="C1145" s="20"/>
      <c r="D1145" s="20">
        <v>3500000</v>
      </c>
      <c r="E1145" s="99" t="s">
        <v>732</v>
      </c>
      <c r="F1145" s="20">
        <f t="shared" si="17"/>
        <v>596245134</v>
      </c>
      <c r="G1145" s="7" t="s">
        <v>630</v>
      </c>
      <c r="H1145" s="24" t="s">
        <v>619</v>
      </c>
      <c r="I1145" s="32" t="s">
        <v>152</v>
      </c>
      <c r="K1145" s="181"/>
      <c r="L1145" s="181"/>
    </row>
    <row r="1146" spans="1:12" x14ac:dyDescent="0.35">
      <c r="A1146" s="19">
        <v>45809</v>
      </c>
      <c r="B1146" s="20"/>
      <c r="C1146" s="20"/>
      <c r="D1146" s="20">
        <v>50000</v>
      </c>
      <c r="E1146" s="99" t="s">
        <v>732</v>
      </c>
      <c r="F1146" s="20">
        <f t="shared" si="17"/>
        <v>596295134</v>
      </c>
      <c r="G1146" s="7" t="s">
        <v>330</v>
      </c>
      <c r="H1146" s="24" t="s">
        <v>109</v>
      </c>
      <c r="I1146" s="32" t="s">
        <v>152</v>
      </c>
      <c r="K1146" s="181"/>
      <c r="L1146" s="181"/>
    </row>
    <row r="1147" spans="1:12" x14ac:dyDescent="0.35">
      <c r="A1147" s="19">
        <v>45809</v>
      </c>
      <c r="B1147" s="20"/>
      <c r="C1147" s="20"/>
      <c r="D1147" s="20">
        <v>10000</v>
      </c>
      <c r="E1147" s="99" t="s">
        <v>732</v>
      </c>
      <c r="F1147" s="20">
        <f t="shared" si="17"/>
        <v>596305134</v>
      </c>
      <c r="G1147" s="7" t="s">
        <v>330</v>
      </c>
      <c r="H1147" s="24" t="s">
        <v>109</v>
      </c>
      <c r="I1147" s="32" t="s">
        <v>152</v>
      </c>
      <c r="K1147" s="181"/>
      <c r="L1147" s="181"/>
    </row>
    <row r="1148" spans="1:12" x14ac:dyDescent="0.35">
      <c r="A1148" s="19">
        <v>45809</v>
      </c>
      <c r="B1148" s="20">
        <v>30000000</v>
      </c>
      <c r="C1148" s="20"/>
      <c r="D1148" s="20"/>
      <c r="E1148" s="99" t="s">
        <v>732</v>
      </c>
      <c r="F1148" s="20">
        <f t="shared" si="17"/>
        <v>566305134</v>
      </c>
      <c r="G1148" s="7" t="s">
        <v>654</v>
      </c>
      <c r="H1148" s="24" t="s">
        <v>614</v>
      </c>
      <c r="I1148" s="32" t="s">
        <v>152</v>
      </c>
      <c r="K1148" s="181"/>
      <c r="L1148" s="181"/>
    </row>
    <row r="1149" spans="1:12" x14ac:dyDescent="0.35">
      <c r="A1149" s="19">
        <v>45809</v>
      </c>
      <c r="B1149" s="20">
        <v>6500</v>
      </c>
      <c r="C1149" s="20"/>
      <c r="D1149" s="20"/>
      <c r="E1149" s="99" t="s">
        <v>732</v>
      </c>
      <c r="F1149" s="20">
        <f t="shared" si="17"/>
        <v>566298634</v>
      </c>
      <c r="G1149" s="7" t="s">
        <v>655</v>
      </c>
      <c r="H1149" s="24" t="s">
        <v>614</v>
      </c>
      <c r="I1149" s="32" t="s">
        <v>152</v>
      </c>
      <c r="K1149" s="181"/>
      <c r="L1149" s="181"/>
    </row>
    <row r="1150" spans="1:12" x14ac:dyDescent="0.35">
      <c r="A1150" s="19">
        <v>45809</v>
      </c>
      <c r="B1150" s="20"/>
      <c r="C1150" s="20"/>
      <c r="D1150" s="20">
        <v>200000</v>
      </c>
      <c r="E1150" s="99" t="s">
        <v>732</v>
      </c>
      <c r="F1150" s="20">
        <f t="shared" si="17"/>
        <v>566498634</v>
      </c>
      <c r="G1150" s="7" t="s">
        <v>674</v>
      </c>
      <c r="H1150" s="24" t="s">
        <v>109</v>
      </c>
      <c r="I1150" s="32" t="s">
        <v>152</v>
      </c>
      <c r="K1150" s="181"/>
      <c r="L1150" s="181"/>
    </row>
    <row r="1151" spans="1:12" x14ac:dyDescent="0.35">
      <c r="A1151" s="19">
        <v>45809</v>
      </c>
      <c r="B1151" s="20"/>
      <c r="C1151" s="20"/>
      <c r="D1151" s="20">
        <v>4000000</v>
      </c>
      <c r="E1151" s="99" t="s">
        <v>732</v>
      </c>
      <c r="F1151" s="20">
        <f t="shared" si="17"/>
        <v>570498634</v>
      </c>
      <c r="G1151" s="7" t="s">
        <v>630</v>
      </c>
      <c r="H1151" s="24" t="s">
        <v>619</v>
      </c>
      <c r="I1151" s="32" t="s">
        <v>152</v>
      </c>
      <c r="K1151" s="181"/>
      <c r="L1151" s="181"/>
    </row>
    <row r="1152" spans="1:12" x14ac:dyDescent="0.35">
      <c r="A1152" s="19">
        <v>45809</v>
      </c>
      <c r="B1152" s="20"/>
      <c r="C1152" s="20"/>
      <c r="D1152" s="20">
        <v>3500000</v>
      </c>
      <c r="E1152" s="99" t="s">
        <v>732</v>
      </c>
      <c r="F1152" s="20">
        <f t="shared" si="17"/>
        <v>573998634</v>
      </c>
      <c r="G1152" s="7" t="s">
        <v>630</v>
      </c>
      <c r="H1152" s="24" t="s">
        <v>619</v>
      </c>
      <c r="I1152" s="32" t="s">
        <v>152</v>
      </c>
      <c r="K1152" s="181"/>
      <c r="L1152" s="181"/>
    </row>
    <row r="1153" spans="1:12" x14ac:dyDescent="0.35">
      <c r="A1153" s="19">
        <v>45809</v>
      </c>
      <c r="B1153" s="20"/>
      <c r="C1153" s="20"/>
      <c r="D1153" s="20">
        <v>4000000</v>
      </c>
      <c r="E1153" s="99" t="s">
        <v>732</v>
      </c>
      <c r="F1153" s="20">
        <f t="shared" si="17"/>
        <v>577998634</v>
      </c>
      <c r="G1153" s="7" t="s">
        <v>630</v>
      </c>
      <c r="H1153" s="24" t="s">
        <v>619</v>
      </c>
      <c r="I1153" s="32" t="s">
        <v>152</v>
      </c>
      <c r="K1153" s="181"/>
      <c r="L1153" s="181"/>
    </row>
    <row r="1154" spans="1:12" x14ac:dyDescent="0.35">
      <c r="A1154" s="19">
        <v>45809</v>
      </c>
      <c r="B1154" s="20"/>
      <c r="C1154" s="20"/>
      <c r="D1154" s="20">
        <v>3500000</v>
      </c>
      <c r="E1154" s="99" t="s">
        <v>732</v>
      </c>
      <c r="F1154" s="20">
        <f t="shared" si="17"/>
        <v>581498634</v>
      </c>
      <c r="G1154" s="7" t="s">
        <v>630</v>
      </c>
      <c r="H1154" s="24" t="s">
        <v>619</v>
      </c>
      <c r="I1154" s="32" t="s">
        <v>152</v>
      </c>
      <c r="K1154" s="181"/>
      <c r="L1154" s="181"/>
    </row>
    <row r="1155" spans="1:12" x14ac:dyDescent="0.35">
      <c r="A1155" s="19">
        <v>45809</v>
      </c>
      <c r="B1155" s="20"/>
      <c r="C1155" s="20"/>
      <c r="D1155" s="20">
        <v>500000</v>
      </c>
      <c r="E1155" s="99" t="s">
        <v>732</v>
      </c>
      <c r="F1155" s="20">
        <f t="shared" si="17"/>
        <v>581998634</v>
      </c>
      <c r="G1155" s="7" t="s">
        <v>675</v>
      </c>
      <c r="H1155" s="24" t="s">
        <v>109</v>
      </c>
      <c r="I1155" s="32" t="s">
        <v>152</v>
      </c>
      <c r="K1155" s="181"/>
      <c r="L1155" s="181"/>
    </row>
    <row r="1156" spans="1:12" x14ac:dyDescent="0.35">
      <c r="A1156" s="19">
        <v>45810</v>
      </c>
      <c r="B1156" s="20"/>
      <c r="C1156" s="20"/>
      <c r="D1156" s="20">
        <v>10000</v>
      </c>
      <c r="E1156" s="99" t="s">
        <v>732</v>
      </c>
      <c r="F1156" s="20">
        <f t="shared" si="17"/>
        <v>582008634</v>
      </c>
      <c r="G1156" s="7" t="s">
        <v>676</v>
      </c>
      <c r="H1156" s="24" t="s">
        <v>109</v>
      </c>
      <c r="I1156" s="32" t="s">
        <v>152</v>
      </c>
      <c r="K1156" s="181"/>
      <c r="L1156" s="181"/>
    </row>
    <row r="1157" spans="1:12" x14ac:dyDescent="0.35">
      <c r="A1157" s="19">
        <v>45810</v>
      </c>
      <c r="B1157" s="20"/>
      <c r="C1157" s="20"/>
      <c r="D1157" s="20">
        <v>5000</v>
      </c>
      <c r="E1157" s="99" t="s">
        <v>732</v>
      </c>
      <c r="F1157" s="20">
        <f t="shared" si="17"/>
        <v>582013634</v>
      </c>
      <c r="G1157" s="7" t="s">
        <v>676</v>
      </c>
      <c r="H1157" s="24" t="s">
        <v>109</v>
      </c>
      <c r="I1157" s="32" t="s">
        <v>152</v>
      </c>
      <c r="K1157" s="181"/>
      <c r="L1157" s="181"/>
    </row>
    <row r="1158" spans="1:12" x14ac:dyDescent="0.35">
      <c r="A1158" s="19">
        <v>45810</v>
      </c>
      <c r="B1158" s="20"/>
      <c r="C1158" s="20"/>
      <c r="D1158" s="20">
        <v>5000</v>
      </c>
      <c r="E1158" s="99" t="s">
        <v>732</v>
      </c>
      <c r="F1158" s="20">
        <f t="shared" si="17"/>
        <v>582018634</v>
      </c>
      <c r="G1158" s="7" t="s">
        <v>676</v>
      </c>
      <c r="H1158" s="24" t="s">
        <v>109</v>
      </c>
      <c r="I1158" s="32" t="s">
        <v>152</v>
      </c>
      <c r="K1158" s="181"/>
      <c r="L1158" s="181"/>
    </row>
    <row r="1159" spans="1:12" x14ac:dyDescent="0.35">
      <c r="A1159" s="19">
        <v>45810</v>
      </c>
      <c r="B1159" s="20">
        <v>75000000</v>
      </c>
      <c r="C1159" s="20"/>
      <c r="D1159" s="20"/>
      <c r="E1159" s="99" t="s">
        <v>732</v>
      </c>
      <c r="F1159" s="20">
        <f t="shared" si="17"/>
        <v>507018634</v>
      </c>
      <c r="G1159" s="7" t="s">
        <v>654</v>
      </c>
      <c r="H1159" s="24" t="s">
        <v>614</v>
      </c>
      <c r="I1159" s="32" t="s">
        <v>152</v>
      </c>
      <c r="K1159" s="181"/>
      <c r="L1159" s="181"/>
    </row>
    <row r="1160" spans="1:12" x14ac:dyDescent="0.35">
      <c r="A1160" s="19">
        <v>45810</v>
      </c>
      <c r="B1160" s="20">
        <v>2900</v>
      </c>
      <c r="C1160" s="20"/>
      <c r="D1160" s="20"/>
      <c r="E1160" s="99" t="s">
        <v>732</v>
      </c>
      <c r="F1160" s="20">
        <f t="shared" si="17"/>
        <v>507015734</v>
      </c>
      <c r="G1160" s="7" t="s">
        <v>655</v>
      </c>
      <c r="H1160" s="24" t="s">
        <v>614</v>
      </c>
      <c r="I1160" s="32" t="s">
        <v>152</v>
      </c>
      <c r="K1160" s="181"/>
      <c r="L1160" s="181"/>
    </row>
    <row r="1161" spans="1:12" x14ac:dyDescent="0.35">
      <c r="A1161" s="19">
        <v>45810</v>
      </c>
      <c r="B1161" s="20"/>
      <c r="C1161" s="20"/>
      <c r="D1161" s="20">
        <v>7000000</v>
      </c>
      <c r="E1161" s="99" t="s">
        <v>732</v>
      </c>
      <c r="F1161" s="20">
        <f t="shared" si="17"/>
        <v>514015734</v>
      </c>
      <c r="G1161" s="7" t="s">
        <v>630</v>
      </c>
      <c r="H1161" s="24" t="s">
        <v>619</v>
      </c>
      <c r="I1161" s="32" t="s">
        <v>152</v>
      </c>
      <c r="K1161" s="181"/>
      <c r="L1161" s="181"/>
    </row>
    <row r="1162" spans="1:12" x14ac:dyDescent="0.35">
      <c r="A1162" s="19">
        <v>45810</v>
      </c>
      <c r="B1162" s="20"/>
      <c r="C1162" s="20"/>
      <c r="D1162" s="20">
        <v>500000</v>
      </c>
      <c r="E1162" s="99" t="s">
        <v>732</v>
      </c>
      <c r="F1162" s="20">
        <f t="shared" ref="F1162:F1225" si="18">+F1161+D1162-B1162</f>
        <v>514515734</v>
      </c>
      <c r="G1162" s="7" t="s">
        <v>579</v>
      </c>
      <c r="H1162" s="24" t="s">
        <v>109</v>
      </c>
      <c r="I1162" s="32" t="s">
        <v>152</v>
      </c>
      <c r="K1162" s="181"/>
      <c r="L1162" s="181"/>
    </row>
    <row r="1163" spans="1:12" x14ac:dyDescent="0.35">
      <c r="A1163" s="19">
        <v>45810</v>
      </c>
      <c r="B1163" s="20"/>
      <c r="C1163" s="20"/>
      <c r="D1163" s="20">
        <v>250000</v>
      </c>
      <c r="E1163" s="99" t="s">
        <v>732</v>
      </c>
      <c r="F1163" s="20">
        <f t="shared" si="18"/>
        <v>514765734</v>
      </c>
      <c r="G1163" s="202" t="s">
        <v>698</v>
      </c>
      <c r="H1163" s="24" t="s">
        <v>619</v>
      </c>
      <c r="I1163" s="32" t="s">
        <v>152</v>
      </c>
      <c r="K1163" s="181"/>
      <c r="L1163" s="181"/>
    </row>
    <row r="1164" spans="1:12" x14ac:dyDescent="0.35">
      <c r="A1164" s="19">
        <v>45810</v>
      </c>
      <c r="B1164" s="20"/>
      <c r="C1164" s="20"/>
      <c r="D1164" s="20">
        <v>35000000</v>
      </c>
      <c r="E1164" s="99" t="s">
        <v>732</v>
      </c>
      <c r="F1164" s="20">
        <f t="shared" si="18"/>
        <v>549765734</v>
      </c>
      <c r="G1164" s="7" t="s">
        <v>630</v>
      </c>
      <c r="H1164" s="24" t="s">
        <v>619</v>
      </c>
      <c r="I1164" s="32" t="s">
        <v>152</v>
      </c>
      <c r="K1164" s="181"/>
      <c r="L1164" s="181"/>
    </row>
    <row r="1165" spans="1:12" x14ac:dyDescent="0.35">
      <c r="A1165" s="19">
        <v>45811</v>
      </c>
      <c r="B1165" s="20"/>
      <c r="C1165" s="20"/>
      <c r="D1165" s="20">
        <v>200000</v>
      </c>
      <c r="E1165" s="99" t="s">
        <v>732</v>
      </c>
      <c r="F1165" s="20">
        <f t="shared" si="18"/>
        <v>549965734</v>
      </c>
      <c r="G1165" s="7" t="s">
        <v>333</v>
      </c>
      <c r="H1165" s="24" t="s">
        <v>109</v>
      </c>
      <c r="I1165" s="32" t="s">
        <v>152</v>
      </c>
      <c r="K1165" s="181"/>
      <c r="L1165" s="181"/>
    </row>
    <row r="1166" spans="1:12" x14ac:dyDescent="0.35">
      <c r="A1166" s="19">
        <v>45811</v>
      </c>
      <c r="B1166" s="20">
        <v>45000000</v>
      </c>
      <c r="C1166" s="20"/>
      <c r="D1166" s="20"/>
      <c r="E1166" s="99" t="s">
        <v>732</v>
      </c>
      <c r="F1166" s="20">
        <f t="shared" si="18"/>
        <v>504965734</v>
      </c>
      <c r="G1166" s="7" t="s">
        <v>654</v>
      </c>
      <c r="H1166" s="24" t="s">
        <v>614</v>
      </c>
      <c r="I1166" s="32" t="s">
        <v>152</v>
      </c>
      <c r="K1166" s="181"/>
      <c r="L1166" s="181"/>
    </row>
    <row r="1167" spans="1:12" x14ac:dyDescent="0.35">
      <c r="A1167" s="19">
        <v>45811</v>
      </c>
      <c r="B1167" s="20">
        <v>6500</v>
      </c>
      <c r="C1167" s="20"/>
      <c r="D1167" s="20"/>
      <c r="E1167" s="99" t="s">
        <v>732</v>
      </c>
      <c r="F1167" s="20">
        <f t="shared" si="18"/>
        <v>504959234</v>
      </c>
      <c r="G1167" s="7" t="s">
        <v>655</v>
      </c>
      <c r="H1167" s="24" t="s">
        <v>614</v>
      </c>
      <c r="I1167" s="32" t="s">
        <v>152</v>
      </c>
      <c r="K1167" s="181"/>
      <c r="L1167" s="181"/>
    </row>
    <row r="1168" spans="1:12" x14ac:dyDescent="0.35">
      <c r="A1168" s="19">
        <v>45811</v>
      </c>
      <c r="B1168" s="20"/>
      <c r="C1168" s="20"/>
      <c r="D1168" s="20">
        <v>250000</v>
      </c>
      <c r="E1168" s="99" t="s">
        <v>732</v>
      </c>
      <c r="F1168" s="20">
        <f t="shared" si="18"/>
        <v>505209234</v>
      </c>
      <c r="G1168" s="202" t="s">
        <v>699</v>
      </c>
      <c r="H1168" s="24" t="s">
        <v>619</v>
      </c>
      <c r="I1168" s="32" t="s">
        <v>152</v>
      </c>
      <c r="K1168" s="181"/>
      <c r="L1168" s="181"/>
    </row>
    <row r="1169" spans="1:12" x14ac:dyDescent="0.35">
      <c r="A1169" s="19">
        <v>45811</v>
      </c>
      <c r="B1169" s="20"/>
      <c r="C1169" s="20"/>
      <c r="D1169" s="20">
        <v>10000</v>
      </c>
      <c r="E1169" s="99" t="s">
        <v>732</v>
      </c>
      <c r="F1169" s="20">
        <f t="shared" si="18"/>
        <v>505219234</v>
      </c>
      <c r="G1169" s="7" t="s">
        <v>330</v>
      </c>
      <c r="H1169" s="24" t="s">
        <v>109</v>
      </c>
      <c r="I1169" s="32" t="s">
        <v>152</v>
      </c>
      <c r="K1169" s="181"/>
      <c r="L1169" s="181"/>
    </row>
    <row r="1170" spans="1:12" x14ac:dyDescent="0.35">
      <c r="A1170" s="19">
        <v>45811</v>
      </c>
      <c r="B1170" s="20"/>
      <c r="C1170" s="20"/>
      <c r="D1170" s="20">
        <v>25000</v>
      </c>
      <c r="E1170" s="99" t="s">
        <v>732</v>
      </c>
      <c r="F1170" s="20">
        <f t="shared" si="18"/>
        <v>505244234</v>
      </c>
      <c r="G1170" s="7" t="s">
        <v>330</v>
      </c>
      <c r="H1170" s="24" t="s">
        <v>109</v>
      </c>
      <c r="I1170" s="32" t="s">
        <v>152</v>
      </c>
      <c r="K1170" s="181"/>
      <c r="L1170" s="181"/>
    </row>
    <row r="1171" spans="1:12" x14ac:dyDescent="0.35">
      <c r="A1171" s="19">
        <v>45811</v>
      </c>
      <c r="B1171" s="20">
        <v>24000000</v>
      </c>
      <c r="C1171" s="20"/>
      <c r="D1171" s="20"/>
      <c r="E1171" s="99" t="s">
        <v>732</v>
      </c>
      <c r="F1171" s="20">
        <f t="shared" si="18"/>
        <v>481244234</v>
      </c>
      <c r="G1171" s="7" t="s">
        <v>677</v>
      </c>
      <c r="H1171" s="24" t="s">
        <v>614</v>
      </c>
      <c r="I1171" s="32" t="s">
        <v>152</v>
      </c>
      <c r="K1171" s="181"/>
      <c r="L1171" s="181"/>
    </row>
    <row r="1172" spans="1:12" x14ac:dyDescent="0.35">
      <c r="A1172" s="19">
        <v>45811</v>
      </c>
      <c r="B1172" s="20">
        <v>2900</v>
      </c>
      <c r="C1172" s="20"/>
      <c r="D1172" s="20"/>
      <c r="E1172" s="99" t="s">
        <v>732</v>
      </c>
      <c r="F1172" s="20">
        <f t="shared" si="18"/>
        <v>481241334</v>
      </c>
      <c r="G1172" s="7" t="s">
        <v>678</v>
      </c>
      <c r="H1172" s="24" t="s">
        <v>614</v>
      </c>
      <c r="I1172" s="32" t="s">
        <v>152</v>
      </c>
      <c r="K1172" s="181"/>
      <c r="L1172" s="181"/>
    </row>
    <row r="1173" spans="1:12" x14ac:dyDescent="0.35">
      <c r="A1173" s="19">
        <v>45811</v>
      </c>
      <c r="B1173" s="20"/>
      <c r="C1173" s="20"/>
      <c r="D1173" s="20">
        <v>3695000</v>
      </c>
      <c r="E1173" s="99" t="s">
        <v>732</v>
      </c>
      <c r="F1173" s="20">
        <f t="shared" si="18"/>
        <v>484936334</v>
      </c>
      <c r="G1173" s="7"/>
      <c r="H1173" s="24" t="s">
        <v>107</v>
      </c>
      <c r="I1173" s="32" t="s">
        <v>152</v>
      </c>
      <c r="K1173" s="181"/>
      <c r="L1173" s="181"/>
    </row>
    <row r="1174" spans="1:12" x14ac:dyDescent="0.35">
      <c r="A1174" s="19">
        <v>45811</v>
      </c>
      <c r="B1174" s="20"/>
      <c r="C1174" s="20"/>
      <c r="D1174" s="20">
        <v>1962000</v>
      </c>
      <c r="E1174" s="99" t="s">
        <v>732</v>
      </c>
      <c r="F1174" s="20">
        <f t="shared" si="18"/>
        <v>486898334</v>
      </c>
      <c r="G1174" s="7"/>
      <c r="H1174" s="24" t="s">
        <v>109</v>
      </c>
      <c r="I1174" s="32" t="s">
        <v>152</v>
      </c>
      <c r="K1174" s="181"/>
      <c r="L1174" s="181"/>
    </row>
    <row r="1175" spans="1:12" x14ac:dyDescent="0.35">
      <c r="A1175" s="19">
        <v>45811</v>
      </c>
      <c r="B1175" s="20"/>
      <c r="C1175" s="20"/>
      <c r="D1175" s="20">
        <v>1080000</v>
      </c>
      <c r="E1175" s="99" t="s">
        <v>732</v>
      </c>
      <c r="F1175" s="20">
        <f t="shared" si="18"/>
        <v>487978334</v>
      </c>
      <c r="G1175" s="7" t="s">
        <v>686</v>
      </c>
      <c r="H1175" s="24" t="s">
        <v>109</v>
      </c>
      <c r="I1175" s="32" t="s">
        <v>152</v>
      </c>
      <c r="K1175" s="181"/>
      <c r="L1175" s="181"/>
    </row>
    <row r="1176" spans="1:12" x14ac:dyDescent="0.35">
      <c r="A1176" s="19"/>
      <c r="B1176" s="20"/>
      <c r="C1176" s="20">
        <v>6737000</v>
      </c>
      <c r="D1176" s="20"/>
      <c r="E1176" s="99"/>
      <c r="F1176" s="20">
        <f t="shared" si="18"/>
        <v>487978334</v>
      </c>
      <c r="G1176" s="7" t="s">
        <v>305</v>
      </c>
      <c r="H1176" s="24"/>
      <c r="I1176" s="32"/>
      <c r="K1176" s="181"/>
      <c r="L1176" s="181"/>
    </row>
    <row r="1177" spans="1:12" x14ac:dyDescent="0.35">
      <c r="A1177" s="19">
        <v>45811</v>
      </c>
      <c r="B1177" s="20"/>
      <c r="C1177" s="20"/>
      <c r="D1177" s="20">
        <v>1750000</v>
      </c>
      <c r="E1177" s="99" t="s">
        <v>732</v>
      </c>
      <c r="F1177" s="20">
        <f t="shared" si="18"/>
        <v>489728334</v>
      </c>
      <c r="G1177" s="7" t="s">
        <v>630</v>
      </c>
      <c r="H1177" s="24" t="s">
        <v>619</v>
      </c>
      <c r="I1177" s="32" t="s">
        <v>152</v>
      </c>
      <c r="K1177" s="181"/>
      <c r="L1177" s="181"/>
    </row>
    <row r="1178" spans="1:12" x14ac:dyDescent="0.35">
      <c r="A1178" s="19">
        <v>45811</v>
      </c>
      <c r="B1178" s="20"/>
      <c r="C1178" s="20"/>
      <c r="D1178" s="20">
        <v>500000</v>
      </c>
      <c r="E1178" s="99" t="s">
        <v>732</v>
      </c>
      <c r="F1178" s="20">
        <f t="shared" si="18"/>
        <v>490228334</v>
      </c>
      <c r="G1178" s="7" t="s">
        <v>630</v>
      </c>
      <c r="H1178" s="24" t="s">
        <v>619</v>
      </c>
      <c r="I1178" s="32" t="s">
        <v>152</v>
      </c>
      <c r="K1178" s="181"/>
      <c r="L1178" s="181"/>
    </row>
    <row r="1179" spans="1:12" x14ac:dyDescent="0.35">
      <c r="A1179" s="19">
        <v>45811</v>
      </c>
      <c r="B1179" s="20"/>
      <c r="C1179" s="20"/>
      <c r="D1179" s="20">
        <v>500000</v>
      </c>
      <c r="E1179" s="99" t="s">
        <v>732</v>
      </c>
      <c r="F1179" s="20">
        <f t="shared" si="18"/>
        <v>490728334</v>
      </c>
      <c r="G1179" s="7" t="s">
        <v>679</v>
      </c>
      <c r="H1179" s="24" t="s">
        <v>109</v>
      </c>
      <c r="I1179" s="32" t="s">
        <v>152</v>
      </c>
      <c r="K1179" s="181"/>
      <c r="L1179" s="181"/>
    </row>
    <row r="1180" spans="1:12" x14ac:dyDescent="0.35">
      <c r="A1180" s="19">
        <v>45811</v>
      </c>
      <c r="B1180" s="20"/>
      <c r="C1180" s="20"/>
      <c r="D1180" s="20">
        <v>400000</v>
      </c>
      <c r="E1180" s="99" t="s">
        <v>732</v>
      </c>
      <c r="F1180" s="20">
        <f t="shared" si="18"/>
        <v>491128334</v>
      </c>
      <c r="G1180" s="7" t="s">
        <v>600</v>
      </c>
      <c r="H1180" s="24" t="s">
        <v>109</v>
      </c>
      <c r="I1180" s="32" t="s">
        <v>152</v>
      </c>
      <c r="K1180" s="181"/>
      <c r="L1180" s="181"/>
    </row>
    <row r="1181" spans="1:12" x14ac:dyDescent="0.35">
      <c r="A1181" s="19">
        <v>45812</v>
      </c>
      <c r="B1181" s="20"/>
      <c r="C1181" s="20"/>
      <c r="D1181" s="20">
        <v>5000</v>
      </c>
      <c r="E1181" s="99" t="s">
        <v>732</v>
      </c>
      <c r="F1181" s="20">
        <f t="shared" si="18"/>
        <v>491133334</v>
      </c>
      <c r="G1181" s="7" t="s">
        <v>330</v>
      </c>
      <c r="H1181" s="24" t="s">
        <v>109</v>
      </c>
      <c r="I1181" s="32" t="s">
        <v>152</v>
      </c>
      <c r="K1181" s="181"/>
      <c r="L1181" s="181"/>
    </row>
    <row r="1182" spans="1:12" x14ac:dyDescent="0.35">
      <c r="A1182" s="19">
        <v>45812</v>
      </c>
      <c r="B1182" s="20">
        <v>13000000</v>
      </c>
      <c r="C1182" s="20"/>
      <c r="D1182" s="20"/>
      <c r="E1182" s="99" t="s">
        <v>732</v>
      </c>
      <c r="F1182" s="20">
        <f t="shared" si="18"/>
        <v>478133334</v>
      </c>
      <c r="G1182" s="7" t="s">
        <v>654</v>
      </c>
      <c r="H1182" s="24" t="s">
        <v>614</v>
      </c>
      <c r="I1182" s="32" t="s">
        <v>152</v>
      </c>
      <c r="K1182" s="181"/>
      <c r="L1182" s="181"/>
    </row>
    <row r="1183" spans="1:12" x14ac:dyDescent="0.35">
      <c r="A1183" s="19">
        <v>45812</v>
      </c>
      <c r="B1183" s="20">
        <v>2900</v>
      </c>
      <c r="C1183" s="20"/>
      <c r="D1183" s="20"/>
      <c r="E1183" s="99" t="s">
        <v>732</v>
      </c>
      <c r="F1183" s="20">
        <f t="shared" si="18"/>
        <v>478130434</v>
      </c>
      <c r="G1183" s="7" t="s">
        <v>655</v>
      </c>
      <c r="H1183" s="24" t="s">
        <v>614</v>
      </c>
      <c r="I1183" s="32" t="s">
        <v>152</v>
      </c>
      <c r="K1183" s="181"/>
      <c r="L1183" s="181"/>
    </row>
    <row r="1184" spans="1:12" x14ac:dyDescent="0.35">
      <c r="A1184" s="19">
        <v>45812</v>
      </c>
      <c r="B1184" s="20">
        <v>30000000</v>
      </c>
      <c r="C1184" s="20"/>
      <c r="D1184" s="20"/>
      <c r="E1184" s="99" t="s">
        <v>732</v>
      </c>
      <c r="F1184" s="20">
        <f t="shared" si="18"/>
        <v>448130434</v>
      </c>
      <c r="G1184" s="7" t="s">
        <v>654</v>
      </c>
      <c r="H1184" s="24" t="s">
        <v>614</v>
      </c>
      <c r="I1184" s="32" t="s">
        <v>152</v>
      </c>
      <c r="K1184" s="181"/>
      <c r="L1184" s="181"/>
    </row>
    <row r="1185" spans="1:12" x14ac:dyDescent="0.35">
      <c r="A1185" s="19">
        <v>45812</v>
      </c>
      <c r="B1185" s="20">
        <v>2900</v>
      </c>
      <c r="C1185" s="20"/>
      <c r="D1185" s="20"/>
      <c r="E1185" s="99" t="s">
        <v>732</v>
      </c>
      <c r="F1185" s="20">
        <f t="shared" si="18"/>
        <v>448127534</v>
      </c>
      <c r="G1185" s="7" t="s">
        <v>655</v>
      </c>
      <c r="H1185" s="24" t="s">
        <v>614</v>
      </c>
      <c r="I1185" s="32" t="s">
        <v>152</v>
      </c>
      <c r="K1185" s="181"/>
      <c r="L1185" s="181"/>
    </row>
    <row r="1186" spans="1:12" x14ac:dyDescent="0.35">
      <c r="A1186" s="19">
        <v>45812</v>
      </c>
      <c r="B1186" s="20">
        <v>7196500</v>
      </c>
      <c r="C1186" s="20"/>
      <c r="D1186" s="20"/>
      <c r="E1186" s="99" t="s">
        <v>732</v>
      </c>
      <c r="F1186" s="20">
        <f t="shared" si="18"/>
        <v>440931034</v>
      </c>
      <c r="G1186" s="7" t="s">
        <v>680</v>
      </c>
      <c r="H1186" s="24" t="s">
        <v>614</v>
      </c>
      <c r="I1186" s="32" t="s">
        <v>152</v>
      </c>
      <c r="K1186" s="181"/>
      <c r="L1186" s="181"/>
    </row>
    <row r="1187" spans="1:12" x14ac:dyDescent="0.35">
      <c r="A1187" s="19">
        <v>45812</v>
      </c>
      <c r="B1187" s="20">
        <v>2900</v>
      </c>
      <c r="C1187" s="20"/>
      <c r="D1187" s="20"/>
      <c r="E1187" s="99" t="s">
        <v>732</v>
      </c>
      <c r="F1187" s="20">
        <f t="shared" si="18"/>
        <v>440928134</v>
      </c>
      <c r="G1187" s="7" t="s">
        <v>681</v>
      </c>
      <c r="H1187" s="24" t="s">
        <v>614</v>
      </c>
      <c r="I1187" s="32" t="s">
        <v>152</v>
      </c>
      <c r="K1187" s="181"/>
      <c r="L1187" s="181"/>
    </row>
    <row r="1188" spans="1:12" x14ac:dyDescent="0.35">
      <c r="A1188" s="19">
        <v>45812</v>
      </c>
      <c r="B1188" s="20"/>
      <c r="C1188" s="20"/>
      <c r="D1188" s="203">
        <v>4000000</v>
      </c>
      <c r="E1188" s="99" t="s">
        <v>732</v>
      </c>
      <c r="F1188" s="20">
        <f t="shared" si="18"/>
        <v>444928134</v>
      </c>
      <c r="G1188" s="202" t="s">
        <v>703</v>
      </c>
      <c r="H1188" s="24" t="s">
        <v>619</v>
      </c>
      <c r="I1188" s="32" t="s">
        <v>152</v>
      </c>
      <c r="K1188" s="181"/>
      <c r="L1188" s="181"/>
    </row>
    <row r="1189" spans="1:12" x14ac:dyDescent="0.35">
      <c r="A1189" s="19">
        <v>45812</v>
      </c>
      <c r="B1189" s="20"/>
      <c r="C1189" s="20"/>
      <c r="D1189" s="203">
        <v>250000</v>
      </c>
      <c r="E1189" s="99" t="s">
        <v>732</v>
      </c>
      <c r="F1189" s="20">
        <f t="shared" si="18"/>
        <v>445178134</v>
      </c>
      <c r="G1189" s="202" t="s">
        <v>704</v>
      </c>
      <c r="H1189" s="24" t="s">
        <v>109</v>
      </c>
      <c r="I1189" s="32" t="s">
        <v>152</v>
      </c>
      <c r="K1189" s="181"/>
      <c r="L1189" s="181"/>
    </row>
    <row r="1190" spans="1:12" x14ac:dyDescent="0.35">
      <c r="A1190" s="19">
        <v>45812</v>
      </c>
      <c r="B1190" s="20">
        <v>2000000</v>
      </c>
      <c r="C1190" s="20"/>
      <c r="D1190" s="20"/>
      <c r="E1190" s="99" t="s">
        <v>732</v>
      </c>
      <c r="F1190" s="20">
        <f t="shared" si="18"/>
        <v>443178134</v>
      </c>
      <c r="G1190" s="7" t="s">
        <v>607</v>
      </c>
      <c r="H1190" s="24" t="s">
        <v>323</v>
      </c>
      <c r="I1190" s="32" t="s">
        <v>152</v>
      </c>
      <c r="K1190" s="181"/>
      <c r="L1190" s="181"/>
    </row>
    <row r="1191" spans="1:12" x14ac:dyDescent="0.35">
      <c r="A1191" s="19">
        <v>45812</v>
      </c>
      <c r="B1191" s="20">
        <v>6500</v>
      </c>
      <c r="C1191" s="20"/>
      <c r="D1191" s="20"/>
      <c r="E1191" s="99" t="s">
        <v>732</v>
      </c>
      <c r="F1191" s="20">
        <f t="shared" si="18"/>
        <v>443171634</v>
      </c>
      <c r="G1191" s="7" t="s">
        <v>608</v>
      </c>
      <c r="H1191" s="24" t="s">
        <v>323</v>
      </c>
      <c r="I1191" s="32" t="s">
        <v>152</v>
      </c>
      <c r="K1191" s="181"/>
      <c r="L1191" s="181"/>
    </row>
    <row r="1192" spans="1:12" x14ac:dyDescent="0.35">
      <c r="A1192" s="19">
        <v>45812</v>
      </c>
      <c r="B1192" s="20"/>
      <c r="C1192" s="20"/>
      <c r="D1192" s="20">
        <v>3500000</v>
      </c>
      <c r="E1192" s="99" t="s">
        <v>732</v>
      </c>
      <c r="F1192" s="20">
        <f t="shared" si="18"/>
        <v>446671634</v>
      </c>
      <c r="G1192" s="7" t="s">
        <v>630</v>
      </c>
      <c r="H1192" s="24" t="s">
        <v>619</v>
      </c>
      <c r="I1192" s="32" t="s">
        <v>152</v>
      </c>
      <c r="K1192" s="181"/>
      <c r="L1192" s="181"/>
    </row>
    <row r="1193" spans="1:12" x14ac:dyDescent="0.35">
      <c r="A1193" s="19">
        <v>45813</v>
      </c>
      <c r="B1193" s="20">
        <v>1500000</v>
      </c>
      <c r="C1193" s="20"/>
      <c r="D1193" s="20"/>
      <c r="E1193" s="99" t="s">
        <v>732</v>
      </c>
      <c r="F1193" s="20">
        <f t="shared" si="18"/>
        <v>445171634</v>
      </c>
      <c r="G1193" s="7" t="s">
        <v>682</v>
      </c>
      <c r="H1193" s="24" t="s">
        <v>614</v>
      </c>
      <c r="I1193" s="32" t="s">
        <v>152</v>
      </c>
      <c r="K1193" s="181"/>
      <c r="L1193" s="181"/>
    </row>
    <row r="1194" spans="1:12" x14ac:dyDescent="0.35">
      <c r="A1194" s="19">
        <v>45813</v>
      </c>
      <c r="B1194" s="20">
        <v>6500</v>
      </c>
      <c r="C1194" s="20"/>
      <c r="D1194" s="20"/>
      <c r="E1194" s="99" t="s">
        <v>732</v>
      </c>
      <c r="F1194" s="20">
        <f t="shared" si="18"/>
        <v>445165134</v>
      </c>
      <c r="G1194" s="7" t="s">
        <v>683</v>
      </c>
      <c r="H1194" s="24" t="s">
        <v>614</v>
      </c>
      <c r="I1194" s="32" t="s">
        <v>152</v>
      </c>
      <c r="K1194" s="181"/>
      <c r="L1194" s="181"/>
    </row>
    <row r="1195" spans="1:12" x14ac:dyDescent="0.35">
      <c r="A1195" s="19">
        <v>45813</v>
      </c>
      <c r="B1195" s="20">
        <v>3750000</v>
      </c>
      <c r="C1195" s="20"/>
      <c r="D1195" s="20"/>
      <c r="E1195" s="99" t="s">
        <v>732</v>
      </c>
      <c r="F1195" s="20">
        <f t="shared" si="18"/>
        <v>441415134</v>
      </c>
      <c r="G1195" s="7" t="s">
        <v>654</v>
      </c>
      <c r="H1195" s="24" t="s">
        <v>614</v>
      </c>
      <c r="I1195" s="32" t="s">
        <v>152</v>
      </c>
      <c r="K1195" s="181"/>
      <c r="L1195" s="181"/>
    </row>
    <row r="1196" spans="1:12" x14ac:dyDescent="0.35">
      <c r="A1196" s="19">
        <v>45813</v>
      </c>
      <c r="B1196" s="20">
        <v>6500</v>
      </c>
      <c r="C1196" s="20"/>
      <c r="D1196" s="20"/>
      <c r="E1196" s="99" t="s">
        <v>732</v>
      </c>
      <c r="F1196" s="20">
        <f t="shared" si="18"/>
        <v>441408634</v>
      </c>
      <c r="G1196" s="7" t="s">
        <v>684</v>
      </c>
      <c r="H1196" s="24" t="s">
        <v>614</v>
      </c>
      <c r="I1196" s="32" t="s">
        <v>152</v>
      </c>
      <c r="K1196" s="181"/>
      <c r="L1196" s="181"/>
    </row>
    <row r="1197" spans="1:12" x14ac:dyDescent="0.35">
      <c r="A1197" s="19">
        <v>45813</v>
      </c>
      <c r="B1197" s="20"/>
      <c r="C1197" s="20"/>
      <c r="D1197" s="20">
        <v>10000</v>
      </c>
      <c r="E1197" s="99" t="s">
        <v>732</v>
      </c>
      <c r="F1197" s="20">
        <f t="shared" si="18"/>
        <v>441418634</v>
      </c>
      <c r="G1197" s="7" t="s">
        <v>330</v>
      </c>
      <c r="H1197" s="24" t="s">
        <v>109</v>
      </c>
      <c r="I1197" s="32" t="s">
        <v>152</v>
      </c>
      <c r="K1197" s="181"/>
      <c r="L1197" s="181"/>
    </row>
    <row r="1198" spans="1:12" x14ac:dyDescent="0.35">
      <c r="A1198" s="19">
        <v>45813</v>
      </c>
      <c r="B1198" s="20"/>
      <c r="C1198" s="20"/>
      <c r="D1198" s="20">
        <v>10000</v>
      </c>
      <c r="E1198" s="99" t="s">
        <v>732</v>
      </c>
      <c r="F1198" s="20">
        <f t="shared" si="18"/>
        <v>441428634</v>
      </c>
      <c r="G1198" s="7" t="s">
        <v>330</v>
      </c>
      <c r="H1198" s="24" t="s">
        <v>109</v>
      </c>
      <c r="I1198" s="32" t="s">
        <v>152</v>
      </c>
      <c r="K1198" s="181"/>
      <c r="L1198" s="181"/>
    </row>
    <row r="1199" spans="1:12" x14ac:dyDescent="0.35">
      <c r="A1199" s="19">
        <v>45813</v>
      </c>
      <c r="B1199" s="20"/>
      <c r="C1199" s="20"/>
      <c r="D1199" s="20">
        <v>1750000</v>
      </c>
      <c r="E1199" s="99" t="s">
        <v>732</v>
      </c>
      <c r="F1199" s="20">
        <f t="shared" si="18"/>
        <v>443178634</v>
      </c>
      <c r="G1199" s="7" t="s">
        <v>630</v>
      </c>
      <c r="H1199" s="24" t="s">
        <v>619</v>
      </c>
      <c r="I1199" s="32" t="s">
        <v>152</v>
      </c>
      <c r="K1199" s="181"/>
      <c r="L1199" s="181"/>
    </row>
    <row r="1200" spans="1:12" x14ac:dyDescent="0.35">
      <c r="A1200" s="19">
        <v>45813</v>
      </c>
      <c r="B1200" s="20">
        <v>61250000</v>
      </c>
      <c r="C1200" s="20"/>
      <c r="D1200" s="20"/>
      <c r="E1200" s="99" t="s">
        <v>732</v>
      </c>
      <c r="F1200" s="20">
        <f t="shared" si="18"/>
        <v>381928634</v>
      </c>
      <c r="G1200" s="7" t="s">
        <v>654</v>
      </c>
      <c r="H1200" s="24" t="s">
        <v>614</v>
      </c>
      <c r="I1200" s="32" t="s">
        <v>152</v>
      </c>
      <c r="K1200" s="181"/>
      <c r="L1200" s="181"/>
    </row>
    <row r="1201" spans="1:12" x14ac:dyDescent="0.35">
      <c r="A1201" s="19">
        <v>45813</v>
      </c>
      <c r="B1201" s="20">
        <v>2900</v>
      </c>
      <c r="C1201" s="20"/>
      <c r="D1201" s="20"/>
      <c r="E1201" s="99" t="s">
        <v>732</v>
      </c>
      <c r="F1201" s="20">
        <f t="shared" si="18"/>
        <v>381925734</v>
      </c>
      <c r="G1201" s="7" t="s">
        <v>655</v>
      </c>
      <c r="H1201" s="24" t="s">
        <v>614</v>
      </c>
      <c r="I1201" s="32" t="s">
        <v>152</v>
      </c>
      <c r="K1201" s="181"/>
      <c r="L1201" s="181"/>
    </row>
    <row r="1202" spans="1:12" x14ac:dyDescent="0.35">
      <c r="A1202" s="19">
        <v>45813</v>
      </c>
      <c r="B1202" s="20">
        <v>104750000</v>
      </c>
      <c r="C1202" s="20"/>
      <c r="D1202" s="20"/>
      <c r="E1202" s="99" t="s">
        <v>732</v>
      </c>
      <c r="F1202" s="20">
        <f t="shared" si="18"/>
        <v>277175734</v>
      </c>
      <c r="G1202" s="7" t="s">
        <v>654</v>
      </c>
      <c r="H1202" s="24" t="s">
        <v>614</v>
      </c>
      <c r="I1202" s="32" t="s">
        <v>152</v>
      </c>
      <c r="K1202" s="181"/>
      <c r="L1202" s="181"/>
    </row>
    <row r="1203" spans="1:12" x14ac:dyDescent="0.35">
      <c r="A1203" s="19">
        <v>45813</v>
      </c>
      <c r="B1203" s="20">
        <v>2900</v>
      </c>
      <c r="C1203" s="20"/>
      <c r="D1203" s="20"/>
      <c r="E1203" s="99" t="s">
        <v>732</v>
      </c>
      <c r="F1203" s="20">
        <f t="shared" si="18"/>
        <v>277172834</v>
      </c>
      <c r="G1203" s="7" t="s">
        <v>655</v>
      </c>
      <c r="H1203" s="24" t="s">
        <v>614</v>
      </c>
      <c r="I1203" s="32" t="s">
        <v>152</v>
      </c>
      <c r="K1203" s="181"/>
      <c r="L1203" s="181"/>
    </row>
    <row r="1204" spans="1:12" x14ac:dyDescent="0.35">
      <c r="A1204" s="19">
        <v>45813</v>
      </c>
      <c r="B1204" s="20"/>
      <c r="C1204" s="20"/>
      <c r="D1204" s="20">
        <v>250000</v>
      </c>
      <c r="E1204" s="99" t="s">
        <v>732</v>
      </c>
      <c r="F1204" s="20">
        <f t="shared" si="18"/>
        <v>277422834</v>
      </c>
      <c r="G1204" s="7" t="s">
        <v>685</v>
      </c>
      <c r="H1204" s="24" t="s">
        <v>619</v>
      </c>
      <c r="I1204" s="32" t="s">
        <v>152</v>
      </c>
      <c r="K1204" s="181"/>
      <c r="L1204" s="181"/>
    </row>
    <row r="1205" spans="1:12" x14ac:dyDescent="0.35">
      <c r="A1205" s="19">
        <v>45813</v>
      </c>
      <c r="B1205" s="20"/>
      <c r="C1205" s="20"/>
      <c r="D1205" s="20">
        <v>500000</v>
      </c>
      <c r="E1205" s="99" t="s">
        <v>732</v>
      </c>
      <c r="F1205" s="20">
        <f t="shared" si="18"/>
        <v>277922834</v>
      </c>
      <c r="G1205" s="7" t="s">
        <v>693</v>
      </c>
      <c r="H1205" s="24" t="s">
        <v>619</v>
      </c>
      <c r="I1205" s="32" t="s">
        <v>152</v>
      </c>
      <c r="K1205" s="181"/>
      <c r="L1205" s="181"/>
    </row>
    <row r="1206" spans="1:12" x14ac:dyDescent="0.35">
      <c r="A1206" s="19">
        <v>45813</v>
      </c>
      <c r="B1206" s="20">
        <v>75000000</v>
      </c>
      <c r="C1206" s="20"/>
      <c r="D1206" s="20"/>
      <c r="E1206" s="99" t="s">
        <v>732</v>
      </c>
      <c r="F1206" s="20">
        <f t="shared" si="18"/>
        <v>202922834</v>
      </c>
      <c r="G1206" s="7" t="s">
        <v>694</v>
      </c>
      <c r="H1206" s="24" t="s">
        <v>614</v>
      </c>
      <c r="I1206" s="32" t="s">
        <v>152</v>
      </c>
      <c r="K1206" s="181"/>
      <c r="L1206" s="181"/>
    </row>
    <row r="1207" spans="1:12" x14ac:dyDescent="0.35">
      <c r="A1207" s="19">
        <v>45814</v>
      </c>
      <c r="B1207" s="20"/>
      <c r="C1207" s="20"/>
      <c r="D1207" s="20">
        <v>100000</v>
      </c>
      <c r="E1207" s="99" t="s">
        <v>732</v>
      </c>
      <c r="F1207" s="20">
        <f t="shared" si="18"/>
        <v>203022834</v>
      </c>
      <c r="G1207" s="7" t="s">
        <v>330</v>
      </c>
      <c r="H1207" s="24" t="s">
        <v>109</v>
      </c>
      <c r="I1207" s="32" t="s">
        <v>152</v>
      </c>
      <c r="K1207" s="181"/>
      <c r="L1207" s="181"/>
    </row>
    <row r="1208" spans="1:12" x14ac:dyDescent="0.35">
      <c r="A1208" s="19">
        <v>45814</v>
      </c>
      <c r="B1208" s="20"/>
      <c r="C1208" s="20"/>
      <c r="D1208" s="20">
        <v>10000</v>
      </c>
      <c r="E1208" s="99" t="s">
        <v>732</v>
      </c>
      <c r="F1208" s="20">
        <f t="shared" si="18"/>
        <v>203032834</v>
      </c>
      <c r="G1208" s="7" t="s">
        <v>330</v>
      </c>
      <c r="H1208" s="24" t="s">
        <v>109</v>
      </c>
      <c r="I1208" s="32" t="s">
        <v>152</v>
      </c>
      <c r="K1208" s="181"/>
      <c r="L1208" s="181"/>
    </row>
    <row r="1209" spans="1:12" x14ac:dyDescent="0.35">
      <c r="A1209" s="19">
        <v>45814</v>
      </c>
      <c r="B1209" s="20"/>
      <c r="C1209" s="20"/>
      <c r="D1209" s="20">
        <v>10000</v>
      </c>
      <c r="E1209" s="99" t="s">
        <v>732</v>
      </c>
      <c r="F1209" s="20">
        <f t="shared" si="18"/>
        <v>203042834</v>
      </c>
      <c r="G1209" s="7" t="s">
        <v>330</v>
      </c>
      <c r="H1209" s="24" t="s">
        <v>109</v>
      </c>
      <c r="I1209" s="32" t="s">
        <v>152</v>
      </c>
      <c r="K1209" s="181"/>
      <c r="L1209" s="181"/>
    </row>
    <row r="1210" spans="1:12" x14ac:dyDescent="0.35">
      <c r="A1210" s="19">
        <v>45814</v>
      </c>
      <c r="B1210" s="20"/>
      <c r="C1210" s="20"/>
      <c r="D1210" s="20">
        <v>5000</v>
      </c>
      <c r="E1210" s="99" t="s">
        <v>732</v>
      </c>
      <c r="F1210" s="20">
        <f t="shared" si="18"/>
        <v>203047834</v>
      </c>
      <c r="G1210" s="7" t="s">
        <v>330</v>
      </c>
      <c r="H1210" s="24" t="s">
        <v>109</v>
      </c>
      <c r="I1210" s="32" t="s">
        <v>152</v>
      </c>
      <c r="K1210" s="181"/>
      <c r="L1210" s="181"/>
    </row>
    <row r="1211" spans="1:12" x14ac:dyDescent="0.35">
      <c r="A1211" s="19">
        <v>45814</v>
      </c>
      <c r="B1211" s="20"/>
      <c r="C1211" s="20"/>
      <c r="D1211" s="20">
        <v>1000000</v>
      </c>
      <c r="E1211" s="99" t="s">
        <v>732</v>
      </c>
      <c r="F1211" s="20">
        <f t="shared" si="18"/>
        <v>204047834</v>
      </c>
      <c r="G1211" s="7" t="s">
        <v>561</v>
      </c>
      <c r="H1211" s="24" t="s">
        <v>109</v>
      </c>
      <c r="I1211" s="32" t="s">
        <v>152</v>
      </c>
      <c r="K1211" s="181"/>
      <c r="L1211" s="181"/>
    </row>
    <row r="1212" spans="1:12" x14ac:dyDescent="0.35">
      <c r="A1212" s="19">
        <v>45815</v>
      </c>
      <c r="B1212" s="20">
        <v>750000</v>
      </c>
      <c r="C1212" s="20"/>
      <c r="D1212" s="20"/>
      <c r="E1212" s="99" t="s">
        <v>732</v>
      </c>
      <c r="F1212" s="20">
        <f t="shared" si="18"/>
        <v>203297834</v>
      </c>
      <c r="G1212" s="7" t="s">
        <v>695</v>
      </c>
      <c r="H1212" s="24" t="s">
        <v>323</v>
      </c>
      <c r="I1212" s="32" t="s">
        <v>152</v>
      </c>
      <c r="K1212" s="181"/>
      <c r="L1212" s="181"/>
    </row>
    <row r="1213" spans="1:12" x14ac:dyDescent="0.35">
      <c r="A1213" s="19">
        <v>45815</v>
      </c>
      <c r="B1213" s="20">
        <v>6500</v>
      </c>
      <c r="C1213" s="20"/>
      <c r="D1213" s="20"/>
      <c r="E1213" s="99" t="s">
        <v>732</v>
      </c>
      <c r="F1213" s="20">
        <f t="shared" si="18"/>
        <v>203291334</v>
      </c>
      <c r="G1213" s="7" t="s">
        <v>696</v>
      </c>
      <c r="H1213" s="24" t="s">
        <v>323</v>
      </c>
      <c r="I1213" s="32" t="s">
        <v>152</v>
      </c>
      <c r="K1213" s="181"/>
      <c r="L1213" s="181"/>
    </row>
    <row r="1214" spans="1:12" x14ac:dyDescent="0.35">
      <c r="A1214" s="19">
        <v>45815</v>
      </c>
      <c r="B1214" s="20"/>
      <c r="C1214" s="20"/>
      <c r="D1214" s="20">
        <v>50000</v>
      </c>
      <c r="E1214" s="99" t="s">
        <v>732</v>
      </c>
      <c r="F1214" s="20">
        <f t="shared" si="18"/>
        <v>203341334</v>
      </c>
      <c r="G1214" s="7" t="s">
        <v>330</v>
      </c>
      <c r="H1214" s="24" t="s">
        <v>109</v>
      </c>
      <c r="I1214" s="32" t="s">
        <v>152</v>
      </c>
      <c r="K1214" s="181"/>
      <c r="L1214" s="181"/>
    </row>
    <row r="1215" spans="1:12" x14ac:dyDescent="0.35">
      <c r="A1215" s="19">
        <v>45815</v>
      </c>
      <c r="B1215" s="20"/>
      <c r="C1215" s="20"/>
      <c r="D1215" s="20">
        <v>10000</v>
      </c>
      <c r="E1215" s="99" t="s">
        <v>732</v>
      </c>
      <c r="F1215" s="20">
        <f t="shared" si="18"/>
        <v>203351334</v>
      </c>
      <c r="G1215" s="7" t="s">
        <v>330</v>
      </c>
      <c r="H1215" s="24" t="s">
        <v>109</v>
      </c>
      <c r="I1215" s="32" t="s">
        <v>152</v>
      </c>
      <c r="K1215" s="181"/>
      <c r="L1215" s="181"/>
    </row>
    <row r="1216" spans="1:12" x14ac:dyDescent="0.35">
      <c r="A1216" s="19">
        <v>45815</v>
      </c>
      <c r="B1216" s="20"/>
      <c r="C1216" s="20"/>
      <c r="D1216" s="20">
        <v>50000</v>
      </c>
      <c r="E1216" s="99" t="s">
        <v>732</v>
      </c>
      <c r="F1216" s="20">
        <f t="shared" si="18"/>
        <v>203401334</v>
      </c>
      <c r="G1216" s="7" t="s">
        <v>330</v>
      </c>
      <c r="H1216" s="24" t="s">
        <v>109</v>
      </c>
      <c r="I1216" s="32" t="s">
        <v>152</v>
      </c>
      <c r="K1216" s="181"/>
      <c r="L1216" s="181"/>
    </row>
    <row r="1217" spans="1:12" x14ac:dyDescent="0.35">
      <c r="A1217" s="19">
        <v>45815</v>
      </c>
      <c r="B1217" s="20"/>
      <c r="C1217" s="20"/>
      <c r="D1217" s="20">
        <v>100000</v>
      </c>
      <c r="E1217" s="99" t="s">
        <v>732</v>
      </c>
      <c r="F1217" s="20">
        <f t="shared" si="18"/>
        <v>203501334</v>
      </c>
      <c r="G1217" s="7" t="s">
        <v>330</v>
      </c>
      <c r="H1217" s="24" t="s">
        <v>109</v>
      </c>
      <c r="I1217" s="32" t="s">
        <v>152</v>
      </c>
      <c r="K1217" s="181"/>
      <c r="L1217" s="181"/>
    </row>
    <row r="1218" spans="1:12" x14ac:dyDescent="0.35">
      <c r="A1218" s="19">
        <v>45815</v>
      </c>
      <c r="B1218" s="20"/>
      <c r="C1218" s="20"/>
      <c r="D1218" s="20">
        <v>10000</v>
      </c>
      <c r="E1218" s="99" t="s">
        <v>732</v>
      </c>
      <c r="F1218" s="20">
        <f t="shared" si="18"/>
        <v>203511334</v>
      </c>
      <c r="G1218" s="7" t="s">
        <v>330</v>
      </c>
      <c r="H1218" s="24" t="s">
        <v>109</v>
      </c>
      <c r="I1218" s="32" t="s">
        <v>152</v>
      </c>
      <c r="K1218" s="181"/>
      <c r="L1218" s="181"/>
    </row>
    <row r="1219" spans="1:12" x14ac:dyDescent="0.35">
      <c r="A1219" s="19">
        <v>45815</v>
      </c>
      <c r="B1219" s="20"/>
      <c r="C1219" s="20"/>
      <c r="D1219" s="20">
        <v>110000</v>
      </c>
      <c r="E1219" s="99" t="s">
        <v>732</v>
      </c>
      <c r="F1219" s="20">
        <f t="shared" si="18"/>
        <v>203621334</v>
      </c>
      <c r="G1219" s="7" t="s">
        <v>330</v>
      </c>
      <c r="H1219" s="24" t="s">
        <v>109</v>
      </c>
      <c r="I1219" s="32" t="s">
        <v>152</v>
      </c>
      <c r="K1219" s="181"/>
      <c r="L1219" s="181"/>
    </row>
    <row r="1220" spans="1:12" x14ac:dyDescent="0.35">
      <c r="A1220" s="19">
        <v>45815</v>
      </c>
      <c r="B1220" s="20"/>
      <c r="C1220" s="20"/>
      <c r="D1220" s="20">
        <v>10000</v>
      </c>
      <c r="E1220" s="99" t="s">
        <v>732</v>
      </c>
      <c r="F1220" s="20">
        <f t="shared" si="18"/>
        <v>203631334</v>
      </c>
      <c r="G1220" s="7" t="s">
        <v>330</v>
      </c>
      <c r="H1220" s="24" t="s">
        <v>109</v>
      </c>
      <c r="I1220" s="32" t="s">
        <v>152</v>
      </c>
      <c r="K1220" s="181"/>
      <c r="L1220" s="181"/>
    </row>
    <row r="1221" spans="1:12" x14ac:dyDescent="0.35">
      <c r="A1221" s="19">
        <v>45815</v>
      </c>
      <c r="B1221" s="20"/>
      <c r="C1221" s="20"/>
      <c r="D1221" s="20">
        <v>4250000</v>
      </c>
      <c r="E1221" s="99" t="s">
        <v>732</v>
      </c>
      <c r="F1221" s="20">
        <f t="shared" si="18"/>
        <v>207881334</v>
      </c>
      <c r="G1221" s="7" t="s">
        <v>697</v>
      </c>
      <c r="H1221" s="24" t="s">
        <v>619</v>
      </c>
      <c r="I1221" s="32" t="s">
        <v>152</v>
      </c>
      <c r="K1221" s="181"/>
      <c r="L1221" s="181"/>
    </row>
    <row r="1222" spans="1:12" x14ac:dyDescent="0.35">
      <c r="A1222" s="19">
        <v>45816</v>
      </c>
      <c r="B1222" s="20">
        <v>750000</v>
      </c>
      <c r="C1222" s="20"/>
      <c r="D1222" s="20"/>
      <c r="E1222" s="99" t="s">
        <v>732</v>
      </c>
      <c r="F1222" s="20">
        <f t="shared" si="18"/>
        <v>207131334</v>
      </c>
      <c r="G1222" s="7" t="s">
        <v>276</v>
      </c>
      <c r="H1222" s="24" t="s">
        <v>323</v>
      </c>
      <c r="I1222" s="32" t="s">
        <v>152</v>
      </c>
      <c r="K1222" s="181"/>
      <c r="L1222" s="181"/>
    </row>
    <row r="1223" spans="1:12" x14ac:dyDescent="0.35">
      <c r="A1223" s="19">
        <v>45816</v>
      </c>
      <c r="B1223" s="20"/>
      <c r="C1223" s="20"/>
      <c r="D1223" s="20">
        <v>200000</v>
      </c>
      <c r="E1223" s="99" t="s">
        <v>732</v>
      </c>
      <c r="F1223" s="20">
        <f t="shared" si="18"/>
        <v>207331334</v>
      </c>
      <c r="G1223" s="7" t="s">
        <v>531</v>
      </c>
      <c r="H1223" s="24" t="s">
        <v>109</v>
      </c>
      <c r="I1223" s="32" t="s">
        <v>152</v>
      </c>
      <c r="K1223" s="181"/>
      <c r="L1223" s="181"/>
    </row>
    <row r="1224" spans="1:12" x14ac:dyDescent="0.35">
      <c r="A1224" s="19">
        <v>45816</v>
      </c>
      <c r="B1224" s="20"/>
      <c r="C1224" s="20"/>
      <c r="D1224" s="20">
        <v>10000</v>
      </c>
      <c r="E1224" s="99" t="s">
        <v>732</v>
      </c>
      <c r="F1224" s="20">
        <f t="shared" si="18"/>
        <v>207341334</v>
      </c>
      <c r="G1224" s="7" t="s">
        <v>330</v>
      </c>
      <c r="H1224" s="24" t="s">
        <v>109</v>
      </c>
      <c r="I1224" s="32" t="s">
        <v>152</v>
      </c>
      <c r="K1224" s="181"/>
      <c r="L1224" s="181"/>
    </row>
    <row r="1225" spans="1:12" x14ac:dyDescent="0.35">
      <c r="A1225" s="19">
        <v>45816</v>
      </c>
      <c r="B1225" s="20"/>
      <c r="C1225" s="20"/>
      <c r="D1225" s="20">
        <v>25000</v>
      </c>
      <c r="E1225" s="99" t="s">
        <v>732</v>
      </c>
      <c r="F1225" s="20">
        <f t="shared" si="18"/>
        <v>207366334</v>
      </c>
      <c r="G1225" s="7" t="s">
        <v>330</v>
      </c>
      <c r="H1225" s="24" t="s">
        <v>109</v>
      </c>
      <c r="I1225" s="32" t="s">
        <v>152</v>
      </c>
      <c r="K1225" s="181"/>
      <c r="L1225" s="181"/>
    </row>
    <row r="1226" spans="1:12" x14ac:dyDescent="0.35">
      <c r="A1226" s="19">
        <v>45817</v>
      </c>
      <c r="B1226" s="20"/>
      <c r="C1226" s="20"/>
      <c r="D1226" s="20">
        <v>10000</v>
      </c>
      <c r="E1226" s="99" t="s">
        <v>732</v>
      </c>
      <c r="F1226" s="20">
        <f t="shared" ref="F1226:F1289" si="19">+F1225+D1226-B1226</f>
        <v>207376334</v>
      </c>
      <c r="G1226" s="7" t="s">
        <v>330</v>
      </c>
      <c r="H1226" s="24" t="s">
        <v>109</v>
      </c>
      <c r="I1226" s="32" t="s">
        <v>152</v>
      </c>
      <c r="K1226" s="181"/>
      <c r="L1226" s="181"/>
    </row>
    <row r="1227" spans="1:12" x14ac:dyDescent="0.35">
      <c r="A1227" s="19">
        <v>45817</v>
      </c>
      <c r="B1227" s="20"/>
      <c r="C1227" s="20"/>
      <c r="D1227" s="20">
        <v>25000</v>
      </c>
      <c r="E1227" s="99" t="s">
        <v>732</v>
      </c>
      <c r="F1227" s="20">
        <f t="shared" si="19"/>
        <v>207401334</v>
      </c>
      <c r="G1227" s="7" t="s">
        <v>330</v>
      </c>
      <c r="H1227" s="24" t="s">
        <v>109</v>
      </c>
      <c r="I1227" s="32" t="s">
        <v>152</v>
      </c>
      <c r="K1227" s="181"/>
      <c r="L1227" s="181"/>
    </row>
    <row r="1228" spans="1:12" x14ac:dyDescent="0.35">
      <c r="A1228" s="19"/>
      <c r="B1228" s="20"/>
      <c r="C1228" s="20"/>
      <c r="D1228" s="214">
        <v>7900900</v>
      </c>
      <c r="E1228" s="99" t="s">
        <v>732</v>
      </c>
      <c r="F1228" s="20">
        <f t="shared" si="19"/>
        <v>215302234</v>
      </c>
      <c r="G1228" s="7" t="s">
        <v>705</v>
      </c>
      <c r="H1228" s="24" t="s">
        <v>109</v>
      </c>
      <c r="I1228" s="32" t="s">
        <v>152</v>
      </c>
      <c r="K1228" s="181"/>
      <c r="L1228" s="181"/>
    </row>
    <row r="1229" spans="1:12" x14ac:dyDescent="0.35">
      <c r="A1229" s="19"/>
      <c r="B1229" s="20"/>
      <c r="C1229" s="20"/>
      <c r="D1229" s="214">
        <f>C1230-D1228</f>
        <v>4645100</v>
      </c>
      <c r="E1229" s="99" t="s">
        <v>732</v>
      </c>
      <c r="F1229" s="20">
        <f t="shared" si="19"/>
        <v>219947334</v>
      </c>
      <c r="G1229" s="7" t="s">
        <v>705</v>
      </c>
      <c r="H1229" s="24" t="s">
        <v>619</v>
      </c>
      <c r="I1229" s="32" t="s">
        <v>152</v>
      </c>
      <c r="K1229" s="181"/>
      <c r="L1229" s="181"/>
    </row>
    <row r="1230" spans="1:12" x14ac:dyDescent="0.35">
      <c r="A1230" s="19">
        <v>45817</v>
      </c>
      <c r="B1230" s="20"/>
      <c r="C1230" s="20">
        <v>12546000</v>
      </c>
      <c r="D1230" s="20"/>
      <c r="E1230" s="99"/>
      <c r="F1230" s="20">
        <f t="shared" si="19"/>
        <v>219947334</v>
      </c>
      <c r="G1230" s="7" t="s">
        <v>705</v>
      </c>
      <c r="H1230" s="24"/>
      <c r="I1230" s="32"/>
      <c r="K1230" s="181"/>
      <c r="L1230" s="181"/>
    </row>
    <row r="1231" spans="1:12" x14ac:dyDescent="0.35">
      <c r="A1231" s="19">
        <v>45818</v>
      </c>
      <c r="B1231" s="20"/>
      <c r="C1231" s="20"/>
      <c r="D1231" s="20">
        <v>10000</v>
      </c>
      <c r="E1231" s="99" t="s">
        <v>732</v>
      </c>
      <c r="F1231" s="20">
        <f t="shared" si="19"/>
        <v>219957334</v>
      </c>
      <c r="G1231" s="7" t="s">
        <v>330</v>
      </c>
      <c r="H1231" s="24" t="s">
        <v>109</v>
      </c>
      <c r="I1231" s="32" t="s">
        <v>152</v>
      </c>
      <c r="K1231" s="181"/>
      <c r="L1231" s="181"/>
    </row>
    <row r="1232" spans="1:12" x14ac:dyDescent="0.35">
      <c r="A1232" s="19">
        <v>45818</v>
      </c>
      <c r="B1232" s="20"/>
      <c r="C1232" s="20"/>
      <c r="D1232" s="20">
        <v>10000</v>
      </c>
      <c r="E1232" s="99" t="s">
        <v>732</v>
      </c>
      <c r="F1232" s="20">
        <f t="shared" si="19"/>
        <v>219967334</v>
      </c>
      <c r="G1232" s="7" t="s">
        <v>330</v>
      </c>
      <c r="H1232" s="24" t="s">
        <v>109</v>
      </c>
      <c r="I1232" s="32" t="s">
        <v>152</v>
      </c>
      <c r="K1232" s="181"/>
      <c r="L1232" s="181"/>
    </row>
    <row r="1233" spans="1:12" x14ac:dyDescent="0.35">
      <c r="A1233" s="19">
        <v>45819</v>
      </c>
      <c r="B1233" s="20"/>
      <c r="C1233" s="20"/>
      <c r="D1233" s="20">
        <v>10000</v>
      </c>
      <c r="E1233" s="99" t="s">
        <v>732</v>
      </c>
      <c r="F1233" s="20">
        <f t="shared" si="19"/>
        <v>219977334</v>
      </c>
      <c r="G1233" s="7" t="s">
        <v>330</v>
      </c>
      <c r="H1233" s="24" t="s">
        <v>109</v>
      </c>
      <c r="I1233" s="32" t="s">
        <v>152</v>
      </c>
      <c r="K1233" s="181"/>
      <c r="L1233" s="181"/>
    </row>
    <row r="1234" spans="1:12" x14ac:dyDescent="0.35">
      <c r="A1234" s="19">
        <v>45819</v>
      </c>
      <c r="B1234" s="20">
        <v>4150000</v>
      </c>
      <c r="C1234" s="20"/>
      <c r="D1234" s="20"/>
      <c r="E1234" s="99" t="s">
        <v>732</v>
      </c>
      <c r="F1234" s="20">
        <f t="shared" si="19"/>
        <v>215827334</v>
      </c>
      <c r="G1234" s="7" t="s">
        <v>706</v>
      </c>
      <c r="H1234" s="24" t="s">
        <v>499</v>
      </c>
      <c r="I1234" s="32" t="s">
        <v>152</v>
      </c>
      <c r="K1234" s="181"/>
      <c r="L1234" s="181"/>
    </row>
    <row r="1235" spans="1:12" x14ac:dyDescent="0.35">
      <c r="A1235" s="19">
        <v>45819</v>
      </c>
      <c r="B1235" s="20">
        <v>2900</v>
      </c>
      <c r="C1235" s="20"/>
      <c r="D1235" s="20"/>
      <c r="E1235" s="99" t="s">
        <v>732</v>
      </c>
      <c r="F1235" s="20">
        <f t="shared" si="19"/>
        <v>215824434</v>
      </c>
      <c r="G1235" s="7" t="s">
        <v>707</v>
      </c>
      <c r="H1235" s="24" t="s">
        <v>499</v>
      </c>
      <c r="I1235" s="32" t="s">
        <v>152</v>
      </c>
      <c r="K1235" s="181"/>
      <c r="L1235" s="181"/>
    </row>
    <row r="1236" spans="1:12" x14ac:dyDescent="0.35">
      <c r="A1236" s="19">
        <v>45819</v>
      </c>
      <c r="B1236" s="20"/>
      <c r="C1236" s="20"/>
      <c r="D1236" s="20">
        <v>4215000</v>
      </c>
      <c r="E1236" s="99" t="s">
        <v>732</v>
      </c>
      <c r="F1236" s="20">
        <f t="shared" si="19"/>
        <v>220039434</v>
      </c>
      <c r="G1236" s="7" t="s">
        <v>708</v>
      </c>
      <c r="H1236" s="24" t="s">
        <v>107</v>
      </c>
      <c r="I1236" s="32" t="s">
        <v>152</v>
      </c>
      <c r="K1236" s="181"/>
      <c r="L1236" s="181"/>
    </row>
    <row r="1237" spans="1:12" x14ac:dyDescent="0.35">
      <c r="A1237" s="19">
        <v>45819</v>
      </c>
      <c r="B1237" s="20"/>
      <c r="C1237" s="20"/>
      <c r="D1237" s="20">
        <v>720000</v>
      </c>
      <c r="E1237" s="99" t="s">
        <v>732</v>
      </c>
      <c r="F1237" s="20">
        <f t="shared" si="19"/>
        <v>220759434</v>
      </c>
      <c r="G1237" s="7" t="s">
        <v>709</v>
      </c>
      <c r="H1237" s="24" t="s">
        <v>109</v>
      </c>
      <c r="I1237" s="32" t="s">
        <v>152</v>
      </c>
      <c r="K1237" s="181"/>
      <c r="L1237" s="181"/>
    </row>
    <row r="1238" spans="1:12" x14ac:dyDescent="0.35">
      <c r="A1238" s="19"/>
      <c r="B1238" s="20"/>
      <c r="C1238" s="20">
        <v>4935000</v>
      </c>
      <c r="D1238" s="20"/>
      <c r="E1238" s="99"/>
      <c r="F1238" s="20">
        <f t="shared" si="19"/>
        <v>220759434</v>
      </c>
      <c r="G1238" s="7" t="s">
        <v>305</v>
      </c>
      <c r="H1238" s="24"/>
      <c r="I1238" s="32"/>
      <c r="K1238" s="181"/>
      <c r="L1238" s="181"/>
    </row>
    <row r="1239" spans="1:12" x14ac:dyDescent="0.35">
      <c r="A1239" s="19">
        <v>45819</v>
      </c>
      <c r="B1239" s="20"/>
      <c r="C1239" s="20"/>
      <c r="D1239" s="20">
        <v>150000</v>
      </c>
      <c r="E1239" s="99" t="s">
        <v>732</v>
      </c>
      <c r="F1239" s="20">
        <f t="shared" si="19"/>
        <v>220909434</v>
      </c>
      <c r="G1239" s="7" t="s">
        <v>603</v>
      </c>
      <c r="H1239" s="24" t="s">
        <v>109</v>
      </c>
      <c r="I1239" s="32" t="s">
        <v>152</v>
      </c>
      <c r="K1239" s="181"/>
      <c r="L1239" s="181"/>
    </row>
    <row r="1240" spans="1:12" x14ac:dyDescent="0.35">
      <c r="A1240" s="19">
        <v>45819</v>
      </c>
      <c r="B1240" s="20">
        <v>2000000</v>
      </c>
      <c r="C1240" s="20"/>
      <c r="D1240" s="20"/>
      <c r="E1240" s="99" t="s">
        <v>732</v>
      </c>
      <c r="F1240" s="20">
        <f t="shared" si="19"/>
        <v>218909434</v>
      </c>
      <c r="G1240" s="7" t="s">
        <v>712</v>
      </c>
      <c r="H1240" s="24" t="s">
        <v>322</v>
      </c>
      <c r="I1240" s="32" t="s">
        <v>152</v>
      </c>
      <c r="K1240" s="181"/>
      <c r="L1240" s="181"/>
    </row>
    <row r="1241" spans="1:12" x14ac:dyDescent="0.35">
      <c r="A1241" s="19">
        <v>45819</v>
      </c>
      <c r="B1241" s="20">
        <v>6500</v>
      </c>
      <c r="C1241" s="20"/>
      <c r="D1241" s="20"/>
      <c r="E1241" s="99" t="s">
        <v>732</v>
      </c>
      <c r="F1241" s="20">
        <f t="shared" si="19"/>
        <v>218902934</v>
      </c>
      <c r="G1241" s="7" t="s">
        <v>713</v>
      </c>
      <c r="H1241" s="24" t="s">
        <v>322</v>
      </c>
      <c r="I1241" s="32" t="s">
        <v>152</v>
      </c>
      <c r="K1241" s="181"/>
      <c r="L1241" s="181"/>
    </row>
    <row r="1242" spans="1:12" x14ac:dyDescent="0.35">
      <c r="A1242" s="19">
        <v>45820</v>
      </c>
      <c r="B1242" s="20"/>
      <c r="C1242" s="20"/>
      <c r="D1242" s="20">
        <v>10000</v>
      </c>
      <c r="E1242" s="99" t="s">
        <v>732</v>
      </c>
      <c r="F1242" s="20">
        <f t="shared" si="19"/>
        <v>218912934</v>
      </c>
      <c r="G1242" s="7" t="s">
        <v>330</v>
      </c>
      <c r="H1242" s="24" t="s">
        <v>109</v>
      </c>
      <c r="I1242" s="32" t="s">
        <v>152</v>
      </c>
      <c r="K1242" s="181"/>
      <c r="L1242" s="181"/>
    </row>
    <row r="1243" spans="1:12" x14ac:dyDescent="0.35">
      <c r="A1243" s="19">
        <v>45820</v>
      </c>
      <c r="B1243" s="20"/>
      <c r="C1243" s="20"/>
      <c r="D1243" s="20">
        <v>1184200</v>
      </c>
      <c r="E1243" s="99" t="s">
        <v>732</v>
      </c>
      <c r="F1243" s="20">
        <f t="shared" si="19"/>
        <v>220097134</v>
      </c>
      <c r="G1243" s="7" t="s">
        <v>710</v>
      </c>
      <c r="H1243" s="24" t="s">
        <v>613</v>
      </c>
      <c r="I1243" s="32" t="s">
        <v>152</v>
      </c>
      <c r="K1243" s="181"/>
      <c r="L1243" s="181"/>
    </row>
    <row r="1244" spans="1:12" x14ac:dyDescent="0.35">
      <c r="A1244" s="19">
        <v>45820</v>
      </c>
      <c r="B1244" s="20"/>
      <c r="C1244" s="20"/>
      <c r="D1244" s="20">
        <v>500000</v>
      </c>
      <c r="E1244" s="99" t="s">
        <v>732</v>
      </c>
      <c r="F1244" s="20">
        <f t="shared" si="19"/>
        <v>220597134</v>
      </c>
      <c r="G1244" s="7" t="s">
        <v>711</v>
      </c>
      <c r="H1244" s="24" t="s">
        <v>613</v>
      </c>
      <c r="I1244" s="32" t="s">
        <v>152</v>
      </c>
      <c r="K1244" s="181"/>
      <c r="L1244" s="181"/>
    </row>
    <row r="1245" spans="1:12" x14ac:dyDescent="0.35">
      <c r="A1245" s="19">
        <v>45821</v>
      </c>
      <c r="B1245" s="20"/>
      <c r="C1245" s="20"/>
      <c r="D1245" s="20">
        <v>2000000</v>
      </c>
      <c r="E1245" s="99" t="s">
        <v>732</v>
      </c>
      <c r="F1245" s="20">
        <f t="shared" si="19"/>
        <v>222597134</v>
      </c>
      <c r="G1245" s="7" t="s">
        <v>350</v>
      </c>
      <c r="H1245" s="24" t="s">
        <v>109</v>
      </c>
      <c r="I1245" s="32" t="s">
        <v>152</v>
      </c>
      <c r="K1245" s="181"/>
      <c r="L1245" s="181"/>
    </row>
    <row r="1246" spans="1:12" x14ac:dyDescent="0.35">
      <c r="A1246" s="19">
        <v>45821</v>
      </c>
      <c r="B1246" s="20"/>
      <c r="C1246" s="20"/>
      <c r="D1246" s="20">
        <v>5000</v>
      </c>
      <c r="E1246" s="99" t="s">
        <v>732</v>
      </c>
      <c r="F1246" s="20">
        <f t="shared" si="19"/>
        <v>222602134</v>
      </c>
      <c r="G1246" s="7" t="s">
        <v>330</v>
      </c>
      <c r="H1246" s="24" t="s">
        <v>109</v>
      </c>
      <c r="I1246" s="32" t="s">
        <v>152</v>
      </c>
      <c r="K1246" s="181"/>
      <c r="L1246" s="181"/>
    </row>
    <row r="1247" spans="1:12" x14ac:dyDescent="0.35">
      <c r="A1247" s="19">
        <v>45821</v>
      </c>
      <c r="B1247" s="20"/>
      <c r="C1247" s="20"/>
      <c r="D1247" s="20">
        <v>10000</v>
      </c>
      <c r="E1247" s="99" t="s">
        <v>732</v>
      </c>
      <c r="F1247" s="20">
        <f t="shared" si="19"/>
        <v>222612134</v>
      </c>
      <c r="G1247" s="7" t="s">
        <v>330</v>
      </c>
      <c r="H1247" s="24" t="s">
        <v>109</v>
      </c>
      <c r="I1247" s="32" t="s">
        <v>152</v>
      </c>
      <c r="K1247" s="181"/>
      <c r="L1247" s="181"/>
    </row>
    <row r="1248" spans="1:12" x14ac:dyDescent="0.35">
      <c r="A1248" s="19">
        <v>45822</v>
      </c>
      <c r="B1248" s="20">
        <v>750000</v>
      </c>
      <c r="C1248" s="20"/>
      <c r="D1248" s="20"/>
      <c r="E1248" s="99" t="s">
        <v>732</v>
      </c>
      <c r="F1248" s="20">
        <f t="shared" si="19"/>
        <v>221862134</v>
      </c>
      <c r="G1248" s="7" t="s">
        <v>620</v>
      </c>
      <c r="H1248" s="24" t="s">
        <v>323</v>
      </c>
      <c r="I1248" s="32" t="s">
        <v>152</v>
      </c>
      <c r="K1248" s="181"/>
      <c r="L1248" s="181"/>
    </row>
    <row r="1249" spans="1:12" x14ac:dyDescent="0.35">
      <c r="A1249" s="19">
        <v>45822</v>
      </c>
      <c r="B1249" s="20">
        <v>6500</v>
      </c>
      <c r="C1249" s="20"/>
      <c r="D1249" s="20"/>
      <c r="E1249" s="99" t="s">
        <v>732</v>
      </c>
      <c r="F1249" s="20">
        <f t="shared" si="19"/>
        <v>221855634</v>
      </c>
      <c r="G1249" s="7" t="s">
        <v>621</v>
      </c>
      <c r="H1249" s="24" t="s">
        <v>323</v>
      </c>
      <c r="I1249" s="32" t="s">
        <v>152</v>
      </c>
      <c r="K1249" s="181"/>
      <c r="L1249" s="181"/>
    </row>
    <row r="1250" spans="1:12" x14ac:dyDescent="0.35">
      <c r="A1250" s="19">
        <v>45822</v>
      </c>
      <c r="B1250" s="20"/>
      <c r="C1250" s="20"/>
      <c r="D1250" s="20">
        <v>50000</v>
      </c>
      <c r="E1250" s="99" t="s">
        <v>732</v>
      </c>
      <c r="F1250" s="20">
        <f t="shared" si="19"/>
        <v>221905634</v>
      </c>
      <c r="G1250" s="7" t="s">
        <v>330</v>
      </c>
      <c r="H1250" s="24" t="s">
        <v>109</v>
      </c>
      <c r="I1250" s="32" t="s">
        <v>152</v>
      </c>
      <c r="K1250" s="181"/>
      <c r="L1250" s="181"/>
    </row>
    <row r="1251" spans="1:12" x14ac:dyDescent="0.35">
      <c r="A1251" s="19">
        <v>45822</v>
      </c>
      <c r="B1251" s="20"/>
      <c r="C1251" s="20"/>
      <c r="D1251" s="20">
        <v>50000</v>
      </c>
      <c r="E1251" s="99" t="s">
        <v>732</v>
      </c>
      <c r="F1251" s="20">
        <f t="shared" si="19"/>
        <v>221955634</v>
      </c>
      <c r="G1251" s="7" t="s">
        <v>330</v>
      </c>
      <c r="H1251" s="24" t="s">
        <v>109</v>
      </c>
      <c r="I1251" s="32" t="s">
        <v>152</v>
      </c>
      <c r="K1251" s="181"/>
      <c r="L1251" s="181"/>
    </row>
    <row r="1252" spans="1:12" x14ac:dyDescent="0.35">
      <c r="A1252" s="19">
        <v>45822</v>
      </c>
      <c r="B1252" s="20"/>
      <c r="C1252" s="20"/>
      <c r="D1252" s="20">
        <v>25000</v>
      </c>
      <c r="E1252" s="99" t="s">
        <v>732</v>
      </c>
      <c r="F1252" s="20">
        <f t="shared" si="19"/>
        <v>221980634</v>
      </c>
      <c r="G1252" s="7" t="s">
        <v>330</v>
      </c>
      <c r="H1252" s="24" t="s">
        <v>109</v>
      </c>
      <c r="I1252" s="32" t="s">
        <v>152</v>
      </c>
      <c r="K1252" s="181"/>
      <c r="L1252" s="181"/>
    </row>
    <row r="1253" spans="1:12" x14ac:dyDescent="0.35">
      <c r="A1253" s="19">
        <v>45822</v>
      </c>
      <c r="B1253" s="20"/>
      <c r="C1253" s="20"/>
      <c r="D1253" s="20">
        <v>50000</v>
      </c>
      <c r="E1253" s="99" t="s">
        <v>732</v>
      </c>
      <c r="F1253" s="20">
        <f t="shared" si="19"/>
        <v>222030634</v>
      </c>
      <c r="G1253" s="7" t="s">
        <v>330</v>
      </c>
      <c r="H1253" s="24" t="s">
        <v>109</v>
      </c>
      <c r="I1253" s="32" t="s">
        <v>152</v>
      </c>
      <c r="K1253" s="181"/>
      <c r="L1253" s="181"/>
    </row>
    <row r="1254" spans="1:12" x14ac:dyDescent="0.35">
      <c r="A1254" s="19">
        <v>45822</v>
      </c>
      <c r="B1254" s="20"/>
      <c r="C1254" s="20"/>
      <c r="D1254" s="20">
        <v>20000</v>
      </c>
      <c r="E1254" s="99" t="s">
        <v>732</v>
      </c>
      <c r="F1254" s="20">
        <f t="shared" si="19"/>
        <v>222050634</v>
      </c>
      <c r="G1254" s="7" t="s">
        <v>330</v>
      </c>
      <c r="H1254" s="24" t="s">
        <v>109</v>
      </c>
      <c r="I1254" s="32" t="s">
        <v>152</v>
      </c>
      <c r="K1254" s="181"/>
      <c r="L1254" s="181"/>
    </row>
    <row r="1255" spans="1:12" x14ac:dyDescent="0.35">
      <c r="A1255" s="19">
        <v>45822</v>
      </c>
      <c r="B1255" s="20"/>
      <c r="C1255" s="20"/>
      <c r="D1255" s="20">
        <v>10000</v>
      </c>
      <c r="E1255" s="99" t="s">
        <v>732</v>
      </c>
      <c r="F1255" s="20">
        <f t="shared" si="19"/>
        <v>222060634</v>
      </c>
      <c r="G1255" s="7" t="s">
        <v>330</v>
      </c>
      <c r="H1255" s="24" t="s">
        <v>109</v>
      </c>
      <c r="I1255" s="32" t="s">
        <v>152</v>
      </c>
      <c r="K1255" s="181"/>
      <c r="L1255" s="181"/>
    </row>
    <row r="1256" spans="1:12" x14ac:dyDescent="0.35">
      <c r="A1256" s="19">
        <v>45822</v>
      </c>
      <c r="B1256" s="20"/>
      <c r="C1256" s="20"/>
      <c r="D1256" s="20">
        <v>1011</v>
      </c>
      <c r="E1256" s="99" t="s">
        <v>732</v>
      </c>
      <c r="F1256" s="20">
        <f t="shared" si="19"/>
        <v>222061645</v>
      </c>
      <c r="G1256" s="7" t="s">
        <v>330</v>
      </c>
      <c r="H1256" s="24" t="s">
        <v>109</v>
      </c>
      <c r="I1256" s="32" t="s">
        <v>152</v>
      </c>
      <c r="K1256" s="181"/>
      <c r="L1256" s="181"/>
    </row>
    <row r="1257" spans="1:12" x14ac:dyDescent="0.35">
      <c r="A1257" s="19">
        <v>45822</v>
      </c>
      <c r="B1257" s="20"/>
      <c r="C1257" s="20"/>
      <c r="D1257" s="20">
        <v>10000</v>
      </c>
      <c r="E1257" s="99" t="s">
        <v>732</v>
      </c>
      <c r="F1257" s="20">
        <f t="shared" si="19"/>
        <v>222071645</v>
      </c>
      <c r="G1257" s="7" t="s">
        <v>330</v>
      </c>
      <c r="H1257" s="24" t="s">
        <v>109</v>
      </c>
      <c r="I1257" s="32" t="s">
        <v>152</v>
      </c>
      <c r="K1257" s="181"/>
      <c r="L1257" s="181"/>
    </row>
    <row r="1258" spans="1:12" x14ac:dyDescent="0.35">
      <c r="A1258" s="19">
        <v>45822</v>
      </c>
      <c r="B1258" s="20"/>
      <c r="C1258" s="20"/>
      <c r="D1258" s="20">
        <v>10000</v>
      </c>
      <c r="E1258" s="99" t="s">
        <v>732</v>
      </c>
      <c r="F1258" s="20">
        <f t="shared" si="19"/>
        <v>222081645</v>
      </c>
      <c r="G1258" s="7" t="s">
        <v>330</v>
      </c>
      <c r="H1258" s="24" t="s">
        <v>109</v>
      </c>
      <c r="I1258" s="32" t="s">
        <v>152</v>
      </c>
      <c r="K1258" s="181"/>
      <c r="L1258" s="181"/>
    </row>
    <row r="1259" spans="1:12" x14ac:dyDescent="0.35">
      <c r="A1259" s="19">
        <v>45823</v>
      </c>
      <c r="B1259" s="20"/>
      <c r="C1259" s="20"/>
      <c r="D1259" s="20">
        <v>50000</v>
      </c>
      <c r="E1259" s="99" t="s">
        <v>732</v>
      </c>
      <c r="F1259" s="20">
        <f t="shared" si="19"/>
        <v>222131645</v>
      </c>
      <c r="G1259" s="7" t="s">
        <v>330</v>
      </c>
      <c r="H1259" s="24" t="s">
        <v>109</v>
      </c>
      <c r="I1259" s="32" t="s">
        <v>152</v>
      </c>
      <c r="K1259" s="181"/>
      <c r="L1259" s="181"/>
    </row>
    <row r="1260" spans="1:12" x14ac:dyDescent="0.35">
      <c r="A1260" s="19">
        <v>45823</v>
      </c>
      <c r="B1260" s="20"/>
      <c r="C1260" s="20"/>
      <c r="D1260" s="20">
        <v>20000</v>
      </c>
      <c r="E1260" s="99" t="s">
        <v>732</v>
      </c>
      <c r="F1260" s="20">
        <f t="shared" si="19"/>
        <v>222151645</v>
      </c>
      <c r="G1260" s="7" t="s">
        <v>330</v>
      </c>
      <c r="H1260" s="24" t="s">
        <v>109</v>
      </c>
      <c r="I1260" s="32" t="s">
        <v>152</v>
      </c>
      <c r="K1260" s="181"/>
      <c r="L1260" s="181"/>
    </row>
    <row r="1261" spans="1:12" x14ac:dyDescent="0.35">
      <c r="A1261" s="19">
        <v>45823</v>
      </c>
      <c r="B1261" s="20"/>
      <c r="C1261" s="20"/>
      <c r="D1261" s="20">
        <v>10000</v>
      </c>
      <c r="E1261" s="99" t="s">
        <v>732</v>
      </c>
      <c r="F1261" s="20">
        <f t="shared" si="19"/>
        <v>222161645</v>
      </c>
      <c r="G1261" s="7" t="s">
        <v>330</v>
      </c>
      <c r="H1261" s="24" t="s">
        <v>109</v>
      </c>
      <c r="I1261" s="32" t="s">
        <v>152</v>
      </c>
      <c r="K1261" s="181"/>
      <c r="L1261" s="181"/>
    </row>
    <row r="1262" spans="1:12" x14ac:dyDescent="0.35">
      <c r="A1262" s="19">
        <v>45823</v>
      </c>
      <c r="B1262" s="20">
        <v>750000</v>
      </c>
      <c r="C1262" s="20"/>
      <c r="D1262" s="20"/>
      <c r="E1262" s="99" t="s">
        <v>732</v>
      </c>
      <c r="F1262" s="20">
        <f t="shared" si="19"/>
        <v>221411645</v>
      </c>
      <c r="G1262" s="7" t="s">
        <v>714</v>
      </c>
      <c r="H1262" s="24" t="s">
        <v>323</v>
      </c>
      <c r="I1262" s="32" t="s">
        <v>152</v>
      </c>
      <c r="K1262" s="181"/>
      <c r="L1262" s="181"/>
    </row>
    <row r="1263" spans="1:12" x14ac:dyDescent="0.35">
      <c r="A1263" s="19">
        <v>45823</v>
      </c>
      <c r="B1263" s="20">
        <v>6500</v>
      </c>
      <c r="C1263" s="20"/>
      <c r="D1263" s="20"/>
      <c r="E1263" s="99" t="s">
        <v>732</v>
      </c>
      <c r="F1263" s="20">
        <f t="shared" si="19"/>
        <v>221405145</v>
      </c>
      <c r="G1263" s="7" t="s">
        <v>715</v>
      </c>
      <c r="H1263" s="24" t="s">
        <v>323</v>
      </c>
      <c r="I1263" s="32" t="s">
        <v>152</v>
      </c>
      <c r="K1263" s="181"/>
      <c r="L1263" s="181"/>
    </row>
    <row r="1264" spans="1:12" x14ac:dyDescent="0.35">
      <c r="A1264" s="19">
        <v>45823</v>
      </c>
      <c r="B1264" s="20"/>
      <c r="C1264" s="20"/>
      <c r="D1264" s="20">
        <v>800000</v>
      </c>
      <c r="E1264" s="99" t="s">
        <v>732</v>
      </c>
      <c r="F1264" s="20">
        <f t="shared" si="19"/>
        <v>222205145</v>
      </c>
      <c r="G1264" s="7" t="s">
        <v>610</v>
      </c>
      <c r="H1264" s="24" t="s">
        <v>140</v>
      </c>
      <c r="I1264" s="32" t="s">
        <v>152</v>
      </c>
      <c r="K1264" s="181"/>
      <c r="L1264" s="181"/>
    </row>
    <row r="1265" spans="1:12" x14ac:dyDescent="0.35">
      <c r="A1265" s="19">
        <v>45824</v>
      </c>
      <c r="B1265" s="20"/>
      <c r="C1265" s="20"/>
      <c r="D1265" s="20">
        <v>20000</v>
      </c>
      <c r="E1265" s="99" t="s">
        <v>732</v>
      </c>
      <c r="F1265" s="20">
        <f t="shared" si="19"/>
        <v>222225145</v>
      </c>
      <c r="G1265" s="7" t="s">
        <v>330</v>
      </c>
      <c r="H1265" s="24" t="s">
        <v>109</v>
      </c>
      <c r="I1265" s="32" t="s">
        <v>152</v>
      </c>
      <c r="K1265" s="181"/>
      <c r="L1265" s="181"/>
    </row>
    <row r="1266" spans="1:12" x14ac:dyDescent="0.35">
      <c r="A1266" s="19">
        <v>45824</v>
      </c>
      <c r="B1266" s="20"/>
      <c r="C1266" s="20"/>
      <c r="D1266" s="20">
        <v>10000</v>
      </c>
      <c r="E1266" s="99" t="s">
        <v>732</v>
      </c>
      <c r="F1266" s="20">
        <f t="shared" si="19"/>
        <v>222235145</v>
      </c>
      <c r="G1266" s="7" t="s">
        <v>330</v>
      </c>
      <c r="H1266" s="24" t="s">
        <v>109</v>
      </c>
      <c r="I1266" s="32" t="s">
        <v>152</v>
      </c>
      <c r="K1266" s="181"/>
      <c r="L1266" s="181"/>
    </row>
    <row r="1267" spans="1:12" x14ac:dyDescent="0.35">
      <c r="A1267" s="19">
        <v>45824</v>
      </c>
      <c r="B1267" s="20"/>
      <c r="C1267" s="20"/>
      <c r="D1267" s="20">
        <v>4119000</v>
      </c>
      <c r="E1267" s="99" t="s">
        <v>732</v>
      </c>
      <c r="F1267" s="20">
        <f t="shared" si="19"/>
        <v>226354145</v>
      </c>
      <c r="G1267" s="7"/>
      <c r="H1267" s="24" t="s">
        <v>107</v>
      </c>
      <c r="I1267" s="32" t="s">
        <v>152</v>
      </c>
      <c r="K1267" s="181"/>
      <c r="L1267" s="181"/>
    </row>
    <row r="1268" spans="1:12" x14ac:dyDescent="0.35">
      <c r="A1268" s="19">
        <v>45824</v>
      </c>
      <c r="B1268" s="20"/>
      <c r="C1268" s="20"/>
      <c r="D1268" s="20">
        <v>4231000</v>
      </c>
      <c r="E1268" s="99" t="s">
        <v>732</v>
      </c>
      <c r="F1268" s="20">
        <f t="shared" si="19"/>
        <v>230585145</v>
      </c>
      <c r="G1268" s="7"/>
      <c r="H1268" s="24" t="s">
        <v>109</v>
      </c>
      <c r="I1268" s="32" t="s">
        <v>152</v>
      </c>
      <c r="K1268" s="181"/>
      <c r="L1268" s="181"/>
    </row>
    <row r="1269" spans="1:12" x14ac:dyDescent="0.35">
      <c r="A1269" s="19"/>
      <c r="B1269" s="20"/>
      <c r="C1269" s="20">
        <v>8350000</v>
      </c>
      <c r="D1269" s="20"/>
      <c r="E1269" s="99"/>
      <c r="F1269" s="20">
        <f t="shared" si="19"/>
        <v>230585145</v>
      </c>
      <c r="G1269" s="7" t="s">
        <v>716</v>
      </c>
      <c r="H1269" s="24"/>
      <c r="I1269" s="32"/>
      <c r="K1269" s="181"/>
      <c r="L1269" s="181"/>
    </row>
    <row r="1270" spans="1:12" x14ac:dyDescent="0.35">
      <c r="A1270" s="19">
        <v>45824</v>
      </c>
      <c r="B1270" s="20"/>
      <c r="C1270" s="20"/>
      <c r="D1270" s="20">
        <v>100000</v>
      </c>
      <c r="E1270" s="99" t="s">
        <v>732</v>
      </c>
      <c r="F1270" s="20">
        <f t="shared" si="19"/>
        <v>230685145</v>
      </c>
      <c r="G1270" s="7" t="s">
        <v>373</v>
      </c>
      <c r="H1270" s="24" t="s">
        <v>109</v>
      </c>
      <c r="I1270" s="32" t="s">
        <v>152</v>
      </c>
      <c r="K1270" s="181"/>
      <c r="L1270" s="181"/>
    </row>
    <row r="1271" spans="1:12" x14ac:dyDescent="0.35">
      <c r="A1271" s="19">
        <v>45825</v>
      </c>
      <c r="B1271" s="20"/>
      <c r="C1271" s="20"/>
      <c r="D1271" s="20">
        <v>50000</v>
      </c>
      <c r="E1271" s="99" t="s">
        <v>732</v>
      </c>
      <c r="F1271" s="20">
        <f t="shared" si="19"/>
        <v>230735145</v>
      </c>
      <c r="G1271" s="7" t="s">
        <v>330</v>
      </c>
      <c r="H1271" s="24" t="s">
        <v>109</v>
      </c>
      <c r="I1271" s="32" t="s">
        <v>152</v>
      </c>
      <c r="K1271" s="181"/>
      <c r="L1271" s="181"/>
    </row>
    <row r="1272" spans="1:12" x14ac:dyDescent="0.35">
      <c r="A1272" s="19">
        <v>45825</v>
      </c>
      <c r="B1272" s="20"/>
      <c r="C1272" s="20"/>
      <c r="D1272" s="20">
        <v>50000</v>
      </c>
      <c r="E1272" s="99" t="s">
        <v>732</v>
      </c>
      <c r="F1272" s="20">
        <f t="shared" si="19"/>
        <v>230785145</v>
      </c>
      <c r="G1272" s="7" t="s">
        <v>330</v>
      </c>
      <c r="H1272" s="24" t="s">
        <v>109</v>
      </c>
      <c r="I1272" s="32" t="s">
        <v>152</v>
      </c>
      <c r="K1272" s="181"/>
      <c r="L1272" s="181"/>
    </row>
    <row r="1273" spans="1:12" x14ac:dyDescent="0.35">
      <c r="A1273" s="19">
        <v>45825</v>
      </c>
      <c r="B1273" s="20"/>
      <c r="C1273" s="20"/>
      <c r="D1273" s="20">
        <v>20000</v>
      </c>
      <c r="E1273" s="99" t="s">
        <v>732</v>
      </c>
      <c r="F1273" s="20">
        <f t="shared" si="19"/>
        <v>230805145</v>
      </c>
      <c r="G1273" s="7" t="s">
        <v>330</v>
      </c>
      <c r="H1273" s="24" t="s">
        <v>109</v>
      </c>
      <c r="I1273" s="32" t="s">
        <v>152</v>
      </c>
      <c r="K1273" s="181"/>
      <c r="L1273" s="181"/>
    </row>
    <row r="1274" spans="1:12" x14ac:dyDescent="0.35">
      <c r="A1274" s="19">
        <v>45825</v>
      </c>
      <c r="B1274" s="20">
        <v>1180700</v>
      </c>
      <c r="C1274" s="20"/>
      <c r="D1274" s="20"/>
      <c r="E1274" s="99" t="s">
        <v>732</v>
      </c>
      <c r="F1274" s="20">
        <f t="shared" si="19"/>
        <v>229624445</v>
      </c>
      <c r="G1274" s="7" t="s">
        <v>717</v>
      </c>
      <c r="H1274" s="24" t="s">
        <v>614</v>
      </c>
      <c r="I1274" s="32" t="s">
        <v>152</v>
      </c>
      <c r="K1274" s="181"/>
      <c r="L1274" s="181"/>
    </row>
    <row r="1275" spans="1:12" x14ac:dyDescent="0.35">
      <c r="A1275" s="19">
        <v>45825</v>
      </c>
      <c r="B1275" s="20">
        <v>2900</v>
      </c>
      <c r="C1275" s="20"/>
      <c r="D1275" s="20"/>
      <c r="E1275" s="99" t="s">
        <v>732</v>
      </c>
      <c r="F1275" s="20">
        <f t="shared" si="19"/>
        <v>229621545</v>
      </c>
      <c r="G1275" s="7" t="s">
        <v>718</v>
      </c>
      <c r="H1275" s="24" t="s">
        <v>614</v>
      </c>
      <c r="I1275" s="32" t="s">
        <v>152</v>
      </c>
      <c r="K1275" s="181"/>
      <c r="L1275" s="181"/>
    </row>
    <row r="1276" spans="1:12" x14ac:dyDescent="0.35">
      <c r="A1276" s="19">
        <v>45826</v>
      </c>
      <c r="B1276" s="20"/>
      <c r="C1276" s="20"/>
      <c r="D1276" s="20">
        <v>20000</v>
      </c>
      <c r="E1276" s="99" t="s">
        <v>732</v>
      </c>
      <c r="F1276" s="20">
        <f t="shared" si="19"/>
        <v>229641545</v>
      </c>
      <c r="G1276" s="7" t="s">
        <v>330</v>
      </c>
      <c r="H1276" s="24" t="s">
        <v>109</v>
      </c>
      <c r="I1276" s="32" t="s">
        <v>152</v>
      </c>
      <c r="K1276" s="181"/>
      <c r="L1276" s="181"/>
    </row>
    <row r="1277" spans="1:12" x14ac:dyDescent="0.35">
      <c r="A1277" s="19">
        <v>45826</v>
      </c>
      <c r="B1277" s="20"/>
      <c r="C1277" s="20"/>
      <c r="D1277" s="20">
        <v>5000</v>
      </c>
      <c r="E1277" s="99" t="s">
        <v>732</v>
      </c>
      <c r="F1277" s="20">
        <f t="shared" si="19"/>
        <v>229646545</v>
      </c>
      <c r="G1277" s="7" t="s">
        <v>330</v>
      </c>
      <c r="H1277" s="24" t="s">
        <v>109</v>
      </c>
      <c r="I1277" s="32" t="s">
        <v>152</v>
      </c>
      <c r="K1277" s="181"/>
      <c r="L1277" s="181"/>
    </row>
    <row r="1278" spans="1:12" x14ac:dyDescent="0.35">
      <c r="A1278" s="19">
        <v>45826</v>
      </c>
      <c r="B1278" s="20"/>
      <c r="C1278" s="20"/>
      <c r="D1278" s="20">
        <v>10000</v>
      </c>
      <c r="E1278" s="99" t="s">
        <v>732</v>
      </c>
      <c r="F1278" s="20">
        <f t="shared" si="19"/>
        <v>229656545</v>
      </c>
      <c r="G1278" s="7" t="s">
        <v>330</v>
      </c>
      <c r="H1278" s="24" t="s">
        <v>109</v>
      </c>
      <c r="I1278" s="32" t="s">
        <v>152</v>
      </c>
      <c r="K1278" s="181"/>
      <c r="L1278" s="181"/>
    </row>
    <row r="1279" spans="1:12" x14ac:dyDescent="0.35">
      <c r="A1279" s="19">
        <v>45827</v>
      </c>
      <c r="B1279" s="20"/>
      <c r="C1279" s="20"/>
      <c r="D1279" s="20">
        <v>20000</v>
      </c>
      <c r="E1279" s="99" t="s">
        <v>732</v>
      </c>
      <c r="F1279" s="20">
        <f t="shared" si="19"/>
        <v>229676545</v>
      </c>
      <c r="G1279" s="7" t="s">
        <v>330</v>
      </c>
      <c r="H1279" s="24" t="s">
        <v>109</v>
      </c>
      <c r="I1279" s="32" t="s">
        <v>152</v>
      </c>
      <c r="K1279" s="181"/>
      <c r="L1279" s="181"/>
    </row>
    <row r="1280" spans="1:12" x14ac:dyDescent="0.35">
      <c r="A1280" s="19">
        <v>45828</v>
      </c>
      <c r="B1280" s="20"/>
      <c r="C1280" s="20"/>
      <c r="D1280" s="20">
        <v>100000</v>
      </c>
      <c r="E1280" s="99" t="s">
        <v>732</v>
      </c>
      <c r="F1280" s="20">
        <f t="shared" si="19"/>
        <v>229776545</v>
      </c>
      <c r="G1280" s="7" t="s">
        <v>330</v>
      </c>
      <c r="H1280" s="24" t="s">
        <v>109</v>
      </c>
      <c r="I1280" s="32" t="s">
        <v>152</v>
      </c>
      <c r="K1280" s="181"/>
      <c r="L1280" s="181"/>
    </row>
    <row r="1281" spans="1:12" x14ac:dyDescent="0.35">
      <c r="A1281" s="19">
        <v>45828</v>
      </c>
      <c r="B1281" s="20"/>
      <c r="C1281" s="20"/>
      <c r="D1281" s="20">
        <v>20000</v>
      </c>
      <c r="E1281" s="99" t="s">
        <v>732</v>
      </c>
      <c r="F1281" s="20">
        <f t="shared" si="19"/>
        <v>229796545</v>
      </c>
      <c r="G1281" s="7" t="s">
        <v>330</v>
      </c>
      <c r="H1281" s="24" t="s">
        <v>109</v>
      </c>
      <c r="I1281" s="32" t="s">
        <v>152</v>
      </c>
      <c r="K1281" s="181"/>
      <c r="L1281" s="181"/>
    </row>
    <row r="1282" spans="1:12" x14ac:dyDescent="0.35">
      <c r="A1282" s="19">
        <v>45829</v>
      </c>
      <c r="B1282" s="20">
        <v>750000</v>
      </c>
      <c r="C1282" s="20"/>
      <c r="D1282" s="20"/>
      <c r="E1282" s="99" t="s">
        <v>732</v>
      </c>
      <c r="F1282" s="20">
        <f t="shared" si="19"/>
        <v>229046545</v>
      </c>
      <c r="G1282" s="7" t="s">
        <v>721</v>
      </c>
      <c r="H1282" s="24" t="s">
        <v>323</v>
      </c>
      <c r="I1282" s="32" t="s">
        <v>152</v>
      </c>
      <c r="K1282" s="181"/>
      <c r="L1282" s="181"/>
    </row>
    <row r="1283" spans="1:12" x14ac:dyDescent="0.35">
      <c r="A1283" s="19">
        <v>45829</v>
      </c>
      <c r="B1283" s="20"/>
      <c r="C1283" s="20"/>
      <c r="D1283" s="20">
        <v>10000</v>
      </c>
      <c r="E1283" s="99" t="s">
        <v>732</v>
      </c>
      <c r="F1283" s="20">
        <f t="shared" si="19"/>
        <v>229056545</v>
      </c>
      <c r="G1283" s="7" t="s">
        <v>330</v>
      </c>
      <c r="H1283" s="24" t="s">
        <v>109</v>
      </c>
      <c r="I1283" s="32" t="s">
        <v>152</v>
      </c>
      <c r="K1283" s="181"/>
      <c r="L1283" s="181"/>
    </row>
    <row r="1284" spans="1:12" x14ac:dyDescent="0.35">
      <c r="A1284" s="19">
        <v>45829</v>
      </c>
      <c r="B1284" s="20"/>
      <c r="C1284" s="20"/>
      <c r="D1284" s="20">
        <v>50000</v>
      </c>
      <c r="E1284" s="99" t="s">
        <v>732</v>
      </c>
      <c r="F1284" s="20">
        <f t="shared" si="19"/>
        <v>229106545</v>
      </c>
      <c r="G1284" s="7" t="s">
        <v>330</v>
      </c>
      <c r="H1284" s="24" t="s">
        <v>109</v>
      </c>
      <c r="I1284" s="32" t="s">
        <v>152</v>
      </c>
      <c r="K1284" s="181"/>
      <c r="L1284" s="181"/>
    </row>
    <row r="1285" spans="1:12" x14ac:dyDescent="0.35">
      <c r="A1285" s="19">
        <v>45829</v>
      </c>
      <c r="B1285" s="20"/>
      <c r="C1285" s="20"/>
      <c r="D1285" s="20">
        <v>50000</v>
      </c>
      <c r="E1285" s="99" t="s">
        <v>732</v>
      </c>
      <c r="F1285" s="20">
        <f t="shared" si="19"/>
        <v>229156545</v>
      </c>
      <c r="G1285" s="7" t="s">
        <v>330</v>
      </c>
      <c r="H1285" s="24" t="s">
        <v>109</v>
      </c>
      <c r="I1285" s="32" t="s">
        <v>152</v>
      </c>
      <c r="K1285" s="181"/>
      <c r="L1285" s="181"/>
    </row>
    <row r="1286" spans="1:12" x14ac:dyDescent="0.35">
      <c r="A1286" s="19">
        <v>45829</v>
      </c>
      <c r="B1286" s="20"/>
      <c r="C1286" s="20"/>
      <c r="D1286" s="20">
        <v>20000</v>
      </c>
      <c r="E1286" s="99" t="s">
        <v>732</v>
      </c>
      <c r="F1286" s="20">
        <f t="shared" si="19"/>
        <v>229176545</v>
      </c>
      <c r="G1286" s="7" t="s">
        <v>330</v>
      </c>
      <c r="H1286" s="24" t="s">
        <v>109</v>
      </c>
      <c r="I1286" s="32" t="s">
        <v>152</v>
      </c>
      <c r="K1286" s="181"/>
      <c r="L1286" s="181"/>
    </row>
    <row r="1287" spans="1:12" x14ac:dyDescent="0.35">
      <c r="A1287" s="19">
        <v>45829</v>
      </c>
      <c r="B1287" s="20"/>
      <c r="C1287" s="20"/>
      <c r="D1287" s="20">
        <v>50000</v>
      </c>
      <c r="E1287" s="99" t="s">
        <v>732</v>
      </c>
      <c r="F1287" s="20">
        <f t="shared" si="19"/>
        <v>229226545</v>
      </c>
      <c r="G1287" s="7" t="s">
        <v>330</v>
      </c>
      <c r="H1287" s="24" t="s">
        <v>109</v>
      </c>
      <c r="I1287" s="32" t="s">
        <v>152</v>
      </c>
      <c r="K1287" s="181"/>
      <c r="L1287" s="181"/>
    </row>
    <row r="1288" spans="1:12" x14ac:dyDescent="0.35">
      <c r="A1288" s="19">
        <v>45829</v>
      </c>
      <c r="B1288" s="20"/>
      <c r="C1288" s="20"/>
      <c r="D1288" s="20">
        <v>5000</v>
      </c>
      <c r="E1288" s="99" t="s">
        <v>732</v>
      </c>
      <c r="F1288" s="20">
        <f t="shared" si="19"/>
        <v>229231545</v>
      </c>
      <c r="G1288" s="7" t="s">
        <v>330</v>
      </c>
      <c r="H1288" s="24" t="s">
        <v>109</v>
      </c>
      <c r="I1288" s="32" t="s">
        <v>152</v>
      </c>
      <c r="K1288" s="181"/>
      <c r="L1288" s="181"/>
    </row>
    <row r="1289" spans="1:12" x14ac:dyDescent="0.35">
      <c r="A1289" s="19">
        <v>45830</v>
      </c>
      <c r="B1289" s="20">
        <v>1000000</v>
      </c>
      <c r="C1289" s="20"/>
      <c r="D1289" s="20"/>
      <c r="E1289" s="99" t="s">
        <v>732</v>
      </c>
      <c r="F1289" s="20">
        <f t="shared" si="19"/>
        <v>228231545</v>
      </c>
      <c r="G1289" s="7" t="s">
        <v>722</v>
      </c>
      <c r="H1289" s="24" t="s">
        <v>323</v>
      </c>
      <c r="I1289" s="32" t="s">
        <v>152</v>
      </c>
      <c r="K1289" s="181"/>
      <c r="L1289" s="181"/>
    </row>
    <row r="1290" spans="1:12" x14ac:dyDescent="0.35">
      <c r="A1290" s="19">
        <v>45830</v>
      </c>
      <c r="B1290" s="20">
        <v>6500</v>
      </c>
      <c r="C1290" s="20"/>
      <c r="D1290" s="20"/>
      <c r="E1290" s="99" t="s">
        <v>732</v>
      </c>
      <c r="F1290" s="20">
        <f t="shared" ref="F1290:F1353" si="20">+F1289+D1290-B1290</f>
        <v>228225045</v>
      </c>
      <c r="G1290" s="7" t="s">
        <v>723</v>
      </c>
      <c r="H1290" s="24" t="s">
        <v>323</v>
      </c>
      <c r="I1290" s="32" t="s">
        <v>152</v>
      </c>
      <c r="K1290" s="181"/>
      <c r="L1290" s="181"/>
    </row>
    <row r="1291" spans="1:12" x14ac:dyDescent="0.35">
      <c r="A1291" s="19">
        <v>45831</v>
      </c>
      <c r="B1291" s="20"/>
      <c r="C1291" s="20"/>
      <c r="D1291" s="20">
        <v>20000</v>
      </c>
      <c r="E1291" s="99" t="s">
        <v>732</v>
      </c>
      <c r="F1291" s="20">
        <f t="shared" si="20"/>
        <v>228245045</v>
      </c>
      <c r="G1291" s="7" t="s">
        <v>330</v>
      </c>
      <c r="H1291" s="24" t="s">
        <v>109</v>
      </c>
      <c r="I1291" s="32" t="s">
        <v>152</v>
      </c>
      <c r="K1291" s="181"/>
      <c r="L1291" s="181"/>
    </row>
    <row r="1292" spans="1:12" x14ac:dyDescent="0.35">
      <c r="A1292" s="19">
        <v>45831</v>
      </c>
      <c r="B1292" s="20"/>
      <c r="C1292" s="20"/>
      <c r="D1292" s="20">
        <v>2970000</v>
      </c>
      <c r="E1292" s="99" t="s">
        <v>732</v>
      </c>
      <c r="F1292" s="20">
        <f t="shared" si="20"/>
        <v>231215045</v>
      </c>
      <c r="G1292" s="7" t="s">
        <v>294</v>
      </c>
      <c r="H1292" s="24" t="s">
        <v>109</v>
      </c>
      <c r="I1292" s="32" t="s">
        <v>152</v>
      </c>
      <c r="K1292" s="181"/>
      <c r="L1292" s="181"/>
    </row>
    <row r="1293" spans="1:12" x14ac:dyDescent="0.35">
      <c r="A1293" s="19">
        <v>45832</v>
      </c>
      <c r="B1293" s="20"/>
      <c r="C1293" s="20"/>
      <c r="D1293" s="20">
        <v>20000</v>
      </c>
      <c r="E1293" s="99" t="s">
        <v>732</v>
      </c>
      <c r="F1293" s="20">
        <f t="shared" si="20"/>
        <v>231235045</v>
      </c>
      <c r="G1293" s="7" t="s">
        <v>330</v>
      </c>
      <c r="H1293" s="24" t="s">
        <v>109</v>
      </c>
      <c r="I1293" s="32" t="s">
        <v>152</v>
      </c>
      <c r="K1293" s="181"/>
      <c r="L1293" s="181"/>
    </row>
    <row r="1294" spans="1:12" x14ac:dyDescent="0.35">
      <c r="A1294" s="19"/>
      <c r="B1294" s="20"/>
      <c r="C1294" s="20"/>
      <c r="D1294" s="20">
        <v>2910000</v>
      </c>
      <c r="E1294" s="99" t="s">
        <v>732</v>
      </c>
      <c r="F1294" s="20">
        <f t="shared" si="20"/>
        <v>234145045</v>
      </c>
      <c r="G1294" s="7"/>
      <c r="H1294" s="24" t="s">
        <v>107</v>
      </c>
      <c r="I1294" s="32" t="s">
        <v>152</v>
      </c>
      <c r="K1294" s="181"/>
      <c r="L1294" s="181"/>
    </row>
    <row r="1295" spans="1:12" x14ac:dyDescent="0.35">
      <c r="A1295" s="19"/>
      <c r="B1295" s="20"/>
      <c r="C1295" s="20"/>
      <c r="D1295" s="20">
        <f>+C1296-D1294</f>
        <v>2476000</v>
      </c>
      <c r="E1295" s="99" t="s">
        <v>732</v>
      </c>
      <c r="F1295" s="20">
        <f t="shared" si="20"/>
        <v>236621045</v>
      </c>
      <c r="G1295" s="7"/>
      <c r="H1295" s="24" t="s">
        <v>109</v>
      </c>
      <c r="I1295" s="32" t="s">
        <v>152</v>
      </c>
      <c r="K1295" s="181"/>
      <c r="L1295" s="181"/>
    </row>
    <row r="1296" spans="1:12" x14ac:dyDescent="0.35">
      <c r="A1296" s="19">
        <v>45832</v>
      </c>
      <c r="B1296" s="20"/>
      <c r="C1296" s="20">
        <v>5386000</v>
      </c>
      <c r="D1296" s="20"/>
      <c r="E1296" s="99" t="s">
        <v>732</v>
      </c>
      <c r="F1296" s="20">
        <f>+F1295+D1296-B1296</f>
        <v>236621045</v>
      </c>
      <c r="G1296" s="7" t="s">
        <v>724</v>
      </c>
      <c r="H1296" s="24"/>
      <c r="I1296" s="32"/>
      <c r="K1296" s="181"/>
      <c r="L1296" s="181"/>
    </row>
    <row r="1297" spans="1:12" x14ac:dyDescent="0.35">
      <c r="A1297" s="19">
        <v>45832</v>
      </c>
      <c r="B1297" s="20">
        <v>8000</v>
      </c>
      <c r="C1297" s="20"/>
      <c r="D1297" s="20"/>
      <c r="E1297" s="99" t="s">
        <v>732</v>
      </c>
      <c r="F1297" s="20">
        <f t="shared" si="20"/>
        <v>236613045</v>
      </c>
      <c r="G1297" s="7" t="s">
        <v>725</v>
      </c>
      <c r="H1297" s="30" t="s">
        <v>320</v>
      </c>
      <c r="I1297" s="32" t="s">
        <v>152</v>
      </c>
      <c r="K1297" s="181"/>
      <c r="L1297" s="181"/>
    </row>
    <row r="1298" spans="1:12" x14ac:dyDescent="0.35">
      <c r="A1298" s="19">
        <v>45833</v>
      </c>
      <c r="B1298" s="20"/>
      <c r="C1298" s="20"/>
      <c r="D1298" s="20">
        <v>200000</v>
      </c>
      <c r="E1298" s="99" t="s">
        <v>732</v>
      </c>
      <c r="F1298" s="20">
        <f t="shared" si="20"/>
        <v>236813045</v>
      </c>
      <c r="G1298" s="7" t="s">
        <v>726</v>
      </c>
      <c r="H1298" s="24" t="s">
        <v>140</v>
      </c>
      <c r="I1298" s="32" t="s">
        <v>152</v>
      </c>
      <c r="K1298" s="181"/>
      <c r="L1298" s="181"/>
    </row>
    <row r="1299" spans="1:12" x14ac:dyDescent="0.35">
      <c r="A1299" s="19">
        <v>45833</v>
      </c>
      <c r="B1299" s="20"/>
      <c r="C1299" s="20"/>
      <c r="D1299" s="20">
        <v>10000</v>
      </c>
      <c r="E1299" s="99" t="s">
        <v>732</v>
      </c>
      <c r="F1299" s="20">
        <f t="shared" si="20"/>
        <v>236823045</v>
      </c>
      <c r="G1299" s="7" t="s">
        <v>330</v>
      </c>
      <c r="H1299" s="24" t="s">
        <v>109</v>
      </c>
      <c r="I1299" s="32" t="s">
        <v>152</v>
      </c>
      <c r="K1299" s="181"/>
      <c r="L1299" s="181"/>
    </row>
    <row r="1300" spans="1:12" x14ac:dyDescent="0.35">
      <c r="A1300" s="19">
        <v>45833</v>
      </c>
      <c r="B1300" s="20"/>
      <c r="C1300" s="20"/>
      <c r="D1300" s="20">
        <v>20000</v>
      </c>
      <c r="E1300" s="99" t="s">
        <v>732</v>
      </c>
      <c r="F1300" s="20">
        <f t="shared" si="20"/>
        <v>236843045</v>
      </c>
      <c r="G1300" s="7" t="s">
        <v>330</v>
      </c>
      <c r="H1300" s="24" t="s">
        <v>109</v>
      </c>
      <c r="I1300" s="32" t="s">
        <v>152</v>
      </c>
      <c r="K1300" s="181"/>
      <c r="L1300" s="181"/>
    </row>
    <row r="1301" spans="1:12" x14ac:dyDescent="0.35">
      <c r="A1301" s="19">
        <v>45833</v>
      </c>
      <c r="B1301" s="20"/>
      <c r="C1301" s="20"/>
      <c r="D1301" s="20">
        <v>300000</v>
      </c>
      <c r="E1301" s="99" t="s">
        <v>732</v>
      </c>
      <c r="F1301" s="20">
        <f t="shared" si="20"/>
        <v>237143045</v>
      </c>
      <c r="G1301" s="7" t="s">
        <v>727</v>
      </c>
      <c r="H1301" s="24" t="s">
        <v>109</v>
      </c>
      <c r="I1301" s="32" t="s">
        <v>152</v>
      </c>
      <c r="K1301" s="181"/>
      <c r="L1301" s="181"/>
    </row>
    <row r="1302" spans="1:12" x14ac:dyDescent="0.35">
      <c r="A1302" s="19">
        <v>45834</v>
      </c>
      <c r="B1302" s="20"/>
      <c r="C1302" s="20"/>
      <c r="D1302" s="20">
        <v>50000</v>
      </c>
      <c r="E1302" s="99" t="s">
        <v>732</v>
      </c>
      <c r="F1302" s="20">
        <f t="shared" si="20"/>
        <v>237193045</v>
      </c>
      <c r="G1302" s="7" t="s">
        <v>330</v>
      </c>
      <c r="H1302" s="24" t="s">
        <v>109</v>
      </c>
      <c r="I1302" s="32" t="s">
        <v>152</v>
      </c>
      <c r="K1302" s="181"/>
      <c r="L1302" s="181"/>
    </row>
    <row r="1303" spans="1:12" x14ac:dyDescent="0.35">
      <c r="A1303" s="19">
        <v>45834</v>
      </c>
      <c r="B1303" s="20"/>
      <c r="C1303" s="20"/>
      <c r="D1303" s="20">
        <v>20000</v>
      </c>
      <c r="E1303" s="99" t="s">
        <v>732</v>
      </c>
      <c r="F1303" s="20">
        <f t="shared" si="20"/>
        <v>237213045</v>
      </c>
      <c r="G1303" s="7" t="s">
        <v>330</v>
      </c>
      <c r="H1303" s="24" t="s">
        <v>109</v>
      </c>
      <c r="I1303" s="32" t="s">
        <v>152</v>
      </c>
      <c r="K1303" s="181"/>
      <c r="L1303" s="181"/>
    </row>
    <row r="1304" spans="1:12" x14ac:dyDescent="0.35">
      <c r="A1304" s="19">
        <v>45834</v>
      </c>
      <c r="B1304" s="20">
        <v>1003000</v>
      </c>
      <c r="C1304" s="20"/>
      <c r="D1304" s="20"/>
      <c r="E1304" s="99" t="s">
        <v>732</v>
      </c>
      <c r="F1304" s="20">
        <f t="shared" si="20"/>
        <v>236210045</v>
      </c>
      <c r="G1304" s="7" t="s">
        <v>734</v>
      </c>
      <c r="H1304" s="24" t="s">
        <v>321</v>
      </c>
      <c r="I1304" s="32" t="s">
        <v>152</v>
      </c>
      <c r="K1304" s="181"/>
      <c r="L1304" s="181"/>
    </row>
    <row r="1305" spans="1:12" x14ac:dyDescent="0.35">
      <c r="A1305" s="19">
        <v>45834</v>
      </c>
      <c r="B1305" s="20">
        <v>2900</v>
      </c>
      <c r="C1305" s="20"/>
      <c r="D1305" s="20"/>
      <c r="E1305" s="99" t="s">
        <v>732</v>
      </c>
      <c r="F1305" s="20">
        <f t="shared" si="20"/>
        <v>236207145</v>
      </c>
      <c r="G1305" s="7" t="s">
        <v>734</v>
      </c>
      <c r="H1305" s="24" t="s">
        <v>321</v>
      </c>
      <c r="I1305" s="32" t="s">
        <v>152</v>
      </c>
      <c r="K1305" s="181"/>
      <c r="L1305" s="181"/>
    </row>
    <row r="1306" spans="1:12" x14ac:dyDescent="0.35">
      <c r="A1306" s="19">
        <v>45835</v>
      </c>
      <c r="B1306" s="20">
        <v>4000000</v>
      </c>
      <c r="C1306" s="20"/>
      <c r="D1306" s="20"/>
      <c r="E1306" s="99" t="s">
        <v>732</v>
      </c>
      <c r="F1306" s="20">
        <f t="shared" si="20"/>
        <v>232207145</v>
      </c>
      <c r="G1306" s="7" t="s">
        <v>735</v>
      </c>
      <c r="H1306" s="24" t="s">
        <v>201</v>
      </c>
      <c r="I1306" s="32" t="s">
        <v>152</v>
      </c>
      <c r="K1306" s="181"/>
      <c r="L1306" s="181"/>
    </row>
    <row r="1307" spans="1:12" x14ac:dyDescent="0.35">
      <c r="A1307" s="19">
        <v>45835</v>
      </c>
      <c r="B1307" s="20">
        <v>6500</v>
      </c>
      <c r="C1307" s="20"/>
      <c r="D1307" s="20"/>
      <c r="E1307" s="99" t="s">
        <v>732</v>
      </c>
      <c r="F1307" s="20">
        <f t="shared" si="20"/>
        <v>232200645</v>
      </c>
      <c r="G1307" s="7" t="s">
        <v>735</v>
      </c>
      <c r="H1307" s="24" t="s">
        <v>201</v>
      </c>
      <c r="I1307" s="32" t="s">
        <v>152</v>
      </c>
      <c r="K1307" s="181"/>
      <c r="L1307" s="181"/>
    </row>
    <row r="1308" spans="1:12" x14ac:dyDescent="0.35">
      <c r="A1308" s="19">
        <v>45835</v>
      </c>
      <c r="B1308" s="20">
        <v>1000000</v>
      </c>
      <c r="C1308" s="20"/>
      <c r="D1308" s="20"/>
      <c r="E1308" s="99" t="s">
        <v>732</v>
      </c>
      <c r="F1308" s="20">
        <f t="shared" si="20"/>
        <v>231200645</v>
      </c>
      <c r="G1308" s="7" t="s">
        <v>736</v>
      </c>
      <c r="H1308" s="24" t="s">
        <v>325</v>
      </c>
      <c r="I1308" s="32" t="s">
        <v>152</v>
      </c>
      <c r="K1308" s="181"/>
      <c r="L1308" s="181"/>
    </row>
    <row r="1309" spans="1:12" x14ac:dyDescent="0.35">
      <c r="A1309" s="19">
        <v>45835</v>
      </c>
      <c r="B1309" s="20">
        <v>6500</v>
      </c>
      <c r="C1309" s="20"/>
      <c r="D1309" s="20"/>
      <c r="E1309" s="99" t="s">
        <v>732</v>
      </c>
      <c r="F1309" s="20">
        <f t="shared" si="20"/>
        <v>231194145</v>
      </c>
      <c r="G1309" s="7" t="s">
        <v>736</v>
      </c>
      <c r="H1309" s="24" t="s">
        <v>325</v>
      </c>
      <c r="I1309" s="32" t="s">
        <v>152</v>
      </c>
      <c r="K1309" s="181"/>
      <c r="L1309" s="181"/>
    </row>
    <row r="1310" spans="1:12" x14ac:dyDescent="0.35">
      <c r="A1310" s="19">
        <v>45835</v>
      </c>
      <c r="B1310" s="20">
        <v>2500000</v>
      </c>
      <c r="C1310" s="20"/>
      <c r="D1310" s="20"/>
      <c r="E1310" s="99" t="s">
        <v>732</v>
      </c>
      <c r="F1310" s="20">
        <f t="shared" si="20"/>
        <v>228694145</v>
      </c>
      <c r="G1310" s="7" t="s">
        <v>736</v>
      </c>
      <c r="H1310" s="24" t="s">
        <v>325</v>
      </c>
      <c r="I1310" s="32" t="s">
        <v>152</v>
      </c>
      <c r="K1310" s="181"/>
      <c r="L1310" s="181"/>
    </row>
    <row r="1311" spans="1:12" x14ac:dyDescent="0.35">
      <c r="A1311" s="19">
        <v>45835</v>
      </c>
      <c r="B1311" s="20">
        <v>6500</v>
      </c>
      <c r="C1311" s="20"/>
      <c r="D1311" s="20"/>
      <c r="E1311" s="99" t="s">
        <v>732</v>
      </c>
      <c r="F1311" s="20">
        <f t="shared" si="20"/>
        <v>228687645</v>
      </c>
      <c r="G1311" s="7" t="s">
        <v>736</v>
      </c>
      <c r="H1311" s="24" t="s">
        <v>325</v>
      </c>
      <c r="I1311" s="32" t="s">
        <v>152</v>
      </c>
      <c r="K1311" s="181"/>
      <c r="L1311" s="181"/>
    </row>
    <row r="1312" spans="1:12" x14ac:dyDescent="0.35">
      <c r="A1312" s="19">
        <v>45835</v>
      </c>
      <c r="B1312" s="20">
        <v>2000000</v>
      </c>
      <c r="C1312" s="20"/>
      <c r="D1312" s="20"/>
      <c r="E1312" s="99" t="s">
        <v>732</v>
      </c>
      <c r="F1312" s="20">
        <f t="shared" si="20"/>
        <v>226687645</v>
      </c>
      <c r="G1312" s="7" t="s">
        <v>737</v>
      </c>
      <c r="H1312" s="24" t="s">
        <v>323</v>
      </c>
      <c r="I1312" s="32" t="s">
        <v>152</v>
      </c>
      <c r="K1312" s="181"/>
      <c r="L1312" s="181"/>
    </row>
    <row r="1313" spans="1:12" x14ac:dyDescent="0.35">
      <c r="A1313" s="19">
        <v>45835</v>
      </c>
      <c r="B1313" s="20">
        <v>6500</v>
      </c>
      <c r="C1313" s="20"/>
      <c r="D1313" s="20"/>
      <c r="E1313" s="99" t="s">
        <v>732</v>
      </c>
      <c r="F1313" s="20">
        <f t="shared" si="20"/>
        <v>226681145</v>
      </c>
      <c r="G1313" s="7" t="s">
        <v>737</v>
      </c>
      <c r="H1313" s="24" t="s">
        <v>323</v>
      </c>
      <c r="I1313" s="32" t="s">
        <v>152</v>
      </c>
      <c r="K1313" s="181"/>
      <c r="L1313" s="181"/>
    </row>
    <row r="1314" spans="1:12" x14ac:dyDescent="0.35">
      <c r="A1314" s="19">
        <v>45835</v>
      </c>
      <c r="B1314" s="20">
        <v>550000</v>
      </c>
      <c r="C1314" s="20"/>
      <c r="D1314" s="20"/>
      <c r="E1314" s="99" t="s">
        <v>732</v>
      </c>
      <c r="F1314" s="20">
        <f t="shared" si="20"/>
        <v>226131145</v>
      </c>
      <c r="G1314" s="7" t="s">
        <v>736</v>
      </c>
      <c r="H1314" s="24" t="s">
        <v>325</v>
      </c>
      <c r="I1314" s="32" t="s">
        <v>152</v>
      </c>
      <c r="K1314" s="181"/>
      <c r="L1314" s="181"/>
    </row>
    <row r="1315" spans="1:12" x14ac:dyDescent="0.35">
      <c r="A1315" s="19">
        <v>45835</v>
      </c>
      <c r="B1315" s="20">
        <v>6500</v>
      </c>
      <c r="C1315" s="20"/>
      <c r="D1315" s="20"/>
      <c r="E1315" s="99" t="s">
        <v>732</v>
      </c>
      <c r="F1315" s="20">
        <f t="shared" si="20"/>
        <v>226124645</v>
      </c>
      <c r="G1315" s="7" t="s">
        <v>736</v>
      </c>
      <c r="H1315" s="24" t="s">
        <v>325</v>
      </c>
      <c r="I1315" s="32" t="s">
        <v>152</v>
      </c>
      <c r="K1315" s="181"/>
      <c r="L1315" s="181"/>
    </row>
    <row r="1316" spans="1:12" x14ac:dyDescent="0.35">
      <c r="A1316" s="19">
        <v>45835</v>
      </c>
      <c r="B1316" s="20">
        <v>3500000</v>
      </c>
      <c r="C1316" s="20"/>
      <c r="D1316" s="20"/>
      <c r="E1316" s="99" t="s">
        <v>732</v>
      </c>
      <c r="F1316" s="20">
        <f t="shared" si="20"/>
        <v>222624645</v>
      </c>
      <c r="G1316" s="7" t="s">
        <v>736</v>
      </c>
      <c r="H1316" s="24" t="s">
        <v>325</v>
      </c>
      <c r="I1316" s="32" t="s">
        <v>152</v>
      </c>
      <c r="K1316" s="181"/>
      <c r="L1316" s="181"/>
    </row>
    <row r="1317" spans="1:12" x14ac:dyDescent="0.35">
      <c r="A1317" s="19">
        <v>45835</v>
      </c>
      <c r="B1317" s="20">
        <v>6500</v>
      </c>
      <c r="C1317" s="20"/>
      <c r="D1317" s="20"/>
      <c r="E1317" s="99" t="s">
        <v>732</v>
      </c>
      <c r="F1317" s="20">
        <f t="shared" si="20"/>
        <v>222618145</v>
      </c>
      <c r="G1317" s="7" t="s">
        <v>736</v>
      </c>
      <c r="H1317" s="24" t="s">
        <v>325</v>
      </c>
      <c r="I1317" s="32" t="s">
        <v>152</v>
      </c>
      <c r="K1317" s="181"/>
      <c r="L1317" s="181"/>
    </row>
    <row r="1318" spans="1:12" x14ac:dyDescent="0.35">
      <c r="A1318" s="19">
        <v>45835</v>
      </c>
      <c r="B1318" s="20">
        <v>2250000</v>
      </c>
      <c r="C1318" s="20"/>
      <c r="D1318" s="20"/>
      <c r="E1318" s="99" t="s">
        <v>732</v>
      </c>
      <c r="F1318" s="20">
        <f t="shared" si="20"/>
        <v>220368145</v>
      </c>
      <c r="G1318" s="7" t="s">
        <v>736</v>
      </c>
      <c r="H1318" s="24" t="s">
        <v>325</v>
      </c>
      <c r="I1318" s="32" t="s">
        <v>152</v>
      </c>
      <c r="K1318" s="181"/>
      <c r="L1318" s="181"/>
    </row>
    <row r="1319" spans="1:12" x14ac:dyDescent="0.35">
      <c r="A1319" s="19">
        <v>45835</v>
      </c>
      <c r="B1319" s="20">
        <v>6500</v>
      </c>
      <c r="C1319" s="20"/>
      <c r="D1319" s="20"/>
      <c r="E1319" s="99" t="s">
        <v>732</v>
      </c>
      <c r="F1319" s="20">
        <f t="shared" si="20"/>
        <v>220361645</v>
      </c>
      <c r="G1319" s="7" t="s">
        <v>736</v>
      </c>
      <c r="H1319" s="24" t="s">
        <v>325</v>
      </c>
      <c r="I1319" s="32" t="s">
        <v>152</v>
      </c>
      <c r="K1319" s="181"/>
      <c r="L1319" s="181"/>
    </row>
    <row r="1320" spans="1:12" x14ac:dyDescent="0.35">
      <c r="A1320" s="19">
        <v>45835</v>
      </c>
      <c r="B1320" s="20">
        <v>2700000</v>
      </c>
      <c r="C1320" s="20"/>
      <c r="D1320" s="20"/>
      <c r="E1320" s="99" t="s">
        <v>732</v>
      </c>
      <c r="F1320" s="20">
        <f t="shared" si="20"/>
        <v>217661645</v>
      </c>
      <c r="G1320" s="7" t="s">
        <v>738</v>
      </c>
      <c r="H1320" s="24" t="s">
        <v>201</v>
      </c>
      <c r="I1320" s="32" t="s">
        <v>152</v>
      </c>
      <c r="K1320" s="181"/>
      <c r="L1320" s="181"/>
    </row>
    <row r="1321" spans="1:12" x14ac:dyDescent="0.35">
      <c r="A1321" s="19">
        <v>45835</v>
      </c>
      <c r="B1321" s="20">
        <v>6500</v>
      </c>
      <c r="C1321" s="20"/>
      <c r="D1321" s="20"/>
      <c r="E1321" s="99" t="s">
        <v>732</v>
      </c>
      <c r="F1321" s="20">
        <f t="shared" si="20"/>
        <v>217655145</v>
      </c>
      <c r="G1321" s="7" t="s">
        <v>738</v>
      </c>
      <c r="H1321" s="24" t="s">
        <v>201</v>
      </c>
      <c r="I1321" s="32" t="s">
        <v>152</v>
      </c>
      <c r="K1321" s="181"/>
      <c r="L1321" s="181"/>
    </row>
    <row r="1322" spans="1:12" x14ac:dyDescent="0.35">
      <c r="A1322" s="19">
        <v>45838</v>
      </c>
      <c r="B1322" s="20">
        <v>2750000</v>
      </c>
      <c r="C1322" s="20"/>
      <c r="D1322" s="20"/>
      <c r="E1322" s="99" t="s">
        <v>732</v>
      </c>
      <c r="F1322" s="20">
        <f t="shared" si="20"/>
        <v>214905145</v>
      </c>
      <c r="G1322" s="7" t="s">
        <v>736</v>
      </c>
      <c r="H1322" s="24" t="s">
        <v>325</v>
      </c>
      <c r="I1322" s="32" t="s">
        <v>152</v>
      </c>
      <c r="K1322" s="181"/>
      <c r="L1322" s="181"/>
    </row>
    <row r="1323" spans="1:12" x14ac:dyDescent="0.35">
      <c r="A1323" s="19">
        <v>45835</v>
      </c>
      <c r="B1323" s="20"/>
      <c r="C1323" s="20"/>
      <c r="D1323" s="20">
        <v>50000</v>
      </c>
      <c r="E1323" s="99" t="s">
        <v>732</v>
      </c>
      <c r="F1323" s="20">
        <f t="shared" si="20"/>
        <v>214955145</v>
      </c>
      <c r="G1323" s="7" t="s">
        <v>330</v>
      </c>
      <c r="H1323" s="24" t="s">
        <v>109</v>
      </c>
      <c r="I1323" s="32" t="s">
        <v>152</v>
      </c>
      <c r="K1323" s="181"/>
      <c r="L1323" s="181"/>
    </row>
    <row r="1324" spans="1:12" x14ac:dyDescent="0.35">
      <c r="A1324" s="19">
        <v>45835</v>
      </c>
      <c r="B1324" s="20"/>
      <c r="C1324" s="20"/>
      <c r="D1324" s="20">
        <v>50000</v>
      </c>
      <c r="E1324" s="99" t="s">
        <v>732</v>
      </c>
      <c r="F1324" s="20">
        <f t="shared" si="20"/>
        <v>215005145</v>
      </c>
      <c r="G1324" s="7" t="s">
        <v>330</v>
      </c>
      <c r="H1324" s="24" t="s">
        <v>109</v>
      </c>
      <c r="I1324" s="32" t="s">
        <v>152</v>
      </c>
      <c r="K1324" s="181"/>
      <c r="L1324" s="181"/>
    </row>
    <row r="1325" spans="1:12" x14ac:dyDescent="0.35">
      <c r="A1325" s="19">
        <v>45835</v>
      </c>
      <c r="B1325" s="20"/>
      <c r="C1325" s="20"/>
      <c r="D1325" s="20">
        <v>20000</v>
      </c>
      <c r="E1325" s="99" t="s">
        <v>732</v>
      </c>
      <c r="F1325" s="20">
        <f t="shared" si="20"/>
        <v>215025145</v>
      </c>
      <c r="G1325" s="7" t="s">
        <v>330</v>
      </c>
      <c r="H1325" s="24" t="s">
        <v>109</v>
      </c>
      <c r="I1325" s="32" t="s">
        <v>152</v>
      </c>
      <c r="K1325" s="181"/>
      <c r="L1325" s="181"/>
    </row>
    <row r="1326" spans="1:12" x14ac:dyDescent="0.35">
      <c r="A1326" s="19">
        <v>45835</v>
      </c>
      <c r="B1326" s="20"/>
      <c r="C1326" s="20"/>
      <c r="D1326" s="20">
        <v>1000000</v>
      </c>
      <c r="E1326" s="99" t="s">
        <v>732</v>
      </c>
      <c r="F1326" s="20">
        <f t="shared" si="20"/>
        <v>216025145</v>
      </c>
      <c r="G1326" s="7" t="s">
        <v>561</v>
      </c>
      <c r="H1326" s="24" t="s">
        <v>109</v>
      </c>
      <c r="I1326" s="32" t="s">
        <v>152</v>
      </c>
      <c r="K1326" s="181"/>
      <c r="L1326" s="181"/>
    </row>
    <row r="1327" spans="1:12" x14ac:dyDescent="0.35">
      <c r="A1327" s="19">
        <v>45835</v>
      </c>
      <c r="B1327" s="20"/>
      <c r="C1327" s="20"/>
      <c r="D1327" s="20">
        <v>100000</v>
      </c>
      <c r="E1327" s="99" t="s">
        <v>732</v>
      </c>
      <c r="F1327" s="20">
        <f t="shared" si="20"/>
        <v>216125145</v>
      </c>
      <c r="G1327" s="7" t="s">
        <v>424</v>
      </c>
      <c r="H1327" s="24" t="s">
        <v>109</v>
      </c>
      <c r="I1327" s="32" t="s">
        <v>152</v>
      </c>
      <c r="K1327" s="181"/>
      <c r="L1327" s="181"/>
    </row>
    <row r="1328" spans="1:12" x14ac:dyDescent="0.35">
      <c r="A1328" s="19">
        <v>45835</v>
      </c>
      <c r="B1328" s="20"/>
      <c r="C1328" s="20"/>
      <c r="D1328" s="20">
        <v>1000000</v>
      </c>
      <c r="E1328" s="99" t="s">
        <v>732</v>
      </c>
      <c r="F1328" s="20">
        <f t="shared" si="20"/>
        <v>217125145</v>
      </c>
      <c r="G1328" s="7" t="s">
        <v>609</v>
      </c>
      <c r="H1328" s="24" t="s">
        <v>109</v>
      </c>
      <c r="I1328" s="32" t="s">
        <v>152</v>
      </c>
      <c r="K1328" s="181"/>
      <c r="L1328" s="181"/>
    </row>
    <row r="1329" spans="1:12" x14ac:dyDescent="0.35">
      <c r="A1329" s="19">
        <v>45836</v>
      </c>
      <c r="B1329" s="20">
        <v>750000</v>
      </c>
      <c r="C1329" s="20"/>
      <c r="D1329" s="20"/>
      <c r="E1329" s="99" t="s">
        <v>732</v>
      </c>
      <c r="F1329" s="20">
        <f t="shared" si="20"/>
        <v>216375145</v>
      </c>
      <c r="G1329" s="7" t="s">
        <v>739</v>
      </c>
      <c r="H1329" s="24" t="s">
        <v>323</v>
      </c>
      <c r="I1329" s="32" t="s">
        <v>152</v>
      </c>
      <c r="K1329" s="181"/>
      <c r="L1329" s="181"/>
    </row>
    <row r="1330" spans="1:12" x14ac:dyDescent="0.35">
      <c r="A1330" s="19">
        <v>45836</v>
      </c>
      <c r="B1330" s="20">
        <v>6500</v>
      </c>
      <c r="C1330" s="20"/>
      <c r="D1330" s="20"/>
      <c r="E1330" s="99" t="s">
        <v>732</v>
      </c>
      <c r="F1330" s="20">
        <f t="shared" si="20"/>
        <v>216368645</v>
      </c>
      <c r="G1330" s="7" t="s">
        <v>739</v>
      </c>
      <c r="H1330" s="24" t="s">
        <v>323</v>
      </c>
      <c r="I1330" s="32" t="s">
        <v>152</v>
      </c>
      <c r="K1330" s="181"/>
      <c r="L1330" s="181"/>
    </row>
    <row r="1331" spans="1:12" x14ac:dyDescent="0.35">
      <c r="A1331" s="19">
        <v>45836</v>
      </c>
      <c r="B1331" s="20"/>
      <c r="C1331" s="20"/>
      <c r="D1331" s="20">
        <v>61124</v>
      </c>
      <c r="E1331" s="99" t="s">
        <v>732</v>
      </c>
      <c r="F1331" s="20">
        <f t="shared" si="20"/>
        <v>216429769</v>
      </c>
      <c r="G1331" s="7" t="s">
        <v>330</v>
      </c>
      <c r="H1331" s="24" t="s">
        <v>109</v>
      </c>
      <c r="I1331" s="32" t="s">
        <v>152</v>
      </c>
      <c r="K1331" s="181"/>
      <c r="L1331" s="181"/>
    </row>
    <row r="1332" spans="1:12" x14ac:dyDescent="0.35">
      <c r="A1332" s="19">
        <v>45836</v>
      </c>
      <c r="B1332" s="20"/>
      <c r="C1332" s="20"/>
      <c r="D1332" s="20">
        <v>20000</v>
      </c>
      <c r="E1332" s="99" t="s">
        <v>732</v>
      </c>
      <c r="F1332" s="20">
        <f t="shared" si="20"/>
        <v>216449769</v>
      </c>
      <c r="G1332" s="7" t="s">
        <v>330</v>
      </c>
      <c r="H1332" s="24" t="s">
        <v>109</v>
      </c>
      <c r="I1332" s="32" t="s">
        <v>152</v>
      </c>
      <c r="K1332" s="181"/>
      <c r="L1332" s="181"/>
    </row>
    <row r="1333" spans="1:12" x14ac:dyDescent="0.35">
      <c r="A1333" s="19">
        <v>45836</v>
      </c>
      <c r="B1333" s="20"/>
      <c r="C1333" s="20"/>
      <c r="D1333" s="20">
        <v>20000</v>
      </c>
      <c r="E1333" s="99" t="s">
        <v>732</v>
      </c>
      <c r="F1333" s="20">
        <f t="shared" si="20"/>
        <v>216469769</v>
      </c>
      <c r="G1333" s="7" t="s">
        <v>330</v>
      </c>
      <c r="H1333" s="24" t="s">
        <v>109</v>
      </c>
      <c r="I1333" s="32" t="s">
        <v>152</v>
      </c>
      <c r="K1333" s="181"/>
      <c r="L1333" s="181"/>
    </row>
    <row r="1334" spans="1:12" x14ac:dyDescent="0.35">
      <c r="A1334" s="19">
        <v>45836</v>
      </c>
      <c r="B1334" s="20"/>
      <c r="C1334" s="20"/>
      <c r="D1334" s="20">
        <v>150000</v>
      </c>
      <c r="E1334" s="99" t="s">
        <v>732</v>
      </c>
      <c r="F1334" s="20">
        <f t="shared" si="20"/>
        <v>216619769</v>
      </c>
      <c r="G1334" s="7" t="s">
        <v>330</v>
      </c>
      <c r="H1334" s="24" t="s">
        <v>109</v>
      </c>
      <c r="I1334" s="32" t="s">
        <v>152</v>
      </c>
      <c r="K1334" s="181"/>
      <c r="L1334" s="181"/>
    </row>
    <row r="1335" spans="1:12" x14ac:dyDescent="0.35">
      <c r="A1335" s="19">
        <v>45836</v>
      </c>
      <c r="B1335" s="20"/>
      <c r="C1335" s="20"/>
      <c r="D1335" s="20">
        <v>50000</v>
      </c>
      <c r="E1335" s="99" t="s">
        <v>732</v>
      </c>
      <c r="F1335" s="20">
        <f t="shared" si="20"/>
        <v>216669769</v>
      </c>
      <c r="G1335" s="7" t="s">
        <v>330</v>
      </c>
      <c r="H1335" s="24" t="s">
        <v>109</v>
      </c>
      <c r="I1335" s="32" t="s">
        <v>152</v>
      </c>
      <c r="K1335" s="181"/>
      <c r="L1335" s="181"/>
    </row>
    <row r="1336" spans="1:12" x14ac:dyDescent="0.35">
      <c r="A1336" s="19">
        <v>45836</v>
      </c>
      <c r="B1336" s="20"/>
      <c r="C1336" s="20"/>
      <c r="D1336" s="20">
        <v>25000</v>
      </c>
      <c r="E1336" s="99" t="s">
        <v>732</v>
      </c>
      <c r="F1336" s="20">
        <f t="shared" si="20"/>
        <v>216694769</v>
      </c>
      <c r="G1336" s="7" t="s">
        <v>330</v>
      </c>
      <c r="H1336" s="24" t="s">
        <v>109</v>
      </c>
      <c r="I1336" s="32" t="s">
        <v>152</v>
      </c>
      <c r="K1336" s="181"/>
      <c r="L1336" s="181"/>
    </row>
    <row r="1337" spans="1:12" x14ac:dyDescent="0.35">
      <c r="A1337" s="19">
        <v>45836</v>
      </c>
      <c r="B1337" s="20"/>
      <c r="C1337" s="20"/>
      <c r="D1337" s="20">
        <v>10000</v>
      </c>
      <c r="E1337" s="99" t="s">
        <v>732</v>
      </c>
      <c r="F1337" s="20">
        <f t="shared" si="20"/>
        <v>216704769</v>
      </c>
      <c r="G1337" s="7" t="s">
        <v>330</v>
      </c>
      <c r="H1337" s="24" t="s">
        <v>109</v>
      </c>
      <c r="I1337" s="32" t="s">
        <v>152</v>
      </c>
      <c r="K1337" s="181"/>
      <c r="L1337" s="181"/>
    </row>
    <row r="1338" spans="1:12" x14ac:dyDescent="0.35">
      <c r="A1338" s="19">
        <v>45836</v>
      </c>
      <c r="B1338" s="20"/>
      <c r="C1338" s="20"/>
      <c r="D1338" s="20">
        <v>5000</v>
      </c>
      <c r="E1338" s="99" t="s">
        <v>732</v>
      </c>
      <c r="F1338" s="20">
        <f t="shared" si="20"/>
        <v>216709769</v>
      </c>
      <c r="G1338" s="7" t="s">
        <v>330</v>
      </c>
      <c r="H1338" s="24" t="s">
        <v>109</v>
      </c>
      <c r="I1338" s="32" t="s">
        <v>152</v>
      </c>
      <c r="K1338" s="181"/>
      <c r="L1338" s="181"/>
    </row>
    <row r="1339" spans="1:12" x14ac:dyDescent="0.35">
      <c r="A1339" s="19">
        <v>45836</v>
      </c>
      <c r="B1339" s="20"/>
      <c r="C1339" s="20"/>
      <c r="D1339" s="20">
        <v>50000</v>
      </c>
      <c r="E1339" s="99" t="s">
        <v>732</v>
      </c>
      <c r="F1339" s="20">
        <f t="shared" si="20"/>
        <v>216759769</v>
      </c>
      <c r="G1339" s="7" t="s">
        <v>330</v>
      </c>
      <c r="H1339" s="24" t="s">
        <v>109</v>
      </c>
      <c r="I1339" s="32" t="s">
        <v>152</v>
      </c>
      <c r="K1339" s="181"/>
      <c r="L1339" s="181"/>
    </row>
    <row r="1340" spans="1:12" x14ac:dyDescent="0.35">
      <c r="A1340" s="19">
        <v>45836</v>
      </c>
      <c r="B1340" s="20"/>
      <c r="C1340" s="20"/>
      <c r="D1340" s="20">
        <v>20000</v>
      </c>
      <c r="E1340" s="99" t="s">
        <v>732</v>
      </c>
      <c r="F1340" s="20">
        <f t="shared" si="20"/>
        <v>216779769</v>
      </c>
      <c r="G1340" s="7" t="s">
        <v>330</v>
      </c>
      <c r="H1340" s="24" t="s">
        <v>109</v>
      </c>
      <c r="I1340" s="32" t="s">
        <v>152</v>
      </c>
      <c r="K1340" s="181"/>
      <c r="L1340" s="181"/>
    </row>
    <row r="1341" spans="1:12" x14ac:dyDescent="0.35">
      <c r="A1341" s="19">
        <v>45836</v>
      </c>
      <c r="B1341" s="20"/>
      <c r="C1341" s="20"/>
      <c r="D1341" s="20">
        <v>100000</v>
      </c>
      <c r="E1341" s="99" t="s">
        <v>732</v>
      </c>
      <c r="F1341" s="20">
        <f t="shared" si="20"/>
        <v>216879769</v>
      </c>
      <c r="G1341" s="7" t="s">
        <v>330</v>
      </c>
      <c r="H1341" s="24" t="s">
        <v>109</v>
      </c>
      <c r="I1341" s="32" t="s">
        <v>152</v>
      </c>
      <c r="K1341" s="181"/>
      <c r="L1341" s="181"/>
    </row>
    <row r="1342" spans="1:12" x14ac:dyDescent="0.35">
      <c r="A1342" s="19">
        <v>45836</v>
      </c>
      <c r="B1342" s="20"/>
      <c r="C1342" s="20"/>
      <c r="D1342" s="20">
        <v>50000</v>
      </c>
      <c r="E1342" s="99" t="s">
        <v>732</v>
      </c>
      <c r="F1342" s="20">
        <f t="shared" si="20"/>
        <v>216929769</v>
      </c>
      <c r="G1342" s="7" t="s">
        <v>330</v>
      </c>
      <c r="H1342" s="24" t="s">
        <v>109</v>
      </c>
      <c r="I1342" s="32" t="s">
        <v>152</v>
      </c>
      <c r="K1342" s="181"/>
      <c r="L1342" s="181"/>
    </row>
    <row r="1343" spans="1:12" x14ac:dyDescent="0.35">
      <c r="A1343" s="19">
        <v>45836</v>
      </c>
      <c r="B1343" s="20"/>
      <c r="C1343" s="20"/>
      <c r="D1343" s="20">
        <v>20000</v>
      </c>
      <c r="E1343" s="99" t="s">
        <v>732</v>
      </c>
      <c r="F1343" s="20">
        <f t="shared" si="20"/>
        <v>216949769</v>
      </c>
      <c r="G1343" s="7" t="s">
        <v>330</v>
      </c>
      <c r="H1343" s="24" t="s">
        <v>109</v>
      </c>
      <c r="I1343" s="32" t="s">
        <v>152</v>
      </c>
      <c r="K1343" s="181"/>
      <c r="L1343" s="181"/>
    </row>
    <row r="1344" spans="1:12" x14ac:dyDescent="0.35">
      <c r="A1344" s="19">
        <v>45836</v>
      </c>
      <c r="B1344" s="20"/>
      <c r="C1344" s="20"/>
      <c r="D1344" s="20">
        <v>10000</v>
      </c>
      <c r="E1344" s="99" t="s">
        <v>732</v>
      </c>
      <c r="F1344" s="20">
        <f t="shared" si="20"/>
        <v>216959769</v>
      </c>
      <c r="G1344" s="7" t="s">
        <v>330</v>
      </c>
      <c r="H1344" s="24" t="s">
        <v>109</v>
      </c>
      <c r="I1344" s="32" t="s">
        <v>152</v>
      </c>
      <c r="K1344" s="181"/>
      <c r="L1344" s="181"/>
    </row>
    <row r="1345" spans="1:12" x14ac:dyDescent="0.35">
      <c r="A1345" s="19">
        <v>45836</v>
      </c>
      <c r="B1345" s="20"/>
      <c r="C1345" s="20"/>
      <c r="D1345" s="20">
        <v>10000</v>
      </c>
      <c r="E1345" s="99" t="s">
        <v>732</v>
      </c>
      <c r="F1345" s="20">
        <f t="shared" si="20"/>
        <v>216969769</v>
      </c>
      <c r="G1345" s="7" t="s">
        <v>330</v>
      </c>
      <c r="H1345" s="24" t="s">
        <v>109</v>
      </c>
      <c r="I1345" s="32" t="s">
        <v>152</v>
      </c>
      <c r="K1345" s="181"/>
      <c r="L1345" s="181"/>
    </row>
    <row r="1346" spans="1:12" x14ac:dyDescent="0.35">
      <c r="A1346" s="19">
        <v>45836</v>
      </c>
      <c r="B1346" s="20"/>
      <c r="C1346" s="20"/>
      <c r="D1346" s="20">
        <v>2000</v>
      </c>
      <c r="E1346" s="99" t="s">
        <v>732</v>
      </c>
      <c r="F1346" s="20">
        <f t="shared" si="20"/>
        <v>216971769</v>
      </c>
      <c r="G1346" s="7" t="s">
        <v>330</v>
      </c>
      <c r="H1346" s="24" t="s">
        <v>109</v>
      </c>
      <c r="I1346" s="32" t="s">
        <v>152</v>
      </c>
      <c r="K1346" s="181"/>
      <c r="L1346" s="181"/>
    </row>
    <row r="1347" spans="1:12" x14ac:dyDescent="0.35">
      <c r="A1347" s="19">
        <v>45837</v>
      </c>
      <c r="B1347" s="20"/>
      <c r="C1347" s="20"/>
      <c r="D1347" s="20">
        <v>10000</v>
      </c>
      <c r="E1347" s="99" t="s">
        <v>732</v>
      </c>
      <c r="F1347" s="20">
        <f t="shared" si="20"/>
        <v>216981769</v>
      </c>
      <c r="G1347" s="7" t="s">
        <v>330</v>
      </c>
      <c r="H1347" s="24" t="s">
        <v>109</v>
      </c>
      <c r="I1347" s="32" t="s">
        <v>152</v>
      </c>
      <c r="K1347" s="181"/>
      <c r="L1347" s="181"/>
    </row>
    <row r="1348" spans="1:12" x14ac:dyDescent="0.35">
      <c r="A1348" s="19">
        <v>45837</v>
      </c>
      <c r="B1348" s="20"/>
      <c r="C1348" s="20"/>
      <c r="D1348" s="20">
        <v>20000</v>
      </c>
      <c r="E1348" s="99" t="s">
        <v>732</v>
      </c>
      <c r="F1348" s="20">
        <f t="shared" si="20"/>
        <v>217001769</v>
      </c>
      <c r="G1348" s="7" t="s">
        <v>330</v>
      </c>
      <c r="H1348" s="24" t="s">
        <v>109</v>
      </c>
      <c r="I1348" s="32" t="s">
        <v>152</v>
      </c>
      <c r="K1348" s="181"/>
      <c r="L1348" s="181"/>
    </row>
    <row r="1349" spans="1:12" x14ac:dyDescent="0.35">
      <c r="A1349" s="19">
        <v>45837</v>
      </c>
      <c r="B1349" s="20"/>
      <c r="C1349" s="20"/>
      <c r="D1349" s="20">
        <v>25000</v>
      </c>
      <c r="E1349" s="99" t="s">
        <v>732</v>
      </c>
      <c r="F1349" s="20">
        <f t="shared" si="20"/>
        <v>217026769</v>
      </c>
      <c r="G1349" s="7" t="s">
        <v>330</v>
      </c>
      <c r="H1349" s="24" t="s">
        <v>109</v>
      </c>
      <c r="I1349" s="32" t="s">
        <v>152</v>
      </c>
      <c r="K1349" s="181"/>
      <c r="L1349" s="181"/>
    </row>
    <row r="1350" spans="1:12" x14ac:dyDescent="0.35">
      <c r="A1350" s="19">
        <v>45837</v>
      </c>
      <c r="B1350" s="20">
        <v>500000</v>
      </c>
      <c r="C1350" s="20"/>
      <c r="D1350" s="20"/>
      <c r="E1350" s="99" t="s">
        <v>732</v>
      </c>
      <c r="F1350" s="20">
        <f t="shared" si="20"/>
        <v>216526769</v>
      </c>
      <c r="G1350" s="7" t="s">
        <v>739</v>
      </c>
      <c r="H1350" s="24" t="s">
        <v>323</v>
      </c>
      <c r="I1350" s="32" t="s">
        <v>152</v>
      </c>
      <c r="K1350" s="181"/>
      <c r="L1350" s="181"/>
    </row>
    <row r="1351" spans="1:12" x14ac:dyDescent="0.35">
      <c r="A1351" s="19">
        <v>45837</v>
      </c>
      <c r="B1351" s="20">
        <v>6500</v>
      </c>
      <c r="C1351" s="20"/>
      <c r="D1351" s="20"/>
      <c r="E1351" s="99" t="s">
        <v>732</v>
      </c>
      <c r="F1351" s="20">
        <f t="shared" si="20"/>
        <v>216520269</v>
      </c>
      <c r="G1351" s="7" t="s">
        <v>739</v>
      </c>
      <c r="H1351" s="24" t="s">
        <v>323</v>
      </c>
      <c r="I1351" s="32" t="s">
        <v>152</v>
      </c>
      <c r="K1351" s="181"/>
      <c r="L1351" s="181"/>
    </row>
    <row r="1352" spans="1:12" x14ac:dyDescent="0.35">
      <c r="A1352" s="19">
        <v>45837</v>
      </c>
      <c r="B1352" s="20">
        <v>750000</v>
      </c>
      <c r="C1352" s="20"/>
      <c r="D1352" s="20"/>
      <c r="E1352" s="99" t="s">
        <v>732</v>
      </c>
      <c r="F1352" s="20">
        <f t="shared" si="20"/>
        <v>215770269</v>
      </c>
      <c r="G1352" s="7" t="s">
        <v>739</v>
      </c>
      <c r="H1352" s="24" t="s">
        <v>323</v>
      </c>
      <c r="I1352" s="32" t="s">
        <v>152</v>
      </c>
      <c r="K1352" s="181"/>
      <c r="L1352" s="181"/>
    </row>
    <row r="1353" spans="1:12" x14ac:dyDescent="0.35">
      <c r="A1353" s="19">
        <v>45837</v>
      </c>
      <c r="B1353" s="20">
        <v>6500</v>
      </c>
      <c r="C1353" s="20"/>
      <c r="D1353" s="20"/>
      <c r="E1353" s="99" t="s">
        <v>732</v>
      </c>
      <c r="F1353" s="20">
        <f t="shared" si="20"/>
        <v>215763769</v>
      </c>
      <c r="G1353" s="7" t="s">
        <v>739</v>
      </c>
      <c r="H1353" s="24" t="s">
        <v>323</v>
      </c>
      <c r="I1353" s="32" t="s">
        <v>152</v>
      </c>
      <c r="K1353" s="181"/>
      <c r="L1353" s="181"/>
    </row>
    <row r="1354" spans="1:12" x14ac:dyDescent="0.35">
      <c r="A1354" s="19">
        <v>45837</v>
      </c>
      <c r="B1354" s="20"/>
      <c r="C1354" s="20"/>
      <c r="D1354" s="20">
        <v>350000</v>
      </c>
      <c r="E1354" s="99" t="s">
        <v>732</v>
      </c>
      <c r="F1354" s="20">
        <f t="shared" ref="F1354:F1417" si="21">+F1353+D1354-B1354</f>
        <v>216113769</v>
      </c>
      <c r="G1354" s="7" t="s">
        <v>740</v>
      </c>
      <c r="H1354" s="24" t="s">
        <v>109</v>
      </c>
      <c r="I1354" s="32" t="s">
        <v>152</v>
      </c>
      <c r="K1354" s="181"/>
      <c r="L1354" s="181"/>
    </row>
    <row r="1355" spans="1:12" x14ac:dyDescent="0.35">
      <c r="A1355" s="19">
        <v>45838</v>
      </c>
      <c r="B1355" s="20"/>
      <c r="C1355" s="20"/>
      <c r="D1355" s="20">
        <v>20000</v>
      </c>
      <c r="E1355" s="99" t="s">
        <v>732</v>
      </c>
      <c r="F1355" s="20">
        <f t="shared" si="21"/>
        <v>216133769</v>
      </c>
      <c r="G1355" s="7" t="s">
        <v>330</v>
      </c>
      <c r="H1355" s="24" t="s">
        <v>109</v>
      </c>
      <c r="I1355" s="32" t="s">
        <v>152</v>
      </c>
      <c r="K1355" s="181"/>
      <c r="L1355" s="181"/>
    </row>
    <row r="1356" spans="1:12" x14ac:dyDescent="0.35">
      <c r="A1356" s="19">
        <v>45838</v>
      </c>
      <c r="B1356" s="20"/>
      <c r="C1356" s="20"/>
      <c r="D1356" s="20">
        <v>75000</v>
      </c>
      <c r="E1356" s="99" t="s">
        <v>732</v>
      </c>
      <c r="F1356" s="20">
        <f t="shared" si="21"/>
        <v>216208769</v>
      </c>
      <c r="G1356" s="7" t="s">
        <v>330</v>
      </c>
      <c r="H1356" s="24" t="s">
        <v>109</v>
      </c>
      <c r="I1356" s="32" t="s">
        <v>152</v>
      </c>
      <c r="K1356" s="181"/>
      <c r="L1356" s="181"/>
    </row>
    <row r="1357" spans="1:12" x14ac:dyDescent="0.35">
      <c r="A1357" s="19">
        <v>45838</v>
      </c>
      <c r="B1357" s="20"/>
      <c r="C1357" s="20"/>
      <c r="D1357" s="20">
        <v>25000</v>
      </c>
      <c r="E1357" s="99" t="s">
        <v>732</v>
      </c>
      <c r="F1357" s="20">
        <f t="shared" si="21"/>
        <v>216233769</v>
      </c>
      <c r="G1357" s="7" t="s">
        <v>330</v>
      </c>
      <c r="H1357" s="24" t="s">
        <v>109</v>
      </c>
      <c r="I1357" s="32" t="s">
        <v>152</v>
      </c>
      <c r="K1357" s="181"/>
      <c r="L1357" s="181"/>
    </row>
    <row r="1358" spans="1:12" x14ac:dyDescent="0.35">
      <c r="A1358" s="19">
        <v>45838</v>
      </c>
      <c r="B1358" s="20"/>
      <c r="C1358" s="20"/>
      <c r="D1358" s="20">
        <v>40000</v>
      </c>
      <c r="E1358" s="99" t="s">
        <v>732</v>
      </c>
      <c r="F1358" s="20">
        <f t="shared" si="21"/>
        <v>216273769</v>
      </c>
      <c r="G1358" s="7" t="s">
        <v>330</v>
      </c>
      <c r="H1358" s="24" t="s">
        <v>109</v>
      </c>
      <c r="I1358" s="32" t="s">
        <v>152</v>
      </c>
      <c r="K1358" s="181"/>
      <c r="L1358" s="181"/>
    </row>
    <row r="1359" spans="1:12" x14ac:dyDescent="0.35">
      <c r="A1359" s="19">
        <v>45838</v>
      </c>
      <c r="B1359" s="20"/>
      <c r="C1359" s="20"/>
      <c r="D1359" s="20">
        <v>2784000</v>
      </c>
      <c r="E1359" s="99" t="s">
        <v>732</v>
      </c>
      <c r="F1359" s="20">
        <f t="shared" si="21"/>
        <v>219057769</v>
      </c>
      <c r="G1359" s="7"/>
      <c r="H1359" s="24" t="s">
        <v>107</v>
      </c>
      <c r="I1359" s="32" t="s">
        <v>152</v>
      </c>
      <c r="K1359" s="181"/>
      <c r="L1359" s="181"/>
    </row>
    <row r="1360" spans="1:12" x14ac:dyDescent="0.35">
      <c r="A1360" s="19">
        <v>45838</v>
      </c>
      <c r="B1360" s="20"/>
      <c r="C1360" s="20"/>
      <c r="D1360" s="20">
        <v>3526000</v>
      </c>
      <c r="E1360" s="99" t="s">
        <v>732</v>
      </c>
      <c r="F1360" s="20">
        <f t="shared" si="21"/>
        <v>222583769</v>
      </c>
      <c r="G1360" s="7"/>
      <c r="H1360" s="24" t="s">
        <v>109</v>
      </c>
      <c r="I1360" s="32" t="s">
        <v>152</v>
      </c>
      <c r="K1360" s="181"/>
      <c r="L1360" s="181"/>
    </row>
    <row r="1361" spans="1:12" x14ac:dyDescent="0.35">
      <c r="A1361" s="19"/>
      <c r="B1361" s="20"/>
      <c r="C1361" s="20">
        <v>6310000</v>
      </c>
      <c r="D1361" s="20"/>
      <c r="E1361" s="99"/>
      <c r="F1361" s="20">
        <f t="shared" si="21"/>
        <v>222583769</v>
      </c>
      <c r="G1361" s="7" t="s">
        <v>741</v>
      </c>
      <c r="H1361" s="24"/>
      <c r="I1361" s="32"/>
      <c r="K1361" s="181"/>
      <c r="L1361" s="181"/>
    </row>
    <row r="1362" spans="1:12" x14ac:dyDescent="0.35">
      <c r="A1362" s="19">
        <v>45839</v>
      </c>
      <c r="B1362" s="20"/>
      <c r="C1362" s="20"/>
      <c r="D1362" s="20">
        <v>10000</v>
      </c>
      <c r="E1362" s="99" t="s">
        <v>733</v>
      </c>
      <c r="F1362" s="20">
        <f t="shared" si="21"/>
        <v>222593769</v>
      </c>
      <c r="G1362" s="7" t="s">
        <v>330</v>
      </c>
      <c r="H1362" s="24" t="s">
        <v>109</v>
      </c>
      <c r="I1362" s="32" t="s">
        <v>152</v>
      </c>
      <c r="K1362" s="181"/>
      <c r="L1362" s="181"/>
    </row>
    <row r="1363" spans="1:12" x14ac:dyDescent="0.35">
      <c r="A1363" s="19">
        <v>45839</v>
      </c>
      <c r="B1363" s="20"/>
      <c r="C1363" s="20"/>
      <c r="D1363" s="20">
        <v>20000</v>
      </c>
      <c r="E1363" s="99" t="s">
        <v>733</v>
      </c>
      <c r="F1363" s="20">
        <f t="shared" si="21"/>
        <v>222613769</v>
      </c>
      <c r="G1363" s="7" t="s">
        <v>330</v>
      </c>
      <c r="H1363" s="24" t="s">
        <v>109</v>
      </c>
      <c r="I1363" s="32" t="s">
        <v>152</v>
      </c>
      <c r="K1363" s="181"/>
      <c r="L1363" s="181"/>
    </row>
    <row r="1364" spans="1:12" x14ac:dyDescent="0.35">
      <c r="A1364" s="19">
        <v>45839</v>
      </c>
      <c r="B1364" s="20"/>
      <c r="C1364" s="20"/>
      <c r="D1364" s="20">
        <v>200000</v>
      </c>
      <c r="E1364" s="99" t="s">
        <v>733</v>
      </c>
      <c r="F1364" s="20">
        <f t="shared" si="21"/>
        <v>222813769</v>
      </c>
      <c r="G1364" s="7" t="s">
        <v>674</v>
      </c>
      <c r="H1364" s="24" t="s">
        <v>109</v>
      </c>
      <c r="I1364" s="32" t="s">
        <v>152</v>
      </c>
      <c r="K1364" s="181"/>
      <c r="L1364" s="181"/>
    </row>
    <row r="1365" spans="1:12" x14ac:dyDescent="0.35">
      <c r="A1365" s="19">
        <v>45840</v>
      </c>
      <c r="B1365" s="20"/>
      <c r="C1365" s="20"/>
      <c r="D1365" s="20">
        <v>10000</v>
      </c>
      <c r="E1365" s="99" t="s">
        <v>733</v>
      </c>
      <c r="F1365" s="20">
        <f t="shared" si="21"/>
        <v>222823769</v>
      </c>
      <c r="G1365" s="7" t="s">
        <v>330</v>
      </c>
      <c r="H1365" s="24" t="s">
        <v>109</v>
      </c>
      <c r="I1365" s="32" t="s">
        <v>152</v>
      </c>
      <c r="K1365" s="181"/>
      <c r="L1365" s="181"/>
    </row>
    <row r="1366" spans="1:12" x14ac:dyDescent="0.35">
      <c r="A1366" s="19">
        <v>45840</v>
      </c>
      <c r="B1366" s="20"/>
      <c r="C1366" s="20"/>
      <c r="D1366" s="20">
        <v>500000</v>
      </c>
      <c r="E1366" s="99" t="s">
        <v>733</v>
      </c>
      <c r="F1366" s="20">
        <f t="shared" si="21"/>
        <v>223323769</v>
      </c>
      <c r="G1366" s="7" t="s">
        <v>579</v>
      </c>
      <c r="H1366" s="24" t="s">
        <v>109</v>
      </c>
      <c r="I1366" s="32" t="s">
        <v>152</v>
      </c>
      <c r="K1366" s="181"/>
      <c r="L1366" s="181"/>
    </row>
    <row r="1367" spans="1:12" x14ac:dyDescent="0.35">
      <c r="A1367" s="19">
        <v>45841</v>
      </c>
      <c r="B1367" s="20"/>
      <c r="C1367" s="20"/>
      <c r="D1367" s="20">
        <v>200000</v>
      </c>
      <c r="E1367" s="99" t="s">
        <v>733</v>
      </c>
      <c r="F1367" s="20">
        <f t="shared" si="21"/>
        <v>223523769</v>
      </c>
      <c r="G1367" s="7" t="s">
        <v>333</v>
      </c>
      <c r="H1367" s="24" t="s">
        <v>109</v>
      </c>
      <c r="I1367" s="32" t="s">
        <v>152</v>
      </c>
      <c r="K1367" s="181"/>
      <c r="L1367" s="181"/>
    </row>
    <row r="1368" spans="1:12" x14ac:dyDescent="0.35">
      <c r="A1368" s="19">
        <v>45841</v>
      </c>
      <c r="B1368" s="20"/>
      <c r="C1368" s="20"/>
      <c r="D1368" s="20">
        <v>400000</v>
      </c>
      <c r="E1368" s="99" t="s">
        <v>733</v>
      </c>
      <c r="F1368" s="20">
        <f t="shared" si="21"/>
        <v>223923769</v>
      </c>
      <c r="G1368" s="7" t="s">
        <v>515</v>
      </c>
      <c r="H1368" s="24" t="s">
        <v>109</v>
      </c>
      <c r="I1368" s="32" t="s">
        <v>152</v>
      </c>
      <c r="K1368" s="181"/>
      <c r="L1368" s="181"/>
    </row>
    <row r="1369" spans="1:12" x14ac:dyDescent="0.35">
      <c r="A1369" s="19">
        <v>45842</v>
      </c>
      <c r="B1369" s="20"/>
      <c r="C1369" s="20"/>
      <c r="D1369" s="20">
        <v>20000</v>
      </c>
      <c r="E1369" s="99" t="s">
        <v>733</v>
      </c>
      <c r="F1369" s="20">
        <f t="shared" si="21"/>
        <v>223943769</v>
      </c>
      <c r="G1369" s="7" t="s">
        <v>330</v>
      </c>
      <c r="H1369" s="24" t="s">
        <v>109</v>
      </c>
      <c r="I1369" s="32" t="s">
        <v>152</v>
      </c>
      <c r="K1369" s="181"/>
      <c r="L1369" s="181"/>
    </row>
    <row r="1370" spans="1:12" x14ac:dyDescent="0.35">
      <c r="A1370" s="19">
        <v>45842</v>
      </c>
      <c r="B1370" s="20"/>
      <c r="C1370" s="20"/>
      <c r="D1370" s="20">
        <v>50000</v>
      </c>
      <c r="E1370" s="99" t="s">
        <v>733</v>
      </c>
      <c r="F1370" s="20">
        <f t="shared" si="21"/>
        <v>223993769</v>
      </c>
      <c r="G1370" s="7" t="s">
        <v>330</v>
      </c>
      <c r="H1370" s="24" t="s">
        <v>109</v>
      </c>
      <c r="I1370" s="32" t="s">
        <v>152</v>
      </c>
      <c r="K1370" s="181"/>
      <c r="L1370" s="181"/>
    </row>
    <row r="1371" spans="1:12" x14ac:dyDescent="0.35">
      <c r="A1371" s="19">
        <v>45842</v>
      </c>
      <c r="B1371" s="20"/>
      <c r="C1371" s="20"/>
      <c r="D1371" s="20">
        <v>2000000</v>
      </c>
      <c r="E1371" s="99" t="s">
        <v>733</v>
      </c>
      <c r="F1371" s="20">
        <f t="shared" si="21"/>
        <v>225993769</v>
      </c>
      <c r="G1371" s="7" t="s">
        <v>745</v>
      </c>
      <c r="H1371" s="24" t="s">
        <v>109</v>
      </c>
      <c r="I1371" s="32" t="s">
        <v>152</v>
      </c>
      <c r="K1371" s="181"/>
      <c r="L1371" s="181"/>
    </row>
    <row r="1372" spans="1:12" x14ac:dyDescent="0.35">
      <c r="A1372" s="19">
        <v>45843</v>
      </c>
      <c r="B1372" s="20">
        <v>750000</v>
      </c>
      <c r="C1372" s="20"/>
      <c r="D1372" s="20"/>
      <c r="E1372" s="99" t="s">
        <v>733</v>
      </c>
      <c r="F1372" s="20">
        <f t="shared" si="21"/>
        <v>225243769</v>
      </c>
      <c r="G1372" s="7" t="s">
        <v>746</v>
      </c>
      <c r="H1372" s="24" t="s">
        <v>323</v>
      </c>
      <c r="I1372" s="32" t="s">
        <v>152</v>
      </c>
      <c r="K1372" s="181"/>
      <c r="L1372" s="181"/>
    </row>
    <row r="1373" spans="1:12" x14ac:dyDescent="0.35">
      <c r="A1373" s="19">
        <v>45843</v>
      </c>
      <c r="B1373" s="20">
        <v>6500</v>
      </c>
      <c r="C1373" s="20"/>
      <c r="D1373" s="20"/>
      <c r="E1373" s="99" t="s">
        <v>733</v>
      </c>
      <c r="F1373" s="20">
        <f t="shared" si="21"/>
        <v>225237269</v>
      </c>
      <c r="G1373" s="7" t="s">
        <v>746</v>
      </c>
      <c r="H1373" s="24" t="s">
        <v>323</v>
      </c>
      <c r="I1373" s="32" t="s">
        <v>152</v>
      </c>
      <c r="K1373" s="181"/>
      <c r="L1373" s="181"/>
    </row>
    <row r="1374" spans="1:12" x14ac:dyDescent="0.35">
      <c r="A1374" s="19">
        <v>45843</v>
      </c>
      <c r="B1374" s="20"/>
      <c r="C1374" s="20"/>
      <c r="D1374" s="20">
        <v>20000</v>
      </c>
      <c r="E1374" s="99" t="s">
        <v>733</v>
      </c>
      <c r="F1374" s="20">
        <f t="shared" si="21"/>
        <v>225257269</v>
      </c>
      <c r="G1374" s="7" t="s">
        <v>330</v>
      </c>
      <c r="H1374" s="24" t="s">
        <v>109</v>
      </c>
      <c r="I1374" s="32" t="s">
        <v>152</v>
      </c>
      <c r="K1374" s="181"/>
      <c r="L1374" s="181"/>
    </row>
    <row r="1375" spans="1:12" x14ac:dyDescent="0.35">
      <c r="A1375" s="19">
        <v>45843</v>
      </c>
      <c r="B1375" s="20"/>
      <c r="C1375" s="20"/>
      <c r="D1375" s="20">
        <v>100000</v>
      </c>
      <c r="E1375" s="99" t="s">
        <v>733</v>
      </c>
      <c r="F1375" s="20">
        <f t="shared" si="21"/>
        <v>225357269</v>
      </c>
      <c r="G1375" s="7" t="s">
        <v>330</v>
      </c>
      <c r="H1375" s="24" t="s">
        <v>109</v>
      </c>
      <c r="I1375" s="32" t="s">
        <v>152</v>
      </c>
      <c r="K1375" s="181"/>
      <c r="L1375" s="181"/>
    </row>
    <row r="1376" spans="1:12" x14ac:dyDescent="0.35">
      <c r="A1376" s="19">
        <v>45843</v>
      </c>
      <c r="B1376" s="20"/>
      <c r="C1376" s="20"/>
      <c r="D1376" s="20">
        <v>30000</v>
      </c>
      <c r="E1376" s="99" t="s">
        <v>733</v>
      </c>
      <c r="F1376" s="20">
        <f t="shared" si="21"/>
        <v>225387269</v>
      </c>
      <c r="G1376" s="7" t="s">
        <v>330</v>
      </c>
      <c r="H1376" s="24" t="s">
        <v>109</v>
      </c>
      <c r="I1376" s="32" t="s">
        <v>152</v>
      </c>
      <c r="K1376" s="181"/>
      <c r="L1376" s="181"/>
    </row>
    <row r="1377" spans="1:12" x14ac:dyDescent="0.35">
      <c r="A1377" s="19">
        <v>45843</v>
      </c>
      <c r="B1377" s="20"/>
      <c r="C1377" s="20"/>
      <c r="D1377" s="20">
        <v>100000</v>
      </c>
      <c r="E1377" s="99" t="s">
        <v>733</v>
      </c>
      <c r="F1377" s="20">
        <f t="shared" si="21"/>
        <v>225487269</v>
      </c>
      <c r="G1377" s="7" t="s">
        <v>330</v>
      </c>
      <c r="H1377" s="24" t="s">
        <v>109</v>
      </c>
      <c r="I1377" s="32" t="s">
        <v>152</v>
      </c>
      <c r="K1377" s="181"/>
      <c r="L1377" s="181"/>
    </row>
    <row r="1378" spans="1:12" x14ac:dyDescent="0.35">
      <c r="A1378" s="19">
        <v>45843</v>
      </c>
      <c r="B1378" s="20"/>
      <c r="C1378" s="20"/>
      <c r="D1378" s="20">
        <v>50000</v>
      </c>
      <c r="E1378" s="99" t="s">
        <v>733</v>
      </c>
      <c r="F1378" s="20">
        <f t="shared" si="21"/>
        <v>225537269</v>
      </c>
      <c r="G1378" s="7" t="s">
        <v>330</v>
      </c>
      <c r="H1378" s="24" t="s">
        <v>109</v>
      </c>
      <c r="I1378" s="32" t="s">
        <v>152</v>
      </c>
      <c r="K1378" s="181"/>
      <c r="L1378" s="181"/>
    </row>
    <row r="1379" spans="1:12" x14ac:dyDescent="0.35">
      <c r="A1379" s="19">
        <v>45843</v>
      </c>
      <c r="B1379" s="20"/>
      <c r="C1379" s="20"/>
      <c r="D1379" s="20">
        <v>5000</v>
      </c>
      <c r="E1379" s="99" t="s">
        <v>733</v>
      </c>
      <c r="F1379" s="20">
        <f t="shared" si="21"/>
        <v>225542269</v>
      </c>
      <c r="G1379" s="7" t="s">
        <v>330</v>
      </c>
      <c r="H1379" s="24" t="s">
        <v>109</v>
      </c>
      <c r="I1379" s="32" t="s">
        <v>152</v>
      </c>
      <c r="K1379" s="181"/>
      <c r="L1379" s="181"/>
    </row>
    <row r="1380" spans="1:12" x14ac:dyDescent="0.35">
      <c r="A1380" s="19">
        <v>45843</v>
      </c>
      <c r="B1380" s="20"/>
      <c r="C1380" s="20"/>
      <c r="D1380" s="20">
        <v>10000</v>
      </c>
      <c r="E1380" s="99" t="s">
        <v>733</v>
      </c>
      <c r="F1380" s="20">
        <f t="shared" si="21"/>
        <v>225552269</v>
      </c>
      <c r="G1380" s="7" t="s">
        <v>330</v>
      </c>
      <c r="H1380" s="24" t="s">
        <v>109</v>
      </c>
      <c r="I1380" s="32" t="s">
        <v>152</v>
      </c>
      <c r="K1380" s="181"/>
      <c r="L1380" s="181"/>
    </row>
    <row r="1381" spans="1:12" x14ac:dyDescent="0.35">
      <c r="A1381" s="19">
        <v>45843</v>
      </c>
      <c r="B1381" s="20"/>
      <c r="C1381" s="20"/>
      <c r="D1381" s="20">
        <v>20000</v>
      </c>
      <c r="E1381" s="99" t="s">
        <v>733</v>
      </c>
      <c r="F1381" s="20">
        <f t="shared" si="21"/>
        <v>225572269</v>
      </c>
      <c r="G1381" s="7" t="s">
        <v>330</v>
      </c>
      <c r="H1381" s="24" t="s">
        <v>109</v>
      </c>
      <c r="I1381" s="32" t="s">
        <v>152</v>
      </c>
      <c r="K1381" s="181"/>
      <c r="L1381" s="181"/>
    </row>
    <row r="1382" spans="1:12" x14ac:dyDescent="0.35">
      <c r="A1382" s="19">
        <v>45843</v>
      </c>
      <c r="B1382" s="20"/>
      <c r="C1382" s="20"/>
      <c r="D1382" s="20">
        <v>10000</v>
      </c>
      <c r="E1382" s="99" t="s">
        <v>733</v>
      </c>
      <c r="F1382" s="20">
        <f t="shared" si="21"/>
        <v>225582269</v>
      </c>
      <c r="G1382" s="7" t="s">
        <v>330</v>
      </c>
      <c r="H1382" s="24" t="s">
        <v>109</v>
      </c>
      <c r="I1382" s="32" t="s">
        <v>152</v>
      </c>
      <c r="K1382" s="181"/>
      <c r="L1382" s="181"/>
    </row>
    <row r="1383" spans="1:12" x14ac:dyDescent="0.35">
      <c r="A1383" s="19">
        <v>45843</v>
      </c>
      <c r="B1383" s="20"/>
      <c r="C1383" s="20"/>
      <c r="D1383" s="20">
        <v>4000</v>
      </c>
      <c r="E1383" s="99" t="s">
        <v>733</v>
      </c>
      <c r="F1383" s="20">
        <f t="shared" si="21"/>
        <v>225586269</v>
      </c>
      <c r="G1383" s="7" t="s">
        <v>330</v>
      </c>
      <c r="H1383" s="24" t="s">
        <v>109</v>
      </c>
      <c r="I1383" s="32" t="s">
        <v>152</v>
      </c>
      <c r="K1383" s="181"/>
      <c r="L1383" s="181"/>
    </row>
    <row r="1384" spans="1:12" x14ac:dyDescent="0.35">
      <c r="A1384" s="19">
        <v>45843</v>
      </c>
      <c r="B1384" s="20"/>
      <c r="C1384" s="20"/>
      <c r="D1384" s="20">
        <v>150000</v>
      </c>
      <c r="E1384" s="99" t="s">
        <v>733</v>
      </c>
      <c r="F1384" s="20">
        <f t="shared" si="21"/>
        <v>225736269</v>
      </c>
      <c r="G1384" s="7" t="s">
        <v>603</v>
      </c>
      <c r="H1384" s="24" t="s">
        <v>109</v>
      </c>
      <c r="I1384" s="32" t="s">
        <v>152</v>
      </c>
      <c r="K1384" s="181"/>
      <c r="L1384" s="181"/>
    </row>
    <row r="1385" spans="1:12" x14ac:dyDescent="0.35">
      <c r="A1385" s="19">
        <v>45844</v>
      </c>
      <c r="B1385" s="20">
        <v>750000</v>
      </c>
      <c r="C1385" s="20"/>
      <c r="D1385" s="20"/>
      <c r="E1385" s="99" t="s">
        <v>733</v>
      </c>
      <c r="F1385" s="20">
        <f t="shared" si="21"/>
        <v>224986269</v>
      </c>
      <c r="G1385" s="7" t="s">
        <v>747</v>
      </c>
      <c r="H1385" s="24" t="s">
        <v>323</v>
      </c>
      <c r="I1385" s="32" t="s">
        <v>152</v>
      </c>
      <c r="K1385" s="181"/>
      <c r="L1385" s="181"/>
    </row>
    <row r="1386" spans="1:12" x14ac:dyDescent="0.35">
      <c r="A1386" s="19">
        <v>45844</v>
      </c>
      <c r="B1386" s="20">
        <v>6500</v>
      </c>
      <c r="C1386" s="20"/>
      <c r="D1386" s="20"/>
      <c r="E1386" s="99" t="s">
        <v>733</v>
      </c>
      <c r="F1386" s="20">
        <f t="shared" si="21"/>
        <v>224979769</v>
      </c>
      <c r="G1386" s="7" t="s">
        <v>747</v>
      </c>
      <c r="H1386" s="24" t="s">
        <v>323</v>
      </c>
      <c r="I1386" s="32" t="s">
        <v>152</v>
      </c>
      <c r="K1386" s="181"/>
      <c r="L1386" s="181"/>
    </row>
    <row r="1387" spans="1:12" x14ac:dyDescent="0.35">
      <c r="A1387" s="19">
        <v>45844</v>
      </c>
      <c r="B1387" s="20"/>
      <c r="C1387" s="20"/>
      <c r="D1387" s="20">
        <v>20000</v>
      </c>
      <c r="E1387" s="99" t="s">
        <v>733</v>
      </c>
      <c r="F1387" s="20">
        <f t="shared" si="21"/>
        <v>224999769</v>
      </c>
      <c r="G1387" s="7" t="s">
        <v>330</v>
      </c>
      <c r="H1387" s="24" t="s">
        <v>109</v>
      </c>
      <c r="I1387" s="32" t="s">
        <v>152</v>
      </c>
      <c r="K1387" s="181"/>
      <c r="L1387" s="181"/>
    </row>
    <row r="1388" spans="1:12" x14ac:dyDescent="0.35">
      <c r="A1388" s="19">
        <v>45844</v>
      </c>
      <c r="B1388" s="20"/>
      <c r="C1388" s="20"/>
      <c r="D1388" s="20">
        <v>25000</v>
      </c>
      <c r="E1388" s="99" t="s">
        <v>733</v>
      </c>
      <c r="F1388" s="20">
        <f t="shared" si="21"/>
        <v>225024769</v>
      </c>
      <c r="G1388" s="7" t="s">
        <v>330</v>
      </c>
      <c r="H1388" s="24" t="s">
        <v>109</v>
      </c>
      <c r="I1388" s="32" t="s">
        <v>152</v>
      </c>
      <c r="K1388" s="181"/>
      <c r="L1388" s="181"/>
    </row>
    <row r="1389" spans="1:12" x14ac:dyDescent="0.35">
      <c r="A1389" s="19">
        <v>45844</v>
      </c>
      <c r="B1389" s="20"/>
      <c r="C1389" s="20"/>
      <c r="D1389" s="20">
        <v>200000</v>
      </c>
      <c r="E1389" s="99" t="s">
        <v>733</v>
      </c>
      <c r="F1389" s="20">
        <f t="shared" si="21"/>
        <v>225224769</v>
      </c>
      <c r="G1389" s="7" t="s">
        <v>531</v>
      </c>
      <c r="H1389" s="24" t="s">
        <v>109</v>
      </c>
      <c r="I1389" s="32" t="s">
        <v>152</v>
      </c>
      <c r="K1389" s="181"/>
      <c r="L1389" s="181"/>
    </row>
    <row r="1390" spans="1:12" x14ac:dyDescent="0.35">
      <c r="A1390" s="19">
        <v>45845</v>
      </c>
      <c r="B1390" s="20"/>
      <c r="C1390" s="20"/>
      <c r="D1390" s="20">
        <v>50000</v>
      </c>
      <c r="E1390" s="99" t="s">
        <v>733</v>
      </c>
      <c r="F1390" s="20">
        <f t="shared" si="21"/>
        <v>225274769</v>
      </c>
      <c r="G1390" s="7" t="s">
        <v>330</v>
      </c>
      <c r="H1390" s="24" t="s">
        <v>109</v>
      </c>
      <c r="I1390" s="32" t="s">
        <v>152</v>
      </c>
      <c r="K1390" s="181"/>
      <c r="L1390" s="181"/>
    </row>
    <row r="1391" spans="1:12" x14ac:dyDescent="0.35">
      <c r="A1391" s="19">
        <v>45845</v>
      </c>
      <c r="B1391" s="20"/>
      <c r="C1391" s="20"/>
      <c r="D1391" s="20">
        <v>10000</v>
      </c>
      <c r="E1391" s="99" t="s">
        <v>733</v>
      </c>
      <c r="F1391" s="20">
        <f t="shared" si="21"/>
        <v>225284769</v>
      </c>
      <c r="G1391" s="7" t="s">
        <v>330</v>
      </c>
      <c r="H1391" s="24" t="s">
        <v>109</v>
      </c>
      <c r="I1391" s="32" t="s">
        <v>152</v>
      </c>
      <c r="K1391" s="181"/>
      <c r="L1391" s="181"/>
    </row>
    <row r="1392" spans="1:12" x14ac:dyDescent="0.35">
      <c r="A1392" s="19">
        <v>45845</v>
      </c>
      <c r="B1392" s="20">
        <v>575000</v>
      </c>
      <c r="C1392" s="20"/>
      <c r="D1392" s="20"/>
      <c r="E1392" s="99" t="s">
        <v>733</v>
      </c>
      <c r="F1392" s="20">
        <f t="shared" si="21"/>
        <v>224709769</v>
      </c>
      <c r="G1392" s="7" t="s">
        <v>748</v>
      </c>
      <c r="H1392" s="24" t="s">
        <v>322</v>
      </c>
      <c r="I1392" s="32" t="s">
        <v>152</v>
      </c>
      <c r="K1392" s="181"/>
      <c r="L1392" s="181"/>
    </row>
    <row r="1393" spans="1:12" x14ac:dyDescent="0.35">
      <c r="A1393" s="19">
        <v>45845</v>
      </c>
      <c r="B1393" s="20">
        <v>2900</v>
      </c>
      <c r="C1393" s="20"/>
      <c r="D1393" s="20"/>
      <c r="E1393" s="99" t="s">
        <v>733</v>
      </c>
      <c r="F1393" s="20">
        <f t="shared" si="21"/>
        <v>224706869</v>
      </c>
      <c r="G1393" s="7" t="s">
        <v>748</v>
      </c>
      <c r="H1393" s="24" t="s">
        <v>322</v>
      </c>
      <c r="I1393" s="32" t="s">
        <v>152</v>
      </c>
      <c r="K1393" s="181"/>
      <c r="L1393" s="181"/>
    </row>
    <row r="1394" spans="1:12" x14ac:dyDescent="0.35">
      <c r="A1394" s="19">
        <v>45845</v>
      </c>
      <c r="B1394" s="20"/>
      <c r="C1394" s="20"/>
      <c r="D1394" s="20">
        <v>2044000</v>
      </c>
      <c r="E1394" s="99" t="s">
        <v>733</v>
      </c>
      <c r="F1394" s="20">
        <f t="shared" si="21"/>
        <v>226750869</v>
      </c>
      <c r="G1394" s="7"/>
      <c r="H1394" s="24" t="s">
        <v>107</v>
      </c>
      <c r="I1394" s="32" t="s">
        <v>152</v>
      </c>
      <c r="K1394" s="181"/>
      <c r="L1394" s="181"/>
    </row>
    <row r="1395" spans="1:12" x14ac:dyDescent="0.35">
      <c r="A1395" s="19">
        <v>45845</v>
      </c>
      <c r="B1395" s="20"/>
      <c r="C1395" s="20"/>
      <c r="D1395" s="20">
        <v>3860000</v>
      </c>
      <c r="E1395" s="99" t="s">
        <v>733</v>
      </c>
      <c r="F1395" s="20">
        <f t="shared" si="21"/>
        <v>230610869</v>
      </c>
      <c r="G1395" s="7"/>
      <c r="H1395" s="24" t="s">
        <v>109</v>
      </c>
      <c r="I1395" s="32" t="s">
        <v>152</v>
      </c>
      <c r="K1395" s="181"/>
      <c r="L1395" s="181"/>
    </row>
    <row r="1396" spans="1:12" x14ac:dyDescent="0.35">
      <c r="A1396" s="19"/>
      <c r="B1396" s="20"/>
      <c r="C1396" s="20">
        <v>5904000</v>
      </c>
      <c r="D1396" s="20"/>
      <c r="E1396" s="99"/>
      <c r="F1396" s="20">
        <f t="shared" si="21"/>
        <v>230610869</v>
      </c>
      <c r="G1396" s="7" t="s">
        <v>749</v>
      </c>
      <c r="H1396" s="24"/>
      <c r="I1396" s="32"/>
      <c r="K1396" s="181"/>
      <c r="L1396" s="181"/>
    </row>
    <row r="1397" spans="1:12" x14ac:dyDescent="0.35">
      <c r="A1397" s="19">
        <v>45846</v>
      </c>
      <c r="B1397" s="20"/>
      <c r="C1397" s="20"/>
      <c r="D1397" s="20">
        <v>50000</v>
      </c>
      <c r="E1397" s="99" t="s">
        <v>733</v>
      </c>
      <c r="F1397" s="20">
        <f t="shared" si="21"/>
        <v>230660869</v>
      </c>
      <c r="G1397" s="7" t="s">
        <v>330</v>
      </c>
      <c r="H1397" s="24" t="s">
        <v>109</v>
      </c>
      <c r="I1397" s="32" t="s">
        <v>152</v>
      </c>
      <c r="K1397" s="181"/>
      <c r="L1397" s="181"/>
    </row>
    <row r="1398" spans="1:12" x14ac:dyDescent="0.35">
      <c r="A1398" s="19">
        <v>45846</v>
      </c>
      <c r="B1398" s="20"/>
      <c r="C1398" s="20"/>
      <c r="D1398" s="20">
        <v>20000</v>
      </c>
      <c r="E1398" s="99" t="s">
        <v>733</v>
      </c>
      <c r="F1398" s="20">
        <f t="shared" si="21"/>
        <v>230680869</v>
      </c>
      <c r="G1398" s="7" t="s">
        <v>330</v>
      </c>
      <c r="H1398" s="24" t="s">
        <v>109</v>
      </c>
      <c r="I1398" s="32" t="s">
        <v>152</v>
      </c>
      <c r="K1398" s="181"/>
      <c r="L1398" s="181"/>
    </row>
    <row r="1399" spans="1:12" x14ac:dyDescent="0.35">
      <c r="A1399" s="19">
        <v>45847</v>
      </c>
      <c r="B1399" s="20"/>
      <c r="C1399" s="20"/>
      <c r="D1399" s="20">
        <v>250000</v>
      </c>
      <c r="E1399" s="99" t="s">
        <v>733</v>
      </c>
      <c r="F1399" s="20">
        <f t="shared" si="21"/>
        <v>230930869</v>
      </c>
      <c r="G1399" s="7" t="s">
        <v>330</v>
      </c>
      <c r="H1399" s="24" t="s">
        <v>109</v>
      </c>
      <c r="I1399" s="32" t="s">
        <v>152</v>
      </c>
      <c r="K1399" s="181"/>
      <c r="L1399" s="181"/>
    </row>
    <row r="1400" spans="1:12" x14ac:dyDescent="0.35">
      <c r="A1400" s="19">
        <v>45847</v>
      </c>
      <c r="B1400" s="20"/>
      <c r="C1400" s="20"/>
      <c r="D1400" s="20">
        <v>10000</v>
      </c>
      <c r="E1400" s="99" t="s">
        <v>733</v>
      </c>
      <c r="F1400" s="20">
        <f t="shared" si="21"/>
        <v>230940869</v>
      </c>
      <c r="G1400" s="7" t="s">
        <v>330</v>
      </c>
      <c r="H1400" s="24" t="s">
        <v>109</v>
      </c>
      <c r="I1400" s="32" t="s">
        <v>152</v>
      </c>
      <c r="K1400" s="181"/>
      <c r="L1400" s="181"/>
    </row>
    <row r="1401" spans="1:12" x14ac:dyDescent="0.35">
      <c r="A1401" s="19">
        <v>45847</v>
      </c>
      <c r="B1401" s="20"/>
      <c r="C1401" s="20"/>
      <c r="D1401" s="20">
        <v>20000</v>
      </c>
      <c r="E1401" s="99" t="s">
        <v>733</v>
      </c>
      <c r="F1401" s="20">
        <f t="shared" si="21"/>
        <v>230960869</v>
      </c>
      <c r="G1401" s="7" t="s">
        <v>330</v>
      </c>
      <c r="H1401" s="24" t="s">
        <v>109</v>
      </c>
      <c r="I1401" s="32" t="s">
        <v>152</v>
      </c>
      <c r="K1401" s="181"/>
      <c r="L1401" s="181"/>
    </row>
    <row r="1402" spans="1:12" x14ac:dyDescent="0.35">
      <c r="A1402" s="19">
        <v>45848</v>
      </c>
      <c r="B1402" s="20"/>
      <c r="C1402" s="20"/>
      <c r="D1402" s="20">
        <v>20000</v>
      </c>
      <c r="E1402" s="99" t="s">
        <v>733</v>
      </c>
      <c r="F1402" s="20">
        <f t="shared" si="21"/>
        <v>230980869</v>
      </c>
      <c r="G1402" s="7" t="s">
        <v>330</v>
      </c>
      <c r="H1402" s="24" t="s">
        <v>109</v>
      </c>
      <c r="I1402" s="32" t="s">
        <v>152</v>
      </c>
      <c r="K1402" s="181"/>
      <c r="L1402" s="181"/>
    </row>
    <row r="1403" spans="1:12" x14ac:dyDescent="0.35">
      <c r="A1403" s="19">
        <v>45849</v>
      </c>
      <c r="B1403" s="20"/>
      <c r="C1403" s="20"/>
      <c r="D1403" s="20">
        <v>68147</v>
      </c>
      <c r="E1403" s="99" t="s">
        <v>733</v>
      </c>
      <c r="F1403" s="20">
        <f t="shared" si="21"/>
        <v>231049016</v>
      </c>
      <c r="G1403" s="7" t="s">
        <v>330</v>
      </c>
      <c r="H1403" s="24" t="s">
        <v>109</v>
      </c>
      <c r="I1403" s="32" t="s">
        <v>152</v>
      </c>
      <c r="K1403" s="181"/>
      <c r="L1403" s="181"/>
    </row>
    <row r="1404" spans="1:12" x14ac:dyDescent="0.35">
      <c r="A1404" s="19">
        <v>45849</v>
      </c>
      <c r="B1404" s="20"/>
      <c r="C1404" s="20"/>
      <c r="D1404" s="20">
        <v>20000</v>
      </c>
      <c r="E1404" s="99" t="s">
        <v>733</v>
      </c>
      <c r="F1404" s="20">
        <f t="shared" si="21"/>
        <v>231069016</v>
      </c>
      <c r="G1404" s="7" t="s">
        <v>330</v>
      </c>
      <c r="H1404" s="24" t="s">
        <v>109</v>
      </c>
      <c r="I1404" s="32" t="s">
        <v>152</v>
      </c>
      <c r="K1404" s="181"/>
      <c r="L1404" s="181"/>
    </row>
    <row r="1405" spans="1:12" x14ac:dyDescent="0.35">
      <c r="A1405" s="19">
        <v>45850</v>
      </c>
      <c r="B1405" s="20"/>
      <c r="C1405" s="20"/>
      <c r="D1405" s="20">
        <v>4000</v>
      </c>
      <c r="E1405" s="99" t="s">
        <v>733</v>
      </c>
      <c r="F1405" s="20">
        <f t="shared" si="21"/>
        <v>231073016</v>
      </c>
      <c r="G1405" s="7" t="s">
        <v>330</v>
      </c>
      <c r="H1405" s="24" t="s">
        <v>109</v>
      </c>
      <c r="I1405" s="32" t="s">
        <v>152</v>
      </c>
      <c r="K1405" s="181"/>
      <c r="L1405" s="181"/>
    </row>
    <row r="1406" spans="1:12" x14ac:dyDescent="0.35">
      <c r="A1406" s="19">
        <v>45850</v>
      </c>
      <c r="B1406" s="20"/>
      <c r="C1406" s="20"/>
      <c r="D1406" s="20">
        <v>4000</v>
      </c>
      <c r="E1406" s="99" t="s">
        <v>733</v>
      </c>
      <c r="F1406" s="20">
        <f t="shared" si="21"/>
        <v>231077016</v>
      </c>
      <c r="G1406" s="7" t="s">
        <v>330</v>
      </c>
      <c r="H1406" s="24" t="s">
        <v>109</v>
      </c>
      <c r="I1406" s="32" t="s">
        <v>152</v>
      </c>
      <c r="K1406" s="181"/>
      <c r="L1406" s="181"/>
    </row>
    <row r="1407" spans="1:12" x14ac:dyDescent="0.35">
      <c r="A1407" s="19">
        <v>45850</v>
      </c>
      <c r="B1407" s="20"/>
      <c r="C1407" s="20"/>
      <c r="D1407" s="20">
        <v>4000</v>
      </c>
      <c r="E1407" s="99" t="s">
        <v>733</v>
      </c>
      <c r="F1407" s="20">
        <f t="shared" si="21"/>
        <v>231081016</v>
      </c>
      <c r="G1407" s="7" t="s">
        <v>330</v>
      </c>
      <c r="H1407" s="24" t="s">
        <v>109</v>
      </c>
      <c r="I1407" s="32" t="s">
        <v>152</v>
      </c>
      <c r="K1407" s="181"/>
      <c r="L1407" s="181"/>
    </row>
    <row r="1408" spans="1:12" x14ac:dyDescent="0.35">
      <c r="A1408" s="19">
        <v>45850</v>
      </c>
      <c r="B1408" s="20"/>
      <c r="C1408" s="20"/>
      <c r="D1408" s="20">
        <v>4000</v>
      </c>
      <c r="E1408" s="99" t="s">
        <v>733</v>
      </c>
      <c r="F1408" s="20">
        <f t="shared" si="21"/>
        <v>231085016</v>
      </c>
      <c r="G1408" s="7" t="s">
        <v>330</v>
      </c>
      <c r="H1408" s="24" t="s">
        <v>109</v>
      </c>
      <c r="I1408" s="32" t="s">
        <v>152</v>
      </c>
      <c r="K1408" s="181"/>
      <c r="L1408" s="181"/>
    </row>
    <row r="1409" spans="1:12" x14ac:dyDescent="0.35">
      <c r="A1409" s="19">
        <v>45850</v>
      </c>
      <c r="B1409" s="20"/>
      <c r="C1409" s="20"/>
      <c r="D1409" s="20">
        <v>4000</v>
      </c>
      <c r="E1409" s="99" t="s">
        <v>733</v>
      </c>
      <c r="F1409" s="20">
        <f t="shared" si="21"/>
        <v>231089016</v>
      </c>
      <c r="G1409" s="7" t="s">
        <v>330</v>
      </c>
      <c r="H1409" s="24" t="s">
        <v>109</v>
      </c>
      <c r="I1409" s="32" t="s">
        <v>152</v>
      </c>
      <c r="K1409" s="181"/>
      <c r="L1409" s="181"/>
    </row>
    <row r="1410" spans="1:12" x14ac:dyDescent="0.35">
      <c r="A1410" s="19">
        <v>45850</v>
      </c>
      <c r="B1410" s="20"/>
      <c r="C1410" s="20"/>
      <c r="D1410" s="20">
        <v>4000</v>
      </c>
      <c r="E1410" s="99" t="s">
        <v>733</v>
      </c>
      <c r="F1410" s="20">
        <f t="shared" si="21"/>
        <v>231093016</v>
      </c>
      <c r="G1410" s="7" t="s">
        <v>330</v>
      </c>
      <c r="H1410" s="24" t="s">
        <v>109</v>
      </c>
      <c r="I1410" s="32" t="s">
        <v>152</v>
      </c>
      <c r="K1410" s="181"/>
      <c r="L1410" s="181"/>
    </row>
    <row r="1411" spans="1:12" x14ac:dyDescent="0.35">
      <c r="A1411" s="19">
        <v>45850</v>
      </c>
      <c r="B1411" s="20"/>
      <c r="C1411" s="20"/>
      <c r="D1411" s="20">
        <v>4000</v>
      </c>
      <c r="E1411" s="99" t="s">
        <v>733</v>
      </c>
      <c r="F1411" s="20">
        <f t="shared" si="21"/>
        <v>231097016</v>
      </c>
      <c r="G1411" s="7" t="s">
        <v>330</v>
      </c>
      <c r="H1411" s="24" t="s">
        <v>109</v>
      </c>
      <c r="I1411" s="32" t="s">
        <v>152</v>
      </c>
      <c r="K1411" s="181"/>
      <c r="L1411" s="181"/>
    </row>
    <row r="1412" spans="1:12" x14ac:dyDescent="0.35">
      <c r="A1412" s="19">
        <v>45850</v>
      </c>
      <c r="B1412" s="20"/>
      <c r="C1412" s="20"/>
      <c r="D1412" s="20">
        <v>4000</v>
      </c>
      <c r="E1412" s="99" t="s">
        <v>733</v>
      </c>
      <c r="F1412" s="20">
        <f t="shared" si="21"/>
        <v>231101016</v>
      </c>
      <c r="G1412" s="7" t="s">
        <v>330</v>
      </c>
      <c r="H1412" s="24" t="s">
        <v>109</v>
      </c>
      <c r="I1412" s="32" t="s">
        <v>152</v>
      </c>
      <c r="K1412" s="181"/>
      <c r="L1412" s="181"/>
    </row>
    <row r="1413" spans="1:12" x14ac:dyDescent="0.35">
      <c r="A1413" s="19">
        <v>45850</v>
      </c>
      <c r="B1413" s="20"/>
      <c r="C1413" s="20"/>
      <c r="D1413" s="20">
        <v>4000</v>
      </c>
      <c r="E1413" s="99" t="s">
        <v>733</v>
      </c>
      <c r="F1413" s="20">
        <f t="shared" si="21"/>
        <v>231105016</v>
      </c>
      <c r="G1413" s="7" t="s">
        <v>330</v>
      </c>
      <c r="H1413" s="24" t="s">
        <v>109</v>
      </c>
      <c r="I1413" s="32" t="s">
        <v>152</v>
      </c>
      <c r="K1413" s="181"/>
      <c r="L1413" s="181"/>
    </row>
    <row r="1414" spans="1:12" x14ac:dyDescent="0.35">
      <c r="A1414" s="19">
        <v>45850</v>
      </c>
      <c r="B1414" s="20"/>
      <c r="C1414" s="20"/>
      <c r="D1414" s="20">
        <v>4000</v>
      </c>
      <c r="E1414" s="99" t="s">
        <v>733</v>
      </c>
      <c r="F1414" s="20">
        <f t="shared" si="21"/>
        <v>231109016</v>
      </c>
      <c r="G1414" s="7" t="s">
        <v>330</v>
      </c>
      <c r="H1414" s="24" t="s">
        <v>109</v>
      </c>
      <c r="I1414" s="32" t="s">
        <v>152</v>
      </c>
      <c r="K1414" s="181"/>
      <c r="L1414" s="181"/>
    </row>
    <row r="1415" spans="1:12" x14ac:dyDescent="0.35">
      <c r="A1415" s="19">
        <v>45850</v>
      </c>
      <c r="B1415" s="20"/>
      <c r="C1415" s="20"/>
      <c r="D1415" s="20">
        <v>4000</v>
      </c>
      <c r="E1415" s="99" t="s">
        <v>733</v>
      </c>
      <c r="F1415" s="20">
        <f t="shared" si="21"/>
        <v>231113016</v>
      </c>
      <c r="G1415" s="7" t="s">
        <v>330</v>
      </c>
      <c r="H1415" s="24" t="s">
        <v>109</v>
      </c>
      <c r="I1415" s="32" t="s">
        <v>152</v>
      </c>
      <c r="K1415" s="181"/>
      <c r="L1415" s="181"/>
    </row>
    <row r="1416" spans="1:12" x14ac:dyDescent="0.35">
      <c r="A1416" s="19">
        <v>45850</v>
      </c>
      <c r="B1416" s="20">
        <v>750000</v>
      </c>
      <c r="C1416" s="20"/>
      <c r="D1416" s="20"/>
      <c r="E1416" s="99" t="s">
        <v>733</v>
      </c>
      <c r="F1416" s="20">
        <f t="shared" si="21"/>
        <v>230363016</v>
      </c>
      <c r="G1416" s="7" t="s">
        <v>93</v>
      </c>
      <c r="H1416" s="24" t="s">
        <v>323</v>
      </c>
      <c r="I1416" s="32" t="s">
        <v>152</v>
      </c>
      <c r="K1416" s="181"/>
      <c r="L1416" s="181"/>
    </row>
    <row r="1417" spans="1:12" x14ac:dyDescent="0.35">
      <c r="A1417" s="19">
        <v>45850</v>
      </c>
      <c r="B1417" s="20">
        <v>6500</v>
      </c>
      <c r="C1417" s="20"/>
      <c r="D1417" s="20"/>
      <c r="E1417" s="99" t="s">
        <v>733</v>
      </c>
      <c r="F1417" s="20">
        <f t="shared" si="21"/>
        <v>230356516</v>
      </c>
      <c r="G1417" s="7" t="s">
        <v>93</v>
      </c>
      <c r="H1417" s="24" t="s">
        <v>323</v>
      </c>
      <c r="I1417" s="32" t="s">
        <v>152</v>
      </c>
      <c r="K1417" s="181"/>
      <c r="L1417" s="181"/>
    </row>
    <row r="1418" spans="1:12" x14ac:dyDescent="0.35">
      <c r="A1418" s="19">
        <v>45850</v>
      </c>
      <c r="B1418" s="20"/>
      <c r="C1418" s="20"/>
      <c r="D1418" s="20">
        <v>50000</v>
      </c>
      <c r="E1418" s="99" t="s">
        <v>733</v>
      </c>
      <c r="F1418" s="20">
        <f t="shared" ref="F1418:F1481" si="22">+F1417+D1418-B1418</f>
        <v>230406516</v>
      </c>
      <c r="G1418" s="7" t="s">
        <v>330</v>
      </c>
      <c r="H1418" s="24" t="s">
        <v>109</v>
      </c>
      <c r="I1418" s="32" t="s">
        <v>152</v>
      </c>
      <c r="K1418" s="181"/>
      <c r="L1418" s="181"/>
    </row>
    <row r="1419" spans="1:12" x14ac:dyDescent="0.35">
      <c r="A1419" s="19">
        <v>45850</v>
      </c>
      <c r="B1419" s="20"/>
      <c r="C1419" s="20"/>
      <c r="D1419" s="20">
        <v>20000</v>
      </c>
      <c r="E1419" s="99" t="s">
        <v>733</v>
      </c>
      <c r="F1419" s="20">
        <f t="shared" si="22"/>
        <v>230426516</v>
      </c>
      <c r="G1419" s="7" t="s">
        <v>330</v>
      </c>
      <c r="H1419" s="24" t="s">
        <v>109</v>
      </c>
      <c r="I1419" s="32" t="s">
        <v>152</v>
      </c>
      <c r="K1419" s="181"/>
      <c r="L1419" s="181"/>
    </row>
    <row r="1420" spans="1:12" x14ac:dyDescent="0.35">
      <c r="A1420" s="19">
        <v>45850</v>
      </c>
      <c r="B1420" s="20"/>
      <c r="C1420" s="20"/>
      <c r="D1420" s="20">
        <v>100000</v>
      </c>
      <c r="E1420" s="99" t="s">
        <v>733</v>
      </c>
      <c r="F1420" s="20">
        <f t="shared" si="22"/>
        <v>230526516</v>
      </c>
      <c r="G1420" s="7" t="s">
        <v>330</v>
      </c>
      <c r="H1420" s="24" t="s">
        <v>109</v>
      </c>
      <c r="I1420" s="32" t="s">
        <v>152</v>
      </c>
      <c r="K1420" s="181"/>
      <c r="L1420" s="181"/>
    </row>
    <row r="1421" spans="1:12" x14ac:dyDescent="0.35">
      <c r="A1421" s="19">
        <v>45850</v>
      </c>
      <c r="B1421" s="20"/>
      <c r="C1421" s="20"/>
      <c r="D1421" s="20">
        <v>20000</v>
      </c>
      <c r="E1421" s="99" t="s">
        <v>733</v>
      </c>
      <c r="F1421" s="20">
        <f t="shared" si="22"/>
        <v>230546516</v>
      </c>
      <c r="G1421" s="7" t="s">
        <v>330</v>
      </c>
      <c r="H1421" s="24" t="s">
        <v>109</v>
      </c>
      <c r="I1421" s="32" t="s">
        <v>152</v>
      </c>
      <c r="K1421" s="181"/>
      <c r="L1421" s="181"/>
    </row>
    <row r="1422" spans="1:12" x14ac:dyDescent="0.35">
      <c r="A1422" s="19">
        <v>45850</v>
      </c>
      <c r="B1422" s="20"/>
      <c r="C1422" s="20"/>
      <c r="D1422" s="20">
        <v>20000</v>
      </c>
      <c r="E1422" s="99" t="s">
        <v>733</v>
      </c>
      <c r="F1422" s="20">
        <f t="shared" si="22"/>
        <v>230566516</v>
      </c>
      <c r="G1422" s="7" t="s">
        <v>330</v>
      </c>
      <c r="H1422" s="24" t="s">
        <v>109</v>
      </c>
      <c r="I1422" s="32" t="s">
        <v>152</v>
      </c>
      <c r="K1422" s="181"/>
      <c r="L1422" s="181"/>
    </row>
    <row r="1423" spans="1:12" x14ac:dyDescent="0.35">
      <c r="A1423" s="19">
        <v>45850</v>
      </c>
      <c r="B1423" s="20"/>
      <c r="C1423" s="20"/>
      <c r="D1423" s="20">
        <v>10000</v>
      </c>
      <c r="E1423" s="99" t="s">
        <v>733</v>
      </c>
      <c r="F1423" s="20">
        <f t="shared" si="22"/>
        <v>230576516</v>
      </c>
      <c r="G1423" s="7" t="s">
        <v>330</v>
      </c>
      <c r="H1423" s="24" t="s">
        <v>109</v>
      </c>
      <c r="I1423" s="32" t="s">
        <v>152</v>
      </c>
      <c r="K1423" s="181"/>
      <c r="L1423" s="181"/>
    </row>
    <row r="1424" spans="1:12" x14ac:dyDescent="0.35">
      <c r="A1424" s="19">
        <v>45850</v>
      </c>
      <c r="B1424" s="20"/>
      <c r="C1424" s="20"/>
      <c r="D1424" s="20">
        <v>50000</v>
      </c>
      <c r="E1424" s="99" t="s">
        <v>733</v>
      </c>
      <c r="F1424" s="20">
        <f t="shared" si="22"/>
        <v>230626516</v>
      </c>
      <c r="G1424" s="7" t="s">
        <v>330</v>
      </c>
      <c r="H1424" s="24" t="s">
        <v>109</v>
      </c>
      <c r="I1424" s="32" t="s">
        <v>152</v>
      </c>
      <c r="K1424" s="181"/>
      <c r="L1424" s="181"/>
    </row>
    <row r="1425" spans="1:12" x14ac:dyDescent="0.35">
      <c r="A1425" s="19">
        <v>45850</v>
      </c>
      <c r="B1425" s="20"/>
      <c r="C1425" s="20"/>
      <c r="D1425" s="20">
        <v>20000</v>
      </c>
      <c r="E1425" s="99" t="s">
        <v>733</v>
      </c>
      <c r="F1425" s="20">
        <f t="shared" si="22"/>
        <v>230646516</v>
      </c>
      <c r="G1425" s="7" t="s">
        <v>330</v>
      </c>
      <c r="H1425" s="24" t="s">
        <v>109</v>
      </c>
      <c r="I1425" s="32" t="s">
        <v>152</v>
      </c>
      <c r="K1425" s="181"/>
      <c r="L1425" s="181"/>
    </row>
    <row r="1426" spans="1:12" x14ac:dyDescent="0.35">
      <c r="A1426" s="19">
        <v>45850</v>
      </c>
      <c r="B1426" s="20"/>
      <c r="C1426" s="20"/>
      <c r="D1426" s="20">
        <v>10000</v>
      </c>
      <c r="E1426" s="99" t="s">
        <v>733</v>
      </c>
      <c r="F1426" s="20">
        <f t="shared" si="22"/>
        <v>230656516</v>
      </c>
      <c r="G1426" s="7" t="s">
        <v>330</v>
      </c>
      <c r="H1426" s="24" t="s">
        <v>109</v>
      </c>
      <c r="I1426" s="32" t="s">
        <v>152</v>
      </c>
      <c r="K1426" s="181"/>
      <c r="L1426" s="181"/>
    </row>
    <row r="1427" spans="1:12" x14ac:dyDescent="0.35">
      <c r="A1427" s="19">
        <v>45850</v>
      </c>
      <c r="B1427" s="20"/>
      <c r="C1427" s="20"/>
      <c r="D1427" s="20">
        <v>5000</v>
      </c>
      <c r="E1427" s="99" t="s">
        <v>733</v>
      </c>
      <c r="F1427" s="20">
        <f t="shared" si="22"/>
        <v>230661516</v>
      </c>
      <c r="G1427" s="7" t="s">
        <v>330</v>
      </c>
      <c r="H1427" s="24" t="s">
        <v>109</v>
      </c>
      <c r="I1427" s="32" t="s">
        <v>152</v>
      </c>
      <c r="K1427" s="181"/>
      <c r="L1427" s="181"/>
    </row>
    <row r="1428" spans="1:12" x14ac:dyDescent="0.35">
      <c r="A1428" s="19">
        <v>45850</v>
      </c>
      <c r="B1428" s="20">
        <v>60000</v>
      </c>
      <c r="C1428" s="20"/>
      <c r="D1428" s="20"/>
      <c r="E1428" s="99" t="s">
        <v>733</v>
      </c>
      <c r="F1428" s="20">
        <f t="shared" si="22"/>
        <v>230601516</v>
      </c>
      <c r="G1428" s="7" t="s">
        <v>755</v>
      </c>
      <c r="H1428" s="24" t="s">
        <v>320</v>
      </c>
      <c r="I1428" s="32" t="s">
        <v>152</v>
      </c>
      <c r="K1428" s="181"/>
      <c r="L1428" s="181"/>
    </row>
    <row r="1429" spans="1:12" x14ac:dyDescent="0.35">
      <c r="A1429" s="19">
        <v>45850</v>
      </c>
      <c r="B1429" s="20">
        <v>6500</v>
      </c>
      <c r="C1429" s="20"/>
      <c r="D1429" s="20"/>
      <c r="E1429" s="99" t="s">
        <v>733</v>
      </c>
      <c r="F1429" s="20">
        <f t="shared" si="22"/>
        <v>230595016</v>
      </c>
      <c r="G1429" s="7" t="s">
        <v>755</v>
      </c>
      <c r="H1429" s="24" t="s">
        <v>320</v>
      </c>
      <c r="I1429" s="32" t="s">
        <v>152</v>
      </c>
      <c r="K1429" s="181"/>
      <c r="L1429" s="181"/>
    </row>
    <row r="1430" spans="1:12" x14ac:dyDescent="0.35">
      <c r="A1430" s="19">
        <v>45851</v>
      </c>
      <c r="B1430" s="20">
        <v>750000</v>
      </c>
      <c r="C1430" s="20"/>
      <c r="D1430" s="20"/>
      <c r="E1430" s="99" t="s">
        <v>733</v>
      </c>
      <c r="F1430" s="20">
        <f t="shared" si="22"/>
        <v>229845016</v>
      </c>
      <c r="G1430" s="7" t="s">
        <v>276</v>
      </c>
      <c r="H1430" s="24" t="s">
        <v>323</v>
      </c>
      <c r="I1430" s="32" t="s">
        <v>152</v>
      </c>
      <c r="K1430" s="181"/>
      <c r="L1430" s="181"/>
    </row>
    <row r="1431" spans="1:12" x14ac:dyDescent="0.35">
      <c r="A1431" s="19">
        <v>45851</v>
      </c>
      <c r="B1431" s="20"/>
      <c r="C1431" s="20"/>
      <c r="D1431" s="20">
        <v>50000</v>
      </c>
      <c r="E1431" s="99" t="s">
        <v>733</v>
      </c>
      <c r="F1431" s="20">
        <f t="shared" si="22"/>
        <v>229895016</v>
      </c>
      <c r="G1431" s="7" t="s">
        <v>330</v>
      </c>
      <c r="H1431" s="24" t="s">
        <v>109</v>
      </c>
      <c r="I1431" s="32" t="s">
        <v>152</v>
      </c>
      <c r="K1431" s="181"/>
      <c r="L1431" s="181"/>
    </row>
    <row r="1432" spans="1:12" x14ac:dyDescent="0.35">
      <c r="A1432" s="19">
        <v>45851</v>
      </c>
      <c r="B1432" s="20"/>
      <c r="C1432" s="20"/>
      <c r="D1432" s="20">
        <v>2900</v>
      </c>
      <c r="E1432" s="99" t="s">
        <v>733</v>
      </c>
      <c r="F1432" s="20">
        <f t="shared" si="22"/>
        <v>229897916</v>
      </c>
      <c r="G1432" s="7" t="s">
        <v>306</v>
      </c>
      <c r="H1432" s="24" t="s">
        <v>140</v>
      </c>
      <c r="I1432" s="32" t="s">
        <v>152</v>
      </c>
      <c r="K1432" s="181"/>
      <c r="L1432" s="181"/>
    </row>
    <row r="1433" spans="1:12" x14ac:dyDescent="0.35">
      <c r="A1433" s="19">
        <v>45851</v>
      </c>
      <c r="B1433" s="20">
        <v>2000000</v>
      </c>
      <c r="C1433" s="20"/>
      <c r="D1433" s="20"/>
      <c r="E1433" s="99" t="s">
        <v>733</v>
      </c>
      <c r="F1433" s="20">
        <f t="shared" si="22"/>
        <v>227897916</v>
      </c>
      <c r="G1433" s="7" t="s">
        <v>756</v>
      </c>
      <c r="H1433" s="24" t="s">
        <v>200</v>
      </c>
      <c r="I1433" s="32" t="s">
        <v>152</v>
      </c>
      <c r="K1433" s="181"/>
      <c r="L1433" s="181"/>
    </row>
    <row r="1434" spans="1:12" x14ac:dyDescent="0.35">
      <c r="A1434" s="19">
        <v>45851</v>
      </c>
      <c r="B1434" s="20">
        <v>6500</v>
      </c>
      <c r="C1434" s="20"/>
      <c r="D1434" s="20"/>
      <c r="E1434" s="99" t="s">
        <v>733</v>
      </c>
      <c r="F1434" s="20">
        <f t="shared" si="22"/>
        <v>227891416</v>
      </c>
      <c r="G1434" s="7" t="s">
        <v>756</v>
      </c>
      <c r="H1434" s="24" t="s">
        <v>200</v>
      </c>
      <c r="I1434" s="32" t="s">
        <v>152</v>
      </c>
      <c r="K1434" s="181"/>
      <c r="L1434" s="181"/>
    </row>
    <row r="1435" spans="1:12" x14ac:dyDescent="0.35">
      <c r="A1435" s="19">
        <v>45852</v>
      </c>
      <c r="B1435" s="20"/>
      <c r="C1435" s="20"/>
      <c r="D1435" s="20">
        <v>20000</v>
      </c>
      <c r="E1435" s="99" t="s">
        <v>733</v>
      </c>
      <c r="F1435" s="20">
        <f t="shared" si="22"/>
        <v>227911416</v>
      </c>
      <c r="G1435" s="7" t="s">
        <v>330</v>
      </c>
      <c r="H1435" s="24" t="s">
        <v>109</v>
      </c>
      <c r="I1435" s="32" t="s">
        <v>152</v>
      </c>
      <c r="K1435" s="181"/>
      <c r="L1435" s="181"/>
    </row>
    <row r="1436" spans="1:12" x14ac:dyDescent="0.35">
      <c r="A1436" s="19">
        <v>45852</v>
      </c>
      <c r="B1436" s="20"/>
      <c r="C1436" s="20"/>
      <c r="D1436" s="20">
        <v>20000</v>
      </c>
      <c r="E1436" s="99" t="s">
        <v>733</v>
      </c>
      <c r="F1436" s="20">
        <f t="shared" si="22"/>
        <v>227931416</v>
      </c>
      <c r="G1436" s="7" t="s">
        <v>330</v>
      </c>
      <c r="H1436" s="24" t="s">
        <v>109</v>
      </c>
      <c r="I1436" s="32" t="s">
        <v>152</v>
      </c>
      <c r="K1436" s="181"/>
      <c r="L1436" s="181"/>
    </row>
    <row r="1437" spans="1:12" x14ac:dyDescent="0.35">
      <c r="A1437" s="19">
        <v>45852</v>
      </c>
      <c r="B1437" s="20"/>
      <c r="C1437" s="20"/>
      <c r="D1437" s="20">
        <v>25000</v>
      </c>
      <c r="E1437" s="99" t="s">
        <v>733</v>
      </c>
      <c r="F1437" s="20">
        <f t="shared" si="22"/>
        <v>227956416</v>
      </c>
      <c r="G1437" s="7" t="s">
        <v>330</v>
      </c>
      <c r="H1437" s="24" t="s">
        <v>109</v>
      </c>
      <c r="I1437" s="32" t="s">
        <v>152</v>
      </c>
      <c r="K1437" s="181"/>
      <c r="L1437" s="181"/>
    </row>
    <row r="1438" spans="1:12" x14ac:dyDescent="0.35">
      <c r="A1438" s="19">
        <v>45852</v>
      </c>
      <c r="B1438" s="20"/>
      <c r="C1438" s="20"/>
      <c r="D1438" s="20">
        <v>2247000</v>
      </c>
      <c r="E1438" s="99" t="s">
        <v>733</v>
      </c>
      <c r="F1438" s="20">
        <f t="shared" si="22"/>
        <v>230203416</v>
      </c>
      <c r="G1438" s="7"/>
      <c r="H1438" s="24" t="s">
        <v>107</v>
      </c>
      <c r="I1438" s="32" t="s">
        <v>152</v>
      </c>
      <c r="K1438" s="181"/>
      <c r="L1438" s="181"/>
    </row>
    <row r="1439" spans="1:12" x14ac:dyDescent="0.35">
      <c r="A1439" s="19">
        <v>45852</v>
      </c>
      <c r="B1439" s="20"/>
      <c r="C1439" s="20"/>
      <c r="D1439" s="20">
        <v>1323000</v>
      </c>
      <c r="E1439" s="99" t="s">
        <v>733</v>
      </c>
      <c r="F1439" s="20">
        <f t="shared" si="22"/>
        <v>231526416</v>
      </c>
      <c r="G1439" s="7"/>
      <c r="H1439" s="24" t="s">
        <v>109</v>
      </c>
      <c r="I1439" s="32" t="s">
        <v>152</v>
      </c>
      <c r="K1439" s="181"/>
      <c r="L1439" s="181"/>
    </row>
    <row r="1440" spans="1:12" x14ac:dyDescent="0.35">
      <c r="A1440" s="19"/>
      <c r="B1440" s="20"/>
      <c r="C1440" s="20">
        <v>3570000</v>
      </c>
      <c r="D1440" s="20"/>
      <c r="E1440" s="99"/>
      <c r="F1440" s="20">
        <f t="shared" si="22"/>
        <v>231526416</v>
      </c>
      <c r="G1440" s="7" t="s">
        <v>757</v>
      </c>
      <c r="H1440" s="24"/>
      <c r="I1440" s="32"/>
      <c r="K1440" s="181"/>
      <c r="L1440" s="181"/>
    </row>
    <row r="1441" spans="1:12" x14ac:dyDescent="0.35">
      <c r="A1441" s="19">
        <v>45853</v>
      </c>
      <c r="B1441" s="20"/>
      <c r="C1441" s="20"/>
      <c r="D1441" s="20">
        <v>10000</v>
      </c>
      <c r="E1441" s="99" t="s">
        <v>733</v>
      </c>
      <c r="F1441" s="20">
        <f t="shared" si="22"/>
        <v>231536416</v>
      </c>
      <c r="G1441" s="7" t="s">
        <v>330</v>
      </c>
      <c r="H1441" s="24" t="s">
        <v>109</v>
      </c>
      <c r="I1441" s="32" t="s">
        <v>152</v>
      </c>
      <c r="K1441" s="181"/>
      <c r="L1441" s="181"/>
    </row>
    <row r="1442" spans="1:12" x14ac:dyDescent="0.35">
      <c r="A1442" s="19">
        <v>45853</v>
      </c>
      <c r="B1442" s="20"/>
      <c r="C1442" s="20"/>
      <c r="D1442" s="20">
        <v>20000</v>
      </c>
      <c r="E1442" s="99" t="s">
        <v>733</v>
      </c>
      <c r="F1442" s="20">
        <f t="shared" si="22"/>
        <v>231556416</v>
      </c>
      <c r="G1442" s="7" t="s">
        <v>330</v>
      </c>
      <c r="H1442" s="24" t="s">
        <v>109</v>
      </c>
      <c r="I1442" s="32" t="s">
        <v>152</v>
      </c>
      <c r="K1442" s="181"/>
      <c r="L1442" s="181"/>
    </row>
    <row r="1443" spans="1:12" x14ac:dyDescent="0.35">
      <c r="A1443" s="19">
        <v>45854</v>
      </c>
      <c r="B1443" s="20"/>
      <c r="C1443" s="20"/>
      <c r="D1443" s="20">
        <v>10000</v>
      </c>
      <c r="E1443" s="99" t="s">
        <v>733</v>
      </c>
      <c r="F1443" s="20">
        <f t="shared" si="22"/>
        <v>231566416</v>
      </c>
      <c r="G1443" s="7" t="s">
        <v>330</v>
      </c>
      <c r="H1443" s="24" t="s">
        <v>109</v>
      </c>
      <c r="I1443" s="32" t="s">
        <v>152</v>
      </c>
      <c r="K1443" s="181"/>
      <c r="L1443" s="181"/>
    </row>
    <row r="1444" spans="1:12" x14ac:dyDescent="0.35">
      <c r="A1444" s="19">
        <v>45854</v>
      </c>
      <c r="B1444" s="20"/>
      <c r="C1444" s="20"/>
      <c r="D1444" s="20">
        <v>200000</v>
      </c>
      <c r="E1444" s="99" t="s">
        <v>733</v>
      </c>
      <c r="F1444" s="20">
        <f t="shared" si="22"/>
        <v>231766416</v>
      </c>
      <c r="G1444" s="7" t="s">
        <v>330</v>
      </c>
      <c r="H1444" s="24" t="s">
        <v>109</v>
      </c>
      <c r="I1444" s="32" t="s">
        <v>152</v>
      </c>
      <c r="K1444" s="181"/>
      <c r="L1444" s="181"/>
    </row>
    <row r="1445" spans="1:12" x14ac:dyDescent="0.35">
      <c r="A1445" s="19">
        <v>45854</v>
      </c>
      <c r="B1445" s="20"/>
      <c r="C1445" s="20"/>
      <c r="D1445" s="20">
        <v>20000</v>
      </c>
      <c r="E1445" s="99" t="s">
        <v>733</v>
      </c>
      <c r="F1445" s="20">
        <f t="shared" si="22"/>
        <v>231786416</v>
      </c>
      <c r="G1445" s="7" t="s">
        <v>330</v>
      </c>
      <c r="H1445" s="24" t="s">
        <v>109</v>
      </c>
      <c r="I1445" s="32" t="s">
        <v>152</v>
      </c>
      <c r="K1445" s="181"/>
      <c r="L1445" s="181"/>
    </row>
    <row r="1446" spans="1:12" x14ac:dyDescent="0.35">
      <c r="A1446" s="19">
        <v>45855</v>
      </c>
      <c r="B1446" s="20"/>
      <c r="C1446" s="20"/>
      <c r="D1446" s="20">
        <v>10000</v>
      </c>
      <c r="E1446" s="99" t="s">
        <v>733</v>
      </c>
      <c r="F1446" s="20">
        <f t="shared" si="22"/>
        <v>231796416</v>
      </c>
      <c r="G1446" s="7" t="s">
        <v>330</v>
      </c>
      <c r="H1446" s="24" t="s">
        <v>109</v>
      </c>
      <c r="I1446" s="32" t="s">
        <v>152</v>
      </c>
      <c r="K1446" s="181"/>
      <c r="L1446" s="181"/>
    </row>
    <row r="1447" spans="1:12" x14ac:dyDescent="0.35">
      <c r="A1447" s="19">
        <v>45855</v>
      </c>
      <c r="B1447" s="20"/>
      <c r="C1447" s="20"/>
      <c r="D1447" s="20">
        <v>20000</v>
      </c>
      <c r="E1447" s="99" t="s">
        <v>733</v>
      </c>
      <c r="F1447" s="20">
        <f t="shared" si="22"/>
        <v>231816416</v>
      </c>
      <c r="G1447" s="7" t="s">
        <v>330</v>
      </c>
      <c r="H1447" s="24" t="s">
        <v>109</v>
      </c>
      <c r="I1447" s="32" t="s">
        <v>152</v>
      </c>
      <c r="K1447" s="181"/>
      <c r="L1447" s="181"/>
    </row>
    <row r="1448" spans="1:12" x14ac:dyDescent="0.35">
      <c r="A1448" s="19">
        <v>45856</v>
      </c>
      <c r="B1448" s="20"/>
      <c r="C1448" s="20"/>
      <c r="D1448" s="20">
        <v>1600000</v>
      </c>
      <c r="E1448" s="99" t="s">
        <v>733</v>
      </c>
      <c r="F1448" s="20">
        <f t="shared" si="22"/>
        <v>233416416</v>
      </c>
      <c r="G1448" s="7" t="s">
        <v>330</v>
      </c>
      <c r="H1448" s="24" t="s">
        <v>109</v>
      </c>
      <c r="I1448" s="32" t="s">
        <v>152</v>
      </c>
      <c r="K1448" s="181"/>
      <c r="L1448" s="181"/>
    </row>
    <row r="1449" spans="1:12" x14ac:dyDescent="0.35">
      <c r="A1449" s="19">
        <v>45856</v>
      </c>
      <c r="B1449" s="20"/>
      <c r="C1449" s="20"/>
      <c r="D1449" s="20">
        <v>10000</v>
      </c>
      <c r="E1449" s="99" t="s">
        <v>733</v>
      </c>
      <c r="F1449" s="20">
        <f t="shared" si="22"/>
        <v>233426416</v>
      </c>
      <c r="G1449" s="7" t="s">
        <v>330</v>
      </c>
      <c r="H1449" s="24" t="s">
        <v>109</v>
      </c>
      <c r="I1449" s="32" t="s">
        <v>152</v>
      </c>
      <c r="K1449" s="181"/>
      <c r="L1449" s="181"/>
    </row>
    <row r="1450" spans="1:12" x14ac:dyDescent="0.35">
      <c r="A1450" s="19">
        <v>45856</v>
      </c>
      <c r="B1450" s="20"/>
      <c r="C1450" s="20"/>
      <c r="D1450" s="20">
        <v>50000</v>
      </c>
      <c r="E1450" s="99" t="s">
        <v>733</v>
      </c>
      <c r="F1450" s="20">
        <f t="shared" si="22"/>
        <v>233476416</v>
      </c>
      <c r="G1450" s="7" t="s">
        <v>330</v>
      </c>
      <c r="H1450" s="24" t="s">
        <v>109</v>
      </c>
      <c r="I1450" s="32" t="s">
        <v>152</v>
      </c>
      <c r="K1450" s="181"/>
      <c r="L1450" s="181"/>
    </row>
    <row r="1451" spans="1:12" x14ac:dyDescent="0.35">
      <c r="A1451" s="19">
        <v>45856</v>
      </c>
      <c r="B1451" s="20"/>
      <c r="C1451" s="20"/>
      <c r="D1451" s="20">
        <v>20000</v>
      </c>
      <c r="E1451" s="99" t="s">
        <v>733</v>
      </c>
      <c r="F1451" s="20">
        <f t="shared" si="22"/>
        <v>233496416</v>
      </c>
      <c r="G1451" s="7" t="s">
        <v>330</v>
      </c>
      <c r="H1451" s="24" t="s">
        <v>109</v>
      </c>
      <c r="I1451" s="32" t="s">
        <v>152</v>
      </c>
      <c r="K1451" s="181"/>
      <c r="L1451" s="181"/>
    </row>
    <row r="1452" spans="1:12" x14ac:dyDescent="0.35">
      <c r="A1452" s="19">
        <v>45857</v>
      </c>
      <c r="B1452" s="20">
        <v>750000</v>
      </c>
      <c r="C1452" s="20"/>
      <c r="D1452" s="20"/>
      <c r="E1452" s="99" t="s">
        <v>733</v>
      </c>
      <c r="F1452" s="20">
        <f t="shared" si="22"/>
        <v>232746416</v>
      </c>
      <c r="G1452" s="7" t="s">
        <v>721</v>
      </c>
      <c r="H1452" s="24" t="s">
        <v>323</v>
      </c>
      <c r="I1452" s="32" t="s">
        <v>152</v>
      </c>
      <c r="K1452" s="181"/>
      <c r="L1452" s="181"/>
    </row>
    <row r="1453" spans="1:12" x14ac:dyDescent="0.35">
      <c r="A1453" s="19">
        <v>45857</v>
      </c>
      <c r="B1453" s="20"/>
      <c r="C1453" s="20"/>
      <c r="D1453" s="20">
        <v>100000</v>
      </c>
      <c r="E1453" s="99" t="s">
        <v>733</v>
      </c>
      <c r="F1453" s="20">
        <f t="shared" si="22"/>
        <v>232846416</v>
      </c>
      <c r="G1453" s="7" t="s">
        <v>330</v>
      </c>
      <c r="H1453" s="24" t="s">
        <v>109</v>
      </c>
      <c r="I1453" s="32" t="s">
        <v>152</v>
      </c>
      <c r="K1453" s="181"/>
      <c r="L1453" s="181"/>
    </row>
    <row r="1454" spans="1:12" x14ac:dyDescent="0.35">
      <c r="A1454" s="19">
        <v>45857</v>
      </c>
      <c r="B1454" s="20"/>
      <c r="C1454" s="20"/>
      <c r="D1454" s="20">
        <v>10000</v>
      </c>
      <c r="E1454" s="99" t="s">
        <v>733</v>
      </c>
      <c r="F1454" s="20">
        <f t="shared" si="22"/>
        <v>232856416</v>
      </c>
      <c r="G1454" s="7" t="s">
        <v>330</v>
      </c>
      <c r="H1454" s="24" t="s">
        <v>109</v>
      </c>
      <c r="I1454" s="32" t="s">
        <v>152</v>
      </c>
      <c r="K1454" s="181"/>
      <c r="L1454" s="181"/>
    </row>
    <row r="1455" spans="1:12" x14ac:dyDescent="0.35">
      <c r="A1455" s="19">
        <v>45857</v>
      </c>
      <c r="B1455" s="20"/>
      <c r="C1455" s="20"/>
      <c r="D1455" s="20">
        <v>20000</v>
      </c>
      <c r="E1455" s="99" t="s">
        <v>733</v>
      </c>
      <c r="F1455" s="20">
        <f t="shared" si="22"/>
        <v>232876416</v>
      </c>
      <c r="G1455" s="7" t="s">
        <v>330</v>
      </c>
      <c r="H1455" s="24" t="s">
        <v>109</v>
      </c>
      <c r="I1455" s="32" t="s">
        <v>152</v>
      </c>
      <c r="K1455" s="181"/>
      <c r="L1455" s="181"/>
    </row>
    <row r="1456" spans="1:12" x14ac:dyDescent="0.35">
      <c r="A1456" s="19">
        <v>45857</v>
      </c>
      <c r="B1456" s="20"/>
      <c r="C1456" s="20"/>
      <c r="D1456" s="20">
        <v>100000</v>
      </c>
      <c r="E1456" s="99" t="s">
        <v>733</v>
      </c>
      <c r="F1456" s="20">
        <f t="shared" si="22"/>
        <v>232976416</v>
      </c>
      <c r="G1456" s="7" t="s">
        <v>330</v>
      </c>
      <c r="H1456" s="24" t="s">
        <v>109</v>
      </c>
      <c r="I1456" s="32" t="s">
        <v>152</v>
      </c>
      <c r="K1456" s="181"/>
      <c r="L1456" s="181"/>
    </row>
    <row r="1457" spans="1:12" x14ac:dyDescent="0.35">
      <c r="A1457" s="19">
        <v>45857</v>
      </c>
      <c r="B1457" s="20"/>
      <c r="C1457" s="20"/>
      <c r="D1457" s="20">
        <v>50000</v>
      </c>
      <c r="E1457" s="99" t="s">
        <v>733</v>
      </c>
      <c r="F1457" s="20">
        <f t="shared" si="22"/>
        <v>233026416</v>
      </c>
      <c r="G1457" s="7" t="s">
        <v>330</v>
      </c>
      <c r="H1457" s="24" t="s">
        <v>109</v>
      </c>
      <c r="I1457" s="32" t="s">
        <v>152</v>
      </c>
      <c r="K1457" s="181"/>
      <c r="L1457" s="181"/>
    </row>
    <row r="1458" spans="1:12" x14ac:dyDescent="0.35">
      <c r="A1458" s="19">
        <v>45857</v>
      </c>
      <c r="B1458" s="20"/>
      <c r="C1458" s="20"/>
      <c r="D1458" s="20">
        <v>50000</v>
      </c>
      <c r="E1458" s="99" t="s">
        <v>733</v>
      </c>
      <c r="F1458" s="20">
        <f t="shared" si="22"/>
        <v>233076416</v>
      </c>
      <c r="G1458" s="7" t="s">
        <v>330</v>
      </c>
      <c r="H1458" s="24" t="s">
        <v>109</v>
      </c>
      <c r="I1458" s="32" t="s">
        <v>152</v>
      </c>
      <c r="K1458" s="181"/>
      <c r="L1458" s="181"/>
    </row>
    <row r="1459" spans="1:12" x14ac:dyDescent="0.35">
      <c r="A1459" s="19">
        <v>45857</v>
      </c>
      <c r="B1459" s="20"/>
      <c r="C1459" s="20"/>
      <c r="D1459" s="20">
        <v>10000</v>
      </c>
      <c r="E1459" s="99" t="s">
        <v>733</v>
      </c>
      <c r="F1459" s="20">
        <f t="shared" si="22"/>
        <v>233086416</v>
      </c>
      <c r="G1459" s="7" t="s">
        <v>330</v>
      </c>
      <c r="H1459" s="24" t="s">
        <v>109</v>
      </c>
      <c r="I1459" s="32" t="s">
        <v>152</v>
      </c>
      <c r="K1459" s="181"/>
      <c r="L1459" s="181"/>
    </row>
    <row r="1460" spans="1:12" x14ac:dyDescent="0.35">
      <c r="A1460" s="19">
        <v>45857</v>
      </c>
      <c r="B1460" s="20"/>
      <c r="C1460" s="20"/>
      <c r="D1460" s="20">
        <v>20000</v>
      </c>
      <c r="E1460" s="99" t="s">
        <v>733</v>
      </c>
      <c r="F1460" s="20">
        <f t="shared" si="22"/>
        <v>233106416</v>
      </c>
      <c r="G1460" s="7" t="s">
        <v>330</v>
      </c>
      <c r="H1460" s="24" t="s">
        <v>109</v>
      </c>
      <c r="I1460" s="32" t="s">
        <v>152</v>
      </c>
      <c r="K1460" s="181"/>
      <c r="L1460" s="181"/>
    </row>
    <row r="1461" spans="1:12" x14ac:dyDescent="0.35">
      <c r="A1461" s="19">
        <v>45857</v>
      </c>
      <c r="B1461" s="20"/>
      <c r="C1461" s="20"/>
      <c r="D1461" s="20">
        <v>50000</v>
      </c>
      <c r="E1461" s="99" t="s">
        <v>733</v>
      </c>
      <c r="F1461" s="20">
        <f t="shared" si="22"/>
        <v>233156416</v>
      </c>
      <c r="G1461" s="7" t="s">
        <v>330</v>
      </c>
      <c r="H1461" s="24" t="s">
        <v>109</v>
      </c>
      <c r="I1461" s="32" t="s">
        <v>152</v>
      </c>
      <c r="K1461" s="181"/>
      <c r="L1461" s="181"/>
    </row>
    <row r="1462" spans="1:12" x14ac:dyDescent="0.35">
      <c r="A1462" s="19">
        <v>45857</v>
      </c>
      <c r="B1462" s="20"/>
      <c r="C1462" s="20"/>
      <c r="D1462" s="20">
        <v>50000</v>
      </c>
      <c r="E1462" s="99" t="s">
        <v>733</v>
      </c>
      <c r="F1462" s="20">
        <f t="shared" si="22"/>
        <v>233206416</v>
      </c>
      <c r="G1462" s="7" t="s">
        <v>330</v>
      </c>
      <c r="H1462" s="24" t="s">
        <v>109</v>
      </c>
      <c r="I1462" s="32" t="s">
        <v>152</v>
      </c>
      <c r="K1462" s="181"/>
      <c r="L1462" s="181"/>
    </row>
    <row r="1463" spans="1:12" x14ac:dyDescent="0.35">
      <c r="A1463" s="19">
        <v>45858</v>
      </c>
      <c r="B1463" s="20">
        <v>750000</v>
      </c>
      <c r="C1463" s="20"/>
      <c r="D1463" s="20"/>
      <c r="E1463" s="99" t="s">
        <v>733</v>
      </c>
      <c r="F1463" s="20">
        <f t="shared" si="22"/>
        <v>232456416</v>
      </c>
      <c r="G1463" s="7" t="s">
        <v>547</v>
      </c>
      <c r="H1463" s="24" t="s">
        <v>323</v>
      </c>
      <c r="I1463" s="32" t="s">
        <v>152</v>
      </c>
      <c r="K1463" s="181"/>
      <c r="L1463" s="181"/>
    </row>
    <row r="1464" spans="1:12" x14ac:dyDescent="0.35">
      <c r="A1464" s="19">
        <v>45858</v>
      </c>
      <c r="B1464" s="20">
        <v>6500</v>
      </c>
      <c r="C1464" s="20"/>
      <c r="D1464" s="20"/>
      <c r="E1464" s="99" t="s">
        <v>733</v>
      </c>
      <c r="F1464" s="20">
        <f t="shared" si="22"/>
        <v>232449916</v>
      </c>
      <c r="G1464" s="7" t="s">
        <v>547</v>
      </c>
      <c r="H1464" s="24" t="s">
        <v>323</v>
      </c>
      <c r="I1464" s="32" t="s">
        <v>152</v>
      </c>
      <c r="K1464" s="181"/>
      <c r="L1464" s="181"/>
    </row>
    <row r="1465" spans="1:12" x14ac:dyDescent="0.35">
      <c r="A1465" s="19">
        <v>45858</v>
      </c>
      <c r="B1465" s="20"/>
      <c r="C1465" s="20"/>
      <c r="D1465" s="20">
        <v>50000</v>
      </c>
      <c r="E1465" s="99" t="s">
        <v>733</v>
      </c>
      <c r="F1465" s="20">
        <f t="shared" si="22"/>
        <v>232499916</v>
      </c>
      <c r="G1465" s="7" t="s">
        <v>330</v>
      </c>
      <c r="H1465" s="24" t="s">
        <v>109</v>
      </c>
      <c r="I1465" s="32" t="s">
        <v>152</v>
      </c>
      <c r="K1465" s="181"/>
      <c r="L1465" s="181"/>
    </row>
    <row r="1466" spans="1:12" x14ac:dyDescent="0.35">
      <c r="A1466" s="19">
        <v>45858</v>
      </c>
      <c r="B1466" s="20"/>
      <c r="C1466" s="20"/>
      <c r="D1466" s="20">
        <v>10000</v>
      </c>
      <c r="E1466" s="99" t="s">
        <v>733</v>
      </c>
      <c r="F1466" s="20">
        <f t="shared" si="22"/>
        <v>232509916</v>
      </c>
      <c r="G1466" s="7" t="s">
        <v>330</v>
      </c>
      <c r="H1466" s="24" t="s">
        <v>109</v>
      </c>
      <c r="I1466" s="32" t="s">
        <v>152</v>
      </c>
      <c r="K1466" s="181"/>
      <c r="L1466" s="181"/>
    </row>
    <row r="1467" spans="1:12" x14ac:dyDescent="0.35">
      <c r="A1467" s="19">
        <v>45858</v>
      </c>
      <c r="B1467" s="20"/>
      <c r="C1467" s="20"/>
      <c r="D1467" s="20">
        <v>100000</v>
      </c>
      <c r="E1467" s="99" t="s">
        <v>733</v>
      </c>
      <c r="F1467" s="20">
        <f t="shared" si="22"/>
        <v>232609916</v>
      </c>
      <c r="G1467" s="7" t="s">
        <v>330</v>
      </c>
      <c r="H1467" s="24" t="s">
        <v>109</v>
      </c>
      <c r="I1467" s="32" t="s">
        <v>152</v>
      </c>
      <c r="K1467" s="181"/>
      <c r="L1467" s="181"/>
    </row>
    <row r="1468" spans="1:12" x14ac:dyDescent="0.35">
      <c r="A1468" s="19">
        <v>45858</v>
      </c>
      <c r="B1468" s="20"/>
      <c r="C1468" s="20"/>
      <c r="D1468" s="20">
        <v>20000</v>
      </c>
      <c r="E1468" s="99" t="s">
        <v>733</v>
      </c>
      <c r="F1468" s="20">
        <f t="shared" si="22"/>
        <v>232629916</v>
      </c>
      <c r="G1468" s="7" t="s">
        <v>330</v>
      </c>
      <c r="H1468" s="24" t="s">
        <v>109</v>
      </c>
      <c r="I1468" s="32" t="s">
        <v>152</v>
      </c>
      <c r="K1468" s="181"/>
      <c r="L1468" s="181"/>
    </row>
    <row r="1469" spans="1:12" x14ac:dyDescent="0.35">
      <c r="A1469" s="19">
        <v>45858</v>
      </c>
      <c r="B1469" s="20"/>
      <c r="C1469" s="20"/>
      <c r="D1469" s="20">
        <v>25000</v>
      </c>
      <c r="E1469" s="99" t="s">
        <v>733</v>
      </c>
      <c r="F1469" s="20">
        <f t="shared" si="22"/>
        <v>232654916</v>
      </c>
      <c r="G1469" s="7" t="s">
        <v>330</v>
      </c>
      <c r="H1469" s="24" t="s">
        <v>109</v>
      </c>
      <c r="I1469" s="32" t="s">
        <v>152</v>
      </c>
      <c r="K1469" s="181"/>
      <c r="L1469" s="181"/>
    </row>
    <row r="1470" spans="1:12" x14ac:dyDescent="0.35">
      <c r="A1470" s="19">
        <v>45859</v>
      </c>
      <c r="B1470" s="20"/>
      <c r="C1470" s="20"/>
      <c r="D1470" s="20">
        <v>10000</v>
      </c>
      <c r="E1470" s="99" t="s">
        <v>733</v>
      </c>
      <c r="F1470" s="20">
        <f t="shared" si="22"/>
        <v>232664916</v>
      </c>
      <c r="G1470" s="7" t="s">
        <v>330</v>
      </c>
      <c r="H1470" s="24" t="s">
        <v>109</v>
      </c>
      <c r="I1470" s="32" t="s">
        <v>152</v>
      </c>
      <c r="K1470" s="181"/>
      <c r="L1470" s="181"/>
    </row>
    <row r="1471" spans="1:12" x14ac:dyDescent="0.35">
      <c r="A1471" s="19">
        <v>45859</v>
      </c>
      <c r="B1471" s="20"/>
      <c r="C1471" s="20"/>
      <c r="D1471" s="20">
        <v>25000</v>
      </c>
      <c r="E1471" s="99" t="s">
        <v>733</v>
      </c>
      <c r="F1471" s="20">
        <f t="shared" si="22"/>
        <v>232689916</v>
      </c>
      <c r="G1471" s="7" t="s">
        <v>330</v>
      </c>
      <c r="H1471" s="24" t="s">
        <v>109</v>
      </c>
      <c r="I1471" s="32" t="s">
        <v>152</v>
      </c>
      <c r="K1471" s="181"/>
      <c r="L1471" s="181"/>
    </row>
    <row r="1472" spans="1:12" x14ac:dyDescent="0.35">
      <c r="A1472" s="19">
        <v>45859</v>
      </c>
      <c r="B1472" s="20"/>
      <c r="C1472" s="20"/>
      <c r="D1472" s="20">
        <f>3169000-985000</f>
        <v>2184000</v>
      </c>
      <c r="E1472" s="99" t="s">
        <v>733</v>
      </c>
      <c r="F1472" s="20">
        <f t="shared" si="22"/>
        <v>234873916</v>
      </c>
      <c r="G1472" s="7"/>
      <c r="H1472" s="24" t="s">
        <v>107</v>
      </c>
      <c r="I1472" s="32" t="s">
        <v>152</v>
      </c>
      <c r="K1472" s="181"/>
      <c r="L1472" s="181"/>
    </row>
    <row r="1473" spans="1:12" x14ac:dyDescent="0.35">
      <c r="A1473" s="19">
        <v>45859</v>
      </c>
      <c r="B1473" s="20"/>
      <c r="C1473" s="20"/>
      <c r="D1473" s="20">
        <f>3256000-2000000</f>
        <v>1256000</v>
      </c>
      <c r="E1473" s="99" t="s">
        <v>733</v>
      </c>
      <c r="F1473" s="20">
        <f t="shared" si="22"/>
        <v>236129916</v>
      </c>
      <c r="G1473" s="7"/>
      <c r="H1473" s="24" t="s">
        <v>109</v>
      </c>
      <c r="I1473" s="32" t="s">
        <v>152</v>
      </c>
      <c r="K1473" s="181"/>
      <c r="L1473" s="181"/>
    </row>
    <row r="1474" spans="1:12" x14ac:dyDescent="0.35">
      <c r="A1474" s="19"/>
      <c r="B1474" s="20"/>
      <c r="C1474" s="20">
        <v>3440000</v>
      </c>
      <c r="D1474" s="20"/>
      <c r="E1474" s="99"/>
      <c r="F1474" s="20">
        <f t="shared" si="22"/>
        <v>236129916</v>
      </c>
      <c r="G1474" s="7" t="s">
        <v>760</v>
      </c>
      <c r="H1474" s="24"/>
      <c r="I1474" s="32"/>
      <c r="K1474" s="181"/>
      <c r="L1474" s="181"/>
    </row>
    <row r="1475" spans="1:12" x14ac:dyDescent="0.35">
      <c r="A1475" s="19">
        <v>45860</v>
      </c>
      <c r="B1475" s="20"/>
      <c r="C1475" s="20"/>
      <c r="D1475" s="20">
        <v>20000</v>
      </c>
      <c r="E1475" s="99" t="s">
        <v>733</v>
      </c>
      <c r="F1475" s="20">
        <f t="shared" si="22"/>
        <v>236149916</v>
      </c>
      <c r="G1475" s="7" t="s">
        <v>330</v>
      </c>
      <c r="H1475" s="24" t="s">
        <v>109</v>
      </c>
      <c r="I1475" s="32" t="s">
        <v>152</v>
      </c>
      <c r="K1475" s="181"/>
      <c r="L1475" s="181"/>
    </row>
    <row r="1476" spans="1:12" x14ac:dyDescent="0.35">
      <c r="A1476" s="19">
        <v>45860</v>
      </c>
      <c r="B1476" s="20"/>
      <c r="C1476" s="20"/>
      <c r="D1476" s="20">
        <v>2655000</v>
      </c>
      <c r="E1476" s="99" t="s">
        <v>733</v>
      </c>
      <c r="F1476" s="20">
        <f t="shared" si="22"/>
        <v>238804916</v>
      </c>
      <c r="G1476" s="7" t="s">
        <v>763</v>
      </c>
      <c r="H1476" s="24" t="s">
        <v>109</v>
      </c>
      <c r="I1476" s="32" t="s">
        <v>152</v>
      </c>
      <c r="K1476" s="181"/>
      <c r="L1476" s="181"/>
    </row>
    <row r="1477" spans="1:12" x14ac:dyDescent="0.35">
      <c r="A1477" s="19">
        <v>45861</v>
      </c>
      <c r="B1477" s="20"/>
      <c r="C1477" s="20"/>
      <c r="D1477" s="20">
        <v>20000</v>
      </c>
      <c r="E1477" s="99" t="s">
        <v>733</v>
      </c>
      <c r="F1477" s="20">
        <f t="shared" si="22"/>
        <v>238824916</v>
      </c>
      <c r="G1477" s="7" t="s">
        <v>330</v>
      </c>
      <c r="H1477" s="24" t="s">
        <v>109</v>
      </c>
      <c r="I1477" s="32" t="s">
        <v>152</v>
      </c>
      <c r="K1477" s="181"/>
      <c r="L1477" s="181"/>
    </row>
    <row r="1478" spans="1:12" x14ac:dyDescent="0.35">
      <c r="A1478" s="19">
        <v>45861</v>
      </c>
      <c r="B1478" s="20"/>
      <c r="C1478" s="20"/>
      <c r="D1478" s="20">
        <v>20000</v>
      </c>
      <c r="E1478" s="99" t="s">
        <v>733</v>
      </c>
      <c r="F1478" s="20">
        <f t="shared" si="22"/>
        <v>238844916</v>
      </c>
      <c r="G1478" s="7" t="s">
        <v>330</v>
      </c>
      <c r="H1478" s="24" t="s">
        <v>109</v>
      </c>
      <c r="I1478" s="32" t="s">
        <v>152</v>
      </c>
      <c r="K1478" s="181"/>
      <c r="L1478" s="181"/>
    </row>
    <row r="1479" spans="1:12" x14ac:dyDescent="0.35">
      <c r="A1479" s="19">
        <v>45861</v>
      </c>
      <c r="B1479" s="20">
        <v>9000</v>
      </c>
      <c r="C1479" s="20"/>
      <c r="D1479" s="20"/>
      <c r="E1479" s="99" t="s">
        <v>733</v>
      </c>
      <c r="F1479" s="20">
        <f t="shared" si="22"/>
        <v>238835916</v>
      </c>
      <c r="G1479" s="7" t="s">
        <v>761</v>
      </c>
      <c r="H1479" s="24" t="s">
        <v>320</v>
      </c>
      <c r="I1479" s="32" t="s">
        <v>152</v>
      </c>
      <c r="K1479" s="181"/>
      <c r="L1479" s="181"/>
    </row>
    <row r="1480" spans="1:12" x14ac:dyDescent="0.35">
      <c r="A1480" s="19">
        <v>45862</v>
      </c>
      <c r="B1480" s="20"/>
      <c r="C1480" s="20"/>
      <c r="D1480" s="20">
        <v>50000</v>
      </c>
      <c r="E1480" s="99" t="s">
        <v>733</v>
      </c>
      <c r="F1480" s="20">
        <f t="shared" si="22"/>
        <v>238885916</v>
      </c>
      <c r="G1480" s="7" t="s">
        <v>330</v>
      </c>
      <c r="H1480" s="24" t="s">
        <v>109</v>
      </c>
      <c r="I1480" s="32" t="s">
        <v>152</v>
      </c>
      <c r="K1480" s="181"/>
      <c r="L1480" s="181"/>
    </row>
    <row r="1481" spans="1:12" x14ac:dyDescent="0.35">
      <c r="A1481" s="19">
        <v>45862</v>
      </c>
      <c r="B1481" s="20"/>
      <c r="C1481" s="20"/>
      <c r="D1481" s="20">
        <v>10000</v>
      </c>
      <c r="E1481" s="99" t="s">
        <v>733</v>
      </c>
      <c r="F1481" s="20">
        <f t="shared" si="22"/>
        <v>238895916</v>
      </c>
      <c r="G1481" s="7" t="s">
        <v>330</v>
      </c>
      <c r="H1481" s="24" t="s">
        <v>109</v>
      </c>
      <c r="I1481" s="32" t="s">
        <v>152</v>
      </c>
      <c r="K1481" s="181"/>
      <c r="L1481" s="181"/>
    </row>
    <row r="1482" spans="1:12" x14ac:dyDescent="0.35">
      <c r="A1482" s="19">
        <v>45862</v>
      </c>
      <c r="B1482" s="20"/>
      <c r="C1482" s="20"/>
      <c r="D1482" s="20">
        <v>20000</v>
      </c>
      <c r="E1482" s="99" t="s">
        <v>733</v>
      </c>
      <c r="F1482" s="20">
        <f t="shared" ref="F1482:F1545" si="23">+F1481+D1482-B1482</f>
        <v>238915916</v>
      </c>
      <c r="G1482" s="7" t="s">
        <v>330</v>
      </c>
      <c r="H1482" s="24" t="s">
        <v>109</v>
      </c>
      <c r="I1482" s="32" t="s">
        <v>152</v>
      </c>
      <c r="K1482" s="181"/>
      <c r="L1482" s="181"/>
    </row>
    <row r="1483" spans="1:12" x14ac:dyDescent="0.35">
      <c r="A1483" s="19">
        <v>45862</v>
      </c>
      <c r="B1483" s="20">
        <v>20000000</v>
      </c>
      <c r="C1483" s="20"/>
      <c r="D1483" s="20"/>
      <c r="E1483" s="99" t="s">
        <v>733</v>
      </c>
      <c r="F1483" s="20">
        <f t="shared" si="23"/>
        <v>218915916</v>
      </c>
      <c r="G1483" s="7" t="s">
        <v>762</v>
      </c>
      <c r="H1483" s="24" t="s">
        <v>201</v>
      </c>
      <c r="I1483" s="32" t="s">
        <v>152</v>
      </c>
      <c r="K1483" s="181"/>
      <c r="L1483" s="181"/>
    </row>
    <row r="1484" spans="1:12" x14ac:dyDescent="0.35">
      <c r="A1484" s="19">
        <v>45862</v>
      </c>
      <c r="B1484" s="20">
        <v>6500</v>
      </c>
      <c r="C1484" s="20"/>
      <c r="D1484" s="20"/>
      <c r="E1484" s="99" t="s">
        <v>733</v>
      </c>
      <c r="F1484" s="20">
        <f t="shared" si="23"/>
        <v>218909416</v>
      </c>
      <c r="G1484" s="7" t="s">
        <v>762</v>
      </c>
      <c r="H1484" s="24" t="s">
        <v>201</v>
      </c>
      <c r="I1484" s="32" t="s">
        <v>152</v>
      </c>
      <c r="K1484" s="181"/>
      <c r="L1484" s="181"/>
    </row>
    <row r="1485" spans="1:12" x14ac:dyDescent="0.35">
      <c r="A1485" s="19">
        <v>45863</v>
      </c>
      <c r="B1485" s="20"/>
      <c r="C1485" s="20"/>
      <c r="D1485" s="20">
        <v>20000</v>
      </c>
      <c r="E1485" s="99" t="s">
        <v>733</v>
      </c>
      <c r="F1485" s="20">
        <f t="shared" si="23"/>
        <v>218929416</v>
      </c>
      <c r="G1485" s="7" t="s">
        <v>330</v>
      </c>
      <c r="H1485" s="24" t="s">
        <v>109</v>
      </c>
      <c r="I1485" s="32" t="s">
        <v>152</v>
      </c>
      <c r="K1485" s="181"/>
      <c r="L1485" s="181"/>
    </row>
    <row r="1486" spans="1:12" x14ac:dyDescent="0.35">
      <c r="A1486" s="19">
        <v>45863</v>
      </c>
      <c r="B1486" s="20"/>
      <c r="C1486" s="20"/>
      <c r="D1486" s="20">
        <v>1000000</v>
      </c>
      <c r="E1486" s="99" t="s">
        <v>733</v>
      </c>
      <c r="F1486" s="20">
        <f t="shared" si="23"/>
        <v>219929416</v>
      </c>
      <c r="G1486" s="7" t="s">
        <v>609</v>
      </c>
      <c r="H1486" s="24" t="s">
        <v>109</v>
      </c>
      <c r="I1486" s="32" t="s">
        <v>152</v>
      </c>
      <c r="K1486" s="181"/>
      <c r="L1486" s="181"/>
    </row>
    <row r="1487" spans="1:12" x14ac:dyDescent="0.35">
      <c r="A1487" s="19">
        <v>45863</v>
      </c>
      <c r="B1487" s="20"/>
      <c r="C1487" s="20"/>
      <c r="D1487" s="20">
        <v>1000000</v>
      </c>
      <c r="E1487" s="99" t="s">
        <v>733</v>
      </c>
      <c r="F1487" s="20">
        <f t="shared" si="23"/>
        <v>220929416</v>
      </c>
      <c r="G1487" s="7" t="s">
        <v>561</v>
      </c>
      <c r="H1487" s="24" t="s">
        <v>109</v>
      </c>
      <c r="I1487" s="32" t="s">
        <v>152</v>
      </c>
      <c r="K1487" s="181"/>
      <c r="L1487" s="181"/>
    </row>
    <row r="1488" spans="1:12" x14ac:dyDescent="0.35">
      <c r="A1488" s="19">
        <v>45864</v>
      </c>
      <c r="B1488" s="20">
        <v>750000</v>
      </c>
      <c r="C1488" s="20"/>
      <c r="D1488" s="20"/>
      <c r="E1488" s="99" t="s">
        <v>733</v>
      </c>
      <c r="F1488" s="20">
        <f t="shared" si="23"/>
        <v>220179416</v>
      </c>
      <c r="G1488" s="7" t="s">
        <v>771</v>
      </c>
      <c r="H1488" s="24" t="s">
        <v>323</v>
      </c>
      <c r="I1488" s="32" t="s">
        <v>152</v>
      </c>
      <c r="K1488" s="181"/>
      <c r="L1488" s="181"/>
    </row>
    <row r="1489" spans="1:12" x14ac:dyDescent="0.35">
      <c r="A1489" s="19">
        <v>45864</v>
      </c>
      <c r="B1489" s="20">
        <v>6500</v>
      </c>
      <c r="C1489" s="20"/>
      <c r="D1489" s="20"/>
      <c r="E1489" s="99" t="s">
        <v>733</v>
      </c>
      <c r="F1489" s="20">
        <f t="shared" si="23"/>
        <v>220172916</v>
      </c>
      <c r="G1489" s="7" t="s">
        <v>771</v>
      </c>
      <c r="H1489" s="24" t="s">
        <v>323</v>
      </c>
      <c r="I1489" s="32" t="s">
        <v>152</v>
      </c>
      <c r="K1489" s="181"/>
      <c r="L1489" s="181"/>
    </row>
    <row r="1490" spans="1:12" x14ac:dyDescent="0.35">
      <c r="A1490" s="19">
        <v>45864</v>
      </c>
      <c r="B1490" s="20"/>
      <c r="C1490" s="20"/>
      <c r="D1490" s="20">
        <v>2000</v>
      </c>
      <c r="E1490" s="99" t="s">
        <v>733</v>
      </c>
      <c r="F1490" s="20">
        <f t="shared" si="23"/>
        <v>220174916</v>
      </c>
      <c r="G1490" s="7" t="s">
        <v>330</v>
      </c>
      <c r="H1490" s="24" t="s">
        <v>109</v>
      </c>
      <c r="I1490" s="32" t="s">
        <v>152</v>
      </c>
      <c r="K1490" s="181"/>
      <c r="L1490" s="181"/>
    </row>
    <row r="1491" spans="1:12" x14ac:dyDescent="0.35">
      <c r="A1491" s="19">
        <v>45864</v>
      </c>
      <c r="B1491" s="20"/>
      <c r="C1491" s="20"/>
      <c r="D1491" s="20">
        <v>50000</v>
      </c>
      <c r="E1491" s="99" t="s">
        <v>733</v>
      </c>
      <c r="F1491" s="20">
        <f t="shared" si="23"/>
        <v>220224916</v>
      </c>
      <c r="G1491" s="7" t="s">
        <v>330</v>
      </c>
      <c r="H1491" s="24" t="s">
        <v>109</v>
      </c>
      <c r="I1491" s="32" t="s">
        <v>152</v>
      </c>
      <c r="K1491" s="181"/>
      <c r="L1491" s="181"/>
    </row>
    <row r="1492" spans="1:12" x14ac:dyDescent="0.35">
      <c r="A1492" s="19">
        <v>45864</v>
      </c>
      <c r="B1492" s="20"/>
      <c r="C1492" s="20"/>
      <c r="D1492" s="20">
        <v>20000</v>
      </c>
      <c r="E1492" s="99" t="s">
        <v>733</v>
      </c>
      <c r="F1492" s="20">
        <f t="shared" si="23"/>
        <v>220244916</v>
      </c>
      <c r="G1492" s="7" t="s">
        <v>330</v>
      </c>
      <c r="H1492" s="24" t="s">
        <v>109</v>
      </c>
      <c r="I1492" s="32" t="s">
        <v>152</v>
      </c>
      <c r="K1492" s="181"/>
      <c r="L1492" s="181"/>
    </row>
    <row r="1493" spans="1:12" x14ac:dyDescent="0.35">
      <c r="A1493" s="19">
        <v>45864</v>
      </c>
      <c r="B1493" s="20"/>
      <c r="C1493" s="20"/>
      <c r="D1493" s="20">
        <v>100000</v>
      </c>
      <c r="E1493" s="99" t="s">
        <v>733</v>
      </c>
      <c r="F1493" s="20">
        <f t="shared" si="23"/>
        <v>220344916</v>
      </c>
      <c r="G1493" s="7" t="s">
        <v>330</v>
      </c>
      <c r="H1493" s="24" t="s">
        <v>109</v>
      </c>
      <c r="I1493" s="32" t="s">
        <v>152</v>
      </c>
      <c r="K1493" s="181"/>
      <c r="L1493" s="181"/>
    </row>
    <row r="1494" spans="1:12" x14ac:dyDescent="0.35">
      <c r="A1494" s="19">
        <v>45864</v>
      </c>
      <c r="B1494" s="20"/>
      <c r="C1494" s="20"/>
      <c r="D1494" s="20">
        <v>50000</v>
      </c>
      <c r="E1494" s="99" t="s">
        <v>733</v>
      </c>
      <c r="F1494" s="20">
        <f t="shared" si="23"/>
        <v>220394916</v>
      </c>
      <c r="G1494" s="7" t="s">
        <v>330</v>
      </c>
      <c r="H1494" s="24" t="s">
        <v>109</v>
      </c>
      <c r="I1494" s="32" t="s">
        <v>152</v>
      </c>
      <c r="K1494" s="181"/>
      <c r="L1494" s="181"/>
    </row>
    <row r="1495" spans="1:12" x14ac:dyDescent="0.35">
      <c r="A1495" s="19">
        <v>45864</v>
      </c>
      <c r="B1495" s="20"/>
      <c r="C1495" s="20"/>
      <c r="D1495" s="20">
        <v>20000</v>
      </c>
      <c r="E1495" s="99" t="s">
        <v>733</v>
      </c>
      <c r="F1495" s="20">
        <f t="shared" si="23"/>
        <v>220414916</v>
      </c>
      <c r="G1495" s="7" t="s">
        <v>330</v>
      </c>
      <c r="H1495" s="24" t="s">
        <v>109</v>
      </c>
      <c r="I1495" s="32" t="s">
        <v>152</v>
      </c>
      <c r="K1495" s="181"/>
      <c r="L1495" s="181"/>
    </row>
    <row r="1496" spans="1:12" x14ac:dyDescent="0.35">
      <c r="A1496" s="19">
        <v>45864</v>
      </c>
      <c r="B1496" s="20"/>
      <c r="C1496" s="20"/>
      <c r="D1496" s="20">
        <v>20000</v>
      </c>
      <c r="E1496" s="99" t="s">
        <v>733</v>
      </c>
      <c r="F1496" s="20">
        <f t="shared" si="23"/>
        <v>220434916</v>
      </c>
      <c r="G1496" s="7" t="s">
        <v>330</v>
      </c>
      <c r="H1496" s="24" t="s">
        <v>109</v>
      </c>
      <c r="I1496" s="32" t="s">
        <v>152</v>
      </c>
      <c r="K1496" s="181"/>
      <c r="L1496" s="181"/>
    </row>
    <row r="1497" spans="1:12" x14ac:dyDescent="0.35">
      <c r="A1497" s="19">
        <v>45864</v>
      </c>
      <c r="B1497" s="20"/>
      <c r="C1497" s="20"/>
      <c r="D1497" s="20">
        <v>3500</v>
      </c>
      <c r="E1497" s="99" t="s">
        <v>733</v>
      </c>
      <c r="F1497" s="20">
        <f t="shared" si="23"/>
        <v>220438416</v>
      </c>
      <c r="G1497" s="7" t="s">
        <v>330</v>
      </c>
      <c r="H1497" s="24" t="s">
        <v>109</v>
      </c>
      <c r="I1497" s="32" t="s">
        <v>152</v>
      </c>
      <c r="K1497" s="181"/>
      <c r="L1497" s="181"/>
    </row>
    <row r="1498" spans="1:12" x14ac:dyDescent="0.35">
      <c r="A1498" s="19">
        <v>45865</v>
      </c>
      <c r="B1498" s="20">
        <v>1000000</v>
      </c>
      <c r="C1498" s="20"/>
      <c r="D1498" s="20"/>
      <c r="E1498" s="99" t="s">
        <v>733</v>
      </c>
      <c r="F1498" s="20">
        <f t="shared" si="23"/>
        <v>219438416</v>
      </c>
      <c r="G1498" s="7" t="s">
        <v>772</v>
      </c>
      <c r="H1498" s="24" t="s">
        <v>323</v>
      </c>
      <c r="I1498" s="32" t="s">
        <v>152</v>
      </c>
      <c r="K1498" s="181"/>
      <c r="L1498" s="181"/>
    </row>
    <row r="1499" spans="1:12" x14ac:dyDescent="0.35">
      <c r="A1499" s="19">
        <v>45865</v>
      </c>
      <c r="B1499" s="20">
        <v>6500</v>
      </c>
      <c r="C1499" s="20"/>
      <c r="D1499" s="20"/>
      <c r="E1499" s="99" t="s">
        <v>733</v>
      </c>
      <c r="F1499" s="20">
        <f t="shared" si="23"/>
        <v>219431916</v>
      </c>
      <c r="G1499" s="7" t="s">
        <v>772</v>
      </c>
      <c r="H1499" s="24" t="s">
        <v>323</v>
      </c>
      <c r="I1499" s="32" t="s">
        <v>152</v>
      </c>
      <c r="K1499" s="181"/>
      <c r="L1499" s="181"/>
    </row>
    <row r="1500" spans="1:12" x14ac:dyDescent="0.35">
      <c r="A1500" s="19">
        <v>45865</v>
      </c>
      <c r="B1500" s="20"/>
      <c r="C1500" s="20"/>
      <c r="D1500" s="20">
        <v>40000</v>
      </c>
      <c r="E1500" s="99" t="s">
        <v>733</v>
      </c>
      <c r="F1500" s="20">
        <f t="shared" si="23"/>
        <v>219471916</v>
      </c>
      <c r="G1500" s="7" t="s">
        <v>330</v>
      </c>
      <c r="H1500" s="24" t="s">
        <v>109</v>
      </c>
      <c r="I1500" s="32" t="s">
        <v>152</v>
      </c>
      <c r="K1500" s="181"/>
      <c r="L1500" s="181"/>
    </row>
    <row r="1501" spans="1:12" x14ac:dyDescent="0.35">
      <c r="A1501" s="19">
        <v>45865</v>
      </c>
      <c r="B1501" s="20"/>
      <c r="C1501" s="20"/>
      <c r="D1501" s="20">
        <v>50000</v>
      </c>
      <c r="E1501" s="99" t="s">
        <v>733</v>
      </c>
      <c r="F1501" s="20">
        <f t="shared" si="23"/>
        <v>219521916</v>
      </c>
      <c r="G1501" s="7" t="s">
        <v>330</v>
      </c>
      <c r="H1501" s="24" t="s">
        <v>109</v>
      </c>
      <c r="I1501" s="32" t="s">
        <v>152</v>
      </c>
      <c r="K1501" s="181"/>
      <c r="L1501" s="181"/>
    </row>
    <row r="1502" spans="1:12" x14ac:dyDescent="0.35">
      <c r="A1502" s="19">
        <v>45865</v>
      </c>
      <c r="B1502" s="20"/>
      <c r="C1502" s="20"/>
      <c r="D1502" s="20">
        <v>20000</v>
      </c>
      <c r="E1502" s="99" t="s">
        <v>733</v>
      </c>
      <c r="F1502" s="20">
        <f t="shared" si="23"/>
        <v>219541916</v>
      </c>
      <c r="G1502" s="7" t="s">
        <v>330</v>
      </c>
      <c r="H1502" s="24" t="s">
        <v>109</v>
      </c>
      <c r="I1502" s="32" t="s">
        <v>152</v>
      </c>
      <c r="K1502" s="181"/>
      <c r="L1502" s="181"/>
    </row>
    <row r="1503" spans="1:12" x14ac:dyDescent="0.35">
      <c r="A1503" s="19">
        <v>45865</v>
      </c>
      <c r="B1503" s="20"/>
      <c r="C1503" s="20"/>
      <c r="D1503" s="20">
        <v>2000</v>
      </c>
      <c r="E1503" s="99" t="s">
        <v>733</v>
      </c>
      <c r="F1503" s="20">
        <f t="shared" si="23"/>
        <v>219543916</v>
      </c>
      <c r="G1503" s="7" t="s">
        <v>330</v>
      </c>
      <c r="H1503" s="24" t="s">
        <v>109</v>
      </c>
      <c r="I1503" s="32" t="s">
        <v>152</v>
      </c>
      <c r="K1503" s="181"/>
      <c r="L1503" s="181"/>
    </row>
    <row r="1504" spans="1:12" x14ac:dyDescent="0.35">
      <c r="A1504" s="19">
        <v>45865</v>
      </c>
      <c r="B1504" s="20">
        <v>1000000</v>
      </c>
      <c r="C1504" s="20"/>
      <c r="D1504" s="20"/>
      <c r="E1504" s="99" t="s">
        <v>733</v>
      </c>
      <c r="F1504" s="20">
        <f t="shared" si="23"/>
        <v>218543916</v>
      </c>
      <c r="G1504" s="7" t="s">
        <v>773</v>
      </c>
      <c r="H1504" s="24" t="s">
        <v>325</v>
      </c>
      <c r="I1504" s="32" t="s">
        <v>152</v>
      </c>
      <c r="K1504" s="181"/>
      <c r="L1504" s="181"/>
    </row>
    <row r="1505" spans="1:12" x14ac:dyDescent="0.35">
      <c r="A1505" s="19">
        <v>45865</v>
      </c>
      <c r="B1505" s="20">
        <v>6500</v>
      </c>
      <c r="C1505" s="20"/>
      <c r="D1505" s="20"/>
      <c r="E1505" s="99" t="s">
        <v>733</v>
      </c>
      <c r="F1505" s="20">
        <f t="shared" si="23"/>
        <v>218537416</v>
      </c>
      <c r="G1505" s="7" t="s">
        <v>773</v>
      </c>
      <c r="H1505" s="24" t="s">
        <v>325</v>
      </c>
      <c r="I1505" s="32" t="s">
        <v>152</v>
      </c>
      <c r="K1505" s="181"/>
      <c r="L1505" s="181"/>
    </row>
    <row r="1506" spans="1:12" x14ac:dyDescent="0.35">
      <c r="A1506" s="19">
        <v>45865</v>
      </c>
      <c r="B1506" s="20">
        <v>2250000</v>
      </c>
      <c r="C1506" s="20"/>
      <c r="D1506" s="20"/>
      <c r="E1506" s="99" t="s">
        <v>733</v>
      </c>
      <c r="F1506" s="20">
        <f t="shared" si="23"/>
        <v>216287416</v>
      </c>
      <c r="G1506" s="7" t="s">
        <v>774</v>
      </c>
      <c r="H1506" s="24" t="s">
        <v>325</v>
      </c>
      <c r="I1506" s="32" t="s">
        <v>152</v>
      </c>
      <c r="K1506" s="181"/>
      <c r="L1506" s="181"/>
    </row>
    <row r="1507" spans="1:12" x14ac:dyDescent="0.35">
      <c r="A1507" s="19">
        <v>45865</v>
      </c>
      <c r="B1507" s="20">
        <v>6500</v>
      </c>
      <c r="C1507" s="20"/>
      <c r="D1507" s="20"/>
      <c r="E1507" s="99" t="s">
        <v>733</v>
      </c>
      <c r="F1507" s="20">
        <f t="shared" si="23"/>
        <v>216280916</v>
      </c>
      <c r="G1507" s="7" t="s">
        <v>774</v>
      </c>
      <c r="H1507" s="24" t="s">
        <v>325</v>
      </c>
      <c r="I1507" s="32" t="s">
        <v>152</v>
      </c>
      <c r="K1507" s="181"/>
      <c r="L1507" s="181"/>
    </row>
    <row r="1508" spans="1:12" x14ac:dyDescent="0.35">
      <c r="A1508" s="19">
        <v>45865</v>
      </c>
      <c r="B1508" s="20">
        <v>2500000</v>
      </c>
      <c r="C1508" s="20"/>
      <c r="D1508" s="20"/>
      <c r="E1508" s="99" t="s">
        <v>733</v>
      </c>
      <c r="F1508" s="20">
        <f t="shared" si="23"/>
        <v>213780916</v>
      </c>
      <c r="G1508" s="7" t="s">
        <v>775</v>
      </c>
      <c r="H1508" s="24" t="s">
        <v>325</v>
      </c>
      <c r="I1508" s="32" t="s">
        <v>152</v>
      </c>
      <c r="K1508" s="181"/>
      <c r="L1508" s="181"/>
    </row>
    <row r="1509" spans="1:12" x14ac:dyDescent="0.35">
      <c r="A1509" s="19">
        <v>45865</v>
      </c>
      <c r="B1509" s="20">
        <v>6500</v>
      </c>
      <c r="C1509" s="20"/>
      <c r="D1509" s="20"/>
      <c r="E1509" s="99" t="s">
        <v>733</v>
      </c>
      <c r="F1509" s="20">
        <f t="shared" si="23"/>
        <v>213774416</v>
      </c>
      <c r="G1509" s="7" t="s">
        <v>775</v>
      </c>
      <c r="H1509" s="24" t="s">
        <v>325</v>
      </c>
      <c r="I1509" s="32" t="s">
        <v>152</v>
      </c>
      <c r="K1509" s="181"/>
      <c r="L1509" s="181"/>
    </row>
    <row r="1510" spans="1:12" x14ac:dyDescent="0.35">
      <c r="A1510" s="19">
        <v>45865</v>
      </c>
      <c r="B1510" s="20">
        <v>2700000</v>
      </c>
      <c r="C1510" s="20"/>
      <c r="D1510" s="20"/>
      <c r="E1510" s="99" t="s">
        <v>733</v>
      </c>
      <c r="F1510" s="20">
        <f t="shared" si="23"/>
        <v>211074416</v>
      </c>
      <c r="G1510" s="7" t="s">
        <v>776</v>
      </c>
      <c r="H1510" s="24" t="s">
        <v>201</v>
      </c>
      <c r="I1510" s="32" t="s">
        <v>152</v>
      </c>
      <c r="K1510" s="181"/>
      <c r="L1510" s="181"/>
    </row>
    <row r="1511" spans="1:12" x14ac:dyDescent="0.35">
      <c r="A1511" s="19">
        <v>45865</v>
      </c>
      <c r="B1511" s="20">
        <v>6500</v>
      </c>
      <c r="C1511" s="20"/>
      <c r="D1511" s="20"/>
      <c r="E1511" s="99" t="s">
        <v>733</v>
      </c>
      <c r="F1511" s="20">
        <f t="shared" si="23"/>
        <v>211067916</v>
      </c>
      <c r="G1511" s="7" t="s">
        <v>776</v>
      </c>
      <c r="H1511" s="24" t="s">
        <v>201</v>
      </c>
      <c r="I1511" s="32" t="s">
        <v>152</v>
      </c>
      <c r="K1511" s="181"/>
      <c r="L1511" s="181"/>
    </row>
    <row r="1512" spans="1:12" x14ac:dyDescent="0.35">
      <c r="A1512" s="19">
        <v>45865</v>
      </c>
      <c r="B1512" s="20">
        <v>2000000</v>
      </c>
      <c r="C1512" s="20"/>
      <c r="D1512" s="20"/>
      <c r="E1512" s="99" t="s">
        <v>733</v>
      </c>
      <c r="F1512" s="20">
        <f t="shared" si="23"/>
        <v>209067916</v>
      </c>
      <c r="G1512" s="7" t="s">
        <v>777</v>
      </c>
      <c r="H1512" s="24" t="s">
        <v>323</v>
      </c>
      <c r="I1512" s="32" t="s">
        <v>152</v>
      </c>
      <c r="K1512" s="181"/>
      <c r="L1512" s="181"/>
    </row>
    <row r="1513" spans="1:12" x14ac:dyDescent="0.35">
      <c r="A1513" s="19">
        <v>45865</v>
      </c>
      <c r="B1513" s="20">
        <v>6500</v>
      </c>
      <c r="C1513" s="20"/>
      <c r="D1513" s="20"/>
      <c r="E1513" s="99" t="s">
        <v>733</v>
      </c>
      <c r="F1513" s="20">
        <f t="shared" si="23"/>
        <v>209061416</v>
      </c>
      <c r="G1513" s="7" t="s">
        <v>777</v>
      </c>
      <c r="H1513" s="24" t="s">
        <v>323</v>
      </c>
      <c r="I1513" s="32" t="s">
        <v>152</v>
      </c>
      <c r="K1513" s="181"/>
      <c r="L1513" s="181"/>
    </row>
    <row r="1514" spans="1:12" x14ac:dyDescent="0.35">
      <c r="A1514" s="19">
        <v>45865</v>
      </c>
      <c r="B1514" s="20">
        <v>4000000</v>
      </c>
      <c r="C1514" s="20"/>
      <c r="D1514" s="20"/>
      <c r="E1514" s="99" t="s">
        <v>733</v>
      </c>
      <c r="F1514" s="20">
        <f t="shared" si="23"/>
        <v>205061416</v>
      </c>
      <c r="G1514" s="7" t="s">
        <v>778</v>
      </c>
      <c r="H1514" s="24" t="s">
        <v>201</v>
      </c>
      <c r="I1514" s="32" t="s">
        <v>152</v>
      </c>
      <c r="K1514" s="181"/>
      <c r="L1514" s="181"/>
    </row>
    <row r="1515" spans="1:12" x14ac:dyDescent="0.35">
      <c r="A1515" s="19">
        <v>45865</v>
      </c>
      <c r="B1515" s="20">
        <v>6500</v>
      </c>
      <c r="C1515" s="20"/>
      <c r="D1515" s="20"/>
      <c r="E1515" s="99" t="s">
        <v>733</v>
      </c>
      <c r="F1515" s="20">
        <f t="shared" si="23"/>
        <v>205054916</v>
      </c>
      <c r="G1515" s="7" t="s">
        <v>778</v>
      </c>
      <c r="H1515" s="24" t="s">
        <v>201</v>
      </c>
      <c r="I1515" s="32" t="s">
        <v>152</v>
      </c>
      <c r="K1515" s="181"/>
      <c r="L1515" s="181"/>
    </row>
    <row r="1516" spans="1:12" x14ac:dyDescent="0.35">
      <c r="A1516" s="19">
        <v>45865</v>
      </c>
      <c r="B1516" s="20">
        <v>550000</v>
      </c>
      <c r="C1516" s="20"/>
      <c r="D1516" s="20"/>
      <c r="E1516" s="99" t="s">
        <v>733</v>
      </c>
      <c r="F1516" s="20">
        <f t="shared" si="23"/>
        <v>204504916</v>
      </c>
      <c r="G1516" s="7" t="s">
        <v>779</v>
      </c>
      <c r="H1516" s="24" t="s">
        <v>325</v>
      </c>
      <c r="I1516" s="32" t="s">
        <v>152</v>
      </c>
      <c r="K1516" s="181"/>
      <c r="L1516" s="181"/>
    </row>
    <row r="1517" spans="1:12" x14ac:dyDescent="0.35">
      <c r="A1517" s="19">
        <v>45865</v>
      </c>
      <c r="B1517" s="20">
        <v>6500</v>
      </c>
      <c r="C1517" s="20"/>
      <c r="D1517" s="20"/>
      <c r="E1517" s="99" t="s">
        <v>733</v>
      </c>
      <c r="F1517" s="20">
        <f t="shared" si="23"/>
        <v>204498416</v>
      </c>
      <c r="G1517" s="7" t="s">
        <v>779</v>
      </c>
      <c r="H1517" s="24" t="s">
        <v>325</v>
      </c>
      <c r="I1517" s="32" t="s">
        <v>152</v>
      </c>
      <c r="K1517" s="181"/>
      <c r="L1517" s="181"/>
    </row>
    <row r="1518" spans="1:12" x14ac:dyDescent="0.35">
      <c r="A1518" s="19">
        <v>45865</v>
      </c>
      <c r="B1518" s="20">
        <v>3500000</v>
      </c>
      <c r="C1518" s="20"/>
      <c r="D1518" s="20"/>
      <c r="E1518" s="99" t="s">
        <v>733</v>
      </c>
      <c r="F1518" s="20">
        <f t="shared" si="23"/>
        <v>200998416</v>
      </c>
      <c r="G1518" s="7" t="s">
        <v>780</v>
      </c>
      <c r="H1518" s="24" t="s">
        <v>325</v>
      </c>
      <c r="I1518" s="32" t="s">
        <v>152</v>
      </c>
      <c r="K1518" s="181"/>
      <c r="L1518" s="181"/>
    </row>
    <row r="1519" spans="1:12" x14ac:dyDescent="0.35">
      <c r="A1519" s="19">
        <v>45865</v>
      </c>
      <c r="B1519" s="20">
        <v>6500</v>
      </c>
      <c r="C1519" s="20"/>
      <c r="D1519" s="20"/>
      <c r="E1519" s="99" t="s">
        <v>733</v>
      </c>
      <c r="F1519" s="20">
        <f t="shared" si="23"/>
        <v>200991916</v>
      </c>
      <c r="G1519" s="7" t="s">
        <v>780</v>
      </c>
      <c r="H1519" s="24" t="s">
        <v>325</v>
      </c>
      <c r="I1519" s="32" t="s">
        <v>152</v>
      </c>
      <c r="K1519" s="181"/>
      <c r="L1519" s="181"/>
    </row>
    <row r="1520" spans="1:12" x14ac:dyDescent="0.35">
      <c r="A1520" s="19">
        <v>45866</v>
      </c>
      <c r="B1520" s="20">
        <v>2750000</v>
      </c>
      <c r="C1520" s="20"/>
      <c r="D1520" s="20"/>
      <c r="E1520" s="99" t="s">
        <v>733</v>
      </c>
      <c r="F1520" s="20">
        <f t="shared" si="23"/>
        <v>198241916</v>
      </c>
      <c r="G1520" s="7" t="s">
        <v>781</v>
      </c>
      <c r="H1520" s="24" t="s">
        <v>325</v>
      </c>
      <c r="I1520" s="32" t="s">
        <v>152</v>
      </c>
      <c r="K1520" s="181"/>
      <c r="L1520" s="181"/>
    </row>
    <row r="1521" spans="1:12" x14ac:dyDescent="0.35">
      <c r="A1521" s="19">
        <v>45865</v>
      </c>
      <c r="B1521" s="20">
        <v>250000</v>
      </c>
      <c r="C1521" s="20"/>
      <c r="D1521" s="20"/>
      <c r="E1521" s="99" t="s">
        <v>733</v>
      </c>
      <c r="F1521" s="20">
        <f t="shared" si="23"/>
        <v>197991916</v>
      </c>
      <c r="G1521" s="7" t="s">
        <v>782</v>
      </c>
      <c r="H1521" s="24" t="s">
        <v>201</v>
      </c>
      <c r="I1521" s="32" t="s">
        <v>152</v>
      </c>
      <c r="K1521" s="181"/>
      <c r="L1521" s="181"/>
    </row>
    <row r="1522" spans="1:12" x14ac:dyDescent="0.35">
      <c r="A1522" s="19">
        <v>45865</v>
      </c>
      <c r="B1522" s="20">
        <v>6500</v>
      </c>
      <c r="C1522" s="20"/>
      <c r="D1522" s="20"/>
      <c r="E1522" s="99" t="s">
        <v>733</v>
      </c>
      <c r="F1522" s="20">
        <f t="shared" si="23"/>
        <v>197985416</v>
      </c>
      <c r="G1522" s="7" t="s">
        <v>782</v>
      </c>
      <c r="H1522" s="24" t="s">
        <v>201</v>
      </c>
      <c r="I1522" s="32" t="s">
        <v>152</v>
      </c>
      <c r="K1522" s="181"/>
      <c r="L1522" s="181"/>
    </row>
    <row r="1523" spans="1:12" x14ac:dyDescent="0.35">
      <c r="A1523" s="19">
        <v>45866</v>
      </c>
      <c r="B1523" s="20"/>
      <c r="C1523" s="20"/>
      <c r="D1523" s="20">
        <v>20000</v>
      </c>
      <c r="E1523" s="99" t="s">
        <v>733</v>
      </c>
      <c r="F1523" s="20">
        <f t="shared" si="23"/>
        <v>198005416</v>
      </c>
      <c r="G1523" s="7" t="s">
        <v>330</v>
      </c>
      <c r="H1523" s="24" t="s">
        <v>109</v>
      </c>
      <c r="I1523" s="32" t="s">
        <v>152</v>
      </c>
      <c r="K1523" s="181"/>
      <c r="L1523" s="181"/>
    </row>
    <row r="1524" spans="1:12" x14ac:dyDescent="0.35">
      <c r="A1524" s="19">
        <v>45866</v>
      </c>
      <c r="B1524" s="20"/>
      <c r="C1524" s="20"/>
      <c r="D1524" s="20">
        <v>1500</v>
      </c>
      <c r="E1524" s="99" t="s">
        <v>733</v>
      </c>
      <c r="F1524" s="20">
        <f t="shared" si="23"/>
        <v>198006916</v>
      </c>
      <c r="G1524" s="7" t="s">
        <v>330</v>
      </c>
      <c r="H1524" s="24" t="s">
        <v>109</v>
      </c>
      <c r="I1524" s="32" t="s">
        <v>152</v>
      </c>
      <c r="K1524" s="181"/>
      <c r="L1524" s="181"/>
    </row>
    <row r="1525" spans="1:12" x14ac:dyDescent="0.35">
      <c r="A1525" s="19">
        <v>45866</v>
      </c>
      <c r="B1525" s="20"/>
      <c r="C1525" s="20"/>
      <c r="D1525" s="20">
        <v>25000</v>
      </c>
      <c r="E1525" s="99" t="s">
        <v>733</v>
      </c>
      <c r="F1525" s="20">
        <f t="shared" si="23"/>
        <v>198031916</v>
      </c>
      <c r="G1525" s="7" t="s">
        <v>330</v>
      </c>
      <c r="H1525" s="24" t="s">
        <v>109</v>
      </c>
      <c r="I1525" s="32" t="s">
        <v>152</v>
      </c>
      <c r="K1525" s="181"/>
      <c r="L1525" s="181"/>
    </row>
    <row r="1526" spans="1:12" x14ac:dyDescent="0.35">
      <c r="A1526" s="19">
        <v>45866</v>
      </c>
      <c r="B1526" s="20"/>
      <c r="C1526" s="20"/>
      <c r="D1526" s="20">
        <f>2460000-950000</f>
        <v>1510000</v>
      </c>
      <c r="E1526" s="99" t="s">
        <v>733</v>
      </c>
      <c r="F1526" s="20">
        <f t="shared" si="23"/>
        <v>199541916</v>
      </c>
      <c r="G1526" s="7"/>
      <c r="H1526" s="24" t="s">
        <v>107</v>
      </c>
      <c r="I1526" s="32" t="s">
        <v>152</v>
      </c>
      <c r="K1526" s="181"/>
      <c r="L1526" s="181"/>
    </row>
    <row r="1527" spans="1:12" x14ac:dyDescent="0.35">
      <c r="A1527" s="19">
        <v>45866</v>
      </c>
      <c r="B1527" s="20"/>
      <c r="C1527" s="20"/>
      <c r="D1527" s="20">
        <v>3932000</v>
      </c>
      <c r="E1527" s="99" t="s">
        <v>733</v>
      </c>
      <c r="F1527" s="20">
        <f t="shared" si="23"/>
        <v>203473916</v>
      </c>
      <c r="G1527" s="7"/>
      <c r="H1527" s="24" t="s">
        <v>109</v>
      </c>
      <c r="I1527" s="32" t="s">
        <v>152</v>
      </c>
      <c r="K1527" s="181"/>
      <c r="L1527" s="181"/>
    </row>
    <row r="1528" spans="1:12" x14ac:dyDescent="0.35">
      <c r="A1528" s="19"/>
      <c r="B1528" s="20"/>
      <c r="C1528" s="20">
        <v>5442000</v>
      </c>
      <c r="D1528" s="20"/>
      <c r="E1528" s="99"/>
      <c r="F1528" s="20">
        <f t="shared" si="23"/>
        <v>203473916</v>
      </c>
      <c r="G1528" s="7" t="s">
        <v>783</v>
      </c>
      <c r="H1528" s="24"/>
      <c r="I1528" s="32"/>
      <c r="K1528" s="181"/>
      <c r="L1528" s="181"/>
    </row>
    <row r="1529" spans="1:12" x14ac:dyDescent="0.35">
      <c r="A1529" s="19">
        <v>45867</v>
      </c>
      <c r="B1529" s="20"/>
      <c r="C1529" s="20"/>
      <c r="D1529" s="20">
        <v>20000</v>
      </c>
      <c r="E1529" s="99" t="s">
        <v>733</v>
      </c>
      <c r="F1529" s="20">
        <f t="shared" si="23"/>
        <v>203493916</v>
      </c>
      <c r="G1529" s="7" t="s">
        <v>330</v>
      </c>
      <c r="H1529" s="24" t="s">
        <v>109</v>
      </c>
      <c r="I1529" s="32" t="s">
        <v>152</v>
      </c>
      <c r="K1529" s="181"/>
      <c r="L1529" s="181"/>
    </row>
    <row r="1530" spans="1:12" x14ac:dyDescent="0.35">
      <c r="A1530" s="19">
        <v>45867</v>
      </c>
      <c r="B1530" s="20"/>
      <c r="C1530" s="20"/>
      <c r="D1530" s="20">
        <v>20000</v>
      </c>
      <c r="E1530" s="99" t="s">
        <v>733</v>
      </c>
      <c r="F1530" s="20">
        <f t="shared" si="23"/>
        <v>203513916</v>
      </c>
      <c r="G1530" s="7" t="s">
        <v>330</v>
      </c>
      <c r="H1530" s="24" t="s">
        <v>109</v>
      </c>
      <c r="I1530" s="32" t="s">
        <v>152</v>
      </c>
      <c r="K1530" s="181"/>
      <c r="L1530" s="181"/>
    </row>
    <row r="1531" spans="1:12" x14ac:dyDescent="0.35">
      <c r="A1531" s="19">
        <v>45867</v>
      </c>
      <c r="B1531" s="20"/>
      <c r="C1531" s="20"/>
      <c r="D1531" s="20">
        <v>50000</v>
      </c>
      <c r="E1531" s="99" t="s">
        <v>733</v>
      </c>
      <c r="F1531" s="20">
        <f t="shared" si="23"/>
        <v>203563916</v>
      </c>
      <c r="G1531" s="7" t="s">
        <v>330</v>
      </c>
      <c r="H1531" s="24" t="s">
        <v>109</v>
      </c>
      <c r="I1531" s="32" t="s">
        <v>152</v>
      </c>
      <c r="K1531" s="181"/>
      <c r="L1531" s="181"/>
    </row>
    <row r="1532" spans="1:12" x14ac:dyDescent="0.35">
      <c r="A1532" s="19">
        <v>45867</v>
      </c>
      <c r="B1532" s="20"/>
      <c r="C1532" s="20"/>
      <c r="D1532" s="20">
        <v>1500</v>
      </c>
      <c r="E1532" s="99" t="s">
        <v>733</v>
      </c>
      <c r="F1532" s="20">
        <f t="shared" si="23"/>
        <v>203565416</v>
      </c>
      <c r="G1532" s="7" t="s">
        <v>330</v>
      </c>
      <c r="H1532" s="24" t="s">
        <v>109</v>
      </c>
      <c r="I1532" s="32" t="s">
        <v>152</v>
      </c>
      <c r="K1532" s="181"/>
      <c r="L1532" s="181"/>
    </row>
    <row r="1533" spans="1:12" x14ac:dyDescent="0.35">
      <c r="A1533" s="19">
        <v>45868</v>
      </c>
      <c r="B1533" s="20"/>
      <c r="C1533" s="20"/>
      <c r="D1533" s="20">
        <v>10000</v>
      </c>
      <c r="E1533" s="99" t="s">
        <v>733</v>
      </c>
      <c r="F1533" s="20">
        <f t="shared" si="23"/>
        <v>203575416</v>
      </c>
      <c r="G1533" s="7" t="s">
        <v>330</v>
      </c>
      <c r="H1533" s="24" t="s">
        <v>109</v>
      </c>
      <c r="I1533" s="32" t="s">
        <v>152</v>
      </c>
      <c r="K1533" s="181"/>
      <c r="L1533" s="181"/>
    </row>
    <row r="1534" spans="1:12" x14ac:dyDescent="0.35">
      <c r="A1534" s="19">
        <v>45868</v>
      </c>
      <c r="B1534" s="20"/>
      <c r="C1534" s="20"/>
      <c r="D1534" s="20">
        <v>20000</v>
      </c>
      <c r="E1534" s="99" t="s">
        <v>733</v>
      </c>
      <c r="F1534" s="20">
        <f t="shared" si="23"/>
        <v>203595416</v>
      </c>
      <c r="G1534" s="7" t="s">
        <v>330</v>
      </c>
      <c r="H1534" s="24" t="s">
        <v>109</v>
      </c>
      <c r="I1534" s="32" t="s">
        <v>152</v>
      </c>
      <c r="K1534" s="181"/>
      <c r="L1534" s="181"/>
    </row>
    <row r="1535" spans="1:12" x14ac:dyDescent="0.35">
      <c r="A1535" s="19">
        <v>45868</v>
      </c>
      <c r="B1535" s="20"/>
      <c r="C1535" s="20"/>
      <c r="D1535" s="20">
        <v>7650</v>
      </c>
      <c r="E1535" s="99" t="s">
        <v>733</v>
      </c>
      <c r="F1535" s="20">
        <f t="shared" si="23"/>
        <v>203603066</v>
      </c>
      <c r="G1535" s="7" t="s">
        <v>330</v>
      </c>
      <c r="H1535" s="24" t="s">
        <v>109</v>
      </c>
      <c r="I1535" s="32" t="s">
        <v>152</v>
      </c>
      <c r="K1535" s="181"/>
      <c r="L1535" s="181"/>
    </row>
    <row r="1536" spans="1:12" x14ac:dyDescent="0.35">
      <c r="A1536" s="19">
        <v>45868</v>
      </c>
      <c r="B1536" s="20">
        <v>3500000</v>
      </c>
      <c r="C1536" s="20"/>
      <c r="D1536" s="20"/>
      <c r="E1536" s="99" t="s">
        <v>733</v>
      </c>
      <c r="F1536" s="20">
        <f t="shared" si="23"/>
        <v>200103066</v>
      </c>
      <c r="G1536" s="7" t="s">
        <v>784</v>
      </c>
      <c r="H1536" s="24" t="s">
        <v>203</v>
      </c>
      <c r="I1536" s="32" t="s">
        <v>152</v>
      </c>
      <c r="K1536" s="181"/>
      <c r="L1536" s="181"/>
    </row>
    <row r="1537" spans="1:12" x14ac:dyDescent="0.35">
      <c r="A1537" s="19">
        <v>45868</v>
      </c>
      <c r="B1537" s="20">
        <v>6500</v>
      </c>
      <c r="C1537" s="20"/>
      <c r="D1537" s="20"/>
      <c r="E1537" s="99" t="s">
        <v>733</v>
      </c>
      <c r="F1537" s="20">
        <f t="shared" si="23"/>
        <v>200096566</v>
      </c>
      <c r="G1537" s="7" t="s">
        <v>784</v>
      </c>
      <c r="H1537" s="24" t="s">
        <v>203</v>
      </c>
      <c r="I1537" s="32" t="s">
        <v>152</v>
      </c>
      <c r="K1537" s="181"/>
      <c r="L1537" s="181"/>
    </row>
    <row r="1538" spans="1:12" x14ac:dyDescent="0.35">
      <c r="A1538" s="19">
        <v>45868</v>
      </c>
      <c r="B1538" s="20"/>
      <c r="C1538" s="20"/>
      <c r="D1538" s="20">
        <v>350000</v>
      </c>
      <c r="E1538" s="99" t="s">
        <v>733</v>
      </c>
      <c r="F1538" s="20">
        <f t="shared" si="23"/>
        <v>200446566</v>
      </c>
      <c r="G1538" s="7" t="s">
        <v>785</v>
      </c>
      <c r="H1538" s="24" t="s">
        <v>109</v>
      </c>
      <c r="I1538" s="32" t="s">
        <v>152</v>
      </c>
      <c r="K1538" s="181"/>
      <c r="L1538" s="181"/>
    </row>
    <row r="1539" spans="1:12" x14ac:dyDescent="0.35">
      <c r="A1539" s="19">
        <v>45868</v>
      </c>
      <c r="B1539" s="20"/>
      <c r="C1539" s="20"/>
      <c r="D1539" s="20">
        <v>200000</v>
      </c>
      <c r="E1539" s="99" t="s">
        <v>733</v>
      </c>
      <c r="F1539" s="20">
        <f t="shared" si="23"/>
        <v>200646566</v>
      </c>
      <c r="G1539" s="7" t="s">
        <v>786</v>
      </c>
      <c r="H1539" s="24" t="s">
        <v>109</v>
      </c>
      <c r="I1539" s="32" t="s">
        <v>152</v>
      </c>
      <c r="K1539" s="181"/>
      <c r="L1539" s="181"/>
    </row>
    <row r="1540" spans="1:12" x14ac:dyDescent="0.35">
      <c r="A1540" s="19">
        <v>45869</v>
      </c>
      <c r="B1540" s="20"/>
      <c r="C1540" s="20"/>
      <c r="D1540" s="20">
        <v>20000</v>
      </c>
      <c r="E1540" s="99" t="s">
        <v>733</v>
      </c>
      <c r="F1540" s="20">
        <f t="shared" si="23"/>
        <v>200666566</v>
      </c>
      <c r="G1540" s="7" t="s">
        <v>330</v>
      </c>
      <c r="H1540" s="24" t="s">
        <v>109</v>
      </c>
      <c r="I1540" s="32" t="s">
        <v>152</v>
      </c>
      <c r="K1540" s="181"/>
      <c r="L1540" s="181"/>
    </row>
    <row r="1541" spans="1:12" x14ac:dyDescent="0.35">
      <c r="A1541" s="19">
        <v>45869</v>
      </c>
      <c r="B1541" s="20"/>
      <c r="C1541" s="20"/>
      <c r="D1541" s="20">
        <v>10000</v>
      </c>
      <c r="E1541" s="99" t="s">
        <v>733</v>
      </c>
      <c r="F1541" s="20">
        <f t="shared" si="23"/>
        <v>200676566</v>
      </c>
      <c r="G1541" s="7" t="s">
        <v>330</v>
      </c>
      <c r="H1541" s="24" t="s">
        <v>109</v>
      </c>
      <c r="I1541" s="32" t="s">
        <v>152</v>
      </c>
      <c r="K1541" s="181"/>
      <c r="L1541" s="181"/>
    </row>
    <row r="1542" spans="1:12" x14ac:dyDescent="0.35">
      <c r="A1542" s="19">
        <v>45869</v>
      </c>
      <c r="B1542" s="20"/>
      <c r="C1542" s="20"/>
      <c r="D1542" s="20">
        <v>1000</v>
      </c>
      <c r="E1542" s="99" t="s">
        <v>733</v>
      </c>
      <c r="F1542" s="20">
        <f t="shared" si="23"/>
        <v>200677566</v>
      </c>
      <c r="G1542" s="7" t="s">
        <v>330</v>
      </c>
      <c r="H1542" s="24" t="s">
        <v>109</v>
      </c>
      <c r="I1542" s="32" t="s">
        <v>152</v>
      </c>
      <c r="K1542" s="181"/>
      <c r="L1542" s="181"/>
    </row>
    <row r="1543" spans="1:12" x14ac:dyDescent="0.35">
      <c r="A1543" s="19">
        <v>45870</v>
      </c>
      <c r="B1543" s="20"/>
      <c r="C1543" s="20"/>
      <c r="D1543" s="20">
        <v>20000</v>
      </c>
      <c r="E1543" s="99" t="s">
        <v>860</v>
      </c>
      <c r="F1543" s="20">
        <f t="shared" si="23"/>
        <v>200697566</v>
      </c>
      <c r="G1543" s="7" t="s">
        <v>330</v>
      </c>
      <c r="H1543" s="24" t="s">
        <v>109</v>
      </c>
      <c r="I1543" s="32" t="s">
        <v>152</v>
      </c>
      <c r="K1543" s="181"/>
      <c r="L1543" s="181"/>
    </row>
    <row r="1544" spans="1:12" x14ac:dyDescent="0.35">
      <c r="A1544" s="19">
        <v>45870</v>
      </c>
      <c r="B1544" s="20"/>
      <c r="C1544" s="20"/>
      <c r="D1544" s="20">
        <v>1000</v>
      </c>
      <c r="E1544" s="99" t="s">
        <v>860</v>
      </c>
      <c r="F1544" s="20">
        <f t="shared" si="23"/>
        <v>200698566</v>
      </c>
      <c r="G1544" s="7" t="s">
        <v>330</v>
      </c>
      <c r="H1544" s="24" t="s">
        <v>109</v>
      </c>
      <c r="I1544" s="32" t="s">
        <v>152</v>
      </c>
      <c r="K1544" s="181"/>
      <c r="L1544" s="181"/>
    </row>
    <row r="1545" spans="1:12" x14ac:dyDescent="0.35">
      <c r="A1545" s="19">
        <v>45870</v>
      </c>
      <c r="B1545" s="20"/>
      <c r="C1545" s="20"/>
      <c r="D1545" s="20">
        <v>200000</v>
      </c>
      <c r="E1545" s="99" t="s">
        <v>860</v>
      </c>
      <c r="F1545" s="20">
        <f t="shared" si="23"/>
        <v>200898566</v>
      </c>
      <c r="G1545" s="7" t="s">
        <v>674</v>
      </c>
      <c r="H1545" s="24" t="s">
        <v>109</v>
      </c>
      <c r="I1545" s="32" t="s">
        <v>152</v>
      </c>
      <c r="K1545" s="181"/>
      <c r="L1545" s="181"/>
    </row>
    <row r="1546" spans="1:12" x14ac:dyDescent="0.35">
      <c r="A1546" s="19">
        <v>45870</v>
      </c>
      <c r="B1546" s="20"/>
      <c r="C1546" s="20"/>
      <c r="D1546" s="20">
        <v>200000</v>
      </c>
      <c r="E1546" s="99" t="s">
        <v>860</v>
      </c>
      <c r="F1546" s="20">
        <f t="shared" ref="F1546:F1609" si="24">+F1545+D1546-B1546</f>
        <v>201098566</v>
      </c>
      <c r="G1546" s="7" t="s">
        <v>531</v>
      </c>
      <c r="H1546" s="24" t="s">
        <v>109</v>
      </c>
      <c r="I1546" s="32" t="s">
        <v>152</v>
      </c>
      <c r="K1546" s="181"/>
      <c r="L1546" s="181"/>
    </row>
    <row r="1547" spans="1:12" x14ac:dyDescent="0.35">
      <c r="A1547" s="19">
        <v>45870</v>
      </c>
      <c r="B1547" s="20"/>
      <c r="C1547" s="20"/>
      <c r="D1547" s="20">
        <v>500000</v>
      </c>
      <c r="E1547" s="99" t="s">
        <v>860</v>
      </c>
      <c r="F1547" s="20">
        <f t="shared" si="24"/>
        <v>201598566</v>
      </c>
      <c r="G1547" s="7" t="s">
        <v>579</v>
      </c>
      <c r="H1547" s="24" t="s">
        <v>109</v>
      </c>
      <c r="I1547" s="32" t="s">
        <v>152</v>
      </c>
      <c r="K1547" s="181"/>
      <c r="L1547" s="181"/>
    </row>
    <row r="1548" spans="1:12" x14ac:dyDescent="0.35">
      <c r="A1548" s="19">
        <v>45870</v>
      </c>
      <c r="B1548" s="20"/>
      <c r="C1548" s="20"/>
      <c r="D1548" s="20">
        <v>300000</v>
      </c>
      <c r="E1548" s="99" t="s">
        <v>860</v>
      </c>
      <c r="F1548" s="20">
        <f t="shared" si="24"/>
        <v>201898566</v>
      </c>
      <c r="G1548" s="7" t="s">
        <v>577</v>
      </c>
      <c r="H1548" s="24" t="s">
        <v>109</v>
      </c>
      <c r="I1548" s="32" t="s">
        <v>152</v>
      </c>
      <c r="K1548" s="181"/>
      <c r="L1548" s="181"/>
    </row>
    <row r="1549" spans="1:12" x14ac:dyDescent="0.35">
      <c r="A1549" s="19">
        <v>45871</v>
      </c>
      <c r="B1549" s="20">
        <v>750000</v>
      </c>
      <c r="C1549" s="20"/>
      <c r="D1549" s="20"/>
      <c r="E1549" s="99" t="s">
        <v>860</v>
      </c>
      <c r="F1549" s="20">
        <f t="shared" si="24"/>
        <v>201148566</v>
      </c>
      <c r="G1549" s="7" t="s">
        <v>788</v>
      </c>
      <c r="H1549" s="24" t="s">
        <v>323</v>
      </c>
      <c r="I1549" s="32" t="s">
        <v>152</v>
      </c>
      <c r="K1549" s="181"/>
      <c r="L1549" s="181"/>
    </row>
    <row r="1550" spans="1:12" x14ac:dyDescent="0.35">
      <c r="A1550" s="19">
        <v>45871</v>
      </c>
      <c r="B1550" s="20">
        <v>6500</v>
      </c>
      <c r="C1550" s="20"/>
      <c r="D1550" s="20"/>
      <c r="E1550" s="99" t="s">
        <v>860</v>
      </c>
      <c r="F1550" s="20">
        <f t="shared" si="24"/>
        <v>201142066</v>
      </c>
      <c r="G1550" s="7" t="s">
        <v>788</v>
      </c>
      <c r="H1550" s="24" t="s">
        <v>323</v>
      </c>
      <c r="I1550" s="32" t="s">
        <v>152</v>
      </c>
      <c r="K1550" s="181"/>
      <c r="L1550" s="181"/>
    </row>
    <row r="1551" spans="1:12" x14ac:dyDescent="0.35">
      <c r="A1551" s="19">
        <v>45871</v>
      </c>
      <c r="B1551" s="20"/>
      <c r="C1551" s="20"/>
      <c r="D1551" s="20">
        <v>50000</v>
      </c>
      <c r="E1551" s="99" t="s">
        <v>860</v>
      </c>
      <c r="F1551" s="20">
        <f t="shared" si="24"/>
        <v>201192066</v>
      </c>
      <c r="G1551" s="7" t="s">
        <v>330</v>
      </c>
      <c r="H1551" s="24" t="s">
        <v>109</v>
      </c>
      <c r="I1551" s="32" t="s">
        <v>152</v>
      </c>
      <c r="K1551" s="181"/>
      <c r="L1551" s="181"/>
    </row>
    <row r="1552" spans="1:12" x14ac:dyDescent="0.35">
      <c r="A1552" s="19">
        <v>45871</v>
      </c>
      <c r="B1552" s="20"/>
      <c r="C1552" s="20"/>
      <c r="D1552" s="20">
        <v>100000</v>
      </c>
      <c r="E1552" s="99" t="s">
        <v>860</v>
      </c>
      <c r="F1552" s="20">
        <f t="shared" si="24"/>
        <v>201292066</v>
      </c>
      <c r="G1552" s="7" t="s">
        <v>330</v>
      </c>
      <c r="H1552" s="24" t="s">
        <v>109</v>
      </c>
      <c r="I1552" s="32" t="s">
        <v>152</v>
      </c>
      <c r="K1552" s="181"/>
      <c r="L1552" s="181"/>
    </row>
    <row r="1553" spans="1:12" x14ac:dyDescent="0.35">
      <c r="A1553" s="19">
        <v>45871</v>
      </c>
      <c r="B1553" s="20"/>
      <c r="C1553" s="20"/>
      <c r="D1553" s="20">
        <v>10000</v>
      </c>
      <c r="E1553" s="99" t="s">
        <v>860</v>
      </c>
      <c r="F1553" s="20">
        <f t="shared" si="24"/>
        <v>201302066</v>
      </c>
      <c r="G1553" s="7" t="s">
        <v>330</v>
      </c>
      <c r="H1553" s="24" t="s">
        <v>109</v>
      </c>
      <c r="I1553" s="32" t="s">
        <v>152</v>
      </c>
      <c r="K1553" s="181"/>
      <c r="L1553" s="181"/>
    </row>
    <row r="1554" spans="1:12" x14ac:dyDescent="0.35">
      <c r="A1554" s="19">
        <v>45871</v>
      </c>
      <c r="B1554" s="20"/>
      <c r="C1554" s="20"/>
      <c r="D1554" s="20">
        <v>50000</v>
      </c>
      <c r="E1554" s="99" t="s">
        <v>860</v>
      </c>
      <c r="F1554" s="20">
        <f t="shared" si="24"/>
        <v>201352066</v>
      </c>
      <c r="G1554" s="7" t="s">
        <v>330</v>
      </c>
      <c r="H1554" s="24" t="s">
        <v>109</v>
      </c>
      <c r="I1554" s="32" t="s">
        <v>152</v>
      </c>
      <c r="K1554" s="181"/>
      <c r="L1554" s="181"/>
    </row>
    <row r="1555" spans="1:12" x14ac:dyDescent="0.35">
      <c r="A1555" s="19">
        <v>45871</v>
      </c>
      <c r="B1555" s="20"/>
      <c r="C1555" s="20"/>
      <c r="D1555" s="20">
        <v>20000</v>
      </c>
      <c r="E1555" s="99" t="s">
        <v>860</v>
      </c>
      <c r="F1555" s="20">
        <f t="shared" si="24"/>
        <v>201372066</v>
      </c>
      <c r="G1555" s="7" t="s">
        <v>330</v>
      </c>
      <c r="H1555" s="24" t="s">
        <v>109</v>
      </c>
      <c r="I1555" s="32" t="s">
        <v>152</v>
      </c>
      <c r="K1555" s="181"/>
      <c r="L1555" s="181"/>
    </row>
    <row r="1556" spans="1:12" x14ac:dyDescent="0.35">
      <c r="A1556" s="19">
        <v>45871</v>
      </c>
      <c r="B1556" s="20"/>
      <c r="C1556" s="20"/>
      <c r="D1556" s="20">
        <v>20000</v>
      </c>
      <c r="E1556" s="99" t="s">
        <v>860</v>
      </c>
      <c r="F1556" s="20">
        <f t="shared" si="24"/>
        <v>201392066</v>
      </c>
      <c r="G1556" s="7" t="s">
        <v>330</v>
      </c>
      <c r="H1556" s="24" t="s">
        <v>109</v>
      </c>
      <c r="I1556" s="32" t="s">
        <v>152</v>
      </c>
      <c r="K1556" s="181"/>
      <c r="L1556" s="181"/>
    </row>
    <row r="1557" spans="1:12" x14ac:dyDescent="0.35">
      <c r="A1557" s="19">
        <v>45871</v>
      </c>
      <c r="B1557" s="20"/>
      <c r="C1557" s="20"/>
      <c r="D1557" s="20">
        <v>20000</v>
      </c>
      <c r="E1557" s="99" t="s">
        <v>860</v>
      </c>
      <c r="F1557" s="20">
        <f t="shared" si="24"/>
        <v>201412066</v>
      </c>
      <c r="G1557" s="7" t="s">
        <v>330</v>
      </c>
      <c r="H1557" s="24" t="s">
        <v>109</v>
      </c>
      <c r="I1557" s="32" t="s">
        <v>152</v>
      </c>
      <c r="K1557" s="181"/>
      <c r="L1557" s="181"/>
    </row>
    <row r="1558" spans="1:12" x14ac:dyDescent="0.35">
      <c r="A1558" s="19">
        <v>45871</v>
      </c>
      <c r="B1558" s="20"/>
      <c r="C1558" s="20"/>
      <c r="D1558" s="20">
        <v>50000</v>
      </c>
      <c r="E1558" s="99" t="s">
        <v>860</v>
      </c>
      <c r="F1558" s="20">
        <f t="shared" si="24"/>
        <v>201462066</v>
      </c>
      <c r="G1558" s="7" t="s">
        <v>330</v>
      </c>
      <c r="H1558" s="24" t="s">
        <v>109</v>
      </c>
      <c r="I1558" s="32" t="s">
        <v>152</v>
      </c>
      <c r="K1558" s="181"/>
      <c r="L1558" s="181"/>
    </row>
    <row r="1559" spans="1:12" x14ac:dyDescent="0.35">
      <c r="A1559" s="19">
        <v>45871</v>
      </c>
      <c r="B1559" s="20"/>
      <c r="C1559" s="20"/>
      <c r="D1559" s="20">
        <v>1138</v>
      </c>
      <c r="E1559" s="99" t="s">
        <v>860</v>
      </c>
      <c r="F1559" s="20">
        <f t="shared" si="24"/>
        <v>201463204</v>
      </c>
      <c r="G1559" s="7" t="s">
        <v>330</v>
      </c>
      <c r="H1559" s="24" t="s">
        <v>109</v>
      </c>
      <c r="I1559" s="32" t="s">
        <v>152</v>
      </c>
      <c r="K1559" s="181"/>
      <c r="L1559" s="181"/>
    </row>
    <row r="1560" spans="1:12" x14ac:dyDescent="0.35">
      <c r="A1560" s="19">
        <v>45871</v>
      </c>
      <c r="B1560" s="20"/>
      <c r="C1560" s="20"/>
      <c r="D1560" s="20">
        <v>5000</v>
      </c>
      <c r="E1560" s="99" t="s">
        <v>860</v>
      </c>
      <c r="F1560" s="20">
        <f t="shared" si="24"/>
        <v>201468204</v>
      </c>
      <c r="G1560" s="7" t="s">
        <v>330</v>
      </c>
      <c r="H1560" s="24" t="s">
        <v>109</v>
      </c>
      <c r="I1560" s="32" t="s">
        <v>152</v>
      </c>
      <c r="K1560" s="181"/>
      <c r="L1560" s="181"/>
    </row>
    <row r="1561" spans="1:12" x14ac:dyDescent="0.35">
      <c r="A1561" s="19">
        <v>45871</v>
      </c>
      <c r="B1561" s="20"/>
      <c r="C1561" s="20"/>
      <c r="D1561" s="20">
        <v>5000</v>
      </c>
      <c r="E1561" s="99" t="s">
        <v>860</v>
      </c>
      <c r="F1561" s="20">
        <f t="shared" si="24"/>
        <v>201473204</v>
      </c>
      <c r="G1561" s="7" t="s">
        <v>330</v>
      </c>
      <c r="H1561" s="24" t="s">
        <v>109</v>
      </c>
      <c r="I1561" s="32" t="s">
        <v>152</v>
      </c>
      <c r="K1561" s="181"/>
      <c r="L1561" s="181"/>
    </row>
    <row r="1562" spans="1:12" x14ac:dyDescent="0.35">
      <c r="A1562" s="19">
        <v>45871</v>
      </c>
      <c r="B1562" s="20"/>
      <c r="C1562" s="20"/>
      <c r="D1562" s="20">
        <v>200000</v>
      </c>
      <c r="E1562" s="99" t="s">
        <v>860</v>
      </c>
      <c r="F1562" s="20">
        <f t="shared" si="24"/>
        <v>201673204</v>
      </c>
      <c r="G1562" s="7" t="s">
        <v>424</v>
      </c>
      <c r="H1562" s="24" t="s">
        <v>109</v>
      </c>
      <c r="I1562" s="32" t="s">
        <v>152</v>
      </c>
      <c r="K1562" s="181"/>
      <c r="L1562" s="181"/>
    </row>
    <row r="1563" spans="1:12" x14ac:dyDescent="0.35">
      <c r="A1563" s="19">
        <v>45872</v>
      </c>
      <c r="B1563" s="20"/>
      <c r="C1563" s="20"/>
      <c r="D1563" s="20">
        <v>200000</v>
      </c>
      <c r="E1563" s="99" t="s">
        <v>860</v>
      </c>
      <c r="F1563" s="20">
        <f t="shared" si="24"/>
        <v>201873204</v>
      </c>
      <c r="G1563" s="7" t="s">
        <v>333</v>
      </c>
      <c r="H1563" s="24" t="s">
        <v>109</v>
      </c>
      <c r="I1563" s="32" t="s">
        <v>152</v>
      </c>
      <c r="K1563" s="181"/>
      <c r="L1563" s="181"/>
    </row>
    <row r="1564" spans="1:12" x14ac:dyDescent="0.35">
      <c r="A1564" s="19">
        <v>45872</v>
      </c>
      <c r="B1564" s="20">
        <v>750000</v>
      </c>
      <c r="C1564" s="20"/>
      <c r="D1564" s="20"/>
      <c r="E1564" s="99" t="s">
        <v>860</v>
      </c>
      <c r="F1564" s="20">
        <f t="shared" si="24"/>
        <v>201123204</v>
      </c>
      <c r="G1564" s="7" t="s">
        <v>789</v>
      </c>
      <c r="H1564" s="24" t="s">
        <v>323</v>
      </c>
      <c r="I1564" s="32" t="s">
        <v>152</v>
      </c>
      <c r="K1564" s="181"/>
      <c r="L1564" s="181"/>
    </row>
    <row r="1565" spans="1:12" x14ac:dyDescent="0.35">
      <c r="A1565" s="19">
        <v>45872</v>
      </c>
      <c r="B1565" s="20">
        <v>6500</v>
      </c>
      <c r="C1565" s="20"/>
      <c r="D1565" s="20"/>
      <c r="E1565" s="99" t="s">
        <v>860</v>
      </c>
      <c r="F1565" s="20">
        <f t="shared" si="24"/>
        <v>201116704</v>
      </c>
      <c r="G1565" s="7" t="s">
        <v>789</v>
      </c>
      <c r="H1565" s="24" t="s">
        <v>323</v>
      </c>
      <c r="I1565" s="32" t="s">
        <v>152</v>
      </c>
      <c r="K1565" s="181"/>
      <c r="L1565" s="181"/>
    </row>
    <row r="1566" spans="1:12" x14ac:dyDescent="0.35">
      <c r="A1566" s="19">
        <v>45872</v>
      </c>
      <c r="B1566" s="20"/>
      <c r="C1566" s="20"/>
      <c r="D1566" s="20">
        <v>20000</v>
      </c>
      <c r="E1566" s="99" t="s">
        <v>860</v>
      </c>
      <c r="F1566" s="20">
        <f t="shared" si="24"/>
        <v>201136704</v>
      </c>
      <c r="G1566" s="7" t="s">
        <v>330</v>
      </c>
      <c r="H1566" s="24" t="s">
        <v>109</v>
      </c>
      <c r="I1566" s="32" t="s">
        <v>152</v>
      </c>
      <c r="K1566" s="181"/>
      <c r="L1566" s="181"/>
    </row>
    <row r="1567" spans="1:12" x14ac:dyDescent="0.35">
      <c r="A1567" s="19">
        <v>45872</v>
      </c>
      <c r="B1567" s="20"/>
      <c r="C1567" s="20"/>
      <c r="D1567" s="20">
        <v>10000</v>
      </c>
      <c r="E1567" s="99" t="s">
        <v>860</v>
      </c>
      <c r="F1567" s="20">
        <f t="shared" si="24"/>
        <v>201146704</v>
      </c>
      <c r="G1567" s="7" t="s">
        <v>330</v>
      </c>
      <c r="H1567" s="24" t="s">
        <v>109</v>
      </c>
      <c r="I1567" s="32" t="s">
        <v>152</v>
      </c>
      <c r="K1567" s="181"/>
      <c r="L1567" s="181"/>
    </row>
    <row r="1568" spans="1:12" x14ac:dyDescent="0.35">
      <c r="A1568" s="19">
        <v>45872</v>
      </c>
      <c r="B1568" s="20"/>
      <c r="C1568" s="20"/>
      <c r="D1568" s="20">
        <v>1000</v>
      </c>
      <c r="E1568" s="99" t="s">
        <v>860</v>
      </c>
      <c r="F1568" s="20">
        <f t="shared" si="24"/>
        <v>201147704</v>
      </c>
      <c r="G1568" s="7" t="s">
        <v>330</v>
      </c>
      <c r="H1568" s="24" t="s">
        <v>109</v>
      </c>
      <c r="I1568" s="32" t="s">
        <v>152</v>
      </c>
      <c r="K1568" s="181"/>
      <c r="L1568" s="181"/>
    </row>
    <row r="1569" spans="1:12" x14ac:dyDescent="0.35">
      <c r="A1569" s="19">
        <v>45872</v>
      </c>
      <c r="B1569" s="20"/>
      <c r="C1569" s="20"/>
      <c r="D1569" s="20">
        <v>100000</v>
      </c>
      <c r="E1569" s="99" t="s">
        <v>860</v>
      </c>
      <c r="F1569" s="20">
        <f t="shared" si="24"/>
        <v>201247704</v>
      </c>
      <c r="G1569" s="7" t="s">
        <v>790</v>
      </c>
      <c r="H1569" s="24" t="s">
        <v>109</v>
      </c>
      <c r="I1569" s="32" t="s">
        <v>152</v>
      </c>
      <c r="K1569" s="181"/>
      <c r="L1569" s="181"/>
    </row>
    <row r="1570" spans="1:12" x14ac:dyDescent="0.35">
      <c r="A1570" s="19">
        <v>45872</v>
      </c>
      <c r="B1570" s="20">
        <v>3009000</v>
      </c>
      <c r="C1570" s="20"/>
      <c r="D1570" s="20"/>
      <c r="E1570" s="99" t="s">
        <v>860</v>
      </c>
      <c r="F1570" s="20">
        <f t="shared" si="24"/>
        <v>198238704</v>
      </c>
      <c r="G1570" s="7" t="s">
        <v>791</v>
      </c>
      <c r="H1570" s="24" t="s">
        <v>321</v>
      </c>
      <c r="I1570" s="32" t="s">
        <v>152</v>
      </c>
      <c r="K1570" s="181"/>
      <c r="L1570" s="181"/>
    </row>
    <row r="1571" spans="1:12" x14ac:dyDescent="0.35">
      <c r="A1571" s="19">
        <v>45872</v>
      </c>
      <c r="B1571" s="20">
        <v>6500</v>
      </c>
      <c r="C1571" s="20"/>
      <c r="D1571" s="20"/>
      <c r="E1571" s="99" t="s">
        <v>860</v>
      </c>
      <c r="F1571" s="20">
        <f t="shared" si="24"/>
        <v>198232204</v>
      </c>
      <c r="G1571" s="7" t="s">
        <v>791</v>
      </c>
      <c r="H1571" s="24" t="s">
        <v>321</v>
      </c>
      <c r="I1571" s="32" t="s">
        <v>152</v>
      </c>
      <c r="K1571" s="181"/>
      <c r="L1571" s="181"/>
    </row>
    <row r="1572" spans="1:12" x14ac:dyDescent="0.35">
      <c r="A1572" s="19">
        <v>45873</v>
      </c>
      <c r="B1572" s="20"/>
      <c r="C1572" s="20"/>
      <c r="D1572" s="20">
        <v>2000</v>
      </c>
      <c r="E1572" s="99" t="s">
        <v>860</v>
      </c>
      <c r="F1572" s="20">
        <f t="shared" si="24"/>
        <v>198234204</v>
      </c>
      <c r="G1572" s="7" t="s">
        <v>330</v>
      </c>
      <c r="H1572" s="24" t="s">
        <v>109</v>
      </c>
      <c r="I1572" s="32" t="s">
        <v>152</v>
      </c>
      <c r="K1572" s="181"/>
      <c r="L1572" s="181"/>
    </row>
    <row r="1573" spans="1:12" x14ac:dyDescent="0.35">
      <c r="A1573" s="19">
        <v>45873</v>
      </c>
      <c r="B1573" s="20"/>
      <c r="C1573" s="20"/>
      <c r="D1573" s="20">
        <v>25000</v>
      </c>
      <c r="E1573" s="99" t="s">
        <v>860</v>
      </c>
      <c r="F1573" s="20">
        <f t="shared" si="24"/>
        <v>198259204</v>
      </c>
      <c r="G1573" s="7" t="s">
        <v>330</v>
      </c>
      <c r="H1573" s="24" t="s">
        <v>109</v>
      </c>
      <c r="I1573" s="32" t="s">
        <v>152</v>
      </c>
      <c r="K1573" s="181"/>
      <c r="L1573" s="181"/>
    </row>
    <row r="1574" spans="1:12" x14ac:dyDescent="0.35">
      <c r="A1574" s="19">
        <v>45873</v>
      </c>
      <c r="B1574" s="20"/>
      <c r="C1574" s="20"/>
      <c r="D1574" s="20">
        <f>3045000-950000</f>
        <v>2095000</v>
      </c>
      <c r="E1574" s="99" t="s">
        <v>860</v>
      </c>
      <c r="F1574" s="20">
        <f t="shared" si="24"/>
        <v>200354204</v>
      </c>
      <c r="G1574" s="7"/>
      <c r="H1574" s="24" t="s">
        <v>107</v>
      </c>
      <c r="I1574" s="32" t="s">
        <v>152</v>
      </c>
      <c r="K1574" s="181"/>
      <c r="L1574" s="181"/>
    </row>
    <row r="1575" spans="1:12" x14ac:dyDescent="0.35">
      <c r="A1575" s="19">
        <v>45873</v>
      </c>
      <c r="B1575" s="20"/>
      <c r="C1575" s="20"/>
      <c r="D1575" s="20">
        <v>2612000</v>
      </c>
      <c r="E1575" s="99" t="s">
        <v>860</v>
      </c>
      <c r="F1575" s="20">
        <f t="shared" si="24"/>
        <v>202966204</v>
      </c>
      <c r="G1575" s="7"/>
      <c r="H1575" s="24" t="s">
        <v>109</v>
      </c>
      <c r="I1575" s="32" t="s">
        <v>152</v>
      </c>
      <c r="K1575" s="181"/>
      <c r="L1575" s="181"/>
    </row>
    <row r="1576" spans="1:12" x14ac:dyDescent="0.35">
      <c r="A1576" s="19"/>
      <c r="B1576" s="20"/>
      <c r="C1576" s="20">
        <v>4707000</v>
      </c>
      <c r="D1576" s="20"/>
      <c r="E1576" s="99"/>
      <c r="F1576" s="20">
        <f t="shared" si="24"/>
        <v>202966204</v>
      </c>
      <c r="G1576" s="7" t="s">
        <v>792</v>
      </c>
      <c r="H1576" s="24"/>
      <c r="I1576" s="32"/>
      <c r="K1576" s="181"/>
      <c r="L1576" s="181"/>
    </row>
    <row r="1577" spans="1:12" x14ac:dyDescent="0.35">
      <c r="A1577" s="19">
        <v>45874</v>
      </c>
      <c r="B1577" s="20"/>
      <c r="C1577" s="20"/>
      <c r="D1577" s="20">
        <v>20000</v>
      </c>
      <c r="E1577" s="99" t="s">
        <v>860</v>
      </c>
      <c r="F1577" s="20">
        <f t="shared" si="24"/>
        <v>202986204</v>
      </c>
      <c r="G1577" s="7" t="s">
        <v>330</v>
      </c>
      <c r="H1577" s="24" t="s">
        <v>109</v>
      </c>
      <c r="I1577" s="32" t="s">
        <v>152</v>
      </c>
      <c r="K1577" s="181"/>
      <c r="L1577" s="181"/>
    </row>
    <row r="1578" spans="1:12" x14ac:dyDescent="0.35">
      <c r="A1578" s="19">
        <v>45874</v>
      </c>
      <c r="B1578" s="20"/>
      <c r="C1578" s="20"/>
      <c r="D1578" s="20">
        <v>1000</v>
      </c>
      <c r="E1578" s="99" t="s">
        <v>860</v>
      </c>
      <c r="F1578" s="20">
        <f t="shared" si="24"/>
        <v>202987204</v>
      </c>
      <c r="G1578" s="7" t="s">
        <v>330</v>
      </c>
      <c r="H1578" s="24" t="s">
        <v>109</v>
      </c>
      <c r="I1578" s="32" t="s">
        <v>152</v>
      </c>
      <c r="K1578" s="181"/>
      <c r="L1578" s="181"/>
    </row>
    <row r="1579" spans="1:12" x14ac:dyDescent="0.35">
      <c r="A1579" s="19">
        <v>45874</v>
      </c>
      <c r="B1579" s="20"/>
      <c r="C1579" s="20"/>
      <c r="D1579" s="20">
        <v>500000</v>
      </c>
      <c r="E1579" s="99" t="s">
        <v>860</v>
      </c>
      <c r="F1579" s="20">
        <f t="shared" si="24"/>
        <v>203487204</v>
      </c>
      <c r="G1579" s="7" t="s">
        <v>675</v>
      </c>
      <c r="H1579" s="24" t="s">
        <v>109</v>
      </c>
      <c r="I1579" s="32" t="s">
        <v>152</v>
      </c>
      <c r="K1579" s="181"/>
      <c r="L1579" s="181"/>
    </row>
    <row r="1580" spans="1:12" x14ac:dyDescent="0.35">
      <c r="A1580" s="19">
        <v>45875</v>
      </c>
      <c r="B1580" s="20"/>
      <c r="C1580" s="20"/>
      <c r="D1580" s="20">
        <v>10000</v>
      </c>
      <c r="E1580" s="99" t="s">
        <v>860</v>
      </c>
      <c r="F1580" s="20">
        <f t="shared" si="24"/>
        <v>203497204</v>
      </c>
      <c r="G1580" s="7" t="s">
        <v>330</v>
      </c>
      <c r="H1580" s="24" t="s">
        <v>109</v>
      </c>
      <c r="I1580" s="32" t="s">
        <v>152</v>
      </c>
      <c r="K1580" s="181"/>
      <c r="L1580" s="181"/>
    </row>
    <row r="1581" spans="1:12" x14ac:dyDescent="0.35">
      <c r="A1581" s="19">
        <v>45875</v>
      </c>
      <c r="B1581" s="20"/>
      <c r="C1581" s="20"/>
      <c r="D1581" s="20">
        <v>20000</v>
      </c>
      <c r="E1581" s="99" t="s">
        <v>860</v>
      </c>
      <c r="F1581" s="20">
        <f t="shared" si="24"/>
        <v>203517204</v>
      </c>
      <c r="G1581" s="7" t="s">
        <v>330</v>
      </c>
      <c r="H1581" s="24" t="s">
        <v>109</v>
      </c>
      <c r="I1581" s="32" t="s">
        <v>152</v>
      </c>
      <c r="K1581" s="181"/>
      <c r="L1581" s="181"/>
    </row>
    <row r="1582" spans="1:12" x14ac:dyDescent="0.35">
      <c r="A1582" s="19">
        <v>45875</v>
      </c>
      <c r="B1582" s="20"/>
      <c r="C1582" s="20"/>
      <c r="D1582" s="20">
        <v>1000</v>
      </c>
      <c r="E1582" s="99" t="s">
        <v>860</v>
      </c>
      <c r="F1582" s="20">
        <f t="shared" si="24"/>
        <v>203518204</v>
      </c>
      <c r="G1582" s="7" t="s">
        <v>330</v>
      </c>
      <c r="H1582" s="24" t="s">
        <v>109</v>
      </c>
      <c r="I1582" s="32" t="s">
        <v>152</v>
      </c>
      <c r="K1582" s="181"/>
      <c r="L1582" s="181"/>
    </row>
    <row r="1583" spans="1:12" x14ac:dyDescent="0.35">
      <c r="A1583" s="19">
        <v>45875</v>
      </c>
      <c r="B1583" s="20"/>
      <c r="C1583" s="20"/>
      <c r="D1583" s="20">
        <v>400000</v>
      </c>
      <c r="E1583" s="99" t="s">
        <v>860</v>
      </c>
      <c r="F1583" s="20">
        <f t="shared" si="24"/>
        <v>203918204</v>
      </c>
      <c r="G1583" s="7" t="s">
        <v>600</v>
      </c>
      <c r="H1583" s="24" t="s">
        <v>109</v>
      </c>
      <c r="I1583" s="32" t="s">
        <v>152</v>
      </c>
      <c r="K1583" s="181"/>
      <c r="L1583" s="181"/>
    </row>
    <row r="1584" spans="1:12" x14ac:dyDescent="0.35">
      <c r="A1584" s="19">
        <v>45875</v>
      </c>
      <c r="B1584" s="20"/>
      <c r="C1584" s="20"/>
      <c r="D1584" s="20">
        <v>800000</v>
      </c>
      <c r="E1584" s="99" t="s">
        <v>860</v>
      </c>
      <c r="F1584" s="20">
        <f t="shared" si="24"/>
        <v>204718204</v>
      </c>
      <c r="G1584" s="7" t="s">
        <v>793</v>
      </c>
      <c r="H1584" s="24" t="s">
        <v>140</v>
      </c>
      <c r="I1584" s="32" t="s">
        <v>152</v>
      </c>
      <c r="K1584" s="181"/>
      <c r="L1584" s="181"/>
    </row>
    <row r="1585" spans="1:12" x14ac:dyDescent="0.35">
      <c r="A1585" s="19">
        <v>45875</v>
      </c>
      <c r="B1585" s="20"/>
      <c r="C1585" s="20"/>
      <c r="D1585" s="20">
        <v>150000</v>
      </c>
      <c r="E1585" s="99" t="s">
        <v>860</v>
      </c>
      <c r="F1585" s="20">
        <f t="shared" si="24"/>
        <v>204868204</v>
      </c>
      <c r="G1585" s="7" t="s">
        <v>603</v>
      </c>
      <c r="H1585" s="24" t="s">
        <v>109</v>
      </c>
      <c r="I1585" s="32" t="s">
        <v>152</v>
      </c>
      <c r="K1585" s="181"/>
      <c r="L1585" s="181"/>
    </row>
    <row r="1586" spans="1:12" x14ac:dyDescent="0.35">
      <c r="A1586" s="19">
        <v>45876</v>
      </c>
      <c r="B1586" s="20"/>
      <c r="C1586" s="20"/>
      <c r="D1586" s="20">
        <v>20000</v>
      </c>
      <c r="E1586" s="99" t="s">
        <v>860</v>
      </c>
      <c r="F1586" s="20">
        <f t="shared" si="24"/>
        <v>204888204</v>
      </c>
      <c r="G1586" s="7" t="s">
        <v>330</v>
      </c>
      <c r="H1586" s="24" t="s">
        <v>109</v>
      </c>
      <c r="I1586" s="32" t="s">
        <v>152</v>
      </c>
      <c r="K1586" s="181"/>
      <c r="L1586" s="181"/>
    </row>
    <row r="1587" spans="1:12" x14ac:dyDescent="0.35">
      <c r="A1587" s="19">
        <v>45876</v>
      </c>
      <c r="B1587" s="20"/>
      <c r="C1587" s="20"/>
      <c r="D1587" s="20">
        <v>1000</v>
      </c>
      <c r="E1587" s="99" t="s">
        <v>860</v>
      </c>
      <c r="F1587" s="20">
        <f t="shared" si="24"/>
        <v>204889204</v>
      </c>
      <c r="G1587" s="7" t="s">
        <v>330</v>
      </c>
      <c r="H1587" s="24" t="s">
        <v>109</v>
      </c>
      <c r="I1587" s="32" t="s">
        <v>152</v>
      </c>
      <c r="K1587" s="181"/>
      <c r="L1587" s="181"/>
    </row>
    <row r="1588" spans="1:12" x14ac:dyDescent="0.35">
      <c r="A1588" s="19">
        <v>45876</v>
      </c>
      <c r="B1588" s="20">
        <v>675000</v>
      </c>
      <c r="C1588" s="20"/>
      <c r="D1588" s="20"/>
      <c r="E1588" s="99" t="s">
        <v>860</v>
      </c>
      <c r="F1588" s="20">
        <f t="shared" si="24"/>
        <v>204214204</v>
      </c>
      <c r="G1588" s="7" t="s">
        <v>795</v>
      </c>
      <c r="H1588" s="24" t="s">
        <v>322</v>
      </c>
      <c r="I1588" s="32" t="s">
        <v>152</v>
      </c>
      <c r="K1588" s="181"/>
      <c r="L1588" s="181"/>
    </row>
    <row r="1589" spans="1:12" x14ac:dyDescent="0.35">
      <c r="A1589" s="19">
        <v>45876</v>
      </c>
      <c r="B1589" s="20">
        <v>6500</v>
      </c>
      <c r="C1589" s="20"/>
      <c r="D1589" s="20"/>
      <c r="E1589" s="99" t="s">
        <v>860</v>
      </c>
      <c r="F1589" s="20">
        <f t="shared" si="24"/>
        <v>204207704</v>
      </c>
      <c r="G1589" s="7" t="s">
        <v>795</v>
      </c>
      <c r="H1589" s="24" t="s">
        <v>322</v>
      </c>
      <c r="I1589" s="32" t="s">
        <v>152</v>
      </c>
      <c r="K1589" s="181"/>
      <c r="L1589" s="181"/>
    </row>
    <row r="1590" spans="1:12" x14ac:dyDescent="0.35">
      <c r="A1590" s="19">
        <v>45877</v>
      </c>
      <c r="B1590" s="20"/>
      <c r="C1590" s="20"/>
      <c r="D1590" s="20">
        <v>2000000</v>
      </c>
      <c r="E1590" s="99" t="s">
        <v>860</v>
      </c>
      <c r="F1590" s="20">
        <f t="shared" si="24"/>
        <v>206207704</v>
      </c>
      <c r="G1590" s="7" t="s">
        <v>425</v>
      </c>
      <c r="H1590" s="24" t="s">
        <v>109</v>
      </c>
      <c r="I1590" s="32" t="s">
        <v>152</v>
      </c>
      <c r="K1590" s="181"/>
      <c r="L1590" s="181"/>
    </row>
    <row r="1591" spans="1:12" x14ac:dyDescent="0.35">
      <c r="A1591" s="19">
        <v>45877</v>
      </c>
      <c r="B1591" s="20"/>
      <c r="C1591" s="20"/>
      <c r="D1591" s="20">
        <v>50000</v>
      </c>
      <c r="E1591" s="99" t="s">
        <v>860</v>
      </c>
      <c r="F1591" s="20">
        <f t="shared" si="24"/>
        <v>206257704</v>
      </c>
      <c r="G1591" s="7" t="s">
        <v>330</v>
      </c>
      <c r="H1591" s="24" t="s">
        <v>109</v>
      </c>
      <c r="I1591" s="32" t="s">
        <v>152</v>
      </c>
      <c r="K1591" s="181"/>
      <c r="L1591" s="181"/>
    </row>
    <row r="1592" spans="1:12" x14ac:dyDescent="0.35">
      <c r="A1592" s="19">
        <v>45877</v>
      </c>
      <c r="B1592" s="20"/>
      <c r="C1592" s="20"/>
      <c r="D1592" s="20">
        <v>10000</v>
      </c>
      <c r="E1592" s="99" t="s">
        <v>860</v>
      </c>
      <c r="F1592" s="20">
        <f t="shared" si="24"/>
        <v>206267704</v>
      </c>
      <c r="G1592" s="7" t="s">
        <v>330</v>
      </c>
      <c r="H1592" s="24" t="s">
        <v>109</v>
      </c>
      <c r="I1592" s="32" t="s">
        <v>152</v>
      </c>
      <c r="K1592" s="181"/>
      <c r="L1592" s="181"/>
    </row>
    <row r="1593" spans="1:12" x14ac:dyDescent="0.35">
      <c r="A1593" s="19">
        <v>45877</v>
      </c>
      <c r="B1593" s="20"/>
      <c r="C1593" s="20"/>
      <c r="D1593" s="20">
        <v>20000</v>
      </c>
      <c r="E1593" s="99" t="s">
        <v>860</v>
      </c>
      <c r="F1593" s="20">
        <f t="shared" si="24"/>
        <v>206287704</v>
      </c>
      <c r="G1593" s="7" t="s">
        <v>330</v>
      </c>
      <c r="H1593" s="24" t="s">
        <v>109</v>
      </c>
      <c r="I1593" s="32" t="s">
        <v>152</v>
      </c>
      <c r="K1593" s="181"/>
      <c r="L1593" s="181"/>
    </row>
    <row r="1594" spans="1:12" x14ac:dyDescent="0.35">
      <c r="A1594" s="19">
        <v>45877</v>
      </c>
      <c r="B1594" s="20"/>
      <c r="C1594" s="20"/>
      <c r="D1594" s="20">
        <v>1000</v>
      </c>
      <c r="E1594" s="99" t="s">
        <v>860</v>
      </c>
      <c r="F1594" s="20">
        <f t="shared" si="24"/>
        <v>206288704</v>
      </c>
      <c r="G1594" s="7" t="s">
        <v>330</v>
      </c>
      <c r="H1594" s="24" t="s">
        <v>109</v>
      </c>
      <c r="I1594" s="32" t="s">
        <v>152</v>
      </c>
      <c r="K1594" s="181"/>
      <c r="L1594" s="181"/>
    </row>
    <row r="1595" spans="1:12" x14ac:dyDescent="0.35">
      <c r="A1595" s="19">
        <v>45878</v>
      </c>
      <c r="B1595" s="20">
        <v>750000</v>
      </c>
      <c r="C1595" s="20"/>
      <c r="D1595" s="20"/>
      <c r="E1595" s="99" t="s">
        <v>860</v>
      </c>
      <c r="F1595" s="20">
        <f t="shared" si="24"/>
        <v>205538704</v>
      </c>
      <c r="G1595" s="7" t="s">
        <v>796</v>
      </c>
      <c r="H1595" s="24" t="s">
        <v>323</v>
      </c>
      <c r="I1595" s="32" t="s">
        <v>152</v>
      </c>
      <c r="K1595" s="181"/>
      <c r="L1595" s="181"/>
    </row>
    <row r="1596" spans="1:12" x14ac:dyDescent="0.35">
      <c r="A1596" s="19">
        <v>45878</v>
      </c>
      <c r="B1596" s="20">
        <v>6500</v>
      </c>
      <c r="C1596" s="20"/>
      <c r="D1596" s="20"/>
      <c r="E1596" s="99" t="s">
        <v>860</v>
      </c>
      <c r="F1596" s="20">
        <f t="shared" si="24"/>
        <v>205532204</v>
      </c>
      <c r="G1596" s="7" t="s">
        <v>796</v>
      </c>
      <c r="H1596" s="24" t="s">
        <v>323</v>
      </c>
      <c r="I1596" s="32" t="s">
        <v>152</v>
      </c>
      <c r="K1596" s="181"/>
      <c r="L1596" s="181"/>
    </row>
    <row r="1597" spans="1:12" x14ac:dyDescent="0.35">
      <c r="A1597" s="19">
        <v>45878</v>
      </c>
      <c r="B1597" s="20"/>
      <c r="C1597" s="20"/>
      <c r="D1597" s="20">
        <v>50000</v>
      </c>
      <c r="E1597" s="99" t="s">
        <v>860</v>
      </c>
      <c r="F1597" s="20">
        <f t="shared" si="24"/>
        <v>205582204</v>
      </c>
      <c r="G1597" s="7" t="s">
        <v>330</v>
      </c>
      <c r="H1597" s="24" t="s">
        <v>109</v>
      </c>
      <c r="I1597" s="32" t="s">
        <v>152</v>
      </c>
      <c r="K1597" s="181"/>
      <c r="L1597" s="181"/>
    </row>
    <row r="1598" spans="1:12" x14ac:dyDescent="0.35">
      <c r="A1598" s="19">
        <v>45878</v>
      </c>
      <c r="B1598" s="20"/>
      <c r="C1598" s="20"/>
      <c r="D1598" s="20">
        <v>100000</v>
      </c>
      <c r="E1598" s="99" t="s">
        <v>860</v>
      </c>
      <c r="F1598" s="20">
        <f t="shared" si="24"/>
        <v>205682204</v>
      </c>
      <c r="G1598" s="7" t="s">
        <v>330</v>
      </c>
      <c r="H1598" s="24" t="s">
        <v>109</v>
      </c>
      <c r="I1598" s="32" t="s">
        <v>152</v>
      </c>
      <c r="K1598" s="181"/>
      <c r="L1598" s="181"/>
    </row>
    <row r="1599" spans="1:12" x14ac:dyDescent="0.35">
      <c r="A1599" s="19">
        <v>45878</v>
      </c>
      <c r="B1599" s="20"/>
      <c r="C1599" s="20"/>
      <c r="D1599" s="20">
        <v>10000</v>
      </c>
      <c r="E1599" s="99" t="s">
        <v>860</v>
      </c>
      <c r="F1599" s="20">
        <f t="shared" si="24"/>
        <v>205692204</v>
      </c>
      <c r="G1599" s="7" t="s">
        <v>330</v>
      </c>
      <c r="H1599" s="24" t="s">
        <v>109</v>
      </c>
      <c r="I1599" s="32" t="s">
        <v>152</v>
      </c>
      <c r="K1599" s="181"/>
      <c r="L1599" s="181"/>
    </row>
    <row r="1600" spans="1:12" x14ac:dyDescent="0.35">
      <c r="A1600" s="19">
        <v>45878</v>
      </c>
      <c r="B1600" s="20"/>
      <c r="C1600" s="20"/>
      <c r="D1600" s="20">
        <v>10000</v>
      </c>
      <c r="E1600" s="99" t="s">
        <v>860</v>
      </c>
      <c r="F1600" s="20">
        <f t="shared" si="24"/>
        <v>205702204</v>
      </c>
      <c r="G1600" s="7" t="s">
        <v>330</v>
      </c>
      <c r="H1600" s="24" t="s">
        <v>109</v>
      </c>
      <c r="I1600" s="32" t="s">
        <v>152</v>
      </c>
      <c r="K1600" s="181"/>
      <c r="L1600" s="181"/>
    </row>
    <row r="1601" spans="1:12" x14ac:dyDescent="0.35">
      <c r="A1601" s="19">
        <v>45878</v>
      </c>
      <c r="B1601" s="20"/>
      <c r="C1601" s="20"/>
      <c r="D1601" s="20">
        <v>50000</v>
      </c>
      <c r="E1601" s="99" t="s">
        <v>860</v>
      </c>
      <c r="F1601" s="20">
        <f t="shared" si="24"/>
        <v>205752204</v>
      </c>
      <c r="G1601" s="7" t="s">
        <v>330</v>
      </c>
      <c r="H1601" s="24" t="s">
        <v>109</v>
      </c>
      <c r="I1601" s="32" t="s">
        <v>152</v>
      </c>
      <c r="K1601" s="181"/>
      <c r="L1601" s="181"/>
    </row>
    <row r="1602" spans="1:12" x14ac:dyDescent="0.35">
      <c r="A1602" s="19">
        <v>45878</v>
      </c>
      <c r="B1602" s="20"/>
      <c r="C1602" s="20"/>
      <c r="D1602" s="20">
        <v>50000</v>
      </c>
      <c r="E1602" s="99" t="s">
        <v>860</v>
      </c>
      <c r="F1602" s="20">
        <f t="shared" si="24"/>
        <v>205802204</v>
      </c>
      <c r="G1602" s="7" t="s">
        <v>330</v>
      </c>
      <c r="H1602" s="24" t="s">
        <v>109</v>
      </c>
      <c r="I1602" s="32" t="s">
        <v>152</v>
      </c>
      <c r="K1602" s="181"/>
      <c r="L1602" s="181"/>
    </row>
    <row r="1603" spans="1:12" x14ac:dyDescent="0.35">
      <c r="A1603" s="19">
        <v>45878</v>
      </c>
      <c r="B1603" s="20"/>
      <c r="C1603" s="20"/>
      <c r="D1603" s="20">
        <v>20000</v>
      </c>
      <c r="E1603" s="99" t="s">
        <v>860</v>
      </c>
      <c r="F1603" s="20">
        <f t="shared" si="24"/>
        <v>205822204</v>
      </c>
      <c r="G1603" s="7" t="s">
        <v>330</v>
      </c>
      <c r="H1603" s="24" t="s">
        <v>109</v>
      </c>
      <c r="I1603" s="32" t="s">
        <v>152</v>
      </c>
      <c r="K1603" s="181"/>
      <c r="L1603" s="181"/>
    </row>
    <row r="1604" spans="1:12" x14ac:dyDescent="0.35">
      <c r="A1604" s="19">
        <v>45878</v>
      </c>
      <c r="B1604" s="20"/>
      <c r="C1604" s="20"/>
      <c r="D1604" s="20">
        <v>20000</v>
      </c>
      <c r="E1604" s="99" t="s">
        <v>860</v>
      </c>
      <c r="F1604" s="20">
        <f t="shared" si="24"/>
        <v>205842204</v>
      </c>
      <c r="G1604" s="7" t="s">
        <v>330</v>
      </c>
      <c r="H1604" s="24" t="s">
        <v>109</v>
      </c>
      <c r="I1604" s="32" t="s">
        <v>152</v>
      </c>
      <c r="K1604" s="181"/>
      <c r="L1604" s="181"/>
    </row>
    <row r="1605" spans="1:12" x14ac:dyDescent="0.35">
      <c r="A1605" s="19">
        <v>45878</v>
      </c>
      <c r="B1605" s="20"/>
      <c r="C1605" s="20"/>
      <c r="D1605" s="20">
        <v>50000</v>
      </c>
      <c r="E1605" s="99" t="s">
        <v>860</v>
      </c>
      <c r="F1605" s="20">
        <f t="shared" si="24"/>
        <v>205892204</v>
      </c>
      <c r="G1605" s="7" t="s">
        <v>330</v>
      </c>
      <c r="H1605" s="24" t="s">
        <v>109</v>
      </c>
      <c r="I1605" s="32" t="s">
        <v>152</v>
      </c>
      <c r="K1605" s="181"/>
      <c r="L1605" s="181"/>
    </row>
    <row r="1606" spans="1:12" x14ac:dyDescent="0.35">
      <c r="A1606" s="19">
        <v>45878</v>
      </c>
      <c r="B1606" s="20"/>
      <c r="C1606" s="20"/>
      <c r="D1606" s="20">
        <v>1000</v>
      </c>
      <c r="E1606" s="99" t="s">
        <v>860</v>
      </c>
      <c r="F1606" s="20">
        <f t="shared" si="24"/>
        <v>205893204</v>
      </c>
      <c r="G1606" s="7" t="s">
        <v>330</v>
      </c>
      <c r="H1606" s="24" t="s">
        <v>109</v>
      </c>
      <c r="I1606" s="32" t="s">
        <v>152</v>
      </c>
      <c r="K1606" s="181"/>
      <c r="L1606" s="181"/>
    </row>
    <row r="1607" spans="1:12" x14ac:dyDescent="0.35">
      <c r="A1607" s="19">
        <v>45878</v>
      </c>
      <c r="B1607" s="20"/>
      <c r="C1607" s="20"/>
      <c r="D1607" s="20">
        <v>5000</v>
      </c>
      <c r="E1607" s="99" t="s">
        <v>860</v>
      </c>
      <c r="F1607" s="20">
        <f t="shared" si="24"/>
        <v>205898204</v>
      </c>
      <c r="G1607" s="7" t="s">
        <v>330</v>
      </c>
      <c r="H1607" s="24" t="s">
        <v>109</v>
      </c>
      <c r="I1607" s="32" t="s">
        <v>152</v>
      </c>
      <c r="K1607" s="181"/>
      <c r="L1607" s="181"/>
    </row>
    <row r="1608" spans="1:12" x14ac:dyDescent="0.35">
      <c r="A1608" s="19">
        <v>45879</v>
      </c>
      <c r="B1608" s="20">
        <v>750000</v>
      </c>
      <c r="C1608" s="20"/>
      <c r="D1608" s="20"/>
      <c r="E1608" s="99" t="s">
        <v>860</v>
      </c>
      <c r="F1608" s="20">
        <f t="shared" si="24"/>
        <v>205148204</v>
      </c>
      <c r="G1608" s="7" t="s">
        <v>797</v>
      </c>
      <c r="H1608" s="24" t="s">
        <v>323</v>
      </c>
      <c r="I1608" s="32" t="s">
        <v>152</v>
      </c>
      <c r="K1608" s="181"/>
      <c r="L1608" s="181"/>
    </row>
    <row r="1609" spans="1:12" x14ac:dyDescent="0.35">
      <c r="A1609" s="19">
        <v>45879</v>
      </c>
      <c r="B1609" s="20"/>
      <c r="C1609" s="20"/>
      <c r="D1609" s="20">
        <v>20000</v>
      </c>
      <c r="E1609" s="99" t="s">
        <v>860</v>
      </c>
      <c r="F1609" s="20">
        <f t="shared" si="24"/>
        <v>205168204</v>
      </c>
      <c r="G1609" s="7" t="s">
        <v>330</v>
      </c>
      <c r="H1609" s="24" t="s">
        <v>109</v>
      </c>
      <c r="I1609" s="32" t="s">
        <v>152</v>
      </c>
      <c r="K1609" s="181"/>
      <c r="L1609" s="181"/>
    </row>
    <row r="1610" spans="1:12" x14ac:dyDescent="0.35">
      <c r="A1610" s="19">
        <v>45879</v>
      </c>
      <c r="B1610" s="20"/>
      <c r="C1610" s="20"/>
      <c r="D1610" s="20">
        <v>10000</v>
      </c>
      <c r="E1610" s="99" t="s">
        <v>860</v>
      </c>
      <c r="F1610" s="20">
        <f t="shared" ref="F1610:F1673" si="25">+F1609+D1610-B1610</f>
        <v>205178204</v>
      </c>
      <c r="G1610" s="7" t="s">
        <v>330</v>
      </c>
      <c r="H1610" s="24" t="s">
        <v>109</v>
      </c>
      <c r="I1610" s="32" t="s">
        <v>152</v>
      </c>
      <c r="K1610" s="181"/>
      <c r="L1610" s="181"/>
    </row>
    <row r="1611" spans="1:12" x14ac:dyDescent="0.35">
      <c r="A1611" s="19">
        <v>45879</v>
      </c>
      <c r="B1611" s="20"/>
      <c r="C1611" s="20"/>
      <c r="D1611" s="20">
        <v>1000</v>
      </c>
      <c r="E1611" s="99" t="s">
        <v>860</v>
      </c>
      <c r="F1611" s="20">
        <f t="shared" si="25"/>
        <v>205179204</v>
      </c>
      <c r="G1611" s="7" t="s">
        <v>330</v>
      </c>
      <c r="H1611" s="24" t="s">
        <v>109</v>
      </c>
      <c r="I1611" s="32" t="s">
        <v>152</v>
      </c>
      <c r="K1611" s="181"/>
      <c r="L1611" s="181"/>
    </row>
    <row r="1612" spans="1:12" x14ac:dyDescent="0.35">
      <c r="A1612" s="19">
        <v>45880</v>
      </c>
      <c r="B1612" s="20"/>
      <c r="C1612" s="20"/>
      <c r="D1612" s="20">
        <v>20000</v>
      </c>
      <c r="E1612" s="99" t="s">
        <v>860</v>
      </c>
      <c r="F1612" s="20">
        <f t="shared" si="25"/>
        <v>205199204</v>
      </c>
      <c r="G1612" s="7" t="s">
        <v>330</v>
      </c>
      <c r="H1612" s="24" t="s">
        <v>109</v>
      </c>
      <c r="I1612" s="32" t="s">
        <v>152</v>
      </c>
      <c r="K1612" s="181"/>
      <c r="L1612" s="181"/>
    </row>
    <row r="1613" spans="1:12" x14ac:dyDescent="0.35">
      <c r="A1613" s="19">
        <v>45880</v>
      </c>
      <c r="B1613" s="20"/>
      <c r="C1613" s="20"/>
      <c r="D1613" s="20">
        <v>1000</v>
      </c>
      <c r="E1613" s="99" t="s">
        <v>860</v>
      </c>
      <c r="F1613" s="20">
        <f t="shared" si="25"/>
        <v>205200204</v>
      </c>
      <c r="G1613" s="7" t="s">
        <v>330</v>
      </c>
      <c r="H1613" s="24" t="s">
        <v>109</v>
      </c>
      <c r="I1613" s="32" t="s">
        <v>152</v>
      </c>
      <c r="K1613" s="181"/>
      <c r="L1613" s="181"/>
    </row>
    <row r="1614" spans="1:12" x14ac:dyDescent="0.35">
      <c r="A1614" s="19">
        <v>45880</v>
      </c>
      <c r="B1614" s="20"/>
      <c r="C1614" s="20"/>
      <c r="D1614" s="20">
        <v>25000</v>
      </c>
      <c r="E1614" s="99" t="s">
        <v>860</v>
      </c>
      <c r="F1614" s="20">
        <f t="shared" si="25"/>
        <v>205225204</v>
      </c>
      <c r="G1614" s="7" t="s">
        <v>330</v>
      </c>
      <c r="H1614" s="24" t="s">
        <v>109</v>
      </c>
      <c r="I1614" s="32" t="s">
        <v>152</v>
      </c>
      <c r="K1614" s="181"/>
      <c r="L1614" s="181"/>
    </row>
    <row r="1615" spans="1:12" x14ac:dyDescent="0.35">
      <c r="A1615" s="19">
        <v>45880</v>
      </c>
      <c r="B1615" s="20"/>
      <c r="C1615" s="20"/>
      <c r="D1615" s="20">
        <f>5123000-1115000</f>
        <v>4008000</v>
      </c>
      <c r="E1615" s="99" t="s">
        <v>860</v>
      </c>
      <c r="F1615" s="20">
        <f t="shared" si="25"/>
        <v>209233204</v>
      </c>
      <c r="G1615" s="7"/>
      <c r="H1615" s="24" t="s">
        <v>107</v>
      </c>
      <c r="I1615" s="32" t="s">
        <v>152</v>
      </c>
      <c r="K1615" s="181"/>
      <c r="L1615" s="181"/>
    </row>
    <row r="1616" spans="1:12" x14ac:dyDescent="0.35">
      <c r="A1616" s="19">
        <v>45880</v>
      </c>
      <c r="B1616" s="20"/>
      <c r="C1616" s="20"/>
      <c r="D1616" s="20">
        <v>2145000</v>
      </c>
      <c r="E1616" s="99" t="s">
        <v>860</v>
      </c>
      <c r="F1616" s="20">
        <f t="shared" si="25"/>
        <v>211378204</v>
      </c>
      <c r="G1616" s="7"/>
      <c r="H1616" s="24" t="s">
        <v>109</v>
      </c>
      <c r="I1616" s="32" t="s">
        <v>152</v>
      </c>
      <c r="K1616" s="181"/>
      <c r="L1616" s="181"/>
    </row>
    <row r="1617" spans="1:12" x14ac:dyDescent="0.35">
      <c r="A1617" s="19"/>
      <c r="B1617" s="20"/>
      <c r="C1617" s="20">
        <v>6153000</v>
      </c>
      <c r="D1617" s="20"/>
      <c r="E1617" s="99"/>
      <c r="F1617" s="20">
        <f t="shared" si="25"/>
        <v>211378204</v>
      </c>
      <c r="G1617" s="7" t="s">
        <v>798</v>
      </c>
      <c r="H1617" s="24"/>
      <c r="I1617" s="32"/>
      <c r="K1617" s="181"/>
      <c r="L1617" s="181"/>
    </row>
    <row r="1618" spans="1:12" x14ac:dyDescent="0.35">
      <c r="A1618" s="19">
        <v>45881</v>
      </c>
      <c r="B1618" s="20"/>
      <c r="C1618" s="20"/>
      <c r="D1618" s="20">
        <v>100000</v>
      </c>
      <c r="E1618" s="99" t="s">
        <v>860</v>
      </c>
      <c r="F1618" s="20">
        <f t="shared" si="25"/>
        <v>211478204</v>
      </c>
      <c r="G1618" s="7" t="s">
        <v>330</v>
      </c>
      <c r="H1618" s="24" t="s">
        <v>109</v>
      </c>
      <c r="I1618" s="32" t="s">
        <v>152</v>
      </c>
      <c r="K1618" s="181"/>
      <c r="L1618" s="181"/>
    </row>
    <row r="1619" spans="1:12" x14ac:dyDescent="0.35">
      <c r="A1619" s="19">
        <v>45881</v>
      </c>
      <c r="B1619" s="20"/>
      <c r="C1619" s="20"/>
      <c r="D1619" s="20">
        <v>20000</v>
      </c>
      <c r="E1619" s="99" t="s">
        <v>860</v>
      </c>
      <c r="F1619" s="20">
        <f t="shared" si="25"/>
        <v>211498204</v>
      </c>
      <c r="G1619" s="7" t="s">
        <v>330</v>
      </c>
      <c r="H1619" s="24" t="s">
        <v>109</v>
      </c>
      <c r="I1619" s="32" t="s">
        <v>152</v>
      </c>
      <c r="K1619" s="181"/>
      <c r="L1619" s="181"/>
    </row>
    <row r="1620" spans="1:12" x14ac:dyDescent="0.35">
      <c r="A1620" s="19">
        <v>45881</v>
      </c>
      <c r="B1620" s="20"/>
      <c r="C1620" s="20"/>
      <c r="D1620" s="20">
        <v>20000</v>
      </c>
      <c r="E1620" s="99" t="s">
        <v>860</v>
      </c>
      <c r="F1620" s="20">
        <f t="shared" si="25"/>
        <v>211518204</v>
      </c>
      <c r="G1620" s="7" t="s">
        <v>330</v>
      </c>
      <c r="H1620" s="24" t="s">
        <v>109</v>
      </c>
      <c r="I1620" s="32" t="s">
        <v>152</v>
      </c>
      <c r="K1620" s="181"/>
      <c r="L1620" s="181"/>
    </row>
    <row r="1621" spans="1:12" x14ac:dyDescent="0.35">
      <c r="A1621" s="19">
        <v>45881</v>
      </c>
      <c r="B1621" s="20"/>
      <c r="C1621" s="20"/>
      <c r="D1621" s="20">
        <v>3000</v>
      </c>
      <c r="E1621" s="99" t="s">
        <v>860</v>
      </c>
      <c r="F1621" s="20">
        <f t="shared" si="25"/>
        <v>211521204</v>
      </c>
      <c r="G1621" s="7" t="s">
        <v>330</v>
      </c>
      <c r="H1621" s="24" t="s">
        <v>109</v>
      </c>
      <c r="I1621" s="32" t="s">
        <v>152</v>
      </c>
      <c r="K1621" s="181"/>
      <c r="L1621" s="181"/>
    </row>
    <row r="1622" spans="1:12" x14ac:dyDescent="0.35">
      <c r="A1622" s="19">
        <v>45882</v>
      </c>
      <c r="B1622" s="20"/>
      <c r="C1622" s="20"/>
      <c r="D1622" s="20">
        <v>10000</v>
      </c>
      <c r="E1622" s="99" t="s">
        <v>860</v>
      </c>
      <c r="F1622" s="20">
        <f t="shared" si="25"/>
        <v>211531204</v>
      </c>
      <c r="G1622" s="7" t="s">
        <v>330</v>
      </c>
      <c r="H1622" s="24" t="s">
        <v>109</v>
      </c>
      <c r="I1622" s="32" t="s">
        <v>152</v>
      </c>
      <c r="K1622" s="181"/>
      <c r="L1622" s="181"/>
    </row>
    <row r="1623" spans="1:12" x14ac:dyDescent="0.35">
      <c r="A1623" s="19">
        <v>45882</v>
      </c>
      <c r="B1623" s="20"/>
      <c r="C1623" s="20"/>
      <c r="D1623" s="20">
        <v>20000</v>
      </c>
      <c r="E1623" s="99" t="s">
        <v>860</v>
      </c>
      <c r="F1623" s="20">
        <f t="shared" si="25"/>
        <v>211551204</v>
      </c>
      <c r="G1623" s="7" t="s">
        <v>330</v>
      </c>
      <c r="H1623" s="24" t="s">
        <v>109</v>
      </c>
      <c r="I1623" s="32" t="s">
        <v>152</v>
      </c>
      <c r="K1623" s="181"/>
      <c r="L1623" s="181"/>
    </row>
    <row r="1624" spans="1:12" x14ac:dyDescent="0.35">
      <c r="A1624" s="19">
        <v>45882</v>
      </c>
      <c r="B1624" s="20"/>
      <c r="C1624" s="20"/>
      <c r="D1624" s="20">
        <v>1000</v>
      </c>
      <c r="E1624" s="99" t="s">
        <v>860</v>
      </c>
      <c r="F1624" s="20">
        <f t="shared" si="25"/>
        <v>211552204</v>
      </c>
      <c r="G1624" s="7" t="s">
        <v>330</v>
      </c>
      <c r="H1624" s="24" t="s">
        <v>109</v>
      </c>
      <c r="I1624" s="32" t="s">
        <v>152</v>
      </c>
      <c r="K1624" s="181"/>
      <c r="L1624" s="181"/>
    </row>
    <row r="1625" spans="1:12" x14ac:dyDescent="0.35">
      <c r="A1625" s="19">
        <v>45883</v>
      </c>
      <c r="B1625" s="20"/>
      <c r="C1625" s="20"/>
      <c r="D1625" s="20">
        <v>10000</v>
      </c>
      <c r="E1625" s="99" t="s">
        <v>860</v>
      </c>
      <c r="F1625" s="20">
        <f t="shared" si="25"/>
        <v>211562204</v>
      </c>
      <c r="G1625" s="7" t="s">
        <v>330</v>
      </c>
      <c r="H1625" s="24" t="s">
        <v>109</v>
      </c>
      <c r="I1625" s="32" t="s">
        <v>152</v>
      </c>
      <c r="K1625" s="181"/>
      <c r="L1625" s="181"/>
    </row>
    <row r="1626" spans="1:12" x14ac:dyDescent="0.35">
      <c r="A1626" s="19">
        <v>45883</v>
      </c>
      <c r="B1626" s="20"/>
      <c r="C1626" s="20"/>
      <c r="D1626" s="20">
        <v>20000</v>
      </c>
      <c r="E1626" s="99" t="s">
        <v>860</v>
      </c>
      <c r="F1626" s="20">
        <f t="shared" si="25"/>
        <v>211582204</v>
      </c>
      <c r="G1626" s="7" t="s">
        <v>330</v>
      </c>
      <c r="H1626" s="24" t="s">
        <v>109</v>
      </c>
      <c r="I1626" s="32" t="s">
        <v>152</v>
      </c>
      <c r="K1626" s="181"/>
      <c r="L1626" s="181"/>
    </row>
    <row r="1627" spans="1:12" x14ac:dyDescent="0.35">
      <c r="A1627" s="19">
        <v>45883</v>
      </c>
      <c r="B1627" s="20"/>
      <c r="C1627" s="20"/>
      <c r="D1627" s="20">
        <v>1500</v>
      </c>
      <c r="E1627" s="99" t="s">
        <v>860</v>
      </c>
      <c r="F1627" s="20">
        <f t="shared" si="25"/>
        <v>211583704</v>
      </c>
      <c r="G1627" s="7" t="s">
        <v>330</v>
      </c>
      <c r="H1627" s="24" t="s">
        <v>109</v>
      </c>
      <c r="I1627" s="32" t="s">
        <v>152</v>
      </c>
      <c r="K1627" s="181"/>
      <c r="L1627" s="181"/>
    </row>
    <row r="1628" spans="1:12" x14ac:dyDescent="0.35">
      <c r="A1628" s="19">
        <v>45883</v>
      </c>
      <c r="B1628" s="20"/>
      <c r="C1628" s="20"/>
      <c r="D1628" s="20">
        <v>100000</v>
      </c>
      <c r="E1628" s="99" t="s">
        <v>860</v>
      </c>
      <c r="F1628" s="20">
        <f t="shared" si="25"/>
        <v>211683704</v>
      </c>
      <c r="G1628" s="7" t="s">
        <v>373</v>
      </c>
      <c r="H1628" s="24" t="s">
        <v>109</v>
      </c>
      <c r="I1628" s="32" t="s">
        <v>152</v>
      </c>
      <c r="K1628" s="181"/>
      <c r="L1628" s="181"/>
    </row>
    <row r="1629" spans="1:12" x14ac:dyDescent="0.35">
      <c r="A1629" s="19">
        <v>45884</v>
      </c>
      <c r="B1629" s="20"/>
      <c r="C1629" s="20"/>
      <c r="D1629" s="20">
        <v>30000</v>
      </c>
      <c r="E1629" s="99" t="s">
        <v>860</v>
      </c>
      <c r="F1629" s="20">
        <f t="shared" si="25"/>
        <v>211713704</v>
      </c>
      <c r="G1629" s="7" t="s">
        <v>330</v>
      </c>
      <c r="H1629" s="24" t="s">
        <v>109</v>
      </c>
      <c r="I1629" s="32" t="s">
        <v>152</v>
      </c>
      <c r="K1629" s="181"/>
      <c r="L1629" s="181"/>
    </row>
    <row r="1630" spans="1:12" x14ac:dyDescent="0.35">
      <c r="A1630" s="19">
        <v>45884</v>
      </c>
      <c r="B1630" s="20"/>
      <c r="C1630" s="20"/>
      <c r="D1630" s="20">
        <v>100000</v>
      </c>
      <c r="E1630" s="99" t="s">
        <v>860</v>
      </c>
      <c r="F1630" s="20">
        <f t="shared" si="25"/>
        <v>211813704</v>
      </c>
      <c r="G1630" s="7" t="s">
        <v>330</v>
      </c>
      <c r="H1630" s="24" t="s">
        <v>109</v>
      </c>
      <c r="I1630" s="32" t="s">
        <v>152</v>
      </c>
      <c r="K1630" s="181"/>
      <c r="L1630" s="181"/>
    </row>
    <row r="1631" spans="1:12" x14ac:dyDescent="0.35">
      <c r="A1631" s="19">
        <v>45884</v>
      </c>
      <c r="B1631" s="20"/>
      <c r="C1631" s="20"/>
      <c r="D1631" s="20">
        <v>100000</v>
      </c>
      <c r="E1631" s="99" t="s">
        <v>860</v>
      </c>
      <c r="F1631" s="20">
        <f t="shared" si="25"/>
        <v>211913704</v>
      </c>
      <c r="G1631" s="7" t="s">
        <v>330</v>
      </c>
      <c r="H1631" s="24" t="s">
        <v>109</v>
      </c>
      <c r="I1631" s="32" t="s">
        <v>152</v>
      </c>
      <c r="K1631" s="181"/>
      <c r="L1631" s="181"/>
    </row>
    <row r="1632" spans="1:12" x14ac:dyDescent="0.35">
      <c r="A1632" s="19">
        <v>45884</v>
      </c>
      <c r="B1632" s="20"/>
      <c r="C1632" s="20"/>
      <c r="D1632" s="20">
        <v>10000</v>
      </c>
      <c r="E1632" s="99" t="s">
        <v>860</v>
      </c>
      <c r="F1632" s="20">
        <f t="shared" si="25"/>
        <v>211923704</v>
      </c>
      <c r="G1632" s="7" t="s">
        <v>330</v>
      </c>
      <c r="H1632" s="24" t="s">
        <v>109</v>
      </c>
      <c r="I1632" s="32" t="s">
        <v>152</v>
      </c>
      <c r="K1632" s="181"/>
      <c r="L1632" s="181"/>
    </row>
    <row r="1633" spans="1:12" x14ac:dyDescent="0.35">
      <c r="A1633" s="19">
        <v>45884</v>
      </c>
      <c r="B1633" s="20"/>
      <c r="C1633" s="20"/>
      <c r="D1633" s="20">
        <v>20000</v>
      </c>
      <c r="E1633" s="99" t="s">
        <v>860</v>
      </c>
      <c r="F1633" s="20">
        <f t="shared" si="25"/>
        <v>211943704</v>
      </c>
      <c r="G1633" s="7" t="s">
        <v>330</v>
      </c>
      <c r="H1633" s="24" t="s">
        <v>109</v>
      </c>
      <c r="I1633" s="32" t="s">
        <v>152</v>
      </c>
      <c r="K1633" s="181"/>
      <c r="L1633" s="181"/>
    </row>
    <row r="1634" spans="1:12" x14ac:dyDescent="0.35">
      <c r="A1634" s="19">
        <v>45884</v>
      </c>
      <c r="B1634" s="20"/>
      <c r="C1634" s="20"/>
      <c r="D1634" s="20">
        <v>2000</v>
      </c>
      <c r="E1634" s="99" t="s">
        <v>860</v>
      </c>
      <c r="F1634" s="20">
        <f t="shared" si="25"/>
        <v>211945704</v>
      </c>
      <c r="G1634" s="7" t="s">
        <v>330</v>
      </c>
      <c r="H1634" s="24" t="s">
        <v>109</v>
      </c>
      <c r="I1634" s="32" t="s">
        <v>152</v>
      </c>
      <c r="K1634" s="181"/>
      <c r="L1634" s="181"/>
    </row>
    <row r="1635" spans="1:12" x14ac:dyDescent="0.35">
      <c r="A1635" s="19">
        <v>45885</v>
      </c>
      <c r="B1635" s="20">
        <v>750000</v>
      </c>
      <c r="C1635" s="20"/>
      <c r="D1635" s="20"/>
      <c r="E1635" s="99" t="s">
        <v>860</v>
      </c>
      <c r="F1635" s="20">
        <f t="shared" si="25"/>
        <v>211195704</v>
      </c>
      <c r="G1635" s="7" t="s">
        <v>800</v>
      </c>
      <c r="H1635" s="24" t="s">
        <v>323</v>
      </c>
      <c r="I1635" s="32" t="s">
        <v>152</v>
      </c>
      <c r="K1635" s="181"/>
      <c r="L1635" s="181"/>
    </row>
    <row r="1636" spans="1:12" x14ac:dyDescent="0.35">
      <c r="A1636" s="19">
        <v>45885</v>
      </c>
      <c r="B1636" s="20"/>
      <c r="C1636" s="20"/>
      <c r="D1636" s="20">
        <v>50000</v>
      </c>
      <c r="E1636" s="99" t="s">
        <v>860</v>
      </c>
      <c r="F1636" s="20">
        <f t="shared" si="25"/>
        <v>211245704</v>
      </c>
      <c r="G1636" s="7" t="s">
        <v>330</v>
      </c>
      <c r="H1636" s="24" t="s">
        <v>109</v>
      </c>
      <c r="I1636" s="32" t="s">
        <v>152</v>
      </c>
      <c r="K1636" s="181"/>
      <c r="L1636" s="181"/>
    </row>
    <row r="1637" spans="1:12" x14ac:dyDescent="0.35">
      <c r="A1637" s="19">
        <v>45885</v>
      </c>
      <c r="B1637" s="20"/>
      <c r="C1637" s="20"/>
      <c r="D1637" s="20">
        <v>25000</v>
      </c>
      <c r="E1637" s="99" t="s">
        <v>860</v>
      </c>
      <c r="F1637" s="20">
        <f t="shared" si="25"/>
        <v>211270704</v>
      </c>
      <c r="G1637" s="7" t="s">
        <v>330</v>
      </c>
      <c r="H1637" s="24" t="s">
        <v>109</v>
      </c>
      <c r="I1637" s="32" t="s">
        <v>152</v>
      </c>
      <c r="K1637" s="181"/>
      <c r="L1637" s="181"/>
    </row>
    <row r="1638" spans="1:12" x14ac:dyDescent="0.35">
      <c r="A1638" s="19">
        <v>45885</v>
      </c>
      <c r="B1638" s="20"/>
      <c r="C1638" s="20"/>
      <c r="D1638" s="20">
        <v>3000</v>
      </c>
      <c r="E1638" s="99" t="s">
        <v>860</v>
      </c>
      <c r="F1638" s="20">
        <f t="shared" si="25"/>
        <v>211273704</v>
      </c>
      <c r="G1638" s="7" t="s">
        <v>330</v>
      </c>
      <c r="H1638" s="24" t="s">
        <v>109</v>
      </c>
      <c r="I1638" s="32" t="s">
        <v>152</v>
      </c>
      <c r="K1638" s="181"/>
      <c r="L1638" s="181"/>
    </row>
    <row r="1639" spans="1:12" x14ac:dyDescent="0.35">
      <c r="A1639" s="19">
        <v>45885</v>
      </c>
      <c r="B1639" s="20"/>
      <c r="C1639" s="20"/>
      <c r="D1639" s="20">
        <v>5000</v>
      </c>
      <c r="E1639" s="99" t="s">
        <v>860</v>
      </c>
      <c r="F1639" s="20">
        <f t="shared" si="25"/>
        <v>211278704</v>
      </c>
      <c r="G1639" s="7" t="s">
        <v>330</v>
      </c>
      <c r="H1639" s="24" t="s">
        <v>109</v>
      </c>
      <c r="I1639" s="32" t="s">
        <v>152</v>
      </c>
      <c r="K1639" s="181"/>
      <c r="L1639" s="181"/>
    </row>
    <row r="1640" spans="1:12" x14ac:dyDescent="0.35">
      <c r="A1640" s="19">
        <v>45885</v>
      </c>
      <c r="B1640" s="20"/>
      <c r="C1640" s="20"/>
      <c r="D1640" s="20">
        <v>10000</v>
      </c>
      <c r="E1640" s="99" t="s">
        <v>860</v>
      </c>
      <c r="F1640" s="20">
        <f t="shared" si="25"/>
        <v>211288704</v>
      </c>
      <c r="G1640" s="7" t="s">
        <v>330</v>
      </c>
      <c r="H1640" s="24" t="s">
        <v>109</v>
      </c>
      <c r="I1640" s="32" t="s">
        <v>152</v>
      </c>
      <c r="K1640" s="181"/>
      <c r="L1640" s="181"/>
    </row>
    <row r="1641" spans="1:12" x14ac:dyDescent="0.35">
      <c r="A1641" s="19">
        <v>45885</v>
      </c>
      <c r="B1641" s="20"/>
      <c r="C1641" s="20"/>
      <c r="D1641" s="20">
        <v>10000</v>
      </c>
      <c r="E1641" s="99" t="s">
        <v>860</v>
      </c>
      <c r="F1641" s="20">
        <f t="shared" si="25"/>
        <v>211298704</v>
      </c>
      <c r="G1641" s="7" t="s">
        <v>330</v>
      </c>
      <c r="H1641" s="24" t="s">
        <v>109</v>
      </c>
      <c r="I1641" s="32" t="s">
        <v>152</v>
      </c>
      <c r="K1641" s="181"/>
      <c r="L1641" s="181"/>
    </row>
    <row r="1642" spans="1:12" x14ac:dyDescent="0.35">
      <c r="A1642" s="19">
        <v>45885</v>
      </c>
      <c r="B1642" s="20"/>
      <c r="C1642" s="20"/>
      <c r="D1642" s="20">
        <v>20000</v>
      </c>
      <c r="E1642" s="99" t="s">
        <v>860</v>
      </c>
      <c r="F1642" s="20">
        <f t="shared" si="25"/>
        <v>211318704</v>
      </c>
      <c r="G1642" s="7" t="s">
        <v>330</v>
      </c>
      <c r="H1642" s="24" t="s">
        <v>109</v>
      </c>
      <c r="I1642" s="32" t="s">
        <v>152</v>
      </c>
      <c r="K1642" s="181"/>
      <c r="L1642" s="181"/>
    </row>
    <row r="1643" spans="1:12" x14ac:dyDescent="0.35">
      <c r="A1643" s="19">
        <v>45886</v>
      </c>
      <c r="B1643" s="20">
        <v>750000</v>
      </c>
      <c r="C1643" s="20"/>
      <c r="D1643" s="20"/>
      <c r="E1643" s="99" t="s">
        <v>860</v>
      </c>
      <c r="F1643" s="20">
        <f t="shared" si="25"/>
        <v>210568704</v>
      </c>
      <c r="G1643" s="7" t="s">
        <v>801</v>
      </c>
      <c r="H1643" s="24" t="s">
        <v>323</v>
      </c>
      <c r="I1643" s="32" t="s">
        <v>152</v>
      </c>
      <c r="K1643" s="181"/>
      <c r="L1643" s="181"/>
    </row>
    <row r="1644" spans="1:12" x14ac:dyDescent="0.35">
      <c r="A1644" s="19">
        <v>45886</v>
      </c>
      <c r="B1644" s="20">
        <v>6500</v>
      </c>
      <c r="C1644" s="20"/>
      <c r="D1644" s="20"/>
      <c r="E1644" s="99" t="s">
        <v>860</v>
      </c>
      <c r="F1644" s="20">
        <f t="shared" si="25"/>
        <v>210562204</v>
      </c>
      <c r="G1644" s="7" t="s">
        <v>801</v>
      </c>
      <c r="H1644" s="24" t="s">
        <v>323</v>
      </c>
      <c r="I1644" s="32" t="s">
        <v>152</v>
      </c>
      <c r="K1644" s="181"/>
      <c r="L1644" s="181"/>
    </row>
    <row r="1645" spans="1:12" x14ac:dyDescent="0.35">
      <c r="A1645" s="19">
        <v>45886</v>
      </c>
      <c r="B1645" s="20"/>
      <c r="C1645" s="20"/>
      <c r="D1645" s="20">
        <v>10000</v>
      </c>
      <c r="E1645" s="99" t="s">
        <v>860</v>
      </c>
      <c r="F1645" s="20">
        <f t="shared" si="25"/>
        <v>210572204</v>
      </c>
      <c r="G1645" s="7" t="s">
        <v>330</v>
      </c>
      <c r="H1645" s="24" t="s">
        <v>109</v>
      </c>
      <c r="I1645" s="32" t="s">
        <v>152</v>
      </c>
      <c r="K1645" s="181"/>
      <c r="L1645" s="181"/>
    </row>
    <row r="1646" spans="1:12" x14ac:dyDescent="0.35">
      <c r="A1646" s="19">
        <v>45886</v>
      </c>
      <c r="B1646" s="20"/>
      <c r="C1646" s="20"/>
      <c r="D1646" s="20">
        <v>20000</v>
      </c>
      <c r="E1646" s="99" t="s">
        <v>860</v>
      </c>
      <c r="F1646" s="20">
        <f t="shared" si="25"/>
        <v>210592204</v>
      </c>
      <c r="G1646" s="7" t="s">
        <v>330</v>
      </c>
      <c r="H1646" s="24" t="s">
        <v>109</v>
      </c>
      <c r="I1646" s="32" t="s">
        <v>152</v>
      </c>
      <c r="K1646" s="181"/>
      <c r="L1646" s="181"/>
    </row>
    <row r="1647" spans="1:12" x14ac:dyDescent="0.35">
      <c r="A1647" s="19">
        <v>45886</v>
      </c>
      <c r="B1647" s="20"/>
      <c r="C1647" s="20"/>
      <c r="D1647" s="20">
        <v>25000</v>
      </c>
      <c r="E1647" s="99" t="s">
        <v>860</v>
      </c>
      <c r="F1647" s="20">
        <f t="shared" si="25"/>
        <v>210617204</v>
      </c>
      <c r="G1647" s="7" t="s">
        <v>330</v>
      </c>
      <c r="H1647" s="24" t="s">
        <v>109</v>
      </c>
      <c r="I1647" s="32" t="s">
        <v>152</v>
      </c>
      <c r="K1647" s="181"/>
      <c r="L1647" s="181"/>
    </row>
    <row r="1648" spans="1:12" x14ac:dyDescent="0.35">
      <c r="A1648" s="19">
        <v>45887</v>
      </c>
      <c r="B1648" s="20"/>
      <c r="C1648" s="20"/>
      <c r="D1648" s="20">
        <v>50000</v>
      </c>
      <c r="E1648" s="99" t="s">
        <v>860</v>
      </c>
      <c r="F1648" s="20">
        <f t="shared" si="25"/>
        <v>210667204</v>
      </c>
      <c r="G1648" s="7" t="s">
        <v>330</v>
      </c>
      <c r="H1648" s="24" t="s">
        <v>109</v>
      </c>
      <c r="I1648" s="32" t="s">
        <v>152</v>
      </c>
      <c r="K1648" s="181"/>
      <c r="L1648" s="181"/>
    </row>
    <row r="1649" spans="1:12" x14ac:dyDescent="0.35">
      <c r="A1649" s="19">
        <v>45887</v>
      </c>
      <c r="B1649" s="20"/>
      <c r="C1649" s="20"/>
      <c r="D1649" s="20">
        <v>20000</v>
      </c>
      <c r="E1649" s="99" t="s">
        <v>860</v>
      </c>
      <c r="F1649" s="20">
        <f t="shared" si="25"/>
        <v>210687204</v>
      </c>
      <c r="G1649" s="7" t="s">
        <v>330</v>
      </c>
      <c r="H1649" s="24" t="s">
        <v>109</v>
      </c>
      <c r="I1649" s="32" t="s">
        <v>152</v>
      </c>
      <c r="K1649" s="181"/>
      <c r="L1649" s="181"/>
    </row>
    <row r="1650" spans="1:12" x14ac:dyDescent="0.35">
      <c r="A1650" s="19">
        <v>45887</v>
      </c>
      <c r="B1650" s="20"/>
      <c r="C1650" s="20"/>
      <c r="D1650" s="20">
        <v>1000</v>
      </c>
      <c r="E1650" s="99" t="s">
        <v>860</v>
      </c>
      <c r="F1650" s="20">
        <f t="shared" si="25"/>
        <v>210688204</v>
      </c>
      <c r="G1650" s="7" t="s">
        <v>330</v>
      </c>
      <c r="H1650" s="24" t="s">
        <v>109</v>
      </c>
      <c r="I1650" s="32" t="s">
        <v>152</v>
      </c>
      <c r="K1650" s="181"/>
      <c r="L1650" s="181"/>
    </row>
    <row r="1651" spans="1:12" x14ac:dyDescent="0.35">
      <c r="A1651" s="19">
        <v>45887</v>
      </c>
      <c r="B1651" s="20"/>
      <c r="C1651" s="20"/>
      <c r="D1651" s="20">
        <v>25000</v>
      </c>
      <c r="E1651" s="99" t="s">
        <v>860</v>
      </c>
      <c r="F1651" s="20">
        <f t="shared" si="25"/>
        <v>210713204</v>
      </c>
      <c r="G1651" s="7" t="s">
        <v>330</v>
      </c>
      <c r="H1651" s="24" t="s">
        <v>109</v>
      </c>
      <c r="I1651" s="32" t="s">
        <v>152</v>
      </c>
      <c r="K1651" s="181"/>
      <c r="L1651" s="181"/>
    </row>
    <row r="1652" spans="1:12" x14ac:dyDescent="0.35">
      <c r="A1652" s="19">
        <v>45888</v>
      </c>
      <c r="B1652" s="20"/>
      <c r="C1652" s="20"/>
      <c r="D1652" s="20">
        <v>3000</v>
      </c>
      <c r="E1652" s="99" t="s">
        <v>860</v>
      </c>
      <c r="F1652" s="20">
        <f t="shared" si="25"/>
        <v>210716204</v>
      </c>
      <c r="G1652" s="7" t="s">
        <v>330</v>
      </c>
      <c r="H1652" s="24" t="s">
        <v>109</v>
      </c>
      <c r="I1652" s="32" t="s">
        <v>152</v>
      </c>
      <c r="K1652" s="181"/>
      <c r="L1652" s="181"/>
    </row>
    <row r="1653" spans="1:12" x14ac:dyDescent="0.35">
      <c r="A1653" s="19">
        <v>45888</v>
      </c>
      <c r="B1653" s="20"/>
      <c r="C1653" s="20"/>
      <c r="D1653" s="20">
        <v>3000</v>
      </c>
      <c r="E1653" s="99" t="s">
        <v>860</v>
      </c>
      <c r="F1653" s="20">
        <f t="shared" si="25"/>
        <v>210719204</v>
      </c>
      <c r="G1653" s="7" t="s">
        <v>330</v>
      </c>
      <c r="H1653" s="24" t="s">
        <v>109</v>
      </c>
      <c r="I1653" s="32" t="s">
        <v>152</v>
      </c>
      <c r="K1653" s="181"/>
      <c r="L1653" s="181"/>
    </row>
    <row r="1654" spans="1:12" x14ac:dyDescent="0.35">
      <c r="A1654" s="19">
        <v>45888</v>
      </c>
      <c r="B1654" s="20"/>
      <c r="C1654" s="20"/>
      <c r="D1654" s="20">
        <v>6000</v>
      </c>
      <c r="E1654" s="99" t="s">
        <v>860</v>
      </c>
      <c r="F1654" s="20">
        <f t="shared" si="25"/>
        <v>210725204</v>
      </c>
      <c r="G1654" s="7" t="s">
        <v>330</v>
      </c>
      <c r="H1654" s="24" t="s">
        <v>109</v>
      </c>
      <c r="I1654" s="32" t="s">
        <v>152</v>
      </c>
      <c r="K1654" s="181"/>
      <c r="L1654" s="181"/>
    </row>
    <row r="1655" spans="1:12" x14ac:dyDescent="0.35">
      <c r="A1655" s="19">
        <v>45888</v>
      </c>
      <c r="B1655" s="20"/>
      <c r="C1655" s="20"/>
      <c r="D1655" s="20">
        <v>1000</v>
      </c>
      <c r="E1655" s="99" t="s">
        <v>860</v>
      </c>
      <c r="F1655" s="20">
        <f t="shared" si="25"/>
        <v>210726204</v>
      </c>
      <c r="G1655" s="7" t="s">
        <v>330</v>
      </c>
      <c r="H1655" s="24" t="s">
        <v>109</v>
      </c>
      <c r="I1655" s="32" t="s">
        <v>152</v>
      </c>
      <c r="K1655" s="181"/>
      <c r="L1655" s="181"/>
    </row>
    <row r="1656" spans="1:12" x14ac:dyDescent="0.35">
      <c r="A1656" s="19">
        <v>45888</v>
      </c>
      <c r="B1656" s="20"/>
      <c r="C1656" s="20"/>
      <c r="D1656" s="20">
        <v>10000</v>
      </c>
      <c r="E1656" s="99" t="s">
        <v>860</v>
      </c>
      <c r="F1656" s="20">
        <f t="shared" si="25"/>
        <v>210736204</v>
      </c>
      <c r="G1656" s="7" t="s">
        <v>330</v>
      </c>
      <c r="H1656" s="24" t="s">
        <v>109</v>
      </c>
      <c r="I1656" s="32" t="s">
        <v>152</v>
      </c>
      <c r="K1656" s="181"/>
      <c r="L1656" s="181"/>
    </row>
    <row r="1657" spans="1:12" x14ac:dyDescent="0.35">
      <c r="A1657" s="19">
        <v>45888</v>
      </c>
      <c r="B1657" s="20"/>
      <c r="C1657" s="20"/>
      <c r="D1657" s="20">
        <v>20000</v>
      </c>
      <c r="E1657" s="99" t="s">
        <v>860</v>
      </c>
      <c r="F1657" s="20">
        <f t="shared" si="25"/>
        <v>210756204</v>
      </c>
      <c r="G1657" s="7" t="s">
        <v>330</v>
      </c>
      <c r="H1657" s="24" t="s">
        <v>109</v>
      </c>
      <c r="I1657" s="32" t="s">
        <v>152</v>
      </c>
      <c r="K1657" s="181"/>
      <c r="L1657" s="181"/>
    </row>
    <row r="1658" spans="1:12" x14ac:dyDescent="0.35">
      <c r="A1658" s="19">
        <v>45888</v>
      </c>
      <c r="B1658" s="20"/>
      <c r="C1658" s="20"/>
      <c r="D1658" s="20">
        <v>25000</v>
      </c>
      <c r="E1658" s="99" t="s">
        <v>860</v>
      </c>
      <c r="F1658" s="20">
        <f t="shared" si="25"/>
        <v>210781204</v>
      </c>
      <c r="G1658" s="7" t="s">
        <v>330</v>
      </c>
      <c r="H1658" s="24" t="s">
        <v>109</v>
      </c>
      <c r="I1658" s="32" t="s">
        <v>152</v>
      </c>
      <c r="K1658" s="181"/>
      <c r="L1658" s="181"/>
    </row>
    <row r="1659" spans="1:12" x14ac:dyDescent="0.35">
      <c r="A1659" s="19">
        <v>45889</v>
      </c>
      <c r="B1659" s="20"/>
      <c r="C1659" s="20"/>
      <c r="D1659" s="20">
        <v>100000</v>
      </c>
      <c r="E1659" s="99" t="s">
        <v>860</v>
      </c>
      <c r="F1659" s="20">
        <f t="shared" si="25"/>
        <v>210881204</v>
      </c>
      <c r="G1659" s="7" t="s">
        <v>330</v>
      </c>
      <c r="H1659" s="24" t="s">
        <v>109</v>
      </c>
      <c r="I1659" s="32" t="s">
        <v>152</v>
      </c>
      <c r="K1659" s="181"/>
      <c r="L1659" s="181"/>
    </row>
    <row r="1660" spans="1:12" x14ac:dyDescent="0.35">
      <c r="A1660" s="19">
        <v>45889</v>
      </c>
      <c r="B1660" s="20"/>
      <c r="C1660" s="20"/>
      <c r="D1660" s="20">
        <v>1000</v>
      </c>
      <c r="E1660" s="99" t="s">
        <v>860</v>
      </c>
      <c r="F1660" s="20">
        <f t="shared" si="25"/>
        <v>210882204</v>
      </c>
      <c r="G1660" s="7" t="s">
        <v>330</v>
      </c>
      <c r="H1660" s="24" t="s">
        <v>109</v>
      </c>
      <c r="I1660" s="32" t="s">
        <v>152</v>
      </c>
      <c r="K1660" s="181"/>
      <c r="L1660" s="181"/>
    </row>
    <row r="1661" spans="1:12" x14ac:dyDescent="0.35">
      <c r="A1661" s="19">
        <v>45889</v>
      </c>
      <c r="B1661" s="20"/>
      <c r="C1661" s="20"/>
      <c r="D1661" s="20">
        <v>20000</v>
      </c>
      <c r="E1661" s="99" t="s">
        <v>860</v>
      </c>
      <c r="F1661" s="20">
        <f t="shared" si="25"/>
        <v>210902204</v>
      </c>
      <c r="G1661" s="7" t="s">
        <v>330</v>
      </c>
      <c r="H1661" s="24" t="s">
        <v>109</v>
      </c>
      <c r="I1661" s="32" t="s">
        <v>152</v>
      </c>
      <c r="K1661" s="181"/>
      <c r="L1661" s="181"/>
    </row>
    <row r="1662" spans="1:12" x14ac:dyDescent="0.35">
      <c r="A1662" s="19">
        <v>45889</v>
      </c>
      <c r="B1662" s="20"/>
      <c r="C1662" s="20"/>
      <c r="D1662" s="20">
        <f>2816000-950000</f>
        <v>1866000</v>
      </c>
      <c r="E1662" s="99" t="s">
        <v>860</v>
      </c>
      <c r="F1662" s="20">
        <f t="shared" si="25"/>
        <v>212768204</v>
      </c>
      <c r="G1662" s="7"/>
      <c r="H1662" s="24" t="s">
        <v>107</v>
      </c>
      <c r="I1662" s="32" t="s">
        <v>152</v>
      </c>
      <c r="K1662" s="181"/>
      <c r="L1662" s="181"/>
    </row>
    <row r="1663" spans="1:12" x14ac:dyDescent="0.35">
      <c r="A1663" s="19">
        <v>45889</v>
      </c>
      <c r="B1663" s="20"/>
      <c r="C1663" s="20"/>
      <c r="D1663" s="20">
        <v>2718000</v>
      </c>
      <c r="E1663" s="99" t="s">
        <v>860</v>
      </c>
      <c r="F1663" s="20">
        <f t="shared" si="25"/>
        <v>215486204</v>
      </c>
      <c r="G1663" s="7"/>
      <c r="H1663" s="24" t="s">
        <v>109</v>
      </c>
      <c r="I1663" s="32" t="s">
        <v>152</v>
      </c>
      <c r="K1663" s="181"/>
      <c r="L1663" s="181"/>
    </row>
    <row r="1664" spans="1:12" x14ac:dyDescent="0.35">
      <c r="A1664" s="19"/>
      <c r="B1664" s="20"/>
      <c r="C1664" s="20">
        <v>4584000</v>
      </c>
      <c r="D1664" s="20"/>
      <c r="E1664" s="99"/>
      <c r="F1664" s="20">
        <f t="shared" si="25"/>
        <v>215486204</v>
      </c>
      <c r="G1664" s="7" t="s">
        <v>802</v>
      </c>
      <c r="H1664" s="24"/>
      <c r="I1664" s="32"/>
      <c r="K1664" s="181"/>
      <c r="L1664" s="181"/>
    </row>
    <row r="1665" spans="1:12" x14ac:dyDescent="0.35">
      <c r="A1665" s="19">
        <v>45890</v>
      </c>
      <c r="B1665" s="20"/>
      <c r="C1665" s="20"/>
      <c r="D1665" s="20">
        <v>1000</v>
      </c>
      <c r="E1665" s="99" t="s">
        <v>860</v>
      </c>
      <c r="F1665" s="20">
        <f t="shared" si="25"/>
        <v>215487204</v>
      </c>
      <c r="G1665" s="7" t="s">
        <v>330</v>
      </c>
      <c r="H1665" s="24" t="s">
        <v>109</v>
      </c>
      <c r="I1665" s="32" t="s">
        <v>152</v>
      </c>
      <c r="K1665" s="181"/>
      <c r="L1665" s="181"/>
    </row>
    <row r="1666" spans="1:12" x14ac:dyDescent="0.35">
      <c r="A1666" s="19">
        <v>45890</v>
      </c>
      <c r="B1666" s="20"/>
      <c r="C1666" s="20"/>
      <c r="D1666" s="20">
        <v>20000</v>
      </c>
      <c r="E1666" s="99" t="s">
        <v>860</v>
      </c>
      <c r="F1666" s="20">
        <f t="shared" si="25"/>
        <v>215507204</v>
      </c>
      <c r="G1666" s="7" t="s">
        <v>330</v>
      </c>
      <c r="H1666" s="24" t="s">
        <v>109</v>
      </c>
      <c r="I1666" s="32" t="s">
        <v>152</v>
      </c>
      <c r="K1666" s="181"/>
      <c r="L1666" s="181"/>
    </row>
    <row r="1667" spans="1:12" x14ac:dyDescent="0.35">
      <c r="A1667" s="19">
        <v>45891</v>
      </c>
      <c r="B1667" s="20"/>
      <c r="C1667" s="20"/>
      <c r="D1667" s="20">
        <v>20000</v>
      </c>
      <c r="E1667" s="99" t="s">
        <v>860</v>
      </c>
      <c r="F1667" s="20">
        <f t="shared" si="25"/>
        <v>215527204</v>
      </c>
      <c r="G1667" s="7" t="s">
        <v>330</v>
      </c>
      <c r="H1667" s="24" t="s">
        <v>109</v>
      </c>
      <c r="I1667" s="32" t="s">
        <v>152</v>
      </c>
      <c r="K1667" s="181"/>
      <c r="L1667" s="181"/>
    </row>
    <row r="1668" spans="1:12" x14ac:dyDescent="0.35">
      <c r="A1668" s="19">
        <v>45891</v>
      </c>
      <c r="B1668" s="20"/>
      <c r="C1668" s="20"/>
      <c r="D1668" s="20">
        <v>3150000</v>
      </c>
      <c r="E1668" s="99" t="s">
        <v>860</v>
      </c>
      <c r="F1668" s="20">
        <f t="shared" si="25"/>
        <v>218677204</v>
      </c>
      <c r="G1668" s="7" t="s">
        <v>763</v>
      </c>
      <c r="H1668" s="24" t="s">
        <v>109</v>
      </c>
      <c r="I1668" s="32" t="s">
        <v>152</v>
      </c>
      <c r="K1668" s="181"/>
      <c r="L1668" s="181"/>
    </row>
    <row r="1669" spans="1:12" x14ac:dyDescent="0.35">
      <c r="A1669" s="19">
        <v>45892</v>
      </c>
      <c r="B1669" s="20">
        <v>750000</v>
      </c>
      <c r="C1669" s="20"/>
      <c r="D1669" s="20"/>
      <c r="E1669" s="99" t="s">
        <v>860</v>
      </c>
      <c r="F1669" s="20">
        <f t="shared" si="25"/>
        <v>217927204</v>
      </c>
      <c r="G1669" s="7" t="s">
        <v>806</v>
      </c>
      <c r="H1669" s="24" t="s">
        <v>323</v>
      </c>
      <c r="I1669" s="32" t="s">
        <v>152</v>
      </c>
      <c r="K1669" s="181"/>
      <c r="L1669" s="181"/>
    </row>
    <row r="1670" spans="1:12" x14ac:dyDescent="0.35">
      <c r="A1670" s="19">
        <v>45892</v>
      </c>
      <c r="B1670" s="20">
        <v>6500</v>
      </c>
      <c r="C1670" s="20"/>
      <c r="D1670" s="20"/>
      <c r="E1670" s="99" t="s">
        <v>860</v>
      </c>
      <c r="F1670" s="20">
        <f t="shared" si="25"/>
        <v>217920704</v>
      </c>
      <c r="G1670" s="7" t="s">
        <v>806</v>
      </c>
      <c r="H1670" s="24" t="s">
        <v>323</v>
      </c>
      <c r="I1670" s="32" t="s">
        <v>152</v>
      </c>
      <c r="K1670" s="181"/>
      <c r="L1670" s="181"/>
    </row>
    <row r="1671" spans="1:12" x14ac:dyDescent="0.35">
      <c r="A1671" s="19">
        <v>45892</v>
      </c>
      <c r="B1671" s="20"/>
      <c r="C1671" s="20"/>
      <c r="D1671" s="20">
        <v>50000</v>
      </c>
      <c r="E1671" s="99" t="s">
        <v>860</v>
      </c>
      <c r="F1671" s="20">
        <f t="shared" si="25"/>
        <v>217970704</v>
      </c>
      <c r="G1671" s="7" t="s">
        <v>330</v>
      </c>
      <c r="H1671" s="24" t="s">
        <v>109</v>
      </c>
      <c r="I1671" s="32" t="s">
        <v>152</v>
      </c>
      <c r="K1671" s="181"/>
      <c r="L1671" s="181"/>
    </row>
    <row r="1672" spans="1:12" x14ac:dyDescent="0.35">
      <c r="A1672" s="19">
        <v>45892</v>
      </c>
      <c r="B1672" s="20"/>
      <c r="C1672" s="20"/>
      <c r="D1672" s="20">
        <v>50000</v>
      </c>
      <c r="E1672" s="99" t="s">
        <v>860</v>
      </c>
      <c r="F1672" s="20">
        <f t="shared" si="25"/>
        <v>218020704</v>
      </c>
      <c r="G1672" s="7" t="s">
        <v>330</v>
      </c>
      <c r="H1672" s="24" t="s">
        <v>109</v>
      </c>
      <c r="I1672" s="32" t="s">
        <v>152</v>
      </c>
      <c r="K1672" s="181"/>
      <c r="L1672" s="181"/>
    </row>
    <row r="1673" spans="1:12" x14ac:dyDescent="0.35">
      <c r="A1673" s="19">
        <v>45892</v>
      </c>
      <c r="B1673" s="20"/>
      <c r="C1673" s="20"/>
      <c r="D1673" s="20">
        <v>10000</v>
      </c>
      <c r="E1673" s="99" t="s">
        <v>860</v>
      </c>
      <c r="F1673" s="20">
        <f t="shared" si="25"/>
        <v>218030704</v>
      </c>
      <c r="G1673" s="7" t="s">
        <v>330</v>
      </c>
      <c r="H1673" s="24" t="s">
        <v>109</v>
      </c>
      <c r="I1673" s="32" t="s">
        <v>152</v>
      </c>
      <c r="K1673" s="181"/>
      <c r="L1673" s="181"/>
    </row>
    <row r="1674" spans="1:12" x14ac:dyDescent="0.35">
      <c r="A1674" s="19">
        <v>45892</v>
      </c>
      <c r="B1674" s="20"/>
      <c r="C1674" s="20"/>
      <c r="D1674" s="20">
        <v>10000</v>
      </c>
      <c r="E1674" s="99" t="s">
        <v>860</v>
      </c>
      <c r="F1674" s="20">
        <f t="shared" ref="F1674:F1737" si="26">+F1673+D1674-B1674</f>
        <v>218040704</v>
      </c>
      <c r="G1674" s="7" t="s">
        <v>330</v>
      </c>
      <c r="H1674" s="24" t="s">
        <v>109</v>
      </c>
      <c r="I1674" s="32" t="s">
        <v>152</v>
      </c>
      <c r="K1674" s="181"/>
      <c r="L1674" s="181"/>
    </row>
    <row r="1675" spans="1:12" x14ac:dyDescent="0.35">
      <c r="A1675" s="19">
        <v>45892</v>
      </c>
      <c r="B1675" s="20"/>
      <c r="C1675" s="20"/>
      <c r="D1675" s="20">
        <v>100000</v>
      </c>
      <c r="E1675" s="99" t="s">
        <v>860</v>
      </c>
      <c r="F1675" s="20">
        <f t="shared" si="26"/>
        <v>218140704</v>
      </c>
      <c r="G1675" s="7" t="s">
        <v>330</v>
      </c>
      <c r="H1675" s="24" t="s">
        <v>109</v>
      </c>
      <c r="I1675" s="32" t="s">
        <v>152</v>
      </c>
      <c r="K1675" s="181"/>
      <c r="L1675" s="181"/>
    </row>
    <row r="1676" spans="1:12" x14ac:dyDescent="0.35">
      <c r="A1676" s="19">
        <v>45892</v>
      </c>
      <c r="B1676" s="20"/>
      <c r="C1676" s="20"/>
      <c r="D1676" s="20">
        <v>20000</v>
      </c>
      <c r="E1676" s="99" t="s">
        <v>860</v>
      </c>
      <c r="F1676" s="20">
        <f t="shared" si="26"/>
        <v>218160704</v>
      </c>
      <c r="G1676" s="7" t="s">
        <v>330</v>
      </c>
      <c r="H1676" s="24" t="s">
        <v>109</v>
      </c>
      <c r="I1676" s="32" t="s">
        <v>152</v>
      </c>
      <c r="K1676" s="181"/>
      <c r="L1676" s="181"/>
    </row>
    <row r="1677" spans="1:12" x14ac:dyDescent="0.35">
      <c r="A1677" s="19">
        <v>45892</v>
      </c>
      <c r="B1677" s="20"/>
      <c r="C1677" s="20"/>
      <c r="D1677" s="20">
        <v>15000</v>
      </c>
      <c r="E1677" s="99" t="s">
        <v>860</v>
      </c>
      <c r="F1677" s="20">
        <f t="shared" si="26"/>
        <v>218175704</v>
      </c>
      <c r="G1677" s="7" t="s">
        <v>330</v>
      </c>
      <c r="H1677" s="24" t="s">
        <v>109</v>
      </c>
      <c r="I1677" s="32" t="s">
        <v>152</v>
      </c>
      <c r="K1677" s="181"/>
      <c r="L1677" s="181"/>
    </row>
    <row r="1678" spans="1:12" x14ac:dyDescent="0.35">
      <c r="A1678" s="19">
        <v>45892</v>
      </c>
      <c r="B1678" s="20"/>
      <c r="C1678" s="20"/>
      <c r="D1678" s="20">
        <v>20000</v>
      </c>
      <c r="E1678" s="99" t="s">
        <v>860</v>
      </c>
      <c r="F1678" s="20">
        <f t="shared" si="26"/>
        <v>218195704</v>
      </c>
      <c r="G1678" s="7" t="s">
        <v>330</v>
      </c>
      <c r="H1678" s="24" t="s">
        <v>109</v>
      </c>
      <c r="I1678" s="32" t="s">
        <v>152</v>
      </c>
      <c r="K1678" s="181"/>
      <c r="L1678" s="181"/>
    </row>
    <row r="1679" spans="1:12" x14ac:dyDescent="0.35">
      <c r="A1679" s="19">
        <v>45892</v>
      </c>
      <c r="B1679" s="20"/>
      <c r="C1679" s="20"/>
      <c r="D1679" s="20">
        <v>1000</v>
      </c>
      <c r="E1679" s="99" t="s">
        <v>860</v>
      </c>
      <c r="F1679" s="20">
        <f t="shared" si="26"/>
        <v>218196704</v>
      </c>
      <c r="G1679" s="7" t="s">
        <v>330</v>
      </c>
      <c r="H1679" s="24" t="s">
        <v>109</v>
      </c>
      <c r="I1679" s="32" t="s">
        <v>152</v>
      </c>
      <c r="K1679" s="181"/>
      <c r="L1679" s="181"/>
    </row>
    <row r="1680" spans="1:12" x14ac:dyDescent="0.35">
      <c r="A1680" s="19">
        <v>45893</v>
      </c>
      <c r="B1680" s="20">
        <v>1000000</v>
      </c>
      <c r="C1680" s="20"/>
      <c r="D1680" s="20"/>
      <c r="E1680" s="99" t="s">
        <v>860</v>
      </c>
      <c r="F1680" s="20">
        <f t="shared" si="26"/>
        <v>217196704</v>
      </c>
      <c r="G1680" s="7" t="s">
        <v>807</v>
      </c>
      <c r="H1680" s="24" t="s">
        <v>323</v>
      </c>
      <c r="I1680" s="32" t="s">
        <v>152</v>
      </c>
      <c r="K1680" s="181"/>
      <c r="L1680" s="181"/>
    </row>
    <row r="1681" spans="1:12" x14ac:dyDescent="0.35">
      <c r="A1681" s="19">
        <v>45893</v>
      </c>
      <c r="B1681" s="20">
        <v>6500</v>
      </c>
      <c r="C1681" s="20"/>
      <c r="D1681" s="20"/>
      <c r="E1681" s="99" t="s">
        <v>860</v>
      </c>
      <c r="F1681" s="20">
        <f t="shared" si="26"/>
        <v>217190204</v>
      </c>
      <c r="G1681" s="7" t="s">
        <v>807</v>
      </c>
      <c r="H1681" s="24" t="s">
        <v>323</v>
      </c>
      <c r="I1681" s="32" t="s">
        <v>152</v>
      </c>
      <c r="K1681" s="181"/>
      <c r="L1681" s="181"/>
    </row>
    <row r="1682" spans="1:12" x14ac:dyDescent="0.35">
      <c r="A1682" s="19">
        <v>45893</v>
      </c>
      <c r="B1682" s="20"/>
      <c r="C1682" s="20"/>
      <c r="D1682" s="20">
        <v>20000</v>
      </c>
      <c r="E1682" s="99" t="s">
        <v>860</v>
      </c>
      <c r="F1682" s="20">
        <f t="shared" si="26"/>
        <v>217210204</v>
      </c>
      <c r="G1682" s="7" t="s">
        <v>330</v>
      </c>
      <c r="H1682" s="24" t="s">
        <v>109</v>
      </c>
      <c r="I1682" s="32" t="s">
        <v>152</v>
      </c>
      <c r="K1682" s="181"/>
      <c r="L1682" s="181"/>
    </row>
    <row r="1683" spans="1:12" x14ac:dyDescent="0.35">
      <c r="A1683" s="19">
        <v>45893</v>
      </c>
      <c r="B1683" s="20"/>
      <c r="C1683" s="20"/>
      <c r="D1683" s="20">
        <v>1000</v>
      </c>
      <c r="E1683" s="99" t="s">
        <v>860</v>
      </c>
      <c r="F1683" s="20">
        <f t="shared" si="26"/>
        <v>217211204</v>
      </c>
      <c r="G1683" s="7" t="s">
        <v>330</v>
      </c>
      <c r="H1683" s="24" t="s">
        <v>109</v>
      </c>
      <c r="I1683" s="32" t="s">
        <v>152</v>
      </c>
      <c r="K1683" s="181"/>
      <c r="L1683" s="181"/>
    </row>
    <row r="1684" spans="1:12" x14ac:dyDescent="0.35">
      <c r="A1684" s="19">
        <v>45893</v>
      </c>
      <c r="B1684" s="20"/>
      <c r="C1684" s="20"/>
      <c r="D1684" s="20">
        <v>25000</v>
      </c>
      <c r="E1684" s="99" t="s">
        <v>860</v>
      </c>
      <c r="F1684" s="20">
        <f t="shared" si="26"/>
        <v>217236204</v>
      </c>
      <c r="G1684" s="7" t="s">
        <v>330</v>
      </c>
      <c r="H1684" s="24" t="s">
        <v>109</v>
      </c>
      <c r="I1684" s="32" t="s">
        <v>152</v>
      </c>
      <c r="K1684" s="181"/>
      <c r="L1684" s="181"/>
    </row>
    <row r="1685" spans="1:12" x14ac:dyDescent="0.35">
      <c r="A1685" s="19">
        <v>45894</v>
      </c>
      <c r="B1685" s="20"/>
      <c r="C1685" s="20"/>
      <c r="D1685" s="20">
        <v>200000</v>
      </c>
      <c r="E1685" s="99" t="s">
        <v>860</v>
      </c>
      <c r="F1685" s="20">
        <f t="shared" si="26"/>
        <v>217436204</v>
      </c>
      <c r="G1685" s="7" t="s">
        <v>808</v>
      </c>
      <c r="H1685" s="24" t="s">
        <v>109</v>
      </c>
      <c r="I1685" s="32" t="s">
        <v>152</v>
      </c>
      <c r="K1685" s="181"/>
      <c r="L1685" s="181"/>
    </row>
    <row r="1686" spans="1:12" x14ac:dyDescent="0.35">
      <c r="A1686" s="19">
        <v>45894</v>
      </c>
      <c r="B1686" s="20"/>
      <c r="C1686" s="20"/>
      <c r="D1686" s="20">
        <v>1000</v>
      </c>
      <c r="E1686" s="99" t="s">
        <v>860</v>
      </c>
      <c r="F1686" s="20">
        <f t="shared" si="26"/>
        <v>217437204</v>
      </c>
      <c r="G1686" s="7" t="s">
        <v>330</v>
      </c>
      <c r="H1686" s="24" t="s">
        <v>109</v>
      </c>
      <c r="I1686" s="32" t="s">
        <v>152</v>
      </c>
      <c r="K1686" s="181"/>
      <c r="L1686" s="181"/>
    </row>
    <row r="1687" spans="1:12" x14ac:dyDescent="0.35">
      <c r="A1687" s="19">
        <v>45894</v>
      </c>
      <c r="B1687" s="20"/>
      <c r="C1687" s="20"/>
      <c r="D1687" s="20">
        <v>25</v>
      </c>
      <c r="E1687" s="99" t="s">
        <v>860</v>
      </c>
      <c r="F1687" s="20">
        <f t="shared" si="26"/>
        <v>217437229</v>
      </c>
      <c r="G1687" s="7" t="s">
        <v>330</v>
      </c>
      <c r="H1687" s="24" t="s">
        <v>109</v>
      </c>
      <c r="I1687" s="32" t="s">
        <v>152</v>
      </c>
      <c r="K1687" s="181"/>
      <c r="L1687" s="181"/>
    </row>
    <row r="1688" spans="1:12" x14ac:dyDescent="0.35">
      <c r="A1688" s="19">
        <v>45894</v>
      </c>
      <c r="B1688" s="20"/>
      <c r="C1688" s="20"/>
      <c r="D1688" s="20">
        <v>25000</v>
      </c>
      <c r="E1688" s="99" t="s">
        <v>860</v>
      </c>
      <c r="F1688" s="20">
        <f t="shared" si="26"/>
        <v>217462229</v>
      </c>
      <c r="G1688" s="7" t="s">
        <v>330</v>
      </c>
      <c r="H1688" s="24" t="s">
        <v>109</v>
      </c>
      <c r="I1688" s="32" t="s">
        <v>152</v>
      </c>
      <c r="K1688" s="181"/>
      <c r="L1688" s="181"/>
    </row>
    <row r="1689" spans="1:12" x14ac:dyDescent="0.35">
      <c r="A1689" s="19">
        <v>45894</v>
      </c>
      <c r="B1689" s="20"/>
      <c r="C1689" s="20"/>
      <c r="D1689" s="20">
        <v>1000000</v>
      </c>
      <c r="E1689" s="99" t="s">
        <v>860</v>
      </c>
      <c r="F1689" s="20">
        <f t="shared" si="26"/>
        <v>218462229</v>
      </c>
      <c r="G1689" s="7" t="s">
        <v>609</v>
      </c>
      <c r="H1689" s="24" t="s">
        <v>109</v>
      </c>
      <c r="I1689" s="32" t="s">
        <v>152</v>
      </c>
      <c r="K1689" s="181"/>
      <c r="L1689" s="181"/>
    </row>
    <row r="1690" spans="1:12" x14ac:dyDescent="0.35">
      <c r="A1690" s="19">
        <v>45895</v>
      </c>
      <c r="B1690" s="20"/>
      <c r="C1690" s="20"/>
      <c r="D1690" s="20">
        <v>1000</v>
      </c>
      <c r="E1690" s="99" t="s">
        <v>860</v>
      </c>
      <c r="F1690" s="20">
        <f t="shared" si="26"/>
        <v>218463229</v>
      </c>
      <c r="G1690" s="7" t="s">
        <v>330</v>
      </c>
      <c r="H1690" s="24" t="s">
        <v>109</v>
      </c>
      <c r="I1690" s="32" t="s">
        <v>152</v>
      </c>
      <c r="K1690" s="181"/>
      <c r="L1690" s="181"/>
    </row>
    <row r="1691" spans="1:12" x14ac:dyDescent="0.35">
      <c r="A1691" s="19">
        <v>45895</v>
      </c>
      <c r="B1691" s="20"/>
      <c r="C1691" s="20"/>
      <c r="D1691" s="20">
        <v>20000</v>
      </c>
      <c r="E1691" s="99" t="s">
        <v>860</v>
      </c>
      <c r="F1691" s="20">
        <f t="shared" si="26"/>
        <v>218483229</v>
      </c>
      <c r="G1691" s="7" t="s">
        <v>330</v>
      </c>
      <c r="H1691" s="24" t="s">
        <v>109</v>
      </c>
      <c r="I1691" s="32" t="s">
        <v>152</v>
      </c>
      <c r="K1691" s="181"/>
      <c r="L1691" s="181"/>
    </row>
    <row r="1692" spans="1:12" x14ac:dyDescent="0.35">
      <c r="A1692" s="19">
        <v>45895</v>
      </c>
      <c r="B1692" s="20"/>
      <c r="C1692" s="20"/>
      <c r="D1692" s="20">
        <v>10000</v>
      </c>
      <c r="E1692" s="99" t="s">
        <v>860</v>
      </c>
      <c r="F1692" s="20">
        <f t="shared" si="26"/>
        <v>218493229</v>
      </c>
      <c r="G1692" s="7" t="s">
        <v>330</v>
      </c>
      <c r="H1692" s="24" t="s">
        <v>109</v>
      </c>
      <c r="I1692" s="32" t="s">
        <v>152</v>
      </c>
      <c r="K1692" s="181"/>
      <c r="L1692" s="181"/>
    </row>
    <row r="1693" spans="1:12" x14ac:dyDescent="0.35">
      <c r="A1693" s="19">
        <v>45896</v>
      </c>
      <c r="B1693" s="20">
        <v>1000000</v>
      </c>
      <c r="C1693" s="20"/>
      <c r="D1693" s="20"/>
      <c r="E1693" s="99" t="s">
        <v>860</v>
      </c>
      <c r="F1693" s="20">
        <f t="shared" si="26"/>
        <v>217493229</v>
      </c>
      <c r="G1693" s="7" t="s">
        <v>810</v>
      </c>
      <c r="H1693" s="24" t="s">
        <v>325</v>
      </c>
      <c r="I1693" s="32" t="s">
        <v>152</v>
      </c>
      <c r="K1693" s="181"/>
      <c r="L1693" s="181"/>
    </row>
    <row r="1694" spans="1:12" x14ac:dyDescent="0.35">
      <c r="A1694" s="19">
        <v>45896</v>
      </c>
      <c r="B1694" s="20">
        <v>6500</v>
      </c>
      <c r="C1694" s="20"/>
      <c r="D1694" s="20"/>
      <c r="E1694" s="99" t="s">
        <v>860</v>
      </c>
      <c r="F1694" s="20">
        <f t="shared" si="26"/>
        <v>217486729</v>
      </c>
      <c r="G1694" s="7" t="s">
        <v>810</v>
      </c>
      <c r="H1694" s="24" t="s">
        <v>325</v>
      </c>
      <c r="I1694" s="32" t="s">
        <v>152</v>
      </c>
      <c r="K1694" s="181"/>
      <c r="L1694" s="181"/>
    </row>
    <row r="1695" spans="1:12" x14ac:dyDescent="0.35">
      <c r="A1695" s="19">
        <v>45896</v>
      </c>
      <c r="B1695" s="20">
        <v>3500000</v>
      </c>
      <c r="C1695" s="20"/>
      <c r="D1695" s="20"/>
      <c r="E1695" s="99" t="s">
        <v>860</v>
      </c>
      <c r="F1695" s="20">
        <f t="shared" si="26"/>
        <v>213986729</v>
      </c>
      <c r="G1695" s="7" t="s">
        <v>810</v>
      </c>
      <c r="H1695" s="24" t="s">
        <v>325</v>
      </c>
      <c r="I1695" s="32" t="s">
        <v>152</v>
      </c>
      <c r="K1695" s="181"/>
      <c r="L1695" s="181"/>
    </row>
    <row r="1696" spans="1:12" x14ac:dyDescent="0.35">
      <c r="A1696" s="19">
        <v>45896</v>
      </c>
      <c r="B1696" s="20">
        <v>6500</v>
      </c>
      <c r="C1696" s="20"/>
      <c r="D1696" s="20"/>
      <c r="E1696" s="99" t="s">
        <v>860</v>
      </c>
      <c r="F1696" s="20">
        <f t="shared" si="26"/>
        <v>213980229</v>
      </c>
      <c r="G1696" s="7" t="s">
        <v>810</v>
      </c>
      <c r="H1696" s="24" t="s">
        <v>325</v>
      </c>
      <c r="I1696" s="32" t="s">
        <v>152</v>
      </c>
      <c r="K1696" s="181"/>
      <c r="L1696" s="181"/>
    </row>
    <row r="1697" spans="1:12" x14ac:dyDescent="0.35">
      <c r="A1697" s="19">
        <v>45896</v>
      </c>
      <c r="B1697" s="20">
        <v>2500000</v>
      </c>
      <c r="C1697" s="20"/>
      <c r="D1697" s="20"/>
      <c r="E1697" s="99" t="s">
        <v>860</v>
      </c>
      <c r="F1697" s="20">
        <f t="shared" si="26"/>
        <v>211480229</v>
      </c>
      <c r="G1697" s="7" t="s">
        <v>810</v>
      </c>
      <c r="H1697" s="24" t="s">
        <v>325</v>
      </c>
      <c r="I1697" s="32" t="s">
        <v>152</v>
      </c>
      <c r="K1697" s="181"/>
      <c r="L1697" s="181"/>
    </row>
    <row r="1698" spans="1:12" x14ac:dyDescent="0.35">
      <c r="A1698" s="19">
        <v>45896</v>
      </c>
      <c r="B1698" s="20">
        <v>6500</v>
      </c>
      <c r="C1698" s="20"/>
      <c r="D1698" s="20"/>
      <c r="E1698" s="99" t="s">
        <v>860</v>
      </c>
      <c r="F1698" s="20">
        <f t="shared" si="26"/>
        <v>211473729</v>
      </c>
      <c r="G1698" s="7" t="s">
        <v>810</v>
      </c>
      <c r="H1698" s="24" t="s">
        <v>325</v>
      </c>
      <c r="I1698" s="32" t="s">
        <v>152</v>
      </c>
      <c r="K1698" s="181"/>
      <c r="L1698" s="181"/>
    </row>
    <row r="1699" spans="1:12" x14ac:dyDescent="0.35">
      <c r="A1699" s="19">
        <v>45896</v>
      </c>
      <c r="B1699" s="20">
        <v>4000000</v>
      </c>
      <c r="C1699" s="20"/>
      <c r="D1699" s="20"/>
      <c r="E1699" s="99" t="s">
        <v>860</v>
      </c>
      <c r="F1699" s="20">
        <f t="shared" si="26"/>
        <v>207473729</v>
      </c>
      <c r="G1699" s="7" t="s">
        <v>811</v>
      </c>
      <c r="H1699" s="24" t="s">
        <v>201</v>
      </c>
      <c r="I1699" s="32" t="s">
        <v>152</v>
      </c>
      <c r="K1699" s="181"/>
      <c r="L1699" s="181"/>
    </row>
    <row r="1700" spans="1:12" x14ac:dyDescent="0.35">
      <c r="A1700" s="19">
        <v>45896</v>
      </c>
      <c r="B1700" s="20">
        <v>6500</v>
      </c>
      <c r="C1700" s="20"/>
      <c r="D1700" s="20"/>
      <c r="E1700" s="99" t="s">
        <v>860</v>
      </c>
      <c r="F1700" s="20">
        <f t="shared" si="26"/>
        <v>207467229</v>
      </c>
      <c r="G1700" s="7" t="s">
        <v>811</v>
      </c>
      <c r="H1700" s="24" t="s">
        <v>201</v>
      </c>
      <c r="I1700" s="32" t="s">
        <v>152</v>
      </c>
      <c r="K1700" s="181"/>
      <c r="L1700" s="181"/>
    </row>
    <row r="1701" spans="1:12" x14ac:dyDescent="0.35">
      <c r="A1701" s="19">
        <v>45896</v>
      </c>
      <c r="B1701" s="20">
        <v>2000000</v>
      </c>
      <c r="C1701" s="20"/>
      <c r="D1701" s="20"/>
      <c r="E1701" s="99" t="s">
        <v>860</v>
      </c>
      <c r="F1701" s="20">
        <f t="shared" si="26"/>
        <v>205467229</v>
      </c>
      <c r="G1701" s="7" t="s">
        <v>809</v>
      </c>
      <c r="H1701" s="24" t="s">
        <v>323</v>
      </c>
      <c r="I1701" s="32" t="s">
        <v>152</v>
      </c>
      <c r="K1701" s="181"/>
      <c r="L1701" s="181"/>
    </row>
    <row r="1702" spans="1:12" x14ac:dyDescent="0.35">
      <c r="A1702" s="19">
        <v>45896</v>
      </c>
      <c r="B1702" s="20">
        <v>6500</v>
      </c>
      <c r="C1702" s="20"/>
      <c r="D1702" s="20"/>
      <c r="E1702" s="99" t="s">
        <v>860</v>
      </c>
      <c r="F1702" s="20">
        <f t="shared" si="26"/>
        <v>205460729</v>
      </c>
      <c r="G1702" s="7" t="s">
        <v>809</v>
      </c>
      <c r="H1702" s="24" t="s">
        <v>323</v>
      </c>
      <c r="I1702" s="32" t="s">
        <v>152</v>
      </c>
      <c r="K1702" s="181"/>
      <c r="L1702" s="181"/>
    </row>
    <row r="1703" spans="1:12" x14ac:dyDescent="0.35">
      <c r="A1703" s="19">
        <v>45896</v>
      </c>
      <c r="B1703" s="20">
        <v>2250000</v>
      </c>
      <c r="C1703" s="20"/>
      <c r="D1703" s="20"/>
      <c r="E1703" s="99" t="s">
        <v>860</v>
      </c>
      <c r="F1703" s="20">
        <f t="shared" si="26"/>
        <v>203210729</v>
      </c>
      <c r="G1703" s="7" t="s">
        <v>810</v>
      </c>
      <c r="H1703" s="24" t="s">
        <v>325</v>
      </c>
      <c r="I1703" s="32" t="s">
        <v>152</v>
      </c>
      <c r="K1703" s="181"/>
      <c r="L1703" s="181"/>
    </row>
    <row r="1704" spans="1:12" x14ac:dyDescent="0.35">
      <c r="A1704" s="19">
        <v>45896</v>
      </c>
      <c r="B1704" s="20">
        <v>6500</v>
      </c>
      <c r="C1704" s="20"/>
      <c r="D1704" s="20"/>
      <c r="E1704" s="99" t="s">
        <v>860</v>
      </c>
      <c r="F1704" s="20">
        <f t="shared" si="26"/>
        <v>203204229</v>
      </c>
      <c r="G1704" s="7" t="s">
        <v>810</v>
      </c>
      <c r="H1704" s="24" t="s">
        <v>325</v>
      </c>
      <c r="I1704" s="32" t="s">
        <v>152</v>
      </c>
      <c r="K1704" s="181"/>
      <c r="L1704" s="181"/>
    </row>
    <row r="1705" spans="1:12" x14ac:dyDescent="0.35">
      <c r="A1705" s="19">
        <v>45896</v>
      </c>
      <c r="B1705" s="20">
        <v>550000</v>
      </c>
      <c r="C1705" s="20"/>
      <c r="D1705" s="20"/>
      <c r="E1705" s="99" t="s">
        <v>860</v>
      </c>
      <c r="F1705" s="20">
        <f t="shared" si="26"/>
        <v>202654229</v>
      </c>
      <c r="G1705" s="7" t="s">
        <v>810</v>
      </c>
      <c r="H1705" s="24" t="s">
        <v>325</v>
      </c>
      <c r="I1705" s="32" t="s">
        <v>152</v>
      </c>
      <c r="K1705" s="181"/>
      <c r="L1705" s="181"/>
    </row>
    <row r="1706" spans="1:12" x14ac:dyDescent="0.35">
      <c r="A1706" s="19">
        <v>45896</v>
      </c>
      <c r="B1706" s="20">
        <v>6500</v>
      </c>
      <c r="C1706" s="20"/>
      <c r="D1706" s="20"/>
      <c r="E1706" s="99" t="s">
        <v>860</v>
      </c>
      <c r="F1706" s="20">
        <f t="shared" si="26"/>
        <v>202647729</v>
      </c>
      <c r="G1706" s="7" t="s">
        <v>810</v>
      </c>
      <c r="H1706" s="24" t="s">
        <v>325</v>
      </c>
      <c r="I1706" s="32" t="s">
        <v>152</v>
      </c>
      <c r="K1706" s="181"/>
      <c r="L1706" s="181"/>
    </row>
    <row r="1707" spans="1:12" x14ac:dyDescent="0.35">
      <c r="A1707" s="19">
        <v>45896</v>
      </c>
      <c r="B1707" s="20">
        <v>2700000</v>
      </c>
      <c r="C1707" s="20"/>
      <c r="D1707" s="20"/>
      <c r="E1707" s="99" t="s">
        <v>860</v>
      </c>
      <c r="F1707" s="20">
        <f t="shared" si="26"/>
        <v>199947729</v>
      </c>
      <c r="G1707" s="7" t="s">
        <v>812</v>
      </c>
      <c r="H1707" s="24" t="s">
        <v>201</v>
      </c>
      <c r="I1707" s="32" t="s">
        <v>152</v>
      </c>
      <c r="K1707" s="181"/>
      <c r="L1707" s="181"/>
    </row>
    <row r="1708" spans="1:12" x14ac:dyDescent="0.35">
      <c r="A1708" s="19">
        <v>45896</v>
      </c>
      <c r="B1708" s="20">
        <v>6500</v>
      </c>
      <c r="C1708" s="20"/>
      <c r="D1708" s="20"/>
      <c r="E1708" s="99" t="s">
        <v>860</v>
      </c>
      <c r="F1708" s="20">
        <f t="shared" si="26"/>
        <v>199941229</v>
      </c>
      <c r="G1708" s="7" t="s">
        <v>812</v>
      </c>
      <c r="H1708" s="24" t="s">
        <v>201</v>
      </c>
      <c r="I1708" s="32" t="s">
        <v>152</v>
      </c>
      <c r="K1708" s="181"/>
      <c r="L1708" s="181"/>
    </row>
    <row r="1709" spans="1:12" x14ac:dyDescent="0.35">
      <c r="A1709" s="19">
        <v>45896</v>
      </c>
      <c r="B1709" s="20">
        <v>2750000</v>
      </c>
      <c r="C1709" s="20"/>
      <c r="D1709" s="20"/>
      <c r="E1709" s="99" t="s">
        <v>860</v>
      </c>
      <c r="F1709" s="20">
        <f t="shared" si="26"/>
        <v>197191229</v>
      </c>
      <c r="G1709" s="7" t="s">
        <v>810</v>
      </c>
      <c r="H1709" s="24" t="s">
        <v>325</v>
      </c>
      <c r="I1709" s="32" t="s">
        <v>152</v>
      </c>
      <c r="K1709" s="181"/>
      <c r="L1709" s="181"/>
    </row>
    <row r="1710" spans="1:12" x14ac:dyDescent="0.35">
      <c r="A1710" s="19">
        <v>45896</v>
      </c>
      <c r="B1710" s="20"/>
      <c r="C1710" s="20"/>
      <c r="D1710" s="20">
        <v>20000</v>
      </c>
      <c r="E1710" s="99" t="s">
        <v>860</v>
      </c>
      <c r="F1710" s="20">
        <f t="shared" si="26"/>
        <v>197211229</v>
      </c>
      <c r="G1710" s="7" t="s">
        <v>330</v>
      </c>
      <c r="H1710" s="24" t="s">
        <v>109</v>
      </c>
      <c r="I1710" s="32" t="s">
        <v>152</v>
      </c>
      <c r="K1710" s="181"/>
      <c r="L1710" s="181"/>
    </row>
    <row r="1711" spans="1:12" x14ac:dyDescent="0.35">
      <c r="A1711" s="19">
        <v>45897</v>
      </c>
      <c r="B1711" s="20"/>
      <c r="C1711" s="20"/>
      <c r="D1711" s="20">
        <v>20000</v>
      </c>
      <c r="E1711" s="99" t="s">
        <v>860</v>
      </c>
      <c r="F1711" s="20">
        <f t="shared" si="26"/>
        <v>197231229</v>
      </c>
      <c r="G1711" s="7" t="s">
        <v>330</v>
      </c>
      <c r="H1711" s="24" t="s">
        <v>109</v>
      </c>
      <c r="I1711" s="32" t="s">
        <v>152</v>
      </c>
      <c r="K1711" s="181"/>
      <c r="L1711" s="181"/>
    </row>
    <row r="1712" spans="1:12" x14ac:dyDescent="0.35">
      <c r="A1712" s="19">
        <v>45897</v>
      </c>
      <c r="B1712" s="20">
        <v>3500000</v>
      </c>
      <c r="C1712" s="20"/>
      <c r="D1712" s="20"/>
      <c r="E1712" s="99" t="s">
        <v>860</v>
      </c>
      <c r="F1712" s="20">
        <f t="shared" si="26"/>
        <v>193731229</v>
      </c>
      <c r="G1712" s="7" t="s">
        <v>815</v>
      </c>
      <c r="H1712" s="24" t="s">
        <v>322</v>
      </c>
      <c r="I1712" s="32" t="s">
        <v>152</v>
      </c>
      <c r="K1712" s="181"/>
      <c r="L1712" s="181"/>
    </row>
    <row r="1713" spans="1:12" x14ac:dyDescent="0.35">
      <c r="A1713" s="19">
        <v>45897</v>
      </c>
      <c r="B1713" s="20">
        <v>6500</v>
      </c>
      <c r="C1713" s="20"/>
      <c r="D1713" s="20"/>
      <c r="E1713" s="99" t="s">
        <v>860</v>
      </c>
      <c r="F1713" s="20">
        <f t="shared" si="26"/>
        <v>193724729</v>
      </c>
      <c r="G1713" s="7" t="s">
        <v>815</v>
      </c>
      <c r="H1713" s="24" t="s">
        <v>322</v>
      </c>
      <c r="I1713" s="32" t="s">
        <v>152</v>
      </c>
      <c r="K1713" s="181"/>
      <c r="L1713" s="181"/>
    </row>
    <row r="1714" spans="1:12" x14ac:dyDescent="0.35">
      <c r="A1714" s="19">
        <v>45897</v>
      </c>
      <c r="B1714" s="20">
        <v>2210000</v>
      </c>
      <c r="C1714" s="20"/>
      <c r="D1714" s="20"/>
      <c r="E1714" s="99" t="s">
        <v>860</v>
      </c>
      <c r="F1714" s="20">
        <f t="shared" si="26"/>
        <v>191514729</v>
      </c>
      <c r="G1714" s="7" t="s">
        <v>816</v>
      </c>
      <c r="H1714" s="24" t="s">
        <v>322</v>
      </c>
      <c r="I1714" s="32" t="s">
        <v>152</v>
      </c>
      <c r="K1714" s="181"/>
      <c r="L1714" s="181"/>
    </row>
    <row r="1715" spans="1:12" x14ac:dyDescent="0.35">
      <c r="A1715" s="19">
        <v>45897</v>
      </c>
      <c r="B1715" s="20">
        <v>6500</v>
      </c>
      <c r="C1715" s="20"/>
      <c r="D1715" s="20"/>
      <c r="E1715" s="99" t="s">
        <v>860</v>
      </c>
      <c r="F1715" s="20">
        <f t="shared" si="26"/>
        <v>191508229</v>
      </c>
      <c r="G1715" s="7" t="s">
        <v>816</v>
      </c>
      <c r="H1715" s="24" t="s">
        <v>322</v>
      </c>
      <c r="I1715" s="32" t="s">
        <v>152</v>
      </c>
      <c r="K1715" s="181"/>
      <c r="L1715" s="181"/>
    </row>
    <row r="1716" spans="1:12" x14ac:dyDescent="0.35">
      <c r="A1716" s="19">
        <v>45898</v>
      </c>
      <c r="B1716" s="20"/>
      <c r="C1716" s="20"/>
      <c r="D1716" s="20">
        <v>1000000</v>
      </c>
      <c r="E1716" s="99" t="s">
        <v>860</v>
      </c>
      <c r="F1716" s="20">
        <f t="shared" si="26"/>
        <v>192508229</v>
      </c>
      <c r="G1716" s="7" t="s">
        <v>561</v>
      </c>
      <c r="H1716" s="24" t="s">
        <v>109</v>
      </c>
      <c r="I1716" s="32" t="s">
        <v>152</v>
      </c>
      <c r="K1716" s="181"/>
      <c r="L1716" s="181"/>
    </row>
    <row r="1717" spans="1:12" x14ac:dyDescent="0.35">
      <c r="A1717" s="19">
        <v>45898</v>
      </c>
      <c r="B1717" s="20"/>
      <c r="C1717" s="20"/>
      <c r="D1717" s="20">
        <v>20000</v>
      </c>
      <c r="E1717" s="99" t="s">
        <v>860</v>
      </c>
      <c r="F1717" s="20">
        <f t="shared" si="26"/>
        <v>192528229</v>
      </c>
      <c r="G1717" s="7" t="s">
        <v>330</v>
      </c>
      <c r="H1717" s="24" t="s">
        <v>109</v>
      </c>
      <c r="I1717" s="32" t="s">
        <v>152</v>
      </c>
      <c r="K1717" s="181"/>
      <c r="L1717" s="181"/>
    </row>
    <row r="1718" spans="1:12" x14ac:dyDescent="0.35">
      <c r="A1718" s="19">
        <v>45898</v>
      </c>
      <c r="B1718" s="20">
        <v>9000</v>
      </c>
      <c r="C1718" s="20"/>
      <c r="D1718" s="20"/>
      <c r="E1718" s="99" t="s">
        <v>860</v>
      </c>
      <c r="F1718" s="20">
        <f t="shared" si="26"/>
        <v>192519229</v>
      </c>
      <c r="G1718" s="7" t="s">
        <v>817</v>
      </c>
      <c r="H1718" s="24" t="s">
        <v>320</v>
      </c>
      <c r="I1718" s="32" t="s">
        <v>152</v>
      </c>
      <c r="K1718" s="181"/>
      <c r="L1718" s="181"/>
    </row>
    <row r="1719" spans="1:12" x14ac:dyDescent="0.35">
      <c r="A1719" s="19">
        <v>45898</v>
      </c>
      <c r="B1719" s="20">
        <v>750000</v>
      </c>
      <c r="C1719" s="20"/>
      <c r="D1719" s="20"/>
      <c r="E1719" s="99" t="s">
        <v>860</v>
      </c>
      <c r="F1719" s="20">
        <f t="shared" si="26"/>
        <v>191769229</v>
      </c>
      <c r="G1719" s="7" t="s">
        <v>818</v>
      </c>
      <c r="H1719" s="24" t="s">
        <v>323</v>
      </c>
      <c r="I1719" s="32" t="s">
        <v>152</v>
      </c>
      <c r="K1719" s="181"/>
      <c r="L1719" s="181"/>
    </row>
    <row r="1720" spans="1:12" x14ac:dyDescent="0.35">
      <c r="A1720" s="19">
        <v>45898</v>
      </c>
      <c r="B1720" s="20">
        <v>6500</v>
      </c>
      <c r="C1720" s="20"/>
      <c r="D1720" s="20"/>
      <c r="E1720" s="99" t="s">
        <v>860</v>
      </c>
      <c r="F1720" s="20">
        <f t="shared" si="26"/>
        <v>191762729</v>
      </c>
      <c r="G1720" s="7" t="s">
        <v>818</v>
      </c>
      <c r="H1720" s="24" t="s">
        <v>323</v>
      </c>
      <c r="I1720" s="32" t="s">
        <v>152</v>
      </c>
      <c r="K1720" s="181"/>
      <c r="L1720" s="181"/>
    </row>
    <row r="1721" spans="1:12" x14ac:dyDescent="0.35">
      <c r="A1721" s="19">
        <v>45899</v>
      </c>
      <c r="B1721" s="20"/>
      <c r="C1721" s="20"/>
      <c r="D1721" s="20">
        <v>50000</v>
      </c>
      <c r="E1721" s="99" t="s">
        <v>860</v>
      </c>
      <c r="F1721" s="20">
        <f t="shared" si="26"/>
        <v>191812729</v>
      </c>
      <c r="G1721" s="7" t="s">
        <v>330</v>
      </c>
      <c r="H1721" s="24" t="s">
        <v>109</v>
      </c>
      <c r="I1721" s="32" t="s">
        <v>152</v>
      </c>
      <c r="K1721" s="181"/>
      <c r="L1721" s="181"/>
    </row>
    <row r="1722" spans="1:12" x14ac:dyDescent="0.35">
      <c r="A1722" s="19">
        <v>45899</v>
      </c>
      <c r="B1722" s="20"/>
      <c r="C1722" s="20"/>
      <c r="D1722" s="20">
        <v>20000</v>
      </c>
      <c r="E1722" s="99" t="s">
        <v>860</v>
      </c>
      <c r="F1722" s="20">
        <f t="shared" si="26"/>
        <v>191832729</v>
      </c>
      <c r="G1722" s="7" t="s">
        <v>330</v>
      </c>
      <c r="H1722" s="24" t="s">
        <v>109</v>
      </c>
      <c r="I1722" s="32" t="s">
        <v>152</v>
      </c>
      <c r="K1722" s="181"/>
      <c r="L1722" s="181"/>
    </row>
    <row r="1723" spans="1:12" x14ac:dyDescent="0.35">
      <c r="A1723" s="19">
        <v>45899</v>
      </c>
      <c r="B1723" s="20"/>
      <c r="C1723" s="20"/>
      <c r="D1723" s="20">
        <v>10000</v>
      </c>
      <c r="E1723" s="99" t="s">
        <v>860</v>
      </c>
      <c r="F1723" s="20">
        <f t="shared" si="26"/>
        <v>191842729</v>
      </c>
      <c r="G1723" s="7" t="s">
        <v>330</v>
      </c>
      <c r="H1723" s="24" t="s">
        <v>109</v>
      </c>
      <c r="I1723" s="32" t="s">
        <v>152</v>
      </c>
      <c r="K1723" s="181"/>
      <c r="L1723" s="181"/>
    </row>
    <row r="1724" spans="1:12" x14ac:dyDescent="0.35">
      <c r="A1724" s="19">
        <v>45899</v>
      </c>
      <c r="B1724" s="20"/>
      <c r="C1724" s="20"/>
      <c r="D1724" s="20">
        <v>25000</v>
      </c>
      <c r="E1724" s="99" t="s">
        <v>860</v>
      </c>
      <c r="F1724" s="20">
        <f t="shared" si="26"/>
        <v>191867729</v>
      </c>
      <c r="G1724" s="7" t="s">
        <v>330</v>
      </c>
      <c r="H1724" s="24" t="s">
        <v>109</v>
      </c>
      <c r="I1724" s="32" t="s">
        <v>152</v>
      </c>
      <c r="K1724" s="181"/>
      <c r="L1724" s="181"/>
    </row>
    <row r="1725" spans="1:12" x14ac:dyDescent="0.35">
      <c r="A1725" s="19">
        <v>45899</v>
      </c>
      <c r="B1725" s="20"/>
      <c r="C1725" s="20"/>
      <c r="D1725" s="20">
        <v>100000</v>
      </c>
      <c r="E1725" s="99" t="s">
        <v>860</v>
      </c>
      <c r="F1725" s="20">
        <f t="shared" si="26"/>
        <v>191967729</v>
      </c>
      <c r="G1725" s="7" t="s">
        <v>330</v>
      </c>
      <c r="H1725" s="24" t="s">
        <v>109</v>
      </c>
      <c r="I1725" s="32" t="s">
        <v>152</v>
      </c>
      <c r="K1725" s="181"/>
      <c r="L1725" s="181"/>
    </row>
    <row r="1726" spans="1:12" x14ac:dyDescent="0.35">
      <c r="A1726" s="19">
        <v>45899</v>
      </c>
      <c r="B1726" s="20"/>
      <c r="C1726" s="20"/>
      <c r="D1726" s="20">
        <v>50000</v>
      </c>
      <c r="E1726" s="99" t="s">
        <v>860</v>
      </c>
      <c r="F1726" s="20">
        <f t="shared" si="26"/>
        <v>192017729</v>
      </c>
      <c r="G1726" s="7" t="s">
        <v>330</v>
      </c>
      <c r="H1726" s="24" t="s">
        <v>109</v>
      </c>
      <c r="I1726" s="32" t="s">
        <v>152</v>
      </c>
      <c r="K1726" s="181"/>
      <c r="L1726" s="181"/>
    </row>
    <row r="1727" spans="1:12" x14ac:dyDescent="0.35">
      <c r="A1727" s="19">
        <v>45899</v>
      </c>
      <c r="B1727" s="20"/>
      <c r="C1727" s="20"/>
      <c r="D1727" s="20">
        <v>200000</v>
      </c>
      <c r="E1727" s="99" t="s">
        <v>860</v>
      </c>
      <c r="F1727" s="20">
        <f t="shared" si="26"/>
        <v>192217729</v>
      </c>
      <c r="G1727" s="7" t="s">
        <v>330</v>
      </c>
      <c r="H1727" s="24" t="s">
        <v>109</v>
      </c>
      <c r="I1727" s="32" t="s">
        <v>152</v>
      </c>
      <c r="K1727" s="181"/>
      <c r="L1727" s="181"/>
    </row>
    <row r="1728" spans="1:12" x14ac:dyDescent="0.35">
      <c r="A1728" s="19">
        <v>45900</v>
      </c>
      <c r="B1728" s="20">
        <v>750000</v>
      </c>
      <c r="C1728" s="20"/>
      <c r="D1728" s="20"/>
      <c r="E1728" s="99" t="s">
        <v>860</v>
      </c>
      <c r="F1728" s="20">
        <f t="shared" si="26"/>
        <v>191467729</v>
      </c>
      <c r="G1728" s="7" t="s">
        <v>819</v>
      </c>
      <c r="H1728" s="24" t="s">
        <v>323</v>
      </c>
      <c r="I1728" s="32" t="s">
        <v>152</v>
      </c>
      <c r="K1728" s="181"/>
      <c r="L1728" s="181"/>
    </row>
    <row r="1729" spans="1:13" x14ac:dyDescent="0.35">
      <c r="A1729" s="19">
        <v>45900</v>
      </c>
      <c r="B1729" s="20">
        <v>6500</v>
      </c>
      <c r="C1729" s="20"/>
      <c r="D1729" s="20"/>
      <c r="E1729" s="99" t="s">
        <v>860</v>
      </c>
      <c r="F1729" s="20">
        <f t="shared" si="26"/>
        <v>191461229</v>
      </c>
      <c r="G1729" s="7" t="s">
        <v>819</v>
      </c>
      <c r="H1729" s="24" t="s">
        <v>323</v>
      </c>
      <c r="I1729" s="32" t="s">
        <v>152</v>
      </c>
      <c r="K1729" s="181"/>
      <c r="L1729" s="181"/>
    </row>
    <row r="1730" spans="1:13" x14ac:dyDescent="0.35">
      <c r="A1730" s="19">
        <v>45900</v>
      </c>
      <c r="B1730" s="20"/>
      <c r="C1730" s="20"/>
      <c r="D1730" s="20">
        <v>10000</v>
      </c>
      <c r="E1730" s="99" t="s">
        <v>860</v>
      </c>
      <c r="F1730" s="20">
        <f t="shared" si="26"/>
        <v>191471229</v>
      </c>
      <c r="G1730" s="7" t="s">
        <v>330</v>
      </c>
      <c r="H1730" s="24" t="s">
        <v>109</v>
      </c>
      <c r="I1730" s="32" t="s">
        <v>152</v>
      </c>
      <c r="K1730" s="181"/>
      <c r="L1730" s="181"/>
    </row>
    <row r="1731" spans="1:13" x14ac:dyDescent="0.35">
      <c r="A1731" s="19">
        <v>45900</v>
      </c>
      <c r="B1731" s="20"/>
      <c r="C1731" s="20"/>
      <c r="D1731" s="20">
        <v>25000</v>
      </c>
      <c r="E1731" s="99" t="s">
        <v>860</v>
      </c>
      <c r="F1731" s="20">
        <f t="shared" si="26"/>
        <v>191496229</v>
      </c>
      <c r="G1731" s="7" t="s">
        <v>330</v>
      </c>
      <c r="H1731" s="24" t="s">
        <v>109</v>
      </c>
      <c r="I1731" s="32" t="s">
        <v>152</v>
      </c>
      <c r="K1731" s="181"/>
      <c r="L1731" s="181"/>
    </row>
    <row r="1732" spans="1:13" x14ac:dyDescent="0.35">
      <c r="A1732" s="19">
        <v>45900</v>
      </c>
      <c r="B1732" s="20"/>
      <c r="C1732" s="20"/>
      <c r="D1732" s="20">
        <v>20000</v>
      </c>
      <c r="E1732" s="99" t="s">
        <v>860</v>
      </c>
      <c r="F1732" s="20">
        <f t="shared" si="26"/>
        <v>191516229</v>
      </c>
      <c r="G1732" s="7" t="s">
        <v>330</v>
      </c>
      <c r="H1732" s="24" t="s">
        <v>109</v>
      </c>
      <c r="I1732" s="32" t="s">
        <v>152</v>
      </c>
      <c r="K1732" s="181"/>
      <c r="L1732" s="181"/>
    </row>
    <row r="1733" spans="1:13" x14ac:dyDescent="0.35">
      <c r="A1733" s="19">
        <v>45901</v>
      </c>
      <c r="B1733" s="20"/>
      <c r="C1733" s="20"/>
      <c r="D1733" s="20">
        <v>500000</v>
      </c>
      <c r="E1733" s="99" t="s">
        <v>861</v>
      </c>
      <c r="F1733" s="20">
        <f t="shared" si="26"/>
        <v>192016229</v>
      </c>
      <c r="G1733" s="7" t="s">
        <v>579</v>
      </c>
      <c r="H1733" s="24" t="s">
        <v>109</v>
      </c>
      <c r="I1733" s="32" t="s">
        <v>152</v>
      </c>
      <c r="K1733" s="181"/>
      <c r="L1733" s="181"/>
    </row>
    <row r="1734" spans="1:13" x14ac:dyDescent="0.35">
      <c r="A1734" s="19">
        <v>45901</v>
      </c>
      <c r="B1734" s="20"/>
      <c r="C1734" s="20"/>
      <c r="D1734" s="20">
        <v>25000</v>
      </c>
      <c r="E1734" s="99" t="s">
        <v>861</v>
      </c>
      <c r="F1734" s="20">
        <f t="shared" si="26"/>
        <v>192041229</v>
      </c>
      <c r="G1734" s="7" t="s">
        <v>330</v>
      </c>
      <c r="H1734" s="24" t="s">
        <v>109</v>
      </c>
      <c r="I1734" s="32" t="s">
        <v>152</v>
      </c>
      <c r="K1734" s="181"/>
      <c r="L1734" s="181"/>
    </row>
    <row r="1735" spans="1:13" x14ac:dyDescent="0.35">
      <c r="A1735" s="19">
        <v>45901</v>
      </c>
      <c r="B1735" s="20"/>
      <c r="C1735" s="20"/>
      <c r="D1735" s="20">
        <v>10000</v>
      </c>
      <c r="E1735" s="99" t="s">
        <v>861</v>
      </c>
      <c r="F1735" s="20">
        <f t="shared" si="26"/>
        <v>192051229</v>
      </c>
      <c r="G1735" s="7" t="s">
        <v>330</v>
      </c>
      <c r="H1735" s="24" t="s">
        <v>109</v>
      </c>
      <c r="I1735" s="32" t="s">
        <v>152</v>
      </c>
      <c r="K1735" s="181"/>
      <c r="L1735" s="181"/>
    </row>
    <row r="1736" spans="1:13" x14ac:dyDescent="0.35">
      <c r="A1736" s="19">
        <v>45901</v>
      </c>
      <c r="B1736" s="20"/>
      <c r="C1736" s="20"/>
      <c r="D1736" s="20">
        <v>20000</v>
      </c>
      <c r="E1736" s="99" t="s">
        <v>861</v>
      </c>
      <c r="F1736" s="20">
        <f t="shared" si="26"/>
        <v>192071229</v>
      </c>
      <c r="G1736" s="7" t="s">
        <v>330</v>
      </c>
      <c r="H1736" s="24" t="s">
        <v>109</v>
      </c>
      <c r="I1736" s="32" t="s">
        <v>152</v>
      </c>
      <c r="K1736" s="181"/>
      <c r="L1736" s="181"/>
    </row>
    <row r="1737" spans="1:13" x14ac:dyDescent="0.35">
      <c r="A1737" s="19">
        <v>45901</v>
      </c>
      <c r="B1737" s="20"/>
      <c r="C1737" s="20"/>
      <c r="D1737" s="20">
        <v>200000</v>
      </c>
      <c r="E1737" s="99" t="s">
        <v>861</v>
      </c>
      <c r="F1737" s="20">
        <f t="shared" si="26"/>
        <v>192271229</v>
      </c>
      <c r="G1737" s="7" t="s">
        <v>674</v>
      </c>
      <c r="H1737" s="24" t="s">
        <v>109</v>
      </c>
      <c r="I1737" s="32" t="s">
        <v>152</v>
      </c>
      <c r="K1737" s="181"/>
      <c r="L1737" s="181"/>
      <c r="M1737" s="160"/>
    </row>
    <row r="1738" spans="1:13" x14ac:dyDescent="0.35">
      <c r="A1738" s="19">
        <v>45901</v>
      </c>
      <c r="B1738" s="20"/>
      <c r="C1738" s="20"/>
      <c r="D1738" s="20">
        <v>350000</v>
      </c>
      <c r="E1738" s="99" t="s">
        <v>861</v>
      </c>
      <c r="F1738" s="20">
        <f t="shared" ref="F1738:F1801" si="27">+F1737+D1738-B1738</f>
        <v>192621229</v>
      </c>
      <c r="G1738" s="7" t="s">
        <v>740</v>
      </c>
      <c r="H1738" s="24" t="s">
        <v>109</v>
      </c>
      <c r="I1738" s="32" t="s">
        <v>152</v>
      </c>
      <c r="K1738" s="181"/>
      <c r="L1738" s="181"/>
      <c r="M1738" s="160"/>
    </row>
    <row r="1739" spans="1:13" x14ac:dyDescent="0.35">
      <c r="A1739" s="19">
        <v>45901</v>
      </c>
      <c r="B1739" s="20"/>
      <c r="C1739" s="20"/>
      <c r="D1739" s="20">
        <v>750000</v>
      </c>
      <c r="E1739" s="99" t="s">
        <v>861</v>
      </c>
      <c r="F1739" s="20">
        <f t="shared" si="27"/>
        <v>193371229</v>
      </c>
      <c r="G1739" s="7" t="s">
        <v>820</v>
      </c>
      <c r="H1739" s="24" t="s">
        <v>109</v>
      </c>
      <c r="I1739" s="32" t="s">
        <v>152</v>
      </c>
      <c r="K1739" s="181"/>
      <c r="L1739" s="181"/>
      <c r="M1739" s="160"/>
    </row>
    <row r="1740" spans="1:13" x14ac:dyDescent="0.35">
      <c r="A1740" s="19">
        <v>45902</v>
      </c>
      <c r="B1740" s="20"/>
      <c r="C1740" s="20"/>
      <c r="D1740" s="20">
        <v>20000</v>
      </c>
      <c r="E1740" s="99" t="s">
        <v>861</v>
      </c>
      <c r="F1740" s="20">
        <f t="shared" si="27"/>
        <v>193391229</v>
      </c>
      <c r="G1740" s="7" t="s">
        <v>330</v>
      </c>
      <c r="H1740" s="24" t="s">
        <v>109</v>
      </c>
      <c r="I1740" s="32" t="s">
        <v>152</v>
      </c>
      <c r="K1740" s="181"/>
      <c r="L1740" s="181"/>
    </row>
    <row r="1741" spans="1:13" x14ac:dyDescent="0.35">
      <c r="A1741" s="19">
        <v>45902</v>
      </c>
      <c r="B1741" s="20"/>
      <c r="C1741" s="20"/>
      <c r="D1741" s="20">
        <v>3879000</v>
      </c>
      <c r="E1741" s="99" t="s">
        <v>861</v>
      </c>
      <c r="F1741" s="20">
        <f t="shared" si="27"/>
        <v>197270229</v>
      </c>
      <c r="G1741" s="7"/>
      <c r="H1741" s="24" t="s">
        <v>107</v>
      </c>
      <c r="I1741" s="32" t="s">
        <v>152</v>
      </c>
      <c r="K1741" s="181"/>
      <c r="L1741" s="181"/>
    </row>
    <row r="1742" spans="1:13" x14ac:dyDescent="0.35">
      <c r="A1742" s="19">
        <v>45902</v>
      </c>
      <c r="B1742" s="20"/>
      <c r="C1742" s="20"/>
      <c r="D1742" s="20">
        <v>4524000</v>
      </c>
      <c r="E1742" s="99" t="s">
        <v>861</v>
      </c>
      <c r="F1742" s="20">
        <f t="shared" si="27"/>
        <v>201794229</v>
      </c>
      <c r="G1742" s="7"/>
      <c r="H1742" s="24" t="s">
        <v>109</v>
      </c>
      <c r="I1742" s="32" t="s">
        <v>152</v>
      </c>
      <c r="K1742" s="181"/>
      <c r="L1742" s="181"/>
    </row>
    <row r="1743" spans="1:13" x14ac:dyDescent="0.35">
      <c r="A1743" s="19"/>
      <c r="B1743" s="20"/>
      <c r="C1743" s="20">
        <v>8403000</v>
      </c>
      <c r="D1743" s="20"/>
      <c r="E1743" s="99"/>
      <c r="F1743" s="20">
        <f t="shared" si="27"/>
        <v>201794229</v>
      </c>
      <c r="G1743" s="7" t="s">
        <v>821</v>
      </c>
      <c r="H1743" s="24"/>
      <c r="I1743" s="32"/>
      <c r="K1743" s="181"/>
      <c r="L1743" s="181"/>
      <c r="M1743" s="160"/>
    </row>
    <row r="1744" spans="1:13" x14ac:dyDescent="0.35">
      <c r="A1744" s="19">
        <v>45903</v>
      </c>
      <c r="B1744" s="20"/>
      <c r="C1744" s="20"/>
      <c r="D1744" s="20">
        <v>200000</v>
      </c>
      <c r="E1744" s="99" t="s">
        <v>861</v>
      </c>
      <c r="F1744" s="20">
        <f t="shared" si="27"/>
        <v>201994229</v>
      </c>
      <c r="G1744" s="7" t="s">
        <v>333</v>
      </c>
      <c r="H1744" s="24" t="s">
        <v>109</v>
      </c>
      <c r="I1744" s="32" t="s">
        <v>152</v>
      </c>
      <c r="K1744" s="181"/>
      <c r="L1744" s="181"/>
      <c r="M1744" s="160"/>
    </row>
    <row r="1745" spans="1:13" x14ac:dyDescent="0.35">
      <c r="A1745" s="19">
        <v>45903</v>
      </c>
      <c r="B1745" s="20"/>
      <c r="C1745" s="20"/>
      <c r="D1745" s="20">
        <v>10000</v>
      </c>
      <c r="E1745" s="99" t="s">
        <v>861</v>
      </c>
      <c r="F1745" s="20">
        <f t="shared" si="27"/>
        <v>202004229</v>
      </c>
      <c r="G1745" s="7" t="s">
        <v>330</v>
      </c>
      <c r="H1745" s="24" t="s">
        <v>109</v>
      </c>
      <c r="I1745" s="32" t="s">
        <v>152</v>
      </c>
      <c r="K1745" s="181"/>
      <c r="L1745" s="181"/>
      <c r="M1745" s="160"/>
    </row>
    <row r="1746" spans="1:13" x14ac:dyDescent="0.35">
      <c r="A1746" s="19">
        <v>45903</v>
      </c>
      <c r="B1746" s="20"/>
      <c r="C1746" s="20"/>
      <c r="D1746" s="20">
        <v>20000</v>
      </c>
      <c r="E1746" s="99" t="s">
        <v>861</v>
      </c>
      <c r="F1746" s="20">
        <f t="shared" si="27"/>
        <v>202024229</v>
      </c>
      <c r="G1746" s="7" t="s">
        <v>330</v>
      </c>
      <c r="H1746" s="24" t="s">
        <v>109</v>
      </c>
      <c r="I1746" s="32" t="s">
        <v>152</v>
      </c>
      <c r="K1746" s="181"/>
      <c r="L1746" s="181"/>
    </row>
    <row r="1747" spans="1:13" x14ac:dyDescent="0.35">
      <c r="A1747" s="19">
        <v>45903</v>
      </c>
      <c r="B1747" s="20"/>
      <c r="C1747" s="20"/>
      <c r="D1747" s="20">
        <v>300000</v>
      </c>
      <c r="E1747" s="99" t="s">
        <v>861</v>
      </c>
      <c r="F1747" s="20">
        <f t="shared" si="27"/>
        <v>202324229</v>
      </c>
      <c r="G1747" s="7" t="s">
        <v>577</v>
      </c>
      <c r="H1747" s="24" t="s">
        <v>109</v>
      </c>
      <c r="I1747" s="32" t="s">
        <v>152</v>
      </c>
      <c r="K1747" s="181"/>
      <c r="L1747" s="181"/>
      <c r="M1747" s="160"/>
    </row>
    <row r="1748" spans="1:13" x14ac:dyDescent="0.35">
      <c r="A1748" s="19">
        <v>45903</v>
      </c>
      <c r="B1748" s="20"/>
      <c r="C1748" s="20"/>
      <c r="D1748" s="20">
        <v>150000</v>
      </c>
      <c r="E1748" s="99" t="s">
        <v>861</v>
      </c>
      <c r="F1748" s="20">
        <f t="shared" si="27"/>
        <v>202474229</v>
      </c>
      <c r="G1748" s="7" t="s">
        <v>603</v>
      </c>
      <c r="H1748" s="24" t="s">
        <v>109</v>
      </c>
      <c r="I1748" s="32" t="s">
        <v>152</v>
      </c>
      <c r="K1748" s="181"/>
      <c r="L1748" s="181"/>
      <c r="M1748" s="160"/>
    </row>
    <row r="1749" spans="1:13" x14ac:dyDescent="0.35">
      <c r="A1749" s="19">
        <v>45904</v>
      </c>
      <c r="B1749" s="20"/>
      <c r="C1749" s="20"/>
      <c r="D1749" s="20">
        <v>200000</v>
      </c>
      <c r="E1749" s="99" t="s">
        <v>861</v>
      </c>
      <c r="F1749" s="20">
        <f t="shared" si="27"/>
        <v>202674229</v>
      </c>
      <c r="G1749" s="7" t="s">
        <v>531</v>
      </c>
      <c r="H1749" s="24" t="s">
        <v>109</v>
      </c>
      <c r="I1749" s="32" t="s">
        <v>152</v>
      </c>
      <c r="K1749" s="181"/>
      <c r="L1749" s="181"/>
      <c r="M1749" s="160"/>
    </row>
    <row r="1750" spans="1:13" x14ac:dyDescent="0.35">
      <c r="A1750" s="19">
        <v>45904</v>
      </c>
      <c r="B1750" s="20"/>
      <c r="C1750" s="20"/>
      <c r="D1750" s="20">
        <v>10000</v>
      </c>
      <c r="E1750" s="99" t="s">
        <v>861</v>
      </c>
      <c r="F1750" s="20">
        <f t="shared" si="27"/>
        <v>202684229</v>
      </c>
      <c r="G1750" s="7" t="s">
        <v>330</v>
      </c>
      <c r="H1750" s="24" t="s">
        <v>109</v>
      </c>
      <c r="I1750" s="32" t="s">
        <v>152</v>
      </c>
      <c r="K1750" s="181"/>
      <c r="L1750" s="181"/>
    </row>
    <row r="1751" spans="1:13" x14ac:dyDescent="0.35">
      <c r="A1751" s="19">
        <v>45904</v>
      </c>
      <c r="B1751" s="20"/>
      <c r="C1751" s="20"/>
      <c r="D1751" s="20">
        <v>20000</v>
      </c>
      <c r="E1751" s="99" t="s">
        <v>861</v>
      </c>
      <c r="F1751" s="20">
        <f t="shared" si="27"/>
        <v>202704229</v>
      </c>
      <c r="G1751" s="7" t="s">
        <v>330</v>
      </c>
      <c r="H1751" s="24" t="s">
        <v>109</v>
      </c>
      <c r="I1751" s="32" t="s">
        <v>152</v>
      </c>
      <c r="K1751" s="181"/>
      <c r="L1751" s="181"/>
    </row>
    <row r="1752" spans="1:13" x14ac:dyDescent="0.35">
      <c r="A1752" s="19">
        <v>45904</v>
      </c>
      <c r="B1752" s="20"/>
      <c r="C1752" s="20"/>
      <c r="D1752" s="20">
        <v>30000</v>
      </c>
      <c r="E1752" s="99" t="s">
        <v>861</v>
      </c>
      <c r="F1752" s="20">
        <f t="shared" si="27"/>
        <v>202734229</v>
      </c>
      <c r="G1752" s="7" t="s">
        <v>330</v>
      </c>
      <c r="H1752" s="24" t="s">
        <v>109</v>
      </c>
      <c r="I1752" s="32" t="s">
        <v>152</v>
      </c>
      <c r="K1752" s="181"/>
      <c r="L1752" s="181"/>
    </row>
    <row r="1753" spans="1:13" x14ac:dyDescent="0.35">
      <c r="A1753" s="19">
        <v>45905</v>
      </c>
      <c r="B1753" s="20"/>
      <c r="C1753" s="20"/>
      <c r="D1753" s="20">
        <v>20000</v>
      </c>
      <c r="E1753" s="99" t="s">
        <v>861</v>
      </c>
      <c r="F1753" s="20">
        <f t="shared" si="27"/>
        <v>202754229</v>
      </c>
      <c r="G1753" s="7" t="s">
        <v>330</v>
      </c>
      <c r="H1753" s="24" t="s">
        <v>109</v>
      </c>
      <c r="I1753" s="32" t="s">
        <v>152</v>
      </c>
      <c r="K1753" s="181"/>
      <c r="L1753" s="181"/>
    </row>
    <row r="1754" spans="1:13" x14ac:dyDescent="0.35">
      <c r="A1754" s="19">
        <v>45905</v>
      </c>
      <c r="B1754" s="20"/>
      <c r="C1754" s="20"/>
      <c r="D1754" s="20">
        <v>50000</v>
      </c>
      <c r="E1754" s="99" t="s">
        <v>861</v>
      </c>
      <c r="F1754" s="20">
        <f t="shared" si="27"/>
        <v>202804229</v>
      </c>
      <c r="G1754" s="7" t="s">
        <v>330</v>
      </c>
      <c r="H1754" s="24" t="s">
        <v>109</v>
      </c>
      <c r="I1754" s="32" t="s">
        <v>152</v>
      </c>
      <c r="K1754" s="181"/>
      <c r="L1754" s="181"/>
    </row>
    <row r="1755" spans="1:13" x14ac:dyDescent="0.35">
      <c r="A1755" s="19">
        <v>45905</v>
      </c>
      <c r="B1755" s="20"/>
      <c r="C1755" s="20"/>
      <c r="D1755" s="20">
        <v>2000000</v>
      </c>
      <c r="E1755" s="99" t="s">
        <v>861</v>
      </c>
      <c r="F1755" s="20">
        <f t="shared" si="27"/>
        <v>204804229</v>
      </c>
      <c r="G1755" s="7" t="s">
        <v>745</v>
      </c>
      <c r="H1755" s="24" t="s">
        <v>109</v>
      </c>
      <c r="I1755" s="32" t="s">
        <v>152</v>
      </c>
      <c r="K1755" s="181"/>
      <c r="L1755" s="181"/>
    </row>
    <row r="1756" spans="1:13" x14ac:dyDescent="0.35">
      <c r="A1756" s="19">
        <v>45906</v>
      </c>
      <c r="B1756" s="20">
        <v>750000</v>
      </c>
      <c r="C1756" s="20"/>
      <c r="D1756" s="20"/>
      <c r="E1756" s="99" t="s">
        <v>861</v>
      </c>
      <c r="F1756" s="20">
        <f t="shared" si="27"/>
        <v>204054229</v>
      </c>
      <c r="G1756" s="7" t="s">
        <v>818</v>
      </c>
      <c r="H1756" s="24" t="s">
        <v>323</v>
      </c>
      <c r="I1756" s="32" t="s">
        <v>152</v>
      </c>
      <c r="K1756" s="181"/>
      <c r="L1756" s="181"/>
    </row>
    <row r="1757" spans="1:13" x14ac:dyDescent="0.35">
      <c r="A1757" s="19">
        <v>45906</v>
      </c>
      <c r="B1757" s="20">
        <v>6500</v>
      </c>
      <c r="C1757" s="20"/>
      <c r="D1757" s="20"/>
      <c r="E1757" s="99" t="s">
        <v>861</v>
      </c>
      <c r="F1757" s="20">
        <f t="shared" si="27"/>
        <v>204047729</v>
      </c>
      <c r="G1757" s="7" t="s">
        <v>818</v>
      </c>
      <c r="H1757" s="24" t="s">
        <v>323</v>
      </c>
      <c r="I1757" s="32" t="s">
        <v>152</v>
      </c>
      <c r="K1757" s="181"/>
      <c r="L1757" s="181"/>
    </row>
    <row r="1758" spans="1:13" x14ac:dyDescent="0.35">
      <c r="A1758" s="19">
        <v>45906</v>
      </c>
      <c r="B1758" s="20"/>
      <c r="C1758" s="20"/>
      <c r="D1758" s="20">
        <v>20000</v>
      </c>
      <c r="E1758" s="99" t="s">
        <v>861</v>
      </c>
      <c r="F1758" s="20">
        <f t="shared" si="27"/>
        <v>204067729</v>
      </c>
      <c r="G1758" s="7" t="s">
        <v>330</v>
      </c>
      <c r="H1758" s="24" t="s">
        <v>109</v>
      </c>
      <c r="I1758" s="32" t="s">
        <v>152</v>
      </c>
      <c r="K1758" s="181"/>
      <c r="L1758" s="181"/>
    </row>
    <row r="1759" spans="1:13" x14ac:dyDescent="0.35">
      <c r="A1759" s="19">
        <v>45906</v>
      </c>
      <c r="B1759" s="20"/>
      <c r="C1759" s="20"/>
      <c r="D1759" s="20">
        <v>50000</v>
      </c>
      <c r="E1759" s="99" t="s">
        <v>861</v>
      </c>
      <c r="F1759" s="20">
        <f t="shared" si="27"/>
        <v>204117729</v>
      </c>
      <c r="G1759" s="7" t="s">
        <v>330</v>
      </c>
      <c r="H1759" s="24" t="s">
        <v>109</v>
      </c>
      <c r="I1759" s="32" t="s">
        <v>152</v>
      </c>
      <c r="K1759" s="181"/>
      <c r="L1759" s="181"/>
    </row>
    <row r="1760" spans="1:13" x14ac:dyDescent="0.35">
      <c r="A1760" s="19">
        <v>45906</v>
      </c>
      <c r="B1760" s="20"/>
      <c r="C1760" s="20"/>
      <c r="D1760" s="20">
        <v>45000</v>
      </c>
      <c r="E1760" s="99" t="s">
        <v>861</v>
      </c>
      <c r="F1760" s="20">
        <f t="shared" si="27"/>
        <v>204162729</v>
      </c>
      <c r="G1760" s="7" t="s">
        <v>330</v>
      </c>
      <c r="H1760" s="24" t="s">
        <v>109</v>
      </c>
      <c r="I1760" s="32" t="s">
        <v>152</v>
      </c>
      <c r="K1760" s="181"/>
      <c r="L1760" s="181"/>
    </row>
    <row r="1761" spans="1:12" x14ac:dyDescent="0.35">
      <c r="A1761" s="19">
        <v>45906</v>
      </c>
      <c r="B1761" s="20"/>
      <c r="C1761" s="20"/>
      <c r="D1761" s="20">
        <v>50000</v>
      </c>
      <c r="E1761" s="99" t="s">
        <v>861</v>
      </c>
      <c r="F1761" s="20">
        <f t="shared" si="27"/>
        <v>204212729</v>
      </c>
      <c r="G1761" s="7" t="s">
        <v>330</v>
      </c>
      <c r="H1761" s="24" t="s">
        <v>109</v>
      </c>
      <c r="I1761" s="32" t="s">
        <v>152</v>
      </c>
      <c r="K1761" s="181"/>
      <c r="L1761" s="181"/>
    </row>
    <row r="1762" spans="1:12" x14ac:dyDescent="0.35">
      <c r="A1762" s="19">
        <v>45906</v>
      </c>
      <c r="B1762" s="20"/>
      <c r="C1762" s="20"/>
      <c r="D1762" s="20">
        <v>100000</v>
      </c>
      <c r="E1762" s="99" t="s">
        <v>861</v>
      </c>
      <c r="F1762" s="20">
        <f t="shared" si="27"/>
        <v>204312729</v>
      </c>
      <c r="G1762" s="7" t="s">
        <v>330</v>
      </c>
      <c r="H1762" s="24" t="s">
        <v>109</v>
      </c>
      <c r="I1762" s="32" t="s">
        <v>152</v>
      </c>
      <c r="K1762" s="181"/>
      <c r="L1762" s="181"/>
    </row>
    <row r="1763" spans="1:12" x14ac:dyDescent="0.35">
      <c r="A1763" s="19">
        <v>45906</v>
      </c>
      <c r="B1763" s="20"/>
      <c r="C1763" s="20"/>
      <c r="D1763" s="20">
        <v>5000</v>
      </c>
      <c r="E1763" s="99" t="s">
        <v>861</v>
      </c>
      <c r="F1763" s="20">
        <f t="shared" si="27"/>
        <v>204317729</v>
      </c>
      <c r="G1763" s="7" t="s">
        <v>330</v>
      </c>
      <c r="H1763" s="24" t="s">
        <v>109</v>
      </c>
      <c r="I1763" s="32" t="s">
        <v>152</v>
      </c>
      <c r="K1763" s="181"/>
      <c r="L1763" s="181"/>
    </row>
    <row r="1764" spans="1:12" x14ac:dyDescent="0.35">
      <c r="A1764" s="19">
        <v>45906</v>
      </c>
      <c r="B1764" s="20"/>
      <c r="C1764" s="20"/>
      <c r="D1764" s="20">
        <v>20000</v>
      </c>
      <c r="E1764" s="99" t="s">
        <v>861</v>
      </c>
      <c r="F1764" s="20">
        <f t="shared" si="27"/>
        <v>204337729</v>
      </c>
      <c r="G1764" s="7" t="s">
        <v>330</v>
      </c>
      <c r="H1764" s="24" t="s">
        <v>109</v>
      </c>
      <c r="I1764" s="32" t="s">
        <v>152</v>
      </c>
      <c r="K1764" s="181"/>
      <c r="L1764" s="181"/>
    </row>
    <row r="1765" spans="1:12" x14ac:dyDescent="0.35">
      <c r="A1765" s="19">
        <v>45906</v>
      </c>
      <c r="B1765" s="20"/>
      <c r="C1765" s="20"/>
      <c r="D1765" s="20">
        <v>99999</v>
      </c>
      <c r="E1765" s="99" t="s">
        <v>861</v>
      </c>
      <c r="F1765" s="20">
        <f t="shared" si="27"/>
        <v>204437728</v>
      </c>
      <c r="G1765" s="7" t="s">
        <v>330</v>
      </c>
      <c r="H1765" s="24" t="s">
        <v>109</v>
      </c>
      <c r="I1765" s="32" t="s">
        <v>152</v>
      </c>
      <c r="K1765" s="181"/>
      <c r="L1765" s="181"/>
    </row>
    <row r="1766" spans="1:12" x14ac:dyDescent="0.35">
      <c r="A1766" s="19">
        <v>45906</v>
      </c>
      <c r="B1766" s="20"/>
      <c r="C1766" s="20"/>
      <c r="D1766" s="20">
        <v>200000</v>
      </c>
      <c r="E1766" s="99" t="s">
        <v>861</v>
      </c>
      <c r="F1766" s="20">
        <f t="shared" si="27"/>
        <v>204637728</v>
      </c>
      <c r="G1766" s="7" t="s">
        <v>330</v>
      </c>
      <c r="H1766" s="24" t="s">
        <v>109</v>
      </c>
      <c r="I1766" s="32" t="s">
        <v>152</v>
      </c>
      <c r="K1766" s="181"/>
      <c r="L1766" s="181"/>
    </row>
    <row r="1767" spans="1:12" x14ac:dyDescent="0.35">
      <c r="A1767" s="19">
        <v>45906</v>
      </c>
      <c r="B1767" s="20"/>
      <c r="C1767" s="20"/>
      <c r="D1767" s="20">
        <v>700000</v>
      </c>
      <c r="E1767" s="99" t="s">
        <v>861</v>
      </c>
      <c r="F1767" s="20">
        <f t="shared" si="27"/>
        <v>205337728</v>
      </c>
      <c r="G1767" s="7" t="s">
        <v>825</v>
      </c>
      <c r="H1767" s="24" t="s">
        <v>109</v>
      </c>
      <c r="I1767" s="32" t="s">
        <v>152</v>
      </c>
      <c r="K1767" s="181"/>
      <c r="L1767" s="181"/>
    </row>
    <row r="1768" spans="1:12" x14ac:dyDescent="0.35">
      <c r="A1768" s="19">
        <v>45907</v>
      </c>
      <c r="B1768" s="20">
        <v>750000</v>
      </c>
      <c r="C1768" s="20"/>
      <c r="D1768" s="20"/>
      <c r="E1768" s="99" t="s">
        <v>861</v>
      </c>
      <c r="F1768" s="20">
        <f t="shared" si="27"/>
        <v>204587728</v>
      </c>
      <c r="G1768" s="7" t="s">
        <v>826</v>
      </c>
      <c r="H1768" s="24" t="s">
        <v>323</v>
      </c>
      <c r="I1768" s="32" t="s">
        <v>152</v>
      </c>
      <c r="K1768" s="181"/>
      <c r="L1768" s="181"/>
    </row>
    <row r="1769" spans="1:12" x14ac:dyDescent="0.35">
      <c r="A1769" s="19">
        <v>45907</v>
      </c>
      <c r="B1769" s="20">
        <v>6500</v>
      </c>
      <c r="C1769" s="20"/>
      <c r="D1769" s="20"/>
      <c r="E1769" s="99" t="s">
        <v>861</v>
      </c>
      <c r="F1769" s="20">
        <f t="shared" si="27"/>
        <v>204581228</v>
      </c>
      <c r="G1769" s="7" t="s">
        <v>826</v>
      </c>
      <c r="H1769" s="24" t="s">
        <v>323</v>
      </c>
      <c r="I1769" s="32" t="s">
        <v>152</v>
      </c>
      <c r="K1769" s="181"/>
      <c r="L1769" s="181"/>
    </row>
    <row r="1770" spans="1:12" x14ac:dyDescent="0.35">
      <c r="A1770" s="19">
        <v>45907</v>
      </c>
      <c r="B1770" s="20"/>
      <c r="C1770" s="20"/>
      <c r="D1770" s="20">
        <v>25000</v>
      </c>
      <c r="E1770" s="99" t="s">
        <v>861</v>
      </c>
      <c r="F1770" s="20">
        <f t="shared" si="27"/>
        <v>204606228</v>
      </c>
      <c r="G1770" s="7" t="s">
        <v>330</v>
      </c>
      <c r="H1770" s="24" t="s">
        <v>109</v>
      </c>
      <c r="I1770" s="32" t="s">
        <v>152</v>
      </c>
      <c r="K1770" s="181"/>
      <c r="L1770" s="181"/>
    </row>
    <row r="1771" spans="1:12" x14ac:dyDescent="0.35">
      <c r="A1771" s="19">
        <v>45907</v>
      </c>
      <c r="B1771" s="20"/>
      <c r="C1771" s="20"/>
      <c r="D1771" s="20">
        <v>20000</v>
      </c>
      <c r="E1771" s="99" t="s">
        <v>861</v>
      </c>
      <c r="F1771" s="20">
        <f t="shared" si="27"/>
        <v>204626228</v>
      </c>
      <c r="G1771" s="7" t="s">
        <v>330</v>
      </c>
      <c r="H1771" s="24" t="s">
        <v>109</v>
      </c>
      <c r="I1771" s="32" t="s">
        <v>152</v>
      </c>
      <c r="K1771" s="181"/>
      <c r="L1771" s="181"/>
    </row>
    <row r="1772" spans="1:12" x14ac:dyDescent="0.35">
      <c r="A1772" s="19">
        <v>45908</v>
      </c>
      <c r="B1772" s="20"/>
      <c r="C1772" s="20"/>
      <c r="D1772" s="20">
        <v>25000</v>
      </c>
      <c r="E1772" s="99" t="s">
        <v>861</v>
      </c>
      <c r="F1772" s="20">
        <f t="shared" si="27"/>
        <v>204651228</v>
      </c>
      <c r="G1772" s="7" t="s">
        <v>330</v>
      </c>
      <c r="H1772" s="24" t="s">
        <v>109</v>
      </c>
      <c r="I1772" s="32" t="s">
        <v>152</v>
      </c>
      <c r="K1772" s="181"/>
      <c r="L1772" s="181"/>
    </row>
    <row r="1773" spans="1:12" x14ac:dyDescent="0.35">
      <c r="A1773" s="19">
        <v>45908</v>
      </c>
      <c r="B1773" s="20"/>
      <c r="C1773" s="20"/>
      <c r="D1773" s="20">
        <v>20000</v>
      </c>
      <c r="E1773" s="99" t="s">
        <v>861</v>
      </c>
      <c r="F1773" s="20">
        <f t="shared" si="27"/>
        <v>204671228</v>
      </c>
      <c r="G1773" s="7" t="s">
        <v>330</v>
      </c>
      <c r="H1773" s="24" t="s">
        <v>109</v>
      </c>
      <c r="I1773" s="32" t="s">
        <v>152</v>
      </c>
      <c r="K1773" s="181"/>
      <c r="L1773" s="181"/>
    </row>
    <row r="1774" spans="1:12" x14ac:dyDescent="0.35">
      <c r="A1774" s="19">
        <v>45909</v>
      </c>
      <c r="B1774" s="20"/>
      <c r="C1774" s="20"/>
      <c r="D1774" s="20">
        <v>20000</v>
      </c>
      <c r="E1774" s="99" t="s">
        <v>861</v>
      </c>
      <c r="F1774" s="20">
        <f t="shared" si="27"/>
        <v>204691228</v>
      </c>
      <c r="G1774" s="7" t="s">
        <v>330</v>
      </c>
      <c r="H1774" s="24" t="s">
        <v>109</v>
      </c>
      <c r="I1774" s="32" t="s">
        <v>152</v>
      </c>
      <c r="K1774" s="181"/>
      <c r="L1774" s="181"/>
    </row>
    <row r="1775" spans="1:12" x14ac:dyDescent="0.35">
      <c r="A1775" s="19">
        <v>45909</v>
      </c>
      <c r="B1775" s="20"/>
      <c r="C1775" s="20"/>
      <c r="D1775" s="20">
        <f>3859000-950000</f>
        <v>2909000</v>
      </c>
      <c r="E1775" s="99" t="s">
        <v>861</v>
      </c>
      <c r="F1775" s="20">
        <f t="shared" si="27"/>
        <v>207600228</v>
      </c>
      <c r="G1775" s="7"/>
      <c r="H1775" s="24" t="s">
        <v>107</v>
      </c>
      <c r="I1775" s="32" t="s">
        <v>152</v>
      </c>
      <c r="K1775" s="181"/>
      <c r="L1775" s="181"/>
    </row>
    <row r="1776" spans="1:12" x14ac:dyDescent="0.35">
      <c r="A1776" s="19">
        <v>45909</v>
      </c>
      <c r="B1776" s="20"/>
      <c r="C1776" s="20"/>
      <c r="D1776" s="20">
        <v>3699000</v>
      </c>
      <c r="E1776" s="99" t="s">
        <v>861</v>
      </c>
      <c r="F1776" s="20">
        <f t="shared" si="27"/>
        <v>211299228</v>
      </c>
      <c r="G1776" s="7"/>
      <c r="H1776" s="24" t="s">
        <v>109</v>
      </c>
      <c r="I1776" s="32" t="s">
        <v>152</v>
      </c>
      <c r="K1776" s="181"/>
      <c r="L1776" s="181"/>
    </row>
    <row r="1777" spans="1:12" x14ac:dyDescent="0.35">
      <c r="A1777" s="19"/>
      <c r="B1777" s="20"/>
      <c r="C1777" s="20">
        <v>6608000</v>
      </c>
      <c r="D1777" s="20"/>
      <c r="E1777" s="99"/>
      <c r="F1777" s="20">
        <f t="shared" si="27"/>
        <v>211299228</v>
      </c>
      <c r="G1777" s="7" t="s">
        <v>827</v>
      </c>
      <c r="H1777" s="24"/>
      <c r="I1777" s="32"/>
      <c r="K1777" s="181"/>
      <c r="L1777" s="181"/>
    </row>
    <row r="1778" spans="1:12" x14ac:dyDescent="0.35">
      <c r="A1778" s="19">
        <v>45910</v>
      </c>
      <c r="B1778" s="20"/>
      <c r="C1778" s="20"/>
      <c r="D1778" s="20">
        <v>10000</v>
      </c>
      <c r="E1778" s="99" t="s">
        <v>861</v>
      </c>
      <c r="F1778" s="20">
        <f t="shared" si="27"/>
        <v>211309228</v>
      </c>
      <c r="G1778" s="7" t="s">
        <v>330</v>
      </c>
      <c r="H1778" s="24" t="s">
        <v>109</v>
      </c>
      <c r="I1778" s="32" t="s">
        <v>152</v>
      </c>
      <c r="K1778" s="181"/>
      <c r="L1778" s="181"/>
    </row>
    <row r="1779" spans="1:12" x14ac:dyDescent="0.35">
      <c r="A1779" s="19">
        <v>45910</v>
      </c>
      <c r="B1779" s="20"/>
      <c r="C1779" s="20"/>
      <c r="D1779" s="20">
        <v>400000</v>
      </c>
      <c r="E1779" s="99" t="s">
        <v>861</v>
      </c>
      <c r="F1779" s="20">
        <f t="shared" si="27"/>
        <v>211709228</v>
      </c>
      <c r="G1779" s="7" t="s">
        <v>600</v>
      </c>
      <c r="H1779" s="24" t="s">
        <v>109</v>
      </c>
      <c r="I1779" s="32" t="s">
        <v>152</v>
      </c>
      <c r="K1779" s="181"/>
      <c r="L1779" s="181"/>
    </row>
    <row r="1780" spans="1:12" x14ac:dyDescent="0.35">
      <c r="A1780" s="19">
        <v>45911</v>
      </c>
      <c r="B1780" s="20"/>
      <c r="C1780" s="20"/>
      <c r="D1780" s="20">
        <v>10000</v>
      </c>
      <c r="E1780" s="99" t="s">
        <v>861</v>
      </c>
      <c r="F1780" s="20">
        <f t="shared" si="27"/>
        <v>211719228</v>
      </c>
      <c r="G1780" s="7" t="s">
        <v>330</v>
      </c>
      <c r="H1780" s="24" t="s">
        <v>109</v>
      </c>
      <c r="I1780" s="32" t="s">
        <v>152</v>
      </c>
      <c r="K1780" s="181"/>
      <c r="L1780" s="181"/>
    </row>
    <row r="1781" spans="1:12" x14ac:dyDescent="0.35">
      <c r="A1781" s="19">
        <v>45911</v>
      </c>
      <c r="B1781" s="20"/>
      <c r="C1781" s="20"/>
      <c r="D1781" s="20">
        <v>20000</v>
      </c>
      <c r="E1781" s="99" t="s">
        <v>861</v>
      </c>
      <c r="F1781" s="20">
        <f t="shared" si="27"/>
        <v>211739228</v>
      </c>
      <c r="G1781" s="7" t="s">
        <v>330</v>
      </c>
      <c r="H1781" s="24" t="s">
        <v>109</v>
      </c>
      <c r="I1781" s="32" t="s">
        <v>152</v>
      </c>
      <c r="K1781" s="181"/>
      <c r="L1781" s="181"/>
    </row>
    <row r="1782" spans="1:12" x14ac:dyDescent="0.35">
      <c r="A1782" s="19">
        <v>45911</v>
      </c>
      <c r="B1782" s="20"/>
      <c r="C1782" s="20"/>
      <c r="D1782" s="20">
        <v>100000</v>
      </c>
      <c r="E1782" s="99" t="s">
        <v>861</v>
      </c>
      <c r="F1782" s="20">
        <f t="shared" si="27"/>
        <v>211839228</v>
      </c>
      <c r="G1782" s="7" t="s">
        <v>330</v>
      </c>
      <c r="H1782" s="24" t="s">
        <v>109</v>
      </c>
      <c r="I1782" s="32" t="s">
        <v>152</v>
      </c>
      <c r="K1782" s="181"/>
      <c r="L1782" s="181"/>
    </row>
    <row r="1783" spans="1:12" x14ac:dyDescent="0.35">
      <c r="A1783" s="19">
        <v>45911</v>
      </c>
      <c r="B1783" s="20"/>
      <c r="C1783" s="20"/>
      <c r="D1783" s="20">
        <v>500000</v>
      </c>
      <c r="E1783" s="99" t="s">
        <v>861</v>
      </c>
      <c r="F1783" s="20">
        <f t="shared" si="27"/>
        <v>212339228</v>
      </c>
      <c r="G1783" s="7" t="s">
        <v>828</v>
      </c>
      <c r="H1783" s="24" t="s">
        <v>109</v>
      </c>
      <c r="I1783" s="32" t="s">
        <v>152</v>
      </c>
      <c r="K1783" s="181"/>
      <c r="L1783" s="181"/>
    </row>
    <row r="1784" spans="1:12" x14ac:dyDescent="0.35">
      <c r="A1784" s="19">
        <v>45911</v>
      </c>
      <c r="B1784" s="20"/>
      <c r="C1784" s="20"/>
      <c r="D1784" s="20">
        <v>500000</v>
      </c>
      <c r="E1784" s="99" t="s">
        <v>861</v>
      </c>
      <c r="F1784" s="20">
        <f t="shared" si="27"/>
        <v>212839228</v>
      </c>
      <c r="G1784" s="7" t="s">
        <v>675</v>
      </c>
      <c r="H1784" s="24" t="s">
        <v>109</v>
      </c>
      <c r="I1784" s="32" t="s">
        <v>152</v>
      </c>
      <c r="K1784" s="181"/>
      <c r="L1784" s="181"/>
    </row>
    <row r="1785" spans="1:12" x14ac:dyDescent="0.35">
      <c r="A1785" s="19">
        <v>45912</v>
      </c>
      <c r="B1785" s="20"/>
      <c r="C1785" s="20"/>
      <c r="D1785" s="20">
        <v>1000</v>
      </c>
      <c r="E1785" s="99" t="s">
        <v>861</v>
      </c>
      <c r="F1785" s="20">
        <f t="shared" si="27"/>
        <v>212840228</v>
      </c>
      <c r="G1785" s="7" t="s">
        <v>330</v>
      </c>
      <c r="H1785" s="24" t="s">
        <v>109</v>
      </c>
      <c r="I1785" s="32" t="s">
        <v>152</v>
      </c>
      <c r="K1785" s="181"/>
      <c r="L1785" s="181"/>
    </row>
    <row r="1786" spans="1:12" x14ac:dyDescent="0.35">
      <c r="A1786" s="19">
        <v>45912</v>
      </c>
      <c r="B1786" s="20"/>
      <c r="C1786" s="20"/>
      <c r="D1786" s="20">
        <v>50000</v>
      </c>
      <c r="E1786" s="99" t="s">
        <v>861</v>
      </c>
      <c r="F1786" s="20">
        <f t="shared" si="27"/>
        <v>212890228</v>
      </c>
      <c r="G1786" s="7" t="s">
        <v>330</v>
      </c>
      <c r="H1786" s="24" t="s">
        <v>109</v>
      </c>
      <c r="I1786" s="32" t="s">
        <v>152</v>
      </c>
      <c r="K1786" s="181"/>
      <c r="L1786" s="181"/>
    </row>
    <row r="1787" spans="1:12" x14ac:dyDescent="0.35">
      <c r="A1787" s="19">
        <v>45912</v>
      </c>
      <c r="B1787" s="20"/>
      <c r="C1787" s="20"/>
      <c r="D1787" s="20">
        <v>10000</v>
      </c>
      <c r="E1787" s="99" t="s">
        <v>861</v>
      </c>
      <c r="F1787" s="20">
        <f t="shared" si="27"/>
        <v>212900228</v>
      </c>
      <c r="G1787" s="7" t="s">
        <v>330</v>
      </c>
      <c r="H1787" s="24" t="s">
        <v>109</v>
      </c>
      <c r="I1787" s="32" t="s">
        <v>152</v>
      </c>
      <c r="K1787" s="181"/>
      <c r="L1787" s="181"/>
    </row>
    <row r="1788" spans="1:12" x14ac:dyDescent="0.35">
      <c r="A1788" s="19">
        <v>45912</v>
      </c>
      <c r="B1788" s="20"/>
      <c r="C1788" s="20"/>
      <c r="D1788" s="20">
        <v>50000</v>
      </c>
      <c r="E1788" s="99" t="s">
        <v>861</v>
      </c>
      <c r="F1788" s="20">
        <f t="shared" si="27"/>
        <v>212950228</v>
      </c>
      <c r="G1788" s="7" t="s">
        <v>330</v>
      </c>
      <c r="H1788" s="24" t="s">
        <v>109</v>
      </c>
      <c r="I1788" s="32" t="s">
        <v>152</v>
      </c>
      <c r="K1788" s="181"/>
      <c r="L1788" s="181"/>
    </row>
    <row r="1789" spans="1:12" x14ac:dyDescent="0.35">
      <c r="A1789" s="19">
        <v>45912</v>
      </c>
      <c r="B1789" s="20"/>
      <c r="C1789" s="20"/>
      <c r="D1789" s="20">
        <v>20000</v>
      </c>
      <c r="E1789" s="99" t="s">
        <v>861</v>
      </c>
      <c r="F1789" s="20">
        <f t="shared" si="27"/>
        <v>212970228</v>
      </c>
      <c r="G1789" s="7" t="s">
        <v>330</v>
      </c>
      <c r="H1789" s="24" t="s">
        <v>109</v>
      </c>
      <c r="I1789" s="32" t="s">
        <v>152</v>
      </c>
      <c r="K1789" s="181"/>
      <c r="L1789" s="181"/>
    </row>
    <row r="1790" spans="1:12" x14ac:dyDescent="0.35">
      <c r="A1790" s="19">
        <v>45913</v>
      </c>
      <c r="B1790" s="20"/>
      <c r="C1790" s="20"/>
      <c r="D1790" s="20">
        <v>10000</v>
      </c>
      <c r="E1790" s="99" t="s">
        <v>861</v>
      </c>
      <c r="F1790" s="20">
        <f t="shared" si="27"/>
        <v>212980228</v>
      </c>
      <c r="G1790" s="7" t="s">
        <v>330</v>
      </c>
      <c r="H1790" s="24" t="s">
        <v>109</v>
      </c>
      <c r="I1790" s="32" t="s">
        <v>152</v>
      </c>
      <c r="K1790" s="181"/>
      <c r="L1790" s="181"/>
    </row>
    <row r="1791" spans="1:12" x14ac:dyDescent="0.35">
      <c r="A1791" s="19">
        <v>45913</v>
      </c>
      <c r="B1791" s="20"/>
      <c r="C1791" s="20"/>
      <c r="D1791" s="20">
        <v>101101</v>
      </c>
      <c r="E1791" s="99" t="s">
        <v>861</v>
      </c>
      <c r="F1791" s="20">
        <f t="shared" si="27"/>
        <v>213081329</v>
      </c>
      <c r="G1791" s="7" t="s">
        <v>330</v>
      </c>
      <c r="H1791" s="24" t="s">
        <v>109</v>
      </c>
      <c r="I1791" s="32" t="s">
        <v>152</v>
      </c>
      <c r="K1791" s="181"/>
      <c r="L1791" s="181"/>
    </row>
    <row r="1792" spans="1:12" x14ac:dyDescent="0.35">
      <c r="A1792" s="19">
        <v>45913</v>
      </c>
      <c r="B1792" s="20"/>
      <c r="C1792" s="20"/>
      <c r="D1792" s="20">
        <v>50000</v>
      </c>
      <c r="E1792" s="99" t="s">
        <v>861</v>
      </c>
      <c r="F1792" s="20">
        <f t="shared" si="27"/>
        <v>213131329</v>
      </c>
      <c r="G1792" s="7" t="s">
        <v>330</v>
      </c>
      <c r="H1792" s="24" t="s">
        <v>109</v>
      </c>
      <c r="I1792" s="32" t="s">
        <v>152</v>
      </c>
      <c r="K1792" s="181"/>
      <c r="L1792" s="181"/>
    </row>
    <row r="1793" spans="1:12" x14ac:dyDescent="0.35">
      <c r="A1793" s="19">
        <v>45913</v>
      </c>
      <c r="B1793" s="20"/>
      <c r="C1793" s="20"/>
      <c r="D1793" s="20">
        <v>50000</v>
      </c>
      <c r="E1793" s="99" t="s">
        <v>861</v>
      </c>
      <c r="F1793" s="20">
        <f t="shared" si="27"/>
        <v>213181329</v>
      </c>
      <c r="G1793" s="7" t="s">
        <v>330</v>
      </c>
      <c r="H1793" s="24" t="s">
        <v>109</v>
      </c>
      <c r="I1793" s="32" t="s">
        <v>152</v>
      </c>
      <c r="K1793" s="181"/>
      <c r="L1793" s="181"/>
    </row>
    <row r="1794" spans="1:12" x14ac:dyDescent="0.35">
      <c r="A1794" s="19">
        <v>45913</v>
      </c>
      <c r="B1794" s="20"/>
      <c r="C1794" s="20"/>
      <c r="D1794" s="20">
        <v>50000</v>
      </c>
      <c r="E1794" s="99" t="s">
        <v>861</v>
      </c>
      <c r="F1794" s="20">
        <f t="shared" si="27"/>
        <v>213231329</v>
      </c>
      <c r="G1794" s="7" t="s">
        <v>330</v>
      </c>
      <c r="H1794" s="24" t="s">
        <v>109</v>
      </c>
      <c r="I1794" s="32" t="s">
        <v>152</v>
      </c>
      <c r="K1794" s="181"/>
      <c r="L1794" s="181"/>
    </row>
    <row r="1795" spans="1:12" x14ac:dyDescent="0.35">
      <c r="A1795" s="19">
        <v>45913</v>
      </c>
      <c r="B1795" s="20"/>
      <c r="C1795" s="20"/>
      <c r="D1795" s="20">
        <v>50000</v>
      </c>
      <c r="E1795" s="99" t="s">
        <v>861</v>
      </c>
      <c r="F1795" s="20">
        <f t="shared" si="27"/>
        <v>213281329</v>
      </c>
      <c r="G1795" s="7" t="s">
        <v>330</v>
      </c>
      <c r="H1795" s="24" t="s">
        <v>109</v>
      </c>
      <c r="I1795" s="32" t="s">
        <v>152</v>
      </c>
      <c r="K1795" s="181"/>
      <c r="L1795" s="181"/>
    </row>
    <row r="1796" spans="1:12" x14ac:dyDescent="0.35">
      <c r="A1796" s="19">
        <v>45913</v>
      </c>
      <c r="B1796" s="20"/>
      <c r="C1796" s="20"/>
      <c r="D1796" s="20">
        <v>9000</v>
      </c>
      <c r="E1796" s="99" t="s">
        <v>861</v>
      </c>
      <c r="F1796" s="20">
        <f t="shared" si="27"/>
        <v>213290329</v>
      </c>
      <c r="G1796" s="7" t="s">
        <v>330</v>
      </c>
      <c r="H1796" s="24" t="s">
        <v>109</v>
      </c>
      <c r="I1796" s="32" t="s">
        <v>152</v>
      </c>
      <c r="K1796" s="181"/>
      <c r="L1796" s="181"/>
    </row>
    <row r="1797" spans="1:12" x14ac:dyDescent="0.35">
      <c r="A1797" s="19">
        <v>45913</v>
      </c>
      <c r="B1797" s="20"/>
      <c r="C1797" s="20"/>
      <c r="D1797" s="20">
        <v>20000</v>
      </c>
      <c r="E1797" s="99" t="s">
        <v>861</v>
      </c>
      <c r="F1797" s="20">
        <f t="shared" si="27"/>
        <v>213310329</v>
      </c>
      <c r="G1797" s="7" t="s">
        <v>330</v>
      </c>
      <c r="H1797" s="24" t="s">
        <v>109</v>
      </c>
      <c r="I1797" s="32" t="s">
        <v>152</v>
      </c>
      <c r="K1797" s="181"/>
      <c r="L1797" s="181"/>
    </row>
    <row r="1798" spans="1:12" x14ac:dyDescent="0.35">
      <c r="A1798" s="19">
        <v>45913</v>
      </c>
      <c r="B1798" s="20"/>
      <c r="C1798" s="20"/>
      <c r="D1798" s="20">
        <v>20000</v>
      </c>
      <c r="E1798" s="99" t="s">
        <v>861</v>
      </c>
      <c r="F1798" s="20">
        <f t="shared" si="27"/>
        <v>213330329</v>
      </c>
      <c r="G1798" s="7" t="s">
        <v>330</v>
      </c>
      <c r="H1798" s="24" t="s">
        <v>109</v>
      </c>
      <c r="I1798" s="32" t="s">
        <v>152</v>
      </c>
      <c r="K1798" s="181"/>
      <c r="L1798" s="181"/>
    </row>
    <row r="1799" spans="1:12" x14ac:dyDescent="0.35">
      <c r="A1799" s="19">
        <v>45914</v>
      </c>
      <c r="B1799" s="20">
        <v>750000</v>
      </c>
      <c r="C1799" s="20"/>
      <c r="D1799" s="20"/>
      <c r="E1799" s="99" t="s">
        <v>861</v>
      </c>
      <c r="F1799" s="20">
        <f t="shared" si="27"/>
        <v>212580329</v>
      </c>
      <c r="G1799" s="7" t="s">
        <v>830</v>
      </c>
      <c r="H1799" s="24" t="s">
        <v>323</v>
      </c>
      <c r="I1799" s="32" t="s">
        <v>152</v>
      </c>
      <c r="K1799" s="181"/>
      <c r="L1799" s="181"/>
    </row>
    <row r="1800" spans="1:12" x14ac:dyDescent="0.35">
      <c r="A1800" s="19">
        <v>45914</v>
      </c>
      <c r="B1800" s="20"/>
      <c r="C1800" s="20"/>
      <c r="D1800" s="20">
        <v>25000</v>
      </c>
      <c r="E1800" s="99" t="s">
        <v>861</v>
      </c>
      <c r="F1800" s="20">
        <f t="shared" si="27"/>
        <v>212605329</v>
      </c>
      <c r="G1800" s="7" t="s">
        <v>330</v>
      </c>
      <c r="H1800" s="24" t="s">
        <v>109</v>
      </c>
      <c r="I1800" s="32" t="s">
        <v>152</v>
      </c>
      <c r="K1800" s="181"/>
      <c r="L1800" s="181"/>
    </row>
    <row r="1801" spans="1:12" x14ac:dyDescent="0.35">
      <c r="A1801" s="19">
        <v>45914</v>
      </c>
      <c r="B1801" s="20"/>
      <c r="C1801" s="20"/>
      <c r="D1801" s="20">
        <v>20000</v>
      </c>
      <c r="E1801" s="99" t="s">
        <v>861</v>
      </c>
      <c r="F1801" s="20">
        <f t="shared" si="27"/>
        <v>212625329</v>
      </c>
      <c r="G1801" s="7" t="s">
        <v>330</v>
      </c>
      <c r="H1801" s="24" t="s">
        <v>109</v>
      </c>
      <c r="I1801" s="32" t="s">
        <v>152</v>
      </c>
      <c r="K1801" s="181"/>
      <c r="L1801" s="181"/>
    </row>
    <row r="1802" spans="1:12" x14ac:dyDescent="0.35">
      <c r="A1802" s="19">
        <v>45915</v>
      </c>
      <c r="B1802" s="20"/>
      <c r="C1802" s="20"/>
      <c r="D1802" s="20">
        <v>25000</v>
      </c>
      <c r="E1802" s="99" t="s">
        <v>861</v>
      </c>
      <c r="F1802" s="20">
        <f t="shared" ref="F1802:F1865" si="28">+F1801+D1802-B1802</f>
        <v>212650329</v>
      </c>
      <c r="G1802" s="7" t="s">
        <v>330</v>
      </c>
      <c r="H1802" s="24" t="s">
        <v>109</v>
      </c>
      <c r="I1802" s="32" t="s">
        <v>152</v>
      </c>
      <c r="K1802" s="181"/>
      <c r="L1802" s="181"/>
    </row>
    <row r="1803" spans="1:12" x14ac:dyDescent="0.35">
      <c r="A1803" s="19">
        <v>45915</v>
      </c>
      <c r="B1803" s="20"/>
      <c r="C1803" s="20"/>
      <c r="D1803" s="20">
        <v>10000</v>
      </c>
      <c r="E1803" s="99" t="s">
        <v>861</v>
      </c>
      <c r="F1803" s="20">
        <f t="shared" si="28"/>
        <v>212660329</v>
      </c>
      <c r="G1803" s="7" t="s">
        <v>330</v>
      </c>
      <c r="H1803" s="24" t="s">
        <v>109</v>
      </c>
      <c r="I1803" s="32" t="s">
        <v>152</v>
      </c>
      <c r="K1803" s="181"/>
      <c r="L1803" s="181"/>
    </row>
    <row r="1804" spans="1:12" x14ac:dyDescent="0.35">
      <c r="A1804" s="19">
        <v>45915</v>
      </c>
      <c r="B1804" s="20"/>
      <c r="C1804" s="20"/>
      <c r="D1804" s="20">
        <v>20000</v>
      </c>
      <c r="E1804" s="99" t="s">
        <v>861</v>
      </c>
      <c r="F1804" s="20">
        <f t="shared" si="28"/>
        <v>212680329</v>
      </c>
      <c r="G1804" s="7" t="s">
        <v>330</v>
      </c>
      <c r="H1804" s="24" t="s">
        <v>109</v>
      </c>
      <c r="I1804" s="32" t="s">
        <v>152</v>
      </c>
      <c r="K1804" s="181"/>
      <c r="L1804" s="181"/>
    </row>
    <row r="1805" spans="1:12" x14ac:dyDescent="0.35">
      <c r="A1805" s="19">
        <v>45916</v>
      </c>
      <c r="B1805" s="20">
        <v>20000000</v>
      </c>
      <c r="C1805" s="20"/>
      <c r="D1805" s="20"/>
      <c r="E1805" s="99" t="s">
        <v>861</v>
      </c>
      <c r="F1805" s="20">
        <f t="shared" si="28"/>
        <v>192680329</v>
      </c>
      <c r="G1805" s="7" t="s">
        <v>831</v>
      </c>
      <c r="H1805" s="24" t="s">
        <v>201</v>
      </c>
      <c r="I1805" s="32" t="s">
        <v>152</v>
      </c>
      <c r="K1805" s="181"/>
      <c r="L1805" s="181"/>
    </row>
    <row r="1806" spans="1:12" x14ac:dyDescent="0.35">
      <c r="A1806" s="19">
        <v>45916</v>
      </c>
      <c r="B1806" s="20">
        <v>3500000</v>
      </c>
      <c r="C1806" s="20"/>
      <c r="D1806" s="20"/>
      <c r="E1806" s="99" t="s">
        <v>861</v>
      </c>
      <c r="F1806" s="20">
        <f t="shared" si="28"/>
        <v>189180329</v>
      </c>
      <c r="G1806" s="7" t="s">
        <v>832</v>
      </c>
      <c r="H1806" s="24" t="s">
        <v>322</v>
      </c>
      <c r="I1806" s="32" t="s">
        <v>152</v>
      </c>
      <c r="K1806" s="181"/>
      <c r="L1806" s="181"/>
    </row>
    <row r="1807" spans="1:12" x14ac:dyDescent="0.35">
      <c r="A1807" s="19">
        <v>45916</v>
      </c>
      <c r="B1807" s="20">
        <v>6500</v>
      </c>
      <c r="C1807" s="20"/>
      <c r="D1807" s="20"/>
      <c r="E1807" s="99" t="s">
        <v>861</v>
      </c>
      <c r="F1807" s="20">
        <f t="shared" si="28"/>
        <v>189173829</v>
      </c>
      <c r="G1807" s="7" t="s">
        <v>832</v>
      </c>
      <c r="H1807" s="24" t="s">
        <v>322</v>
      </c>
      <c r="I1807" s="32" t="s">
        <v>152</v>
      </c>
      <c r="K1807" s="181"/>
      <c r="L1807" s="181"/>
    </row>
    <row r="1808" spans="1:12" x14ac:dyDescent="0.35">
      <c r="A1808" s="19">
        <v>45916</v>
      </c>
      <c r="B1808" s="20"/>
      <c r="C1808" s="20"/>
      <c r="D1808" s="20">
        <v>20000</v>
      </c>
      <c r="E1808" s="99" t="s">
        <v>861</v>
      </c>
      <c r="F1808" s="20">
        <f t="shared" si="28"/>
        <v>189193829</v>
      </c>
      <c r="G1808" s="7" t="s">
        <v>330</v>
      </c>
      <c r="H1808" s="24" t="s">
        <v>109</v>
      </c>
      <c r="I1808" s="32" t="s">
        <v>152</v>
      </c>
      <c r="K1808" s="181"/>
      <c r="L1808" s="181"/>
    </row>
    <row r="1809" spans="1:12" x14ac:dyDescent="0.35">
      <c r="A1809" s="19">
        <v>45917</v>
      </c>
      <c r="B1809" s="20"/>
      <c r="C1809" s="20"/>
      <c r="D1809" s="20">
        <v>10000</v>
      </c>
      <c r="E1809" s="99" t="s">
        <v>861</v>
      </c>
      <c r="F1809" s="20">
        <f t="shared" si="28"/>
        <v>189203829</v>
      </c>
      <c r="G1809" s="7" t="s">
        <v>330</v>
      </c>
      <c r="H1809" s="24" t="s">
        <v>109</v>
      </c>
      <c r="I1809" s="32" t="s">
        <v>152</v>
      </c>
      <c r="K1809" s="181"/>
      <c r="L1809" s="181"/>
    </row>
    <row r="1810" spans="1:12" x14ac:dyDescent="0.35">
      <c r="A1810" s="19">
        <v>45917</v>
      </c>
      <c r="B1810" s="20"/>
      <c r="C1810" s="20"/>
      <c r="D1810" s="20">
        <v>100000</v>
      </c>
      <c r="E1810" s="99" t="s">
        <v>861</v>
      </c>
      <c r="F1810" s="20">
        <f t="shared" si="28"/>
        <v>189303829</v>
      </c>
      <c r="G1810" s="7" t="s">
        <v>373</v>
      </c>
      <c r="H1810" s="24" t="s">
        <v>109</v>
      </c>
      <c r="I1810" s="32" t="s">
        <v>152</v>
      </c>
      <c r="K1810" s="181"/>
      <c r="L1810" s="181"/>
    </row>
    <row r="1811" spans="1:12" x14ac:dyDescent="0.35">
      <c r="A1811" s="19">
        <v>45918</v>
      </c>
      <c r="B1811" s="20"/>
      <c r="C1811" s="20"/>
      <c r="D1811" s="20">
        <v>20000</v>
      </c>
      <c r="E1811" s="99" t="s">
        <v>861</v>
      </c>
      <c r="F1811" s="20">
        <f t="shared" si="28"/>
        <v>189323829</v>
      </c>
      <c r="G1811" s="7" t="s">
        <v>330</v>
      </c>
      <c r="H1811" s="24" t="s">
        <v>109</v>
      </c>
      <c r="I1811" s="32" t="s">
        <v>152</v>
      </c>
      <c r="K1811" s="181"/>
      <c r="L1811" s="181"/>
    </row>
    <row r="1812" spans="1:12" x14ac:dyDescent="0.35">
      <c r="A1812" s="19">
        <v>45918</v>
      </c>
      <c r="B1812" s="20"/>
      <c r="C1812" s="20"/>
      <c r="D1812" s="20">
        <v>10000</v>
      </c>
      <c r="E1812" s="99" t="s">
        <v>861</v>
      </c>
      <c r="F1812" s="20">
        <f t="shared" si="28"/>
        <v>189333829</v>
      </c>
      <c r="G1812" s="7" t="s">
        <v>330</v>
      </c>
      <c r="H1812" s="24" t="s">
        <v>109</v>
      </c>
      <c r="I1812" s="32" t="s">
        <v>152</v>
      </c>
      <c r="K1812" s="181"/>
      <c r="L1812" s="181"/>
    </row>
    <row r="1813" spans="1:12" x14ac:dyDescent="0.35">
      <c r="A1813" s="19">
        <v>45918</v>
      </c>
      <c r="B1813" s="20">
        <v>700000</v>
      </c>
      <c r="C1813" s="20"/>
      <c r="D1813" s="20"/>
      <c r="E1813" s="99" t="s">
        <v>861</v>
      </c>
      <c r="F1813" s="20">
        <f t="shared" si="28"/>
        <v>188633829</v>
      </c>
      <c r="G1813" s="7" t="s">
        <v>836</v>
      </c>
      <c r="H1813" s="24" t="s">
        <v>322</v>
      </c>
      <c r="I1813" s="32" t="s">
        <v>152</v>
      </c>
      <c r="K1813" s="181"/>
      <c r="L1813" s="181"/>
    </row>
    <row r="1814" spans="1:12" x14ac:dyDescent="0.35">
      <c r="A1814" s="19">
        <v>45918</v>
      </c>
      <c r="B1814" s="20">
        <v>6500</v>
      </c>
      <c r="C1814" s="20"/>
      <c r="D1814" s="20"/>
      <c r="E1814" s="99" t="s">
        <v>861</v>
      </c>
      <c r="F1814" s="20">
        <f t="shared" si="28"/>
        <v>188627329</v>
      </c>
      <c r="G1814" s="7" t="s">
        <v>836</v>
      </c>
      <c r="H1814" s="24" t="s">
        <v>322</v>
      </c>
      <c r="I1814" s="32" t="s">
        <v>152</v>
      </c>
      <c r="K1814" s="181"/>
      <c r="L1814" s="181"/>
    </row>
    <row r="1815" spans="1:12" x14ac:dyDescent="0.35">
      <c r="A1815" s="19">
        <v>45919</v>
      </c>
      <c r="B1815" s="20"/>
      <c r="C1815" s="20"/>
      <c r="D1815" s="20">
        <v>20000</v>
      </c>
      <c r="E1815" s="99" t="s">
        <v>861</v>
      </c>
      <c r="F1815" s="20">
        <f t="shared" si="28"/>
        <v>188647329</v>
      </c>
      <c r="G1815" s="7" t="s">
        <v>330</v>
      </c>
      <c r="H1815" s="24" t="s">
        <v>109</v>
      </c>
      <c r="I1815" s="32" t="s">
        <v>152</v>
      </c>
      <c r="K1815" s="181"/>
      <c r="L1815" s="181"/>
    </row>
    <row r="1816" spans="1:12" x14ac:dyDescent="0.35">
      <c r="A1816" s="19">
        <v>45919</v>
      </c>
      <c r="B1816" s="20"/>
      <c r="C1816" s="20"/>
      <c r="D1816" s="20">
        <v>50000</v>
      </c>
      <c r="E1816" s="99" t="s">
        <v>861</v>
      </c>
      <c r="F1816" s="20">
        <f t="shared" si="28"/>
        <v>188697329</v>
      </c>
      <c r="G1816" s="7" t="s">
        <v>330</v>
      </c>
      <c r="H1816" s="24" t="s">
        <v>109</v>
      </c>
      <c r="I1816" s="32" t="s">
        <v>152</v>
      </c>
      <c r="K1816" s="181"/>
      <c r="L1816" s="181"/>
    </row>
    <row r="1817" spans="1:12" x14ac:dyDescent="0.35">
      <c r="A1817" s="19">
        <v>45919</v>
      </c>
      <c r="B1817" s="20"/>
      <c r="C1817" s="20"/>
      <c r="D1817" s="20">
        <v>20000</v>
      </c>
      <c r="E1817" s="99" t="s">
        <v>861</v>
      </c>
      <c r="F1817" s="20">
        <f t="shared" si="28"/>
        <v>188717329</v>
      </c>
      <c r="G1817" s="7" t="s">
        <v>330</v>
      </c>
      <c r="H1817" s="24" t="s">
        <v>109</v>
      </c>
      <c r="I1817" s="32" t="s">
        <v>152</v>
      </c>
      <c r="K1817" s="181"/>
      <c r="L1817" s="181"/>
    </row>
    <row r="1818" spans="1:12" x14ac:dyDescent="0.35">
      <c r="A1818" s="19">
        <v>45919</v>
      </c>
      <c r="B1818" s="20"/>
      <c r="C1818" s="20"/>
      <c r="D1818" s="20">
        <v>100000</v>
      </c>
      <c r="E1818" s="99" t="s">
        <v>861</v>
      </c>
      <c r="F1818" s="20">
        <f t="shared" si="28"/>
        <v>188817329</v>
      </c>
      <c r="G1818" s="7" t="s">
        <v>330</v>
      </c>
      <c r="H1818" s="24" t="s">
        <v>109</v>
      </c>
      <c r="I1818" s="32" t="s">
        <v>152</v>
      </c>
      <c r="K1818" s="181"/>
      <c r="L1818" s="181"/>
    </row>
    <row r="1819" spans="1:12" x14ac:dyDescent="0.35">
      <c r="A1819" s="19">
        <v>45919</v>
      </c>
      <c r="B1819" s="20"/>
      <c r="C1819" s="20"/>
      <c r="D1819" s="20">
        <v>100000</v>
      </c>
      <c r="E1819" s="99" t="s">
        <v>861</v>
      </c>
      <c r="F1819" s="20">
        <f t="shared" si="28"/>
        <v>188917329</v>
      </c>
      <c r="G1819" s="7" t="s">
        <v>330</v>
      </c>
      <c r="H1819" s="24" t="s">
        <v>109</v>
      </c>
      <c r="I1819" s="32" t="s">
        <v>152</v>
      </c>
      <c r="K1819" s="181"/>
      <c r="L1819" s="181"/>
    </row>
    <row r="1820" spans="1:12" x14ac:dyDescent="0.35">
      <c r="A1820" s="19">
        <v>45919</v>
      </c>
      <c r="B1820" s="20"/>
      <c r="C1820" s="20"/>
      <c r="D1820" s="20">
        <v>40000</v>
      </c>
      <c r="E1820" s="99" t="s">
        <v>861</v>
      </c>
      <c r="F1820" s="20">
        <f t="shared" si="28"/>
        <v>188957329</v>
      </c>
      <c r="G1820" s="7" t="s">
        <v>330</v>
      </c>
      <c r="H1820" s="24" t="s">
        <v>109</v>
      </c>
      <c r="I1820" s="32" t="s">
        <v>152</v>
      </c>
      <c r="K1820" s="181"/>
      <c r="L1820" s="181"/>
    </row>
    <row r="1821" spans="1:12" x14ac:dyDescent="0.35">
      <c r="A1821" s="19">
        <v>45920</v>
      </c>
      <c r="B1821" s="20">
        <v>750000</v>
      </c>
      <c r="C1821" s="20"/>
      <c r="D1821" s="20"/>
      <c r="E1821" s="99" t="s">
        <v>861</v>
      </c>
      <c r="F1821" s="20">
        <f t="shared" si="28"/>
        <v>188207329</v>
      </c>
      <c r="G1821" s="7" t="s">
        <v>837</v>
      </c>
      <c r="H1821" s="24" t="s">
        <v>323</v>
      </c>
      <c r="I1821" s="32" t="s">
        <v>152</v>
      </c>
      <c r="K1821" s="181"/>
      <c r="L1821" s="181"/>
    </row>
    <row r="1822" spans="1:12" x14ac:dyDescent="0.35">
      <c r="A1822" s="19">
        <v>45920</v>
      </c>
      <c r="B1822" s="20"/>
      <c r="C1822" s="20"/>
      <c r="D1822" s="20">
        <v>4700</v>
      </c>
      <c r="E1822" s="99" t="s">
        <v>861</v>
      </c>
      <c r="F1822" s="20">
        <f t="shared" si="28"/>
        <v>188212029</v>
      </c>
      <c r="G1822" s="7" t="s">
        <v>330</v>
      </c>
      <c r="H1822" s="24" t="s">
        <v>109</v>
      </c>
      <c r="I1822" s="32" t="s">
        <v>152</v>
      </c>
      <c r="K1822" s="181"/>
      <c r="L1822" s="181"/>
    </row>
    <row r="1823" spans="1:12" x14ac:dyDescent="0.35">
      <c r="A1823" s="19">
        <v>45920</v>
      </c>
      <c r="B1823" s="20"/>
      <c r="C1823" s="20"/>
      <c r="D1823" s="20">
        <v>100000</v>
      </c>
      <c r="E1823" s="99" t="s">
        <v>861</v>
      </c>
      <c r="F1823" s="20">
        <f t="shared" si="28"/>
        <v>188312029</v>
      </c>
      <c r="G1823" s="7" t="s">
        <v>330</v>
      </c>
      <c r="H1823" s="24" t="s">
        <v>109</v>
      </c>
      <c r="I1823" s="32" t="s">
        <v>152</v>
      </c>
      <c r="K1823" s="181"/>
      <c r="L1823" s="181"/>
    </row>
    <row r="1824" spans="1:12" x14ac:dyDescent="0.35">
      <c r="A1824" s="19">
        <v>45920</v>
      </c>
      <c r="B1824" s="20"/>
      <c r="C1824" s="20"/>
      <c r="D1824" s="20">
        <v>50000</v>
      </c>
      <c r="E1824" s="99" t="s">
        <v>861</v>
      </c>
      <c r="F1824" s="20">
        <f t="shared" si="28"/>
        <v>188362029</v>
      </c>
      <c r="G1824" s="7" t="s">
        <v>330</v>
      </c>
      <c r="H1824" s="24" t="s">
        <v>109</v>
      </c>
      <c r="I1824" s="32" t="s">
        <v>152</v>
      </c>
      <c r="K1824" s="181"/>
      <c r="L1824" s="181"/>
    </row>
    <row r="1825" spans="1:12" x14ac:dyDescent="0.35">
      <c r="A1825" s="19">
        <v>45920</v>
      </c>
      <c r="B1825" s="20"/>
      <c r="C1825" s="20"/>
      <c r="D1825" s="20">
        <v>5000</v>
      </c>
      <c r="E1825" s="99" t="s">
        <v>861</v>
      </c>
      <c r="F1825" s="20">
        <f t="shared" si="28"/>
        <v>188367029</v>
      </c>
      <c r="G1825" s="7" t="s">
        <v>330</v>
      </c>
      <c r="H1825" s="24" t="s">
        <v>109</v>
      </c>
      <c r="I1825" s="32" t="s">
        <v>152</v>
      </c>
      <c r="K1825" s="181"/>
      <c r="L1825" s="181"/>
    </row>
    <row r="1826" spans="1:12" x14ac:dyDescent="0.35">
      <c r="A1826" s="19">
        <v>45920</v>
      </c>
      <c r="B1826" s="20"/>
      <c r="C1826" s="20"/>
      <c r="D1826" s="20">
        <v>20000</v>
      </c>
      <c r="E1826" s="99" t="s">
        <v>861</v>
      </c>
      <c r="F1826" s="20">
        <f t="shared" si="28"/>
        <v>188387029</v>
      </c>
      <c r="G1826" s="7" t="s">
        <v>330</v>
      </c>
      <c r="H1826" s="24" t="s">
        <v>109</v>
      </c>
      <c r="I1826" s="32" t="s">
        <v>152</v>
      </c>
      <c r="K1826" s="181"/>
      <c r="L1826" s="181"/>
    </row>
    <row r="1827" spans="1:12" x14ac:dyDescent="0.35">
      <c r="A1827" s="19">
        <v>45921</v>
      </c>
      <c r="B1827" s="20"/>
      <c r="C1827" s="20"/>
      <c r="D1827" s="20">
        <v>20000</v>
      </c>
      <c r="E1827" s="99" t="s">
        <v>861</v>
      </c>
      <c r="F1827" s="20">
        <f t="shared" si="28"/>
        <v>188407029</v>
      </c>
      <c r="G1827" s="7" t="s">
        <v>330</v>
      </c>
      <c r="H1827" s="24" t="s">
        <v>109</v>
      </c>
      <c r="I1827" s="32" t="s">
        <v>152</v>
      </c>
      <c r="K1827" s="181"/>
      <c r="L1827" s="181"/>
    </row>
    <row r="1828" spans="1:12" x14ac:dyDescent="0.35">
      <c r="A1828" s="19">
        <v>45922</v>
      </c>
      <c r="B1828" s="20"/>
      <c r="C1828" s="20"/>
      <c r="D1828" s="20">
        <v>8700</v>
      </c>
      <c r="E1828" s="99" t="s">
        <v>861</v>
      </c>
      <c r="F1828" s="20">
        <f t="shared" si="28"/>
        <v>188415729</v>
      </c>
      <c r="G1828" s="7" t="s">
        <v>330</v>
      </c>
      <c r="H1828" s="24" t="s">
        <v>109</v>
      </c>
      <c r="I1828" s="32" t="s">
        <v>152</v>
      </c>
      <c r="K1828" s="181"/>
      <c r="L1828" s="181"/>
    </row>
    <row r="1829" spans="1:12" x14ac:dyDescent="0.35">
      <c r="A1829" s="19">
        <v>45922</v>
      </c>
      <c r="B1829" s="20"/>
      <c r="C1829" s="20"/>
      <c r="D1829" s="20">
        <v>20000</v>
      </c>
      <c r="E1829" s="99" t="s">
        <v>861</v>
      </c>
      <c r="F1829" s="20">
        <f t="shared" si="28"/>
        <v>188435729</v>
      </c>
      <c r="G1829" s="7" t="s">
        <v>330</v>
      </c>
      <c r="H1829" s="24" t="s">
        <v>109</v>
      </c>
      <c r="I1829" s="32" t="s">
        <v>152</v>
      </c>
      <c r="K1829" s="181"/>
      <c r="L1829" s="181"/>
    </row>
    <row r="1830" spans="1:12" x14ac:dyDescent="0.35">
      <c r="A1830" s="19">
        <v>45923</v>
      </c>
      <c r="B1830" s="20"/>
      <c r="C1830" s="20"/>
      <c r="D1830" s="20">
        <v>20000</v>
      </c>
      <c r="E1830" s="99" t="s">
        <v>861</v>
      </c>
      <c r="F1830" s="20">
        <f t="shared" si="28"/>
        <v>188455729</v>
      </c>
      <c r="G1830" s="7" t="s">
        <v>330</v>
      </c>
      <c r="H1830" s="24" t="s">
        <v>109</v>
      </c>
      <c r="I1830" s="32" t="s">
        <v>152</v>
      </c>
      <c r="K1830" s="181"/>
      <c r="L1830" s="181"/>
    </row>
    <row r="1831" spans="1:12" x14ac:dyDescent="0.35">
      <c r="A1831" s="19">
        <v>45923</v>
      </c>
      <c r="B1831" s="20"/>
      <c r="C1831" s="20"/>
      <c r="D1831" s="20">
        <v>2992000</v>
      </c>
      <c r="E1831" s="99" t="s">
        <v>861</v>
      </c>
      <c r="F1831" s="20">
        <f t="shared" si="28"/>
        <v>191447729</v>
      </c>
      <c r="G1831" s="7"/>
      <c r="H1831" s="24" t="s">
        <v>107</v>
      </c>
      <c r="I1831" s="32" t="s">
        <v>152</v>
      </c>
      <c r="K1831" s="181"/>
      <c r="L1831" s="181"/>
    </row>
    <row r="1832" spans="1:12" x14ac:dyDescent="0.35">
      <c r="A1832" s="19">
        <v>45923</v>
      </c>
      <c r="B1832" s="20"/>
      <c r="C1832" s="20"/>
      <c r="D1832" s="20">
        <v>818000</v>
      </c>
      <c r="E1832" s="99" t="s">
        <v>861</v>
      </c>
      <c r="F1832" s="20">
        <f t="shared" si="28"/>
        <v>192265729</v>
      </c>
      <c r="G1832" s="7"/>
      <c r="H1832" s="24" t="s">
        <v>109</v>
      </c>
      <c r="I1832" s="32" t="s">
        <v>152</v>
      </c>
      <c r="K1832" s="181"/>
      <c r="L1832" s="181"/>
    </row>
    <row r="1833" spans="1:12" x14ac:dyDescent="0.35">
      <c r="A1833" s="19"/>
      <c r="B1833" s="20"/>
      <c r="C1833" s="20">
        <v>3810000</v>
      </c>
      <c r="D1833" s="20"/>
      <c r="E1833" s="99"/>
      <c r="F1833" s="20">
        <f t="shared" si="28"/>
        <v>192265729</v>
      </c>
      <c r="G1833" s="7" t="s">
        <v>838</v>
      </c>
      <c r="H1833" s="24"/>
      <c r="I1833" s="32"/>
      <c r="K1833" s="181"/>
      <c r="L1833" s="181"/>
    </row>
    <row r="1834" spans="1:12" x14ac:dyDescent="0.35">
      <c r="A1834" s="19">
        <v>45924</v>
      </c>
      <c r="B1834" s="20"/>
      <c r="C1834" s="20"/>
      <c r="D1834" s="20">
        <v>20000</v>
      </c>
      <c r="E1834" s="99" t="s">
        <v>861</v>
      </c>
      <c r="F1834" s="20">
        <f t="shared" si="28"/>
        <v>192285729</v>
      </c>
      <c r="G1834" s="7" t="s">
        <v>330</v>
      </c>
      <c r="H1834" s="24" t="s">
        <v>109</v>
      </c>
      <c r="I1834" s="32" t="s">
        <v>152</v>
      </c>
      <c r="K1834" s="181"/>
      <c r="L1834" s="181"/>
    </row>
    <row r="1835" spans="1:12" x14ac:dyDescent="0.35">
      <c r="A1835" s="19">
        <v>45925</v>
      </c>
      <c r="B1835" s="20"/>
      <c r="C1835" s="20"/>
      <c r="D1835" s="20">
        <v>200000</v>
      </c>
      <c r="E1835" s="99" t="s">
        <v>861</v>
      </c>
      <c r="F1835" s="20">
        <f t="shared" si="28"/>
        <v>192485729</v>
      </c>
      <c r="G1835" s="7" t="s">
        <v>839</v>
      </c>
      <c r="H1835" s="24" t="s">
        <v>140</v>
      </c>
      <c r="I1835" s="32" t="s">
        <v>152</v>
      </c>
      <c r="K1835" s="181"/>
      <c r="L1835" s="181"/>
    </row>
    <row r="1836" spans="1:12" x14ac:dyDescent="0.35">
      <c r="A1836" s="19">
        <v>45925</v>
      </c>
      <c r="B1836" s="20"/>
      <c r="C1836" s="20"/>
      <c r="D1836" s="20">
        <v>20000</v>
      </c>
      <c r="E1836" s="99" t="s">
        <v>861</v>
      </c>
      <c r="F1836" s="20">
        <f t="shared" si="28"/>
        <v>192505729</v>
      </c>
      <c r="G1836" s="7" t="s">
        <v>330</v>
      </c>
      <c r="H1836" s="24" t="s">
        <v>109</v>
      </c>
      <c r="I1836" s="32" t="s">
        <v>152</v>
      </c>
      <c r="K1836" s="181"/>
      <c r="L1836" s="181"/>
    </row>
    <row r="1837" spans="1:12" x14ac:dyDescent="0.35">
      <c r="A1837" s="19">
        <v>45925</v>
      </c>
      <c r="B1837" s="20"/>
      <c r="C1837" s="20"/>
      <c r="D1837" s="20">
        <v>1000000</v>
      </c>
      <c r="E1837" s="99" t="s">
        <v>861</v>
      </c>
      <c r="F1837" s="20">
        <f t="shared" si="28"/>
        <v>193505729</v>
      </c>
      <c r="G1837" s="7" t="s">
        <v>609</v>
      </c>
      <c r="H1837" s="24" t="s">
        <v>109</v>
      </c>
      <c r="I1837" s="32" t="s">
        <v>152</v>
      </c>
      <c r="K1837" s="181"/>
      <c r="L1837" s="181"/>
    </row>
    <row r="1838" spans="1:12" x14ac:dyDescent="0.35">
      <c r="A1838" s="19">
        <v>45926</v>
      </c>
      <c r="B1838" s="20"/>
      <c r="C1838" s="20"/>
      <c r="D1838" s="20">
        <v>100000</v>
      </c>
      <c r="E1838" s="99" t="s">
        <v>861</v>
      </c>
      <c r="F1838" s="20">
        <f t="shared" si="28"/>
        <v>193605729</v>
      </c>
      <c r="G1838" s="7" t="s">
        <v>424</v>
      </c>
      <c r="H1838" s="24" t="s">
        <v>109</v>
      </c>
      <c r="I1838" s="32" t="s">
        <v>152</v>
      </c>
      <c r="K1838" s="181"/>
      <c r="L1838" s="181"/>
    </row>
    <row r="1839" spans="1:12" x14ac:dyDescent="0.35">
      <c r="A1839" s="19">
        <v>45926</v>
      </c>
      <c r="B1839" s="20"/>
      <c r="C1839" s="20"/>
      <c r="D1839" s="20">
        <v>1000000</v>
      </c>
      <c r="E1839" s="99" t="s">
        <v>861</v>
      </c>
      <c r="F1839" s="20">
        <f t="shared" si="28"/>
        <v>194605729</v>
      </c>
      <c r="G1839" s="7" t="s">
        <v>561</v>
      </c>
      <c r="H1839" s="24" t="s">
        <v>109</v>
      </c>
      <c r="I1839" s="32" t="s">
        <v>152</v>
      </c>
      <c r="K1839" s="181"/>
      <c r="L1839" s="181"/>
    </row>
    <row r="1840" spans="1:12" x14ac:dyDescent="0.35">
      <c r="A1840" s="19">
        <v>45926</v>
      </c>
      <c r="B1840" s="20"/>
      <c r="C1840" s="20"/>
      <c r="D1840" s="20">
        <v>20000</v>
      </c>
      <c r="E1840" s="99" t="s">
        <v>861</v>
      </c>
      <c r="F1840" s="20">
        <f t="shared" si="28"/>
        <v>194625729</v>
      </c>
      <c r="G1840" s="7" t="s">
        <v>330</v>
      </c>
      <c r="H1840" s="24" t="s">
        <v>109</v>
      </c>
      <c r="I1840" s="32" t="s">
        <v>152</v>
      </c>
      <c r="K1840" s="181"/>
      <c r="L1840" s="181"/>
    </row>
    <row r="1841" spans="1:12" x14ac:dyDescent="0.35">
      <c r="A1841" s="19">
        <v>45926</v>
      </c>
      <c r="B1841" s="20"/>
      <c r="C1841" s="20"/>
      <c r="D1841" s="20">
        <v>1011</v>
      </c>
      <c r="E1841" s="99" t="s">
        <v>861</v>
      </c>
      <c r="F1841" s="20">
        <f t="shared" si="28"/>
        <v>194626740</v>
      </c>
      <c r="G1841" s="7" t="s">
        <v>330</v>
      </c>
      <c r="H1841" s="24" t="s">
        <v>109</v>
      </c>
      <c r="I1841" s="32" t="s">
        <v>152</v>
      </c>
      <c r="K1841" s="181"/>
      <c r="L1841" s="181"/>
    </row>
    <row r="1842" spans="1:12" x14ac:dyDescent="0.35">
      <c r="A1842" s="19">
        <v>45926</v>
      </c>
      <c r="B1842" s="20"/>
      <c r="C1842" s="20"/>
      <c r="D1842" s="20">
        <v>5000000</v>
      </c>
      <c r="E1842" s="99" t="s">
        <v>861</v>
      </c>
      <c r="F1842" s="20">
        <f t="shared" si="28"/>
        <v>199626740</v>
      </c>
      <c r="G1842" s="7"/>
      <c r="H1842" s="24" t="s">
        <v>105</v>
      </c>
      <c r="I1842" s="32" t="s">
        <v>152</v>
      </c>
      <c r="K1842" s="181"/>
      <c r="L1842" s="181"/>
    </row>
    <row r="1843" spans="1:12" x14ac:dyDescent="0.35">
      <c r="A1843" s="19">
        <v>45926</v>
      </c>
      <c r="B1843" s="20"/>
      <c r="C1843" s="20"/>
      <c r="D1843" s="20">
        <v>5000000</v>
      </c>
      <c r="E1843" s="99" t="s">
        <v>861</v>
      </c>
      <c r="F1843" s="20">
        <f t="shared" si="28"/>
        <v>204626740</v>
      </c>
      <c r="G1843" s="7"/>
      <c r="H1843" s="24" t="s">
        <v>109</v>
      </c>
      <c r="I1843" s="32" t="s">
        <v>152</v>
      </c>
      <c r="K1843" s="181"/>
      <c r="L1843" s="181"/>
    </row>
    <row r="1844" spans="1:12" x14ac:dyDescent="0.35">
      <c r="A1844" s="19"/>
      <c r="B1844" s="20"/>
      <c r="C1844" s="20">
        <v>10000000</v>
      </c>
      <c r="D1844" s="20"/>
      <c r="E1844" s="99"/>
      <c r="F1844" s="20">
        <f t="shared" si="28"/>
        <v>204626740</v>
      </c>
      <c r="G1844" s="7" t="s">
        <v>855</v>
      </c>
      <c r="H1844" s="24"/>
      <c r="I1844" s="32"/>
      <c r="K1844" s="181"/>
      <c r="L1844" s="181"/>
    </row>
    <row r="1845" spans="1:12" x14ac:dyDescent="0.35">
      <c r="A1845" s="19">
        <v>45926</v>
      </c>
      <c r="B1845" s="20">
        <v>750000</v>
      </c>
      <c r="C1845" s="20"/>
      <c r="D1845" s="20"/>
      <c r="E1845" s="99" t="s">
        <v>861</v>
      </c>
      <c r="F1845" s="20">
        <f t="shared" si="28"/>
        <v>203876740</v>
      </c>
      <c r="G1845" s="7" t="s">
        <v>856</v>
      </c>
      <c r="H1845" s="24" t="s">
        <v>203</v>
      </c>
      <c r="I1845" s="32" t="s">
        <v>152</v>
      </c>
      <c r="K1845" s="181"/>
      <c r="L1845" s="181"/>
    </row>
    <row r="1846" spans="1:12" x14ac:dyDescent="0.35">
      <c r="A1846" s="19">
        <v>45926</v>
      </c>
      <c r="B1846" s="20">
        <v>6500</v>
      </c>
      <c r="C1846" s="20"/>
      <c r="D1846" s="20"/>
      <c r="E1846" s="99" t="s">
        <v>861</v>
      </c>
      <c r="F1846" s="20">
        <f t="shared" si="28"/>
        <v>203870240</v>
      </c>
      <c r="G1846" s="7" t="s">
        <v>856</v>
      </c>
      <c r="H1846" s="24" t="s">
        <v>203</v>
      </c>
      <c r="I1846" s="32" t="s">
        <v>152</v>
      </c>
      <c r="K1846" s="181"/>
      <c r="L1846" s="181"/>
    </row>
    <row r="1847" spans="1:12" x14ac:dyDescent="0.35">
      <c r="A1847" s="19">
        <v>45927</v>
      </c>
      <c r="B1847" s="20">
        <v>750000</v>
      </c>
      <c r="C1847" s="20"/>
      <c r="D1847" s="20"/>
      <c r="E1847" s="99" t="s">
        <v>861</v>
      </c>
      <c r="F1847" s="20">
        <f t="shared" si="28"/>
        <v>203120240</v>
      </c>
      <c r="G1847" s="7" t="s">
        <v>842</v>
      </c>
      <c r="H1847" s="24" t="s">
        <v>323</v>
      </c>
      <c r="I1847" s="32" t="s">
        <v>152</v>
      </c>
      <c r="K1847" s="181"/>
      <c r="L1847" s="181"/>
    </row>
    <row r="1848" spans="1:12" x14ac:dyDescent="0.35">
      <c r="A1848" s="19">
        <v>45927</v>
      </c>
      <c r="B1848" s="20">
        <v>6500</v>
      </c>
      <c r="C1848" s="20"/>
      <c r="D1848" s="20"/>
      <c r="E1848" s="99" t="s">
        <v>861</v>
      </c>
      <c r="F1848" s="20">
        <f t="shared" si="28"/>
        <v>203113740</v>
      </c>
      <c r="G1848" s="7" t="s">
        <v>842</v>
      </c>
      <c r="H1848" s="24" t="s">
        <v>323</v>
      </c>
      <c r="I1848" s="32" t="s">
        <v>152</v>
      </c>
      <c r="K1848" s="181"/>
      <c r="L1848" s="181"/>
    </row>
    <row r="1849" spans="1:12" x14ac:dyDescent="0.35">
      <c r="A1849" s="19">
        <v>45927</v>
      </c>
      <c r="B1849" s="20"/>
      <c r="C1849" s="20"/>
      <c r="D1849" s="20">
        <v>50000</v>
      </c>
      <c r="E1849" s="99" t="s">
        <v>861</v>
      </c>
      <c r="F1849" s="20">
        <f t="shared" si="28"/>
        <v>203163740</v>
      </c>
      <c r="G1849" s="7" t="s">
        <v>330</v>
      </c>
      <c r="H1849" s="24" t="s">
        <v>109</v>
      </c>
      <c r="I1849" s="32" t="s">
        <v>152</v>
      </c>
      <c r="K1849" s="181"/>
      <c r="L1849" s="181"/>
    </row>
    <row r="1850" spans="1:12" x14ac:dyDescent="0.35">
      <c r="A1850" s="19">
        <v>45927</v>
      </c>
      <c r="B1850" s="20"/>
      <c r="C1850" s="20"/>
      <c r="D1850" s="20">
        <v>100000</v>
      </c>
      <c r="E1850" s="99" t="s">
        <v>861</v>
      </c>
      <c r="F1850" s="20">
        <f t="shared" si="28"/>
        <v>203263740</v>
      </c>
      <c r="G1850" s="7" t="s">
        <v>330</v>
      </c>
      <c r="H1850" s="24" t="s">
        <v>109</v>
      </c>
      <c r="I1850" s="32" t="s">
        <v>152</v>
      </c>
      <c r="K1850" s="181"/>
      <c r="L1850" s="181"/>
    </row>
    <row r="1851" spans="1:12" x14ac:dyDescent="0.35">
      <c r="A1851" s="19">
        <v>45927</v>
      </c>
      <c r="B1851" s="20"/>
      <c r="C1851" s="20"/>
      <c r="D1851" s="20">
        <v>5000</v>
      </c>
      <c r="E1851" s="99" t="s">
        <v>861</v>
      </c>
      <c r="F1851" s="20">
        <f t="shared" si="28"/>
        <v>203268740</v>
      </c>
      <c r="G1851" s="7" t="s">
        <v>330</v>
      </c>
      <c r="H1851" s="24" t="s">
        <v>109</v>
      </c>
      <c r="I1851" s="32" t="s">
        <v>152</v>
      </c>
      <c r="K1851" s="181"/>
      <c r="L1851" s="181"/>
    </row>
    <row r="1852" spans="1:12" x14ac:dyDescent="0.35">
      <c r="A1852" s="19">
        <v>45927</v>
      </c>
      <c r="B1852" s="20"/>
      <c r="C1852" s="20"/>
      <c r="D1852" s="20">
        <v>4000</v>
      </c>
      <c r="E1852" s="99" t="s">
        <v>861</v>
      </c>
      <c r="F1852" s="20">
        <f t="shared" si="28"/>
        <v>203272740</v>
      </c>
      <c r="G1852" s="7" t="s">
        <v>330</v>
      </c>
      <c r="H1852" s="24" t="s">
        <v>109</v>
      </c>
      <c r="I1852" s="32" t="s">
        <v>152</v>
      </c>
      <c r="K1852" s="181"/>
      <c r="L1852" s="181"/>
    </row>
    <row r="1853" spans="1:12" x14ac:dyDescent="0.35">
      <c r="A1853" s="19">
        <v>45927</v>
      </c>
      <c r="B1853" s="20"/>
      <c r="C1853" s="20"/>
      <c r="D1853" s="20">
        <v>100000</v>
      </c>
      <c r="E1853" s="99" t="s">
        <v>861</v>
      </c>
      <c r="F1853" s="20">
        <f t="shared" si="28"/>
        <v>203372740</v>
      </c>
      <c r="G1853" s="7" t="s">
        <v>330</v>
      </c>
      <c r="H1853" s="24" t="s">
        <v>109</v>
      </c>
      <c r="I1853" s="32" t="s">
        <v>152</v>
      </c>
      <c r="K1853" s="181"/>
      <c r="L1853" s="181"/>
    </row>
    <row r="1854" spans="1:12" x14ac:dyDescent="0.35">
      <c r="A1854" s="19">
        <v>45927</v>
      </c>
      <c r="B1854" s="20"/>
      <c r="C1854" s="20"/>
      <c r="D1854" s="20">
        <v>20000</v>
      </c>
      <c r="E1854" s="99" t="s">
        <v>861</v>
      </c>
      <c r="F1854" s="20">
        <f t="shared" si="28"/>
        <v>203392740</v>
      </c>
      <c r="G1854" s="7" t="s">
        <v>330</v>
      </c>
      <c r="H1854" s="24" t="s">
        <v>109</v>
      </c>
      <c r="I1854" s="32" t="s">
        <v>152</v>
      </c>
      <c r="K1854" s="181"/>
      <c r="L1854" s="181"/>
    </row>
    <row r="1855" spans="1:12" x14ac:dyDescent="0.35">
      <c r="A1855" s="19">
        <v>45927</v>
      </c>
      <c r="B1855" s="20"/>
      <c r="C1855" s="20"/>
      <c r="D1855" s="20">
        <v>20000</v>
      </c>
      <c r="E1855" s="99" t="s">
        <v>861</v>
      </c>
      <c r="F1855" s="20">
        <f t="shared" si="28"/>
        <v>203412740</v>
      </c>
      <c r="G1855" s="7" t="s">
        <v>330</v>
      </c>
      <c r="H1855" s="24" t="s">
        <v>109</v>
      </c>
      <c r="I1855" s="32" t="s">
        <v>152</v>
      </c>
      <c r="K1855" s="181"/>
      <c r="L1855" s="181"/>
    </row>
    <row r="1856" spans="1:12" x14ac:dyDescent="0.35">
      <c r="A1856" s="19">
        <v>45927</v>
      </c>
      <c r="B1856" s="20"/>
      <c r="C1856" s="20"/>
      <c r="D1856" s="20">
        <v>20000</v>
      </c>
      <c r="E1856" s="99" t="s">
        <v>861</v>
      </c>
      <c r="F1856" s="20">
        <f t="shared" si="28"/>
        <v>203432740</v>
      </c>
      <c r="G1856" s="7" t="s">
        <v>330</v>
      </c>
      <c r="H1856" s="24" t="s">
        <v>109</v>
      </c>
      <c r="I1856" s="32" t="s">
        <v>152</v>
      </c>
      <c r="K1856" s="181"/>
      <c r="L1856" s="181"/>
    </row>
    <row r="1857" spans="1:12" x14ac:dyDescent="0.35">
      <c r="A1857" s="19">
        <v>45927</v>
      </c>
      <c r="B1857" s="20">
        <v>1000000</v>
      </c>
      <c r="C1857" s="20"/>
      <c r="D1857" s="20"/>
      <c r="E1857" s="99" t="s">
        <v>861</v>
      </c>
      <c r="F1857" s="20">
        <f t="shared" si="28"/>
        <v>202432740</v>
      </c>
      <c r="G1857" s="7" t="s">
        <v>843</v>
      </c>
      <c r="H1857" s="24" t="s">
        <v>325</v>
      </c>
      <c r="I1857" s="32" t="s">
        <v>152</v>
      </c>
      <c r="K1857" s="181"/>
      <c r="L1857" s="181"/>
    </row>
    <row r="1858" spans="1:12" x14ac:dyDescent="0.35">
      <c r="A1858" s="19">
        <v>45927</v>
      </c>
      <c r="B1858" s="20">
        <v>6500</v>
      </c>
      <c r="C1858" s="20"/>
      <c r="D1858" s="20"/>
      <c r="E1858" s="99" t="s">
        <v>861</v>
      </c>
      <c r="F1858" s="20">
        <f t="shared" si="28"/>
        <v>202426240</v>
      </c>
      <c r="G1858" s="7" t="s">
        <v>843</v>
      </c>
      <c r="H1858" s="24" t="s">
        <v>325</v>
      </c>
      <c r="I1858" s="32" t="s">
        <v>152</v>
      </c>
      <c r="K1858" s="181"/>
      <c r="L1858" s="181"/>
    </row>
    <row r="1859" spans="1:12" x14ac:dyDescent="0.35">
      <c r="A1859" s="19">
        <v>45927</v>
      </c>
      <c r="B1859" s="20">
        <v>2000000</v>
      </c>
      <c r="C1859" s="20"/>
      <c r="D1859" s="20"/>
      <c r="E1859" s="99" t="s">
        <v>861</v>
      </c>
      <c r="F1859" s="20">
        <f t="shared" si="28"/>
        <v>200426240</v>
      </c>
      <c r="G1859" s="7" t="s">
        <v>844</v>
      </c>
      <c r="H1859" s="24" t="s">
        <v>323</v>
      </c>
      <c r="I1859" s="32" t="s">
        <v>152</v>
      </c>
      <c r="K1859" s="181"/>
      <c r="L1859" s="181"/>
    </row>
    <row r="1860" spans="1:12" x14ac:dyDescent="0.35">
      <c r="A1860" s="19">
        <v>45927</v>
      </c>
      <c r="B1860" s="20">
        <v>6500</v>
      </c>
      <c r="C1860" s="20"/>
      <c r="D1860" s="20"/>
      <c r="E1860" s="99" t="s">
        <v>861</v>
      </c>
      <c r="F1860" s="20">
        <f t="shared" si="28"/>
        <v>200419740</v>
      </c>
      <c r="G1860" s="7" t="s">
        <v>844</v>
      </c>
      <c r="H1860" s="24" t="s">
        <v>323</v>
      </c>
      <c r="I1860" s="32" t="s">
        <v>152</v>
      </c>
      <c r="K1860" s="181"/>
      <c r="L1860" s="181"/>
    </row>
    <row r="1861" spans="1:12" x14ac:dyDescent="0.35">
      <c r="A1861" s="19">
        <v>45927</v>
      </c>
      <c r="B1861" s="20">
        <v>550000</v>
      </c>
      <c r="C1861" s="20"/>
      <c r="D1861" s="20"/>
      <c r="E1861" s="99" t="s">
        <v>861</v>
      </c>
      <c r="F1861" s="20">
        <f t="shared" si="28"/>
        <v>199869740</v>
      </c>
      <c r="G1861" s="7" t="s">
        <v>845</v>
      </c>
      <c r="H1861" s="24" t="s">
        <v>325</v>
      </c>
      <c r="I1861" s="32" t="s">
        <v>152</v>
      </c>
      <c r="K1861" s="181"/>
      <c r="L1861" s="181"/>
    </row>
    <row r="1862" spans="1:12" x14ac:dyDescent="0.35">
      <c r="A1862" s="19">
        <v>45927</v>
      </c>
      <c r="B1862" s="20">
        <v>6500</v>
      </c>
      <c r="C1862" s="20"/>
      <c r="D1862" s="20"/>
      <c r="E1862" s="99" t="s">
        <v>861</v>
      </c>
      <c r="F1862" s="20">
        <f t="shared" si="28"/>
        <v>199863240</v>
      </c>
      <c r="G1862" s="7" t="s">
        <v>845</v>
      </c>
      <c r="H1862" s="24" t="s">
        <v>325</v>
      </c>
      <c r="I1862" s="32" t="s">
        <v>152</v>
      </c>
      <c r="K1862" s="181"/>
      <c r="L1862" s="181"/>
    </row>
    <row r="1863" spans="1:12" x14ac:dyDescent="0.35">
      <c r="A1863" s="19">
        <v>45927</v>
      </c>
      <c r="B1863" s="20">
        <v>2700000</v>
      </c>
      <c r="C1863" s="20"/>
      <c r="D1863" s="20"/>
      <c r="E1863" s="99" t="s">
        <v>861</v>
      </c>
      <c r="F1863" s="20">
        <f t="shared" si="28"/>
        <v>197163240</v>
      </c>
      <c r="G1863" s="7" t="s">
        <v>846</v>
      </c>
      <c r="H1863" s="24" t="s">
        <v>201</v>
      </c>
      <c r="I1863" s="32" t="s">
        <v>152</v>
      </c>
      <c r="K1863" s="181"/>
      <c r="L1863" s="181"/>
    </row>
    <row r="1864" spans="1:12" x14ac:dyDescent="0.35">
      <c r="A1864" s="19">
        <v>45927</v>
      </c>
      <c r="B1864" s="20">
        <v>6500</v>
      </c>
      <c r="C1864" s="20"/>
      <c r="D1864" s="20"/>
      <c r="E1864" s="99" t="s">
        <v>861</v>
      </c>
      <c r="F1864" s="20">
        <f t="shared" si="28"/>
        <v>197156740</v>
      </c>
      <c r="G1864" s="7" t="s">
        <v>846</v>
      </c>
      <c r="H1864" s="24" t="s">
        <v>201</v>
      </c>
      <c r="I1864" s="32" t="s">
        <v>152</v>
      </c>
      <c r="K1864" s="181"/>
      <c r="L1864" s="181"/>
    </row>
    <row r="1865" spans="1:12" x14ac:dyDescent="0.35">
      <c r="A1865" s="19">
        <v>45927</v>
      </c>
      <c r="B1865" s="20">
        <v>2250000</v>
      </c>
      <c r="C1865" s="20"/>
      <c r="D1865" s="20"/>
      <c r="E1865" s="99" t="s">
        <v>861</v>
      </c>
      <c r="F1865" s="20">
        <f t="shared" si="28"/>
        <v>194906740</v>
      </c>
      <c r="G1865" s="7" t="s">
        <v>847</v>
      </c>
      <c r="H1865" s="24" t="s">
        <v>325</v>
      </c>
      <c r="I1865" s="32" t="s">
        <v>152</v>
      </c>
      <c r="K1865" s="181"/>
      <c r="L1865" s="181"/>
    </row>
    <row r="1866" spans="1:12" x14ac:dyDescent="0.35">
      <c r="A1866" s="19">
        <v>45927</v>
      </c>
      <c r="B1866" s="20">
        <v>6500</v>
      </c>
      <c r="C1866" s="20"/>
      <c r="D1866" s="20"/>
      <c r="E1866" s="99" t="s">
        <v>861</v>
      </c>
      <c r="F1866" s="20">
        <f t="shared" ref="F1866:F1886" si="29">+F1865+D1866-B1866</f>
        <v>194900240</v>
      </c>
      <c r="G1866" s="7" t="s">
        <v>847</v>
      </c>
      <c r="H1866" s="24" t="s">
        <v>325</v>
      </c>
      <c r="I1866" s="32" t="s">
        <v>152</v>
      </c>
      <c r="K1866" s="181"/>
      <c r="L1866" s="181"/>
    </row>
    <row r="1867" spans="1:12" x14ac:dyDescent="0.35">
      <c r="A1867" s="19">
        <v>45927</v>
      </c>
      <c r="B1867" s="20">
        <v>4000000</v>
      </c>
      <c r="C1867" s="20"/>
      <c r="D1867" s="20"/>
      <c r="E1867" s="99" t="s">
        <v>861</v>
      </c>
      <c r="F1867" s="20">
        <f t="shared" si="29"/>
        <v>190900240</v>
      </c>
      <c r="G1867" s="7" t="s">
        <v>848</v>
      </c>
      <c r="H1867" s="24" t="s">
        <v>201</v>
      </c>
      <c r="I1867" s="32" t="s">
        <v>152</v>
      </c>
      <c r="K1867" s="181"/>
      <c r="L1867" s="181"/>
    </row>
    <row r="1868" spans="1:12" x14ac:dyDescent="0.35">
      <c r="A1868" s="19">
        <v>45927</v>
      </c>
      <c r="B1868" s="20">
        <v>6500</v>
      </c>
      <c r="C1868" s="20"/>
      <c r="D1868" s="20"/>
      <c r="E1868" s="99" t="s">
        <v>861</v>
      </c>
      <c r="F1868" s="20">
        <f t="shared" si="29"/>
        <v>190893740</v>
      </c>
      <c r="G1868" s="7" t="s">
        <v>848</v>
      </c>
      <c r="H1868" s="24" t="s">
        <v>201</v>
      </c>
      <c r="I1868" s="32" t="s">
        <v>152</v>
      </c>
      <c r="K1868" s="181"/>
      <c r="L1868" s="181"/>
    </row>
    <row r="1869" spans="1:12" x14ac:dyDescent="0.35">
      <c r="A1869" s="19">
        <v>45927</v>
      </c>
      <c r="B1869" s="20">
        <v>2500000</v>
      </c>
      <c r="C1869" s="20"/>
      <c r="D1869" s="20"/>
      <c r="E1869" s="99" t="s">
        <v>861</v>
      </c>
      <c r="F1869" s="20">
        <f t="shared" si="29"/>
        <v>188393740</v>
      </c>
      <c r="G1869" s="7" t="s">
        <v>849</v>
      </c>
      <c r="H1869" s="24" t="s">
        <v>325</v>
      </c>
      <c r="I1869" s="32" t="s">
        <v>152</v>
      </c>
      <c r="K1869" s="181"/>
      <c r="L1869" s="181"/>
    </row>
    <row r="1870" spans="1:12" x14ac:dyDescent="0.35">
      <c r="A1870" s="19">
        <v>45927</v>
      </c>
      <c r="B1870" s="20">
        <v>6500</v>
      </c>
      <c r="C1870" s="20"/>
      <c r="D1870" s="20"/>
      <c r="E1870" s="99" t="s">
        <v>861</v>
      </c>
      <c r="F1870" s="20">
        <f t="shared" si="29"/>
        <v>188387240</v>
      </c>
      <c r="G1870" s="7" t="s">
        <v>849</v>
      </c>
      <c r="H1870" s="24" t="s">
        <v>325</v>
      </c>
      <c r="I1870" s="32" t="s">
        <v>152</v>
      </c>
      <c r="K1870" s="181"/>
      <c r="L1870" s="181"/>
    </row>
    <row r="1871" spans="1:12" x14ac:dyDescent="0.35">
      <c r="A1871" s="19">
        <v>45927</v>
      </c>
      <c r="B1871" s="20">
        <v>3500000</v>
      </c>
      <c r="C1871" s="20"/>
      <c r="D1871" s="20"/>
      <c r="E1871" s="99" t="s">
        <v>861</v>
      </c>
      <c r="F1871" s="20">
        <f t="shared" si="29"/>
        <v>184887240</v>
      </c>
      <c r="G1871" s="7" t="s">
        <v>850</v>
      </c>
      <c r="H1871" s="24" t="s">
        <v>325</v>
      </c>
      <c r="I1871" s="32" t="s">
        <v>152</v>
      </c>
      <c r="K1871" s="181"/>
      <c r="L1871" s="181"/>
    </row>
    <row r="1872" spans="1:12" x14ac:dyDescent="0.35">
      <c r="A1872" s="19">
        <v>45927</v>
      </c>
      <c r="B1872" s="20">
        <v>6500</v>
      </c>
      <c r="C1872" s="20"/>
      <c r="D1872" s="20"/>
      <c r="E1872" s="99" t="s">
        <v>861</v>
      </c>
      <c r="F1872" s="20">
        <f t="shared" si="29"/>
        <v>184880740</v>
      </c>
      <c r="G1872" s="7" t="s">
        <v>850</v>
      </c>
      <c r="H1872" s="24" t="s">
        <v>325</v>
      </c>
      <c r="I1872" s="32" t="s">
        <v>152</v>
      </c>
      <c r="K1872" s="181"/>
      <c r="L1872" s="181"/>
    </row>
    <row r="1873" spans="1:12" x14ac:dyDescent="0.35">
      <c r="A1873" s="19">
        <v>45929</v>
      </c>
      <c r="B1873" s="20">
        <v>2750000</v>
      </c>
      <c r="C1873" s="20"/>
      <c r="D1873" s="20"/>
      <c r="E1873" s="99" t="s">
        <v>861</v>
      </c>
      <c r="F1873" s="20">
        <f t="shared" si="29"/>
        <v>182130740</v>
      </c>
      <c r="G1873" s="7" t="s">
        <v>851</v>
      </c>
      <c r="H1873" s="24" t="s">
        <v>325</v>
      </c>
      <c r="I1873" s="32" t="s">
        <v>152</v>
      </c>
      <c r="K1873" s="181"/>
      <c r="L1873" s="181"/>
    </row>
    <row r="1874" spans="1:12" x14ac:dyDescent="0.35">
      <c r="A1874" s="19">
        <v>45928</v>
      </c>
      <c r="B1874" s="20">
        <v>1000000</v>
      </c>
      <c r="C1874" s="20"/>
      <c r="D1874" s="20"/>
      <c r="E1874" s="99" t="s">
        <v>861</v>
      </c>
      <c r="F1874" s="20">
        <f t="shared" si="29"/>
        <v>181130740</v>
      </c>
      <c r="G1874" s="7" t="s">
        <v>852</v>
      </c>
      <c r="H1874" s="24" t="s">
        <v>323</v>
      </c>
      <c r="I1874" s="32" t="s">
        <v>152</v>
      </c>
      <c r="K1874" s="181"/>
      <c r="L1874" s="181"/>
    </row>
    <row r="1875" spans="1:12" x14ac:dyDescent="0.35">
      <c r="A1875" s="19">
        <v>45928</v>
      </c>
      <c r="B1875" s="20">
        <v>6500</v>
      </c>
      <c r="C1875" s="20"/>
      <c r="D1875" s="20"/>
      <c r="E1875" s="99" t="s">
        <v>861</v>
      </c>
      <c r="F1875" s="20">
        <f t="shared" si="29"/>
        <v>181124240</v>
      </c>
      <c r="G1875" s="7" t="s">
        <v>852</v>
      </c>
      <c r="H1875" s="24" t="s">
        <v>323</v>
      </c>
      <c r="I1875" s="32" t="s">
        <v>152</v>
      </c>
      <c r="K1875" s="181"/>
      <c r="L1875" s="181"/>
    </row>
    <row r="1876" spans="1:12" x14ac:dyDescent="0.35">
      <c r="A1876" s="19">
        <v>45928</v>
      </c>
      <c r="B1876" s="20"/>
      <c r="C1876" s="20"/>
      <c r="D1876" s="20">
        <v>25000</v>
      </c>
      <c r="E1876" s="99" t="s">
        <v>861</v>
      </c>
      <c r="F1876" s="20">
        <f t="shared" si="29"/>
        <v>181149240</v>
      </c>
      <c r="G1876" s="7" t="s">
        <v>330</v>
      </c>
      <c r="H1876" s="24" t="s">
        <v>109</v>
      </c>
      <c r="I1876" s="32" t="s">
        <v>152</v>
      </c>
      <c r="K1876" s="181"/>
      <c r="L1876" s="181"/>
    </row>
    <row r="1877" spans="1:12" x14ac:dyDescent="0.35">
      <c r="A1877" s="19">
        <v>45929</v>
      </c>
      <c r="B1877" s="20"/>
      <c r="C1877" s="20"/>
      <c r="D1877" s="20">
        <v>20000</v>
      </c>
      <c r="E1877" s="99" t="s">
        <v>861</v>
      </c>
      <c r="F1877" s="20">
        <f t="shared" si="29"/>
        <v>181169240</v>
      </c>
      <c r="G1877" s="7" t="s">
        <v>330</v>
      </c>
      <c r="H1877" s="24" t="s">
        <v>109</v>
      </c>
      <c r="I1877" s="32" t="s">
        <v>152</v>
      </c>
      <c r="K1877" s="181"/>
      <c r="L1877" s="181"/>
    </row>
    <row r="1878" spans="1:12" x14ac:dyDescent="0.35">
      <c r="A1878" s="19">
        <v>45929</v>
      </c>
      <c r="B1878" s="20"/>
      <c r="C1878" s="20"/>
      <c r="D1878" s="20">
        <v>25000</v>
      </c>
      <c r="E1878" s="99" t="s">
        <v>861</v>
      </c>
      <c r="F1878" s="20">
        <f t="shared" si="29"/>
        <v>181194240</v>
      </c>
      <c r="G1878" s="7" t="s">
        <v>330</v>
      </c>
      <c r="H1878" s="24" t="s">
        <v>109</v>
      </c>
      <c r="I1878" s="32" t="s">
        <v>152</v>
      </c>
      <c r="K1878" s="181"/>
      <c r="L1878" s="181"/>
    </row>
    <row r="1879" spans="1:12" x14ac:dyDescent="0.35">
      <c r="A1879" s="19">
        <v>45929</v>
      </c>
      <c r="B1879" s="20"/>
      <c r="C1879" s="20"/>
      <c r="D1879" s="20">
        <v>10000</v>
      </c>
      <c r="E1879" s="99" t="s">
        <v>861</v>
      </c>
      <c r="F1879" s="20">
        <f t="shared" si="29"/>
        <v>181204240</v>
      </c>
      <c r="G1879" s="7" t="s">
        <v>330</v>
      </c>
      <c r="H1879" s="24" t="s">
        <v>109</v>
      </c>
      <c r="I1879" s="32" t="s">
        <v>152</v>
      </c>
      <c r="K1879" s="181"/>
      <c r="L1879" s="181"/>
    </row>
    <row r="1880" spans="1:12" x14ac:dyDescent="0.35">
      <c r="A1880" s="19">
        <v>45930</v>
      </c>
      <c r="B1880" s="20"/>
      <c r="C1880" s="20"/>
      <c r="D1880" s="20">
        <v>30000</v>
      </c>
      <c r="E1880" s="99" t="s">
        <v>861</v>
      </c>
      <c r="F1880" s="20">
        <f t="shared" si="29"/>
        <v>181234240</v>
      </c>
      <c r="G1880" s="7" t="s">
        <v>330</v>
      </c>
      <c r="H1880" s="24" t="s">
        <v>109</v>
      </c>
      <c r="I1880" s="32" t="s">
        <v>152</v>
      </c>
      <c r="K1880" s="181"/>
      <c r="L1880" s="181"/>
    </row>
    <row r="1881" spans="1:12" x14ac:dyDescent="0.35">
      <c r="A1881" s="19">
        <v>45930</v>
      </c>
      <c r="B1881" s="20"/>
      <c r="C1881" s="20"/>
      <c r="D1881" s="20">
        <v>1011</v>
      </c>
      <c r="E1881" s="99" t="s">
        <v>861</v>
      </c>
      <c r="F1881" s="20">
        <f t="shared" si="29"/>
        <v>181235251</v>
      </c>
      <c r="G1881" s="7" t="s">
        <v>330</v>
      </c>
      <c r="H1881" s="24" t="s">
        <v>109</v>
      </c>
      <c r="I1881" s="32" t="s">
        <v>152</v>
      </c>
      <c r="K1881" s="181"/>
      <c r="L1881" s="181"/>
    </row>
    <row r="1882" spans="1:12" x14ac:dyDescent="0.35">
      <c r="A1882" s="19">
        <v>45930</v>
      </c>
      <c r="B1882" s="20"/>
      <c r="C1882" s="20"/>
      <c r="D1882" s="20">
        <v>20000</v>
      </c>
      <c r="E1882" s="99" t="s">
        <v>861</v>
      </c>
      <c r="F1882" s="20">
        <f t="shared" si="29"/>
        <v>181255251</v>
      </c>
      <c r="G1882" s="7" t="s">
        <v>330</v>
      </c>
      <c r="H1882" s="24" t="s">
        <v>109</v>
      </c>
      <c r="I1882" s="32" t="s">
        <v>152</v>
      </c>
      <c r="K1882" s="181"/>
      <c r="L1882" s="181"/>
    </row>
    <row r="1883" spans="1:12" x14ac:dyDescent="0.35">
      <c r="A1883" s="19">
        <v>45930</v>
      </c>
      <c r="B1883" s="20"/>
      <c r="C1883" s="20"/>
      <c r="D1883" s="20">
        <f>3763000-950000</f>
        <v>2813000</v>
      </c>
      <c r="E1883" s="99" t="s">
        <v>861</v>
      </c>
      <c r="F1883" s="20">
        <f t="shared" si="29"/>
        <v>184068251</v>
      </c>
      <c r="G1883" s="7"/>
      <c r="H1883" s="24" t="s">
        <v>107</v>
      </c>
      <c r="I1883" s="32" t="s">
        <v>152</v>
      </c>
      <c r="K1883" s="181"/>
      <c r="L1883" s="181"/>
    </row>
    <row r="1884" spans="1:12" x14ac:dyDescent="0.35">
      <c r="A1884" s="19">
        <v>45930</v>
      </c>
      <c r="B1884" s="20"/>
      <c r="C1884" s="20"/>
      <c r="D1884" s="20">
        <v>757000</v>
      </c>
      <c r="E1884" s="99" t="s">
        <v>861</v>
      </c>
      <c r="F1884" s="20">
        <f t="shared" si="29"/>
        <v>184825251</v>
      </c>
      <c r="G1884" s="7"/>
      <c r="H1884" s="24" t="s">
        <v>109</v>
      </c>
      <c r="I1884" s="32" t="s">
        <v>152</v>
      </c>
      <c r="K1884" s="181"/>
      <c r="L1884" s="181"/>
    </row>
    <row r="1885" spans="1:12" x14ac:dyDescent="0.35">
      <c r="A1885" s="19"/>
      <c r="B1885" s="20"/>
      <c r="C1885" s="20">
        <v>3570000</v>
      </c>
      <c r="D1885" s="20"/>
      <c r="E1885" s="99"/>
      <c r="F1885" s="20">
        <f t="shared" si="29"/>
        <v>184825251</v>
      </c>
      <c r="G1885" s="7" t="s">
        <v>853</v>
      </c>
      <c r="H1885" s="24"/>
      <c r="I1885" s="32"/>
      <c r="K1885" s="181"/>
      <c r="L1885" s="181"/>
    </row>
    <row r="1886" spans="1:12" x14ac:dyDescent="0.35">
      <c r="A1886" s="19">
        <v>45930</v>
      </c>
      <c r="B1886" s="20"/>
      <c r="C1886" s="20"/>
      <c r="D1886" s="20">
        <v>300000</v>
      </c>
      <c r="E1886" s="99" t="s">
        <v>861</v>
      </c>
      <c r="F1886" s="20">
        <f t="shared" si="29"/>
        <v>185125251</v>
      </c>
      <c r="G1886" s="7" t="s">
        <v>854</v>
      </c>
      <c r="H1886" s="24" t="s">
        <v>109</v>
      </c>
      <c r="I1886" s="32" t="s">
        <v>152</v>
      </c>
      <c r="K1886" s="181"/>
      <c r="L1886" s="181"/>
    </row>
    <row r="1887" spans="1:12" x14ac:dyDescent="0.35">
      <c r="A1887" s="176"/>
      <c r="B1887" s="176"/>
      <c r="C1887" s="176"/>
      <c r="D1887" s="176"/>
      <c r="E1887" s="176"/>
      <c r="F1887" s="182">
        <v>186195251</v>
      </c>
      <c r="G1887" s="176"/>
      <c r="H1887" s="176"/>
      <c r="I1887" s="176"/>
      <c r="K1887" s="181"/>
      <c r="L1887" s="181"/>
    </row>
    <row r="1888" spans="1:12" x14ac:dyDescent="0.35">
      <c r="A1888" s="6" t="s">
        <v>2</v>
      </c>
      <c r="B1888" s="6" t="s">
        <v>3</v>
      </c>
      <c r="C1888" s="6" t="s">
        <v>138</v>
      </c>
      <c r="D1888" s="6" t="s">
        <v>4</v>
      </c>
      <c r="E1888" s="6" t="s">
        <v>192</v>
      </c>
      <c r="F1888" s="6" t="s">
        <v>5</v>
      </c>
      <c r="G1888" s="6" t="s">
        <v>6</v>
      </c>
      <c r="H1888" s="34" t="s">
        <v>141</v>
      </c>
      <c r="I1888" s="34" t="s">
        <v>359</v>
      </c>
    </row>
    <row r="1889" spans="1:9" x14ac:dyDescent="0.35">
      <c r="A1889" s="129">
        <v>45660</v>
      </c>
      <c r="B1889" s="130"/>
      <c r="C1889" s="131"/>
      <c r="D1889" s="131">
        <v>2836352</v>
      </c>
      <c r="E1889" s="132" t="s">
        <v>357</v>
      </c>
      <c r="F1889" s="130"/>
      <c r="G1889" s="133" t="s">
        <v>107</v>
      </c>
      <c r="H1889" s="133" t="s">
        <v>206</v>
      </c>
      <c r="I1889" s="134" t="s">
        <v>108</v>
      </c>
    </row>
    <row r="1890" spans="1:9" x14ac:dyDescent="0.35">
      <c r="A1890" s="129">
        <v>45660</v>
      </c>
      <c r="B1890" s="130"/>
      <c r="C1890" s="131"/>
      <c r="D1890" s="131">
        <v>2163648</v>
      </c>
      <c r="E1890" s="132" t="s">
        <v>357</v>
      </c>
      <c r="F1890" s="130"/>
      <c r="G1890" s="133" t="s">
        <v>109</v>
      </c>
      <c r="H1890" s="133" t="s">
        <v>207</v>
      </c>
      <c r="I1890" s="134" t="s">
        <v>108</v>
      </c>
    </row>
    <row r="1891" spans="1:9" x14ac:dyDescent="0.35">
      <c r="A1891" s="129"/>
      <c r="B1891" s="135"/>
      <c r="C1891" s="135">
        <v>5000000</v>
      </c>
      <c r="D1891" s="135"/>
      <c r="E1891" s="135"/>
      <c r="F1891" s="135">
        <v>5000000</v>
      </c>
      <c r="G1891" s="136" t="s">
        <v>142</v>
      </c>
      <c r="H1891" s="133"/>
      <c r="I1891" s="137"/>
    </row>
    <row r="1892" spans="1:9" x14ac:dyDescent="0.35">
      <c r="A1892" s="129">
        <v>45660</v>
      </c>
      <c r="B1892" s="135">
        <v>675000</v>
      </c>
      <c r="C1892" s="135"/>
      <c r="D1892" s="135"/>
      <c r="E1892" s="132" t="s">
        <v>357</v>
      </c>
      <c r="F1892" s="135">
        <f t="shared" ref="F1892:F1955" si="30">+F1891+D1892-B1892</f>
        <v>4325000</v>
      </c>
      <c r="G1892" s="136" t="s">
        <v>111</v>
      </c>
      <c r="H1892" s="133" t="s">
        <v>328</v>
      </c>
      <c r="I1892" s="134" t="s">
        <v>108</v>
      </c>
    </row>
    <row r="1893" spans="1:9" x14ac:dyDescent="0.35">
      <c r="A1893" s="129">
        <v>45660</v>
      </c>
      <c r="B1893" s="135">
        <v>130000</v>
      </c>
      <c r="C1893" s="135"/>
      <c r="D1893" s="135"/>
      <c r="E1893" s="132" t="s">
        <v>357</v>
      </c>
      <c r="F1893" s="135">
        <f t="shared" si="30"/>
        <v>4195000</v>
      </c>
      <c r="G1893" s="136" t="s">
        <v>112</v>
      </c>
      <c r="H1893" s="133" t="s">
        <v>322</v>
      </c>
      <c r="I1893" s="134" t="s">
        <v>108</v>
      </c>
    </row>
    <row r="1894" spans="1:9" x14ac:dyDescent="0.35">
      <c r="A1894" s="129">
        <v>45660</v>
      </c>
      <c r="B1894" s="135">
        <v>180000</v>
      </c>
      <c r="C1894" s="135"/>
      <c r="D1894" s="135"/>
      <c r="E1894" s="132" t="s">
        <v>357</v>
      </c>
      <c r="F1894" s="135">
        <f t="shared" si="30"/>
        <v>4015000</v>
      </c>
      <c r="G1894" s="136" t="s">
        <v>116</v>
      </c>
      <c r="H1894" s="133" t="s">
        <v>327</v>
      </c>
      <c r="I1894" s="134" t="s">
        <v>108</v>
      </c>
    </row>
    <row r="1895" spans="1:9" x14ac:dyDescent="0.35">
      <c r="A1895" s="129">
        <v>45660</v>
      </c>
      <c r="B1895" s="135">
        <v>170000</v>
      </c>
      <c r="C1895" s="135"/>
      <c r="D1895" s="135"/>
      <c r="E1895" s="132" t="s">
        <v>357</v>
      </c>
      <c r="F1895" s="135">
        <f t="shared" si="30"/>
        <v>3845000</v>
      </c>
      <c r="G1895" s="136" t="s">
        <v>113</v>
      </c>
      <c r="H1895" s="133" t="s">
        <v>322</v>
      </c>
      <c r="I1895" s="134" t="s">
        <v>108</v>
      </c>
    </row>
    <row r="1896" spans="1:9" x14ac:dyDescent="0.35">
      <c r="A1896" s="129">
        <v>45664</v>
      </c>
      <c r="B1896" s="135">
        <v>500000</v>
      </c>
      <c r="C1896" s="131"/>
      <c r="D1896" s="135"/>
      <c r="E1896" s="132" t="s">
        <v>357</v>
      </c>
      <c r="F1896" s="135">
        <f t="shared" si="30"/>
        <v>3345000</v>
      </c>
      <c r="G1896" s="136" t="s">
        <v>117</v>
      </c>
      <c r="H1896" s="133" t="s">
        <v>322</v>
      </c>
      <c r="I1896" s="134" t="s">
        <v>108</v>
      </c>
    </row>
    <row r="1897" spans="1:9" x14ac:dyDescent="0.35">
      <c r="A1897" s="129">
        <v>45669</v>
      </c>
      <c r="B1897" s="138">
        <v>750000</v>
      </c>
      <c r="C1897" s="131"/>
      <c r="D1897" s="135"/>
      <c r="E1897" s="132" t="s">
        <v>357</v>
      </c>
      <c r="F1897" s="135">
        <f t="shared" si="30"/>
        <v>2595000</v>
      </c>
      <c r="G1897" s="136" t="s">
        <v>118</v>
      </c>
      <c r="H1897" s="133" t="s">
        <v>323</v>
      </c>
      <c r="I1897" s="134" t="s">
        <v>108</v>
      </c>
    </row>
    <row r="1898" spans="1:9" x14ac:dyDescent="0.35">
      <c r="A1898" s="129">
        <v>45669</v>
      </c>
      <c r="B1898" s="138">
        <v>130000</v>
      </c>
      <c r="C1898" s="131"/>
      <c r="D1898" s="139"/>
      <c r="E1898" s="132" t="s">
        <v>357</v>
      </c>
      <c r="F1898" s="135">
        <f t="shared" si="30"/>
        <v>2465000</v>
      </c>
      <c r="G1898" s="136" t="s">
        <v>112</v>
      </c>
      <c r="H1898" s="133" t="s">
        <v>322</v>
      </c>
      <c r="I1898" s="134" t="s">
        <v>108</v>
      </c>
    </row>
    <row r="1899" spans="1:9" x14ac:dyDescent="0.35">
      <c r="A1899" s="129">
        <v>45669</v>
      </c>
      <c r="B1899" s="138">
        <v>104000</v>
      </c>
      <c r="C1899" s="135"/>
      <c r="D1899" s="135"/>
      <c r="E1899" s="132" t="s">
        <v>357</v>
      </c>
      <c r="F1899" s="135">
        <f t="shared" si="30"/>
        <v>2361000</v>
      </c>
      <c r="G1899" s="136" t="s">
        <v>119</v>
      </c>
      <c r="H1899" s="133" t="s">
        <v>327</v>
      </c>
      <c r="I1899" s="134" t="s">
        <v>108</v>
      </c>
    </row>
    <row r="1900" spans="1:9" x14ac:dyDescent="0.35">
      <c r="A1900" s="129">
        <v>45669</v>
      </c>
      <c r="B1900" s="138">
        <v>200000</v>
      </c>
      <c r="C1900" s="131"/>
      <c r="D1900" s="130"/>
      <c r="E1900" s="132" t="s">
        <v>357</v>
      </c>
      <c r="F1900" s="135">
        <f t="shared" si="30"/>
        <v>2161000</v>
      </c>
      <c r="G1900" s="136" t="s">
        <v>120</v>
      </c>
      <c r="H1900" s="133" t="s">
        <v>322</v>
      </c>
      <c r="I1900" s="134" t="s">
        <v>108</v>
      </c>
    </row>
    <row r="1901" spans="1:9" x14ac:dyDescent="0.35">
      <c r="A1901" s="129">
        <v>45669</v>
      </c>
      <c r="B1901" s="138">
        <v>500000</v>
      </c>
      <c r="C1901" s="135"/>
      <c r="D1901" s="139"/>
      <c r="E1901" s="132" t="s">
        <v>357</v>
      </c>
      <c r="F1901" s="135">
        <f t="shared" si="30"/>
        <v>1661000</v>
      </c>
      <c r="G1901" s="136" t="s">
        <v>122</v>
      </c>
      <c r="H1901" s="133" t="s">
        <v>323</v>
      </c>
      <c r="I1901" s="134" t="s">
        <v>108</v>
      </c>
    </row>
    <row r="1902" spans="1:9" x14ac:dyDescent="0.35">
      <c r="A1902" s="129">
        <v>45669</v>
      </c>
      <c r="B1902" s="135"/>
      <c r="C1902" s="135"/>
      <c r="D1902" s="139">
        <v>2000000</v>
      </c>
      <c r="E1902" s="132" t="s">
        <v>357</v>
      </c>
      <c r="F1902" s="135">
        <f t="shared" si="30"/>
        <v>3661000</v>
      </c>
      <c r="G1902" s="136" t="s">
        <v>110</v>
      </c>
      <c r="H1902" s="133" t="s">
        <v>109</v>
      </c>
      <c r="I1902" s="134" t="s">
        <v>108</v>
      </c>
    </row>
    <row r="1903" spans="1:9" x14ac:dyDescent="0.35">
      <c r="A1903" s="129">
        <v>45669</v>
      </c>
      <c r="B1903" s="140">
        <v>2000000</v>
      </c>
      <c r="C1903" s="135"/>
      <c r="D1903" s="135"/>
      <c r="E1903" s="132" t="s">
        <v>357</v>
      </c>
      <c r="F1903" s="135">
        <f t="shared" si="30"/>
        <v>1661000</v>
      </c>
      <c r="G1903" s="136" t="s">
        <v>121</v>
      </c>
      <c r="H1903" s="133" t="s">
        <v>328</v>
      </c>
      <c r="I1903" s="134" t="s">
        <v>108</v>
      </c>
    </row>
    <row r="1904" spans="1:9" x14ac:dyDescent="0.35">
      <c r="A1904" s="129">
        <v>45669</v>
      </c>
      <c r="B1904" s="140">
        <v>500000</v>
      </c>
      <c r="C1904" s="135"/>
      <c r="D1904" s="139"/>
      <c r="E1904" s="132" t="s">
        <v>357</v>
      </c>
      <c r="F1904" s="135">
        <f t="shared" si="30"/>
        <v>1161000</v>
      </c>
      <c r="G1904" s="136" t="s">
        <v>122</v>
      </c>
      <c r="H1904" s="133" t="s">
        <v>323</v>
      </c>
      <c r="I1904" s="134" t="s">
        <v>108</v>
      </c>
    </row>
    <row r="1905" spans="1:9" x14ac:dyDescent="0.35">
      <c r="A1905" s="129">
        <v>45670</v>
      </c>
      <c r="B1905" s="140">
        <v>140000</v>
      </c>
      <c r="C1905" s="135"/>
      <c r="D1905" s="135"/>
      <c r="E1905" s="132" t="s">
        <v>357</v>
      </c>
      <c r="F1905" s="135">
        <f t="shared" si="30"/>
        <v>1021000</v>
      </c>
      <c r="G1905" s="136" t="s">
        <v>123</v>
      </c>
      <c r="H1905" s="133" t="s">
        <v>320</v>
      </c>
      <c r="I1905" s="134" t="s">
        <v>108</v>
      </c>
    </row>
    <row r="1906" spans="1:9" x14ac:dyDescent="0.35">
      <c r="A1906" s="129">
        <v>45670</v>
      </c>
      <c r="B1906" s="140">
        <v>197000</v>
      </c>
      <c r="C1906" s="135"/>
      <c r="D1906" s="135"/>
      <c r="E1906" s="132" t="s">
        <v>357</v>
      </c>
      <c r="F1906" s="135">
        <f t="shared" si="30"/>
        <v>824000</v>
      </c>
      <c r="G1906" s="136" t="s">
        <v>124</v>
      </c>
      <c r="H1906" s="133" t="s">
        <v>322</v>
      </c>
      <c r="I1906" s="134" t="s">
        <v>108</v>
      </c>
    </row>
    <row r="1907" spans="1:9" x14ac:dyDescent="0.35">
      <c r="A1907" s="129">
        <v>45670</v>
      </c>
      <c r="B1907" s="140">
        <v>72000</v>
      </c>
      <c r="C1907" s="131"/>
      <c r="D1907" s="135"/>
      <c r="E1907" s="132" t="s">
        <v>357</v>
      </c>
      <c r="F1907" s="135">
        <f t="shared" si="30"/>
        <v>752000</v>
      </c>
      <c r="G1907" s="136" t="s">
        <v>137</v>
      </c>
      <c r="H1907" s="133" t="s">
        <v>327</v>
      </c>
      <c r="I1907" s="134" t="s">
        <v>108</v>
      </c>
    </row>
    <row r="1908" spans="1:9" x14ac:dyDescent="0.35">
      <c r="A1908" s="129">
        <v>45674</v>
      </c>
      <c r="B1908" s="135"/>
      <c r="C1908" s="131"/>
      <c r="D1908" s="131">
        <v>33000</v>
      </c>
      <c r="E1908" s="132" t="s">
        <v>357</v>
      </c>
      <c r="F1908" s="135">
        <f t="shared" si="30"/>
        <v>785000</v>
      </c>
      <c r="G1908" s="136"/>
      <c r="H1908" s="133" t="s">
        <v>107</v>
      </c>
      <c r="I1908" s="134" t="s">
        <v>108</v>
      </c>
    </row>
    <row r="1909" spans="1:9" x14ac:dyDescent="0.35">
      <c r="A1909" s="129">
        <v>45674</v>
      </c>
      <c r="B1909" s="135"/>
      <c r="C1909" s="131"/>
      <c r="D1909" s="131">
        <v>2967000</v>
      </c>
      <c r="E1909" s="132" t="s">
        <v>357</v>
      </c>
      <c r="F1909" s="135">
        <f t="shared" si="30"/>
        <v>3752000</v>
      </c>
      <c r="G1909" s="136"/>
      <c r="H1909" s="133" t="s">
        <v>109</v>
      </c>
      <c r="I1909" s="134" t="s">
        <v>108</v>
      </c>
    </row>
    <row r="1910" spans="1:9" x14ac:dyDescent="0.35">
      <c r="A1910" s="129"/>
      <c r="B1910" s="135"/>
      <c r="C1910" s="135">
        <v>3000000</v>
      </c>
      <c r="D1910" s="135"/>
      <c r="E1910" s="135"/>
      <c r="F1910" s="135">
        <f t="shared" si="30"/>
        <v>3752000</v>
      </c>
      <c r="G1910" s="136" t="s">
        <v>110</v>
      </c>
      <c r="H1910" s="133"/>
      <c r="I1910" s="141"/>
    </row>
    <row r="1911" spans="1:9" x14ac:dyDescent="0.35">
      <c r="A1911" s="129">
        <v>45682</v>
      </c>
      <c r="B1911" s="135">
        <v>100000</v>
      </c>
      <c r="C1911" s="131"/>
      <c r="D1911" s="130"/>
      <c r="E1911" s="132" t="s">
        <v>357</v>
      </c>
      <c r="F1911" s="135">
        <f t="shared" si="30"/>
        <v>3652000</v>
      </c>
      <c r="G1911" s="136" t="s">
        <v>186</v>
      </c>
      <c r="H1911" s="133" t="s">
        <v>322</v>
      </c>
      <c r="I1911" s="134" t="s">
        <v>108</v>
      </c>
    </row>
    <row r="1912" spans="1:9" x14ac:dyDescent="0.35">
      <c r="A1912" s="129">
        <v>45682</v>
      </c>
      <c r="B1912" s="142">
        <v>130000</v>
      </c>
      <c r="C1912" s="135"/>
      <c r="D1912" s="135"/>
      <c r="E1912" s="132" t="s">
        <v>357</v>
      </c>
      <c r="F1912" s="135">
        <f t="shared" si="30"/>
        <v>3522000</v>
      </c>
      <c r="G1912" s="136" t="s">
        <v>112</v>
      </c>
      <c r="H1912" s="133" t="s">
        <v>322</v>
      </c>
      <c r="I1912" s="134" t="s">
        <v>108</v>
      </c>
    </row>
    <row r="1913" spans="1:9" x14ac:dyDescent="0.35">
      <c r="A1913" s="129">
        <v>45683</v>
      </c>
      <c r="B1913" s="142">
        <v>90000</v>
      </c>
      <c r="C1913" s="135"/>
      <c r="D1913" s="135"/>
      <c r="E1913" s="132" t="s">
        <v>357</v>
      </c>
      <c r="F1913" s="135">
        <f t="shared" si="30"/>
        <v>3432000</v>
      </c>
      <c r="G1913" s="136" t="s">
        <v>187</v>
      </c>
      <c r="H1913" s="133" t="s">
        <v>327</v>
      </c>
      <c r="I1913" s="134" t="s">
        <v>108</v>
      </c>
    </row>
    <row r="1914" spans="1:9" x14ac:dyDescent="0.35">
      <c r="A1914" s="129">
        <v>45687</v>
      </c>
      <c r="B1914" s="142">
        <v>500000</v>
      </c>
      <c r="C1914" s="135"/>
      <c r="D1914" s="135"/>
      <c r="E1914" s="132" t="s">
        <v>357</v>
      </c>
      <c r="F1914" s="135">
        <f t="shared" si="30"/>
        <v>2932000</v>
      </c>
      <c r="G1914" s="136" t="s">
        <v>191</v>
      </c>
      <c r="H1914" s="133" t="s">
        <v>323</v>
      </c>
      <c r="I1914" s="134" t="s">
        <v>108</v>
      </c>
    </row>
    <row r="1915" spans="1:9" x14ac:dyDescent="0.35">
      <c r="A1915" s="129">
        <v>45687</v>
      </c>
      <c r="B1915" s="142">
        <v>400000</v>
      </c>
      <c r="C1915" s="135"/>
      <c r="D1915" s="135"/>
      <c r="E1915" s="132" t="s">
        <v>357</v>
      </c>
      <c r="F1915" s="135">
        <f t="shared" si="30"/>
        <v>2532000</v>
      </c>
      <c r="G1915" s="136" t="s">
        <v>188</v>
      </c>
      <c r="H1915" s="133" t="s">
        <v>323</v>
      </c>
      <c r="I1915" s="134" t="s">
        <v>108</v>
      </c>
    </row>
    <row r="1916" spans="1:9" x14ac:dyDescent="0.35">
      <c r="A1916" s="129">
        <v>45687</v>
      </c>
      <c r="B1916" s="142">
        <v>500000</v>
      </c>
      <c r="C1916" s="135"/>
      <c r="D1916" s="135"/>
      <c r="E1916" s="132" t="s">
        <v>357</v>
      </c>
      <c r="F1916" s="135">
        <f t="shared" si="30"/>
        <v>2032000</v>
      </c>
      <c r="G1916" s="136" t="s">
        <v>189</v>
      </c>
      <c r="H1916" s="133" t="s">
        <v>322</v>
      </c>
      <c r="I1916" s="134" t="s">
        <v>108</v>
      </c>
    </row>
    <row r="1917" spans="1:9" x14ac:dyDescent="0.35">
      <c r="A1917" s="129">
        <v>45687</v>
      </c>
      <c r="B1917" s="142">
        <v>500000</v>
      </c>
      <c r="C1917" s="135"/>
      <c r="D1917" s="135"/>
      <c r="E1917" s="132" t="s">
        <v>357</v>
      </c>
      <c r="F1917" s="135">
        <f t="shared" si="30"/>
        <v>1532000</v>
      </c>
      <c r="G1917" s="136" t="s">
        <v>190</v>
      </c>
      <c r="H1917" s="133" t="s">
        <v>322</v>
      </c>
      <c r="I1917" s="134" t="s">
        <v>108</v>
      </c>
    </row>
    <row r="1918" spans="1:9" x14ac:dyDescent="0.35">
      <c r="A1918" s="129">
        <v>45687</v>
      </c>
      <c r="B1918" s="142"/>
      <c r="C1918" s="131"/>
      <c r="D1918" s="135">
        <v>2000000</v>
      </c>
      <c r="E1918" s="143" t="s">
        <v>357</v>
      </c>
      <c r="F1918" s="135">
        <f t="shared" si="30"/>
        <v>3532000</v>
      </c>
      <c r="G1918" s="136" t="s">
        <v>110</v>
      </c>
      <c r="H1918" s="133" t="s">
        <v>109</v>
      </c>
      <c r="I1918" s="134" t="s">
        <v>108</v>
      </c>
    </row>
    <row r="1919" spans="1:9" x14ac:dyDescent="0.35">
      <c r="A1919" s="129">
        <v>45690</v>
      </c>
      <c r="B1919" s="142">
        <v>90000</v>
      </c>
      <c r="C1919" s="131"/>
      <c r="D1919" s="135"/>
      <c r="E1919" s="132" t="s">
        <v>358</v>
      </c>
      <c r="F1919" s="135">
        <f t="shared" si="30"/>
        <v>3442000</v>
      </c>
      <c r="G1919" s="136" t="s">
        <v>119</v>
      </c>
      <c r="H1919" s="133" t="s">
        <v>327</v>
      </c>
      <c r="I1919" s="134" t="s">
        <v>108</v>
      </c>
    </row>
    <row r="1920" spans="1:9" x14ac:dyDescent="0.35">
      <c r="A1920" s="129">
        <v>45691</v>
      </c>
      <c r="B1920" s="142">
        <v>130000</v>
      </c>
      <c r="C1920" s="135"/>
      <c r="D1920" s="135"/>
      <c r="E1920" s="132" t="s">
        <v>358</v>
      </c>
      <c r="F1920" s="135">
        <f t="shared" si="30"/>
        <v>3312000</v>
      </c>
      <c r="G1920" s="136" t="s">
        <v>112</v>
      </c>
      <c r="H1920" s="133" t="s">
        <v>322</v>
      </c>
      <c r="I1920" s="134" t="s">
        <v>108</v>
      </c>
    </row>
    <row r="1921" spans="1:9" x14ac:dyDescent="0.35">
      <c r="A1921" s="129">
        <v>45692</v>
      </c>
      <c r="B1921" s="135">
        <v>150000</v>
      </c>
      <c r="C1921" s="134"/>
      <c r="D1921" s="134"/>
      <c r="E1921" s="132" t="s">
        <v>358</v>
      </c>
      <c r="F1921" s="135">
        <f t="shared" si="30"/>
        <v>3162000</v>
      </c>
      <c r="G1921" s="136" t="s">
        <v>186</v>
      </c>
      <c r="H1921" s="133" t="s">
        <v>322</v>
      </c>
      <c r="I1921" s="134" t="s">
        <v>108</v>
      </c>
    </row>
    <row r="1922" spans="1:9" x14ac:dyDescent="0.35">
      <c r="A1922" s="129">
        <v>45695</v>
      </c>
      <c r="B1922" s="135">
        <v>500000</v>
      </c>
      <c r="C1922" s="134"/>
      <c r="D1922" s="134"/>
      <c r="E1922" s="132" t="s">
        <v>358</v>
      </c>
      <c r="F1922" s="135">
        <f t="shared" si="30"/>
        <v>2662000</v>
      </c>
      <c r="G1922" s="136" t="s">
        <v>122</v>
      </c>
      <c r="H1922" s="133" t="s">
        <v>323</v>
      </c>
      <c r="I1922" s="134" t="s">
        <v>108</v>
      </c>
    </row>
    <row r="1923" spans="1:9" x14ac:dyDescent="0.35">
      <c r="A1923" s="129">
        <v>45692</v>
      </c>
      <c r="B1923" s="135">
        <v>500000</v>
      </c>
      <c r="C1923" s="134"/>
      <c r="D1923" s="134"/>
      <c r="E1923" s="132" t="s">
        <v>358</v>
      </c>
      <c r="F1923" s="135">
        <f t="shared" si="30"/>
        <v>2162000</v>
      </c>
      <c r="G1923" s="136" t="s">
        <v>266</v>
      </c>
      <c r="H1923" s="133" t="s">
        <v>322</v>
      </c>
      <c r="I1923" s="134" t="s">
        <v>108</v>
      </c>
    </row>
    <row r="1924" spans="1:9" x14ac:dyDescent="0.35">
      <c r="A1924" s="129">
        <v>45692</v>
      </c>
      <c r="B1924" s="135">
        <v>200000</v>
      </c>
      <c r="C1924" s="134"/>
      <c r="D1924" s="134"/>
      <c r="E1924" s="132" t="s">
        <v>358</v>
      </c>
      <c r="F1924" s="135">
        <f t="shared" si="30"/>
        <v>1962000</v>
      </c>
      <c r="G1924" s="136" t="s">
        <v>267</v>
      </c>
      <c r="H1924" s="133" t="s">
        <v>322</v>
      </c>
      <c r="I1924" s="134" t="s">
        <v>108</v>
      </c>
    </row>
    <row r="1925" spans="1:9" x14ac:dyDescent="0.35">
      <c r="A1925" s="129">
        <v>45693</v>
      </c>
      <c r="B1925" s="135">
        <v>50000</v>
      </c>
      <c r="C1925" s="134"/>
      <c r="D1925" s="134"/>
      <c r="E1925" s="132" t="s">
        <v>358</v>
      </c>
      <c r="F1925" s="135">
        <f t="shared" si="30"/>
        <v>1912000</v>
      </c>
      <c r="G1925" s="136" t="s">
        <v>268</v>
      </c>
      <c r="H1925" s="133" t="s">
        <v>327</v>
      </c>
      <c r="I1925" s="134" t="s">
        <v>108</v>
      </c>
    </row>
    <row r="1926" spans="1:9" x14ac:dyDescent="0.35">
      <c r="A1926" s="129">
        <v>45697</v>
      </c>
      <c r="B1926" s="135">
        <v>90000</v>
      </c>
      <c r="C1926" s="134"/>
      <c r="D1926" s="134"/>
      <c r="E1926" s="132" t="s">
        <v>358</v>
      </c>
      <c r="F1926" s="135">
        <f t="shared" si="30"/>
        <v>1822000</v>
      </c>
      <c r="G1926" s="136" t="s">
        <v>119</v>
      </c>
      <c r="H1926" s="133" t="s">
        <v>327</v>
      </c>
      <c r="I1926" s="134" t="s">
        <v>108</v>
      </c>
    </row>
    <row r="1927" spans="1:9" x14ac:dyDescent="0.35">
      <c r="A1927" s="129">
        <v>45698</v>
      </c>
      <c r="B1927" s="135">
        <v>50000</v>
      </c>
      <c r="C1927" s="134"/>
      <c r="D1927" s="134"/>
      <c r="E1927" s="132" t="s">
        <v>358</v>
      </c>
      <c r="F1927" s="135">
        <f t="shared" si="30"/>
        <v>1772000</v>
      </c>
      <c r="G1927" s="136" t="s">
        <v>280</v>
      </c>
      <c r="H1927" s="133" t="s">
        <v>322</v>
      </c>
      <c r="I1927" s="134" t="s">
        <v>108</v>
      </c>
    </row>
    <row r="1928" spans="1:9" x14ac:dyDescent="0.35">
      <c r="A1928" s="129">
        <v>45702</v>
      </c>
      <c r="B1928" s="135">
        <v>500000</v>
      </c>
      <c r="C1928" s="134"/>
      <c r="D1928" s="134"/>
      <c r="E1928" s="132" t="s">
        <v>358</v>
      </c>
      <c r="F1928" s="135">
        <f t="shared" si="30"/>
        <v>1272000</v>
      </c>
      <c r="G1928" s="136" t="s">
        <v>122</v>
      </c>
      <c r="H1928" s="133" t="s">
        <v>323</v>
      </c>
      <c r="I1928" s="134" t="s">
        <v>108</v>
      </c>
    </row>
    <row r="1929" spans="1:9" x14ac:dyDescent="0.35">
      <c r="A1929" s="129">
        <v>45702</v>
      </c>
      <c r="B1929" s="135"/>
      <c r="C1929" s="134"/>
      <c r="D1929" s="135">
        <v>750000</v>
      </c>
      <c r="E1929" s="132" t="s">
        <v>358</v>
      </c>
      <c r="F1929" s="135">
        <f t="shared" si="30"/>
        <v>2022000</v>
      </c>
      <c r="G1929" s="136" t="s">
        <v>281</v>
      </c>
      <c r="H1929" s="133" t="s">
        <v>109</v>
      </c>
      <c r="I1929" s="134" t="s">
        <v>108</v>
      </c>
    </row>
    <row r="1930" spans="1:9" x14ac:dyDescent="0.35">
      <c r="A1930" s="129">
        <v>45703</v>
      </c>
      <c r="B1930" s="135">
        <v>1000000</v>
      </c>
      <c r="C1930" s="134"/>
      <c r="D1930" s="134"/>
      <c r="E1930" s="132" t="s">
        <v>358</v>
      </c>
      <c r="F1930" s="135">
        <f t="shared" si="30"/>
        <v>1022000</v>
      </c>
      <c r="G1930" s="136" t="s">
        <v>296</v>
      </c>
      <c r="H1930" s="133" t="s">
        <v>321</v>
      </c>
      <c r="I1930" s="134" t="s">
        <v>108</v>
      </c>
    </row>
    <row r="1931" spans="1:9" x14ac:dyDescent="0.35">
      <c r="A1931" s="129">
        <v>45703</v>
      </c>
      <c r="B1931" s="135">
        <v>395000</v>
      </c>
      <c r="C1931" s="134"/>
      <c r="D1931" s="134"/>
      <c r="E1931" s="132" t="s">
        <v>358</v>
      </c>
      <c r="F1931" s="135">
        <f t="shared" si="30"/>
        <v>627000</v>
      </c>
      <c r="G1931" s="136" t="s">
        <v>297</v>
      </c>
      <c r="H1931" s="133" t="s">
        <v>321</v>
      </c>
      <c r="I1931" s="134" t="s">
        <v>108</v>
      </c>
    </row>
    <row r="1932" spans="1:9" x14ac:dyDescent="0.35">
      <c r="A1932" s="129">
        <v>45704</v>
      </c>
      <c r="B1932" s="135">
        <v>90000</v>
      </c>
      <c r="C1932" s="134"/>
      <c r="D1932" s="134"/>
      <c r="E1932" s="132" t="s">
        <v>358</v>
      </c>
      <c r="F1932" s="135">
        <f t="shared" si="30"/>
        <v>537000</v>
      </c>
      <c r="G1932" s="136" t="s">
        <v>298</v>
      </c>
      <c r="H1932" s="133" t="s">
        <v>327</v>
      </c>
      <c r="I1932" s="134" t="s">
        <v>108</v>
      </c>
    </row>
    <row r="1933" spans="1:9" x14ac:dyDescent="0.35">
      <c r="A1933" s="129">
        <v>45704</v>
      </c>
      <c r="B1933" s="135">
        <v>20000</v>
      </c>
      <c r="C1933" s="134"/>
      <c r="D1933" s="134"/>
      <c r="E1933" s="132" t="s">
        <v>358</v>
      </c>
      <c r="F1933" s="135">
        <f t="shared" si="30"/>
        <v>517000</v>
      </c>
      <c r="G1933" s="136" t="s">
        <v>299</v>
      </c>
      <c r="H1933" s="133" t="s">
        <v>322</v>
      </c>
      <c r="I1933" s="134" t="s">
        <v>108</v>
      </c>
    </row>
    <row r="1934" spans="1:9" x14ac:dyDescent="0.35">
      <c r="A1934" s="129">
        <v>45705</v>
      </c>
      <c r="B1934" s="135"/>
      <c r="C1934" s="134"/>
      <c r="D1934" s="135">
        <v>2000000</v>
      </c>
      <c r="E1934" s="132" t="s">
        <v>358</v>
      </c>
      <c r="F1934" s="135">
        <f t="shared" si="30"/>
        <v>2517000</v>
      </c>
      <c r="G1934" s="136" t="s">
        <v>110</v>
      </c>
      <c r="H1934" s="133" t="s">
        <v>109</v>
      </c>
      <c r="I1934" s="134" t="s">
        <v>108</v>
      </c>
    </row>
    <row r="1935" spans="1:9" x14ac:dyDescent="0.35">
      <c r="A1935" s="129">
        <v>45705</v>
      </c>
      <c r="B1935" s="135">
        <v>92000</v>
      </c>
      <c r="C1935" s="134"/>
      <c r="D1935" s="134"/>
      <c r="E1935" s="132" t="s">
        <v>358</v>
      </c>
      <c r="F1935" s="135">
        <f t="shared" si="30"/>
        <v>2425000</v>
      </c>
      <c r="G1935" s="136" t="s">
        <v>300</v>
      </c>
      <c r="H1935" s="133" t="s">
        <v>322</v>
      </c>
      <c r="I1935" s="134" t="s">
        <v>108</v>
      </c>
    </row>
    <row r="1936" spans="1:9" x14ac:dyDescent="0.35">
      <c r="A1936" s="129">
        <v>45706</v>
      </c>
      <c r="B1936" s="135">
        <v>45000</v>
      </c>
      <c r="C1936" s="134"/>
      <c r="D1936" s="134"/>
      <c r="E1936" s="132" t="s">
        <v>358</v>
      </c>
      <c r="F1936" s="135">
        <f t="shared" si="30"/>
        <v>2380000</v>
      </c>
      <c r="G1936" s="136" t="s">
        <v>301</v>
      </c>
      <c r="H1936" s="133" t="s">
        <v>322</v>
      </c>
      <c r="I1936" s="134" t="s">
        <v>108</v>
      </c>
    </row>
    <row r="1937" spans="1:9" x14ac:dyDescent="0.35">
      <c r="A1937" s="129">
        <v>45709</v>
      </c>
      <c r="B1937" s="135">
        <v>500000</v>
      </c>
      <c r="C1937" s="134"/>
      <c r="D1937" s="134"/>
      <c r="E1937" s="132" t="s">
        <v>358</v>
      </c>
      <c r="F1937" s="135">
        <f t="shared" si="30"/>
        <v>1880000</v>
      </c>
      <c r="G1937" s="136" t="s">
        <v>302</v>
      </c>
      <c r="H1937" s="133" t="s">
        <v>323</v>
      </c>
      <c r="I1937" s="134" t="s">
        <v>108</v>
      </c>
    </row>
    <row r="1938" spans="1:9" x14ac:dyDescent="0.35">
      <c r="A1938" s="129">
        <v>45710</v>
      </c>
      <c r="B1938" s="135">
        <v>1000000</v>
      </c>
      <c r="C1938" s="134"/>
      <c r="D1938" s="134"/>
      <c r="E1938" s="132" t="s">
        <v>358</v>
      </c>
      <c r="F1938" s="135">
        <f t="shared" si="30"/>
        <v>880000</v>
      </c>
      <c r="G1938" s="136" t="s">
        <v>309</v>
      </c>
      <c r="H1938" s="133" t="s">
        <v>203</v>
      </c>
      <c r="I1938" s="134" t="s">
        <v>108</v>
      </c>
    </row>
    <row r="1939" spans="1:9" x14ac:dyDescent="0.35">
      <c r="A1939" s="129">
        <v>45711</v>
      </c>
      <c r="B1939" s="135">
        <v>60000</v>
      </c>
      <c r="C1939" s="134"/>
      <c r="D1939" s="134"/>
      <c r="E1939" s="132" t="s">
        <v>358</v>
      </c>
      <c r="F1939" s="135">
        <f t="shared" si="30"/>
        <v>820000</v>
      </c>
      <c r="G1939" s="136" t="s">
        <v>310</v>
      </c>
      <c r="H1939" s="133" t="s">
        <v>327</v>
      </c>
      <c r="I1939" s="134" t="s">
        <v>108</v>
      </c>
    </row>
    <row r="1940" spans="1:9" x14ac:dyDescent="0.35">
      <c r="A1940" s="129">
        <v>45711</v>
      </c>
      <c r="B1940" s="135">
        <v>100000</v>
      </c>
      <c r="C1940" s="134"/>
      <c r="D1940" s="134"/>
      <c r="E1940" s="132" t="s">
        <v>358</v>
      </c>
      <c r="F1940" s="135">
        <f t="shared" si="30"/>
        <v>720000</v>
      </c>
      <c r="G1940" s="136" t="s">
        <v>311</v>
      </c>
      <c r="H1940" s="133" t="s">
        <v>320</v>
      </c>
      <c r="I1940" s="134" t="s">
        <v>108</v>
      </c>
    </row>
    <row r="1941" spans="1:9" x14ac:dyDescent="0.35">
      <c r="A1941" s="129">
        <v>45712</v>
      </c>
      <c r="B1941" s="135">
        <v>250000</v>
      </c>
      <c r="C1941" s="134"/>
      <c r="D1941" s="134"/>
      <c r="E1941" s="132" t="s">
        <v>358</v>
      </c>
      <c r="F1941" s="135">
        <f t="shared" si="30"/>
        <v>470000</v>
      </c>
      <c r="G1941" s="136" t="s">
        <v>312</v>
      </c>
      <c r="H1941" s="133" t="s">
        <v>320</v>
      </c>
      <c r="I1941" s="134" t="s">
        <v>108</v>
      </c>
    </row>
    <row r="1942" spans="1:9" x14ac:dyDescent="0.35">
      <c r="A1942" s="144">
        <v>45712</v>
      </c>
      <c r="B1942" s="135">
        <v>130000</v>
      </c>
      <c r="C1942" s="134"/>
      <c r="D1942" s="135"/>
      <c r="E1942" s="132" t="s">
        <v>358</v>
      </c>
      <c r="F1942" s="135">
        <f t="shared" si="30"/>
        <v>340000</v>
      </c>
      <c r="G1942" s="136" t="s">
        <v>313</v>
      </c>
      <c r="H1942" s="133" t="s">
        <v>320</v>
      </c>
      <c r="I1942" s="134" t="s">
        <v>108</v>
      </c>
    </row>
    <row r="1943" spans="1:9" x14ac:dyDescent="0.35">
      <c r="A1943" s="144">
        <v>45712</v>
      </c>
      <c r="B1943" s="135"/>
      <c r="C1943" s="134"/>
      <c r="D1943" s="135">
        <v>1000000</v>
      </c>
      <c r="E1943" s="132" t="s">
        <v>358</v>
      </c>
      <c r="F1943" s="135">
        <f t="shared" si="30"/>
        <v>1340000</v>
      </c>
      <c r="G1943" s="136" t="s">
        <v>110</v>
      </c>
      <c r="H1943" s="133" t="s">
        <v>109</v>
      </c>
      <c r="I1943" s="134" t="s">
        <v>108</v>
      </c>
    </row>
    <row r="1944" spans="1:9" x14ac:dyDescent="0.35">
      <c r="A1944" s="144">
        <v>45717</v>
      </c>
      <c r="B1944" s="135">
        <v>400000</v>
      </c>
      <c r="C1944" s="134"/>
      <c r="D1944" s="135"/>
      <c r="E1944" s="134" t="s">
        <v>521</v>
      </c>
      <c r="F1944" s="135">
        <f t="shared" si="30"/>
        <v>940000</v>
      </c>
      <c r="G1944" s="136" t="s">
        <v>188</v>
      </c>
      <c r="H1944" s="133" t="s">
        <v>323</v>
      </c>
      <c r="I1944" s="134" t="s">
        <v>108</v>
      </c>
    </row>
    <row r="1945" spans="1:9" x14ac:dyDescent="0.35">
      <c r="A1945" s="144">
        <v>45717</v>
      </c>
      <c r="B1945" s="135">
        <v>200000</v>
      </c>
      <c r="C1945" s="134"/>
      <c r="D1945" s="135"/>
      <c r="E1945" s="134" t="s">
        <v>521</v>
      </c>
      <c r="F1945" s="135">
        <f t="shared" si="30"/>
        <v>740000</v>
      </c>
      <c r="G1945" s="136" t="s">
        <v>353</v>
      </c>
      <c r="H1945" s="133" t="s">
        <v>322</v>
      </c>
      <c r="I1945" s="134" t="s">
        <v>108</v>
      </c>
    </row>
    <row r="1946" spans="1:9" x14ac:dyDescent="0.35">
      <c r="A1946" s="144">
        <v>45718</v>
      </c>
      <c r="B1946" s="135">
        <v>100000</v>
      </c>
      <c r="C1946" s="134"/>
      <c r="D1946" s="135"/>
      <c r="E1946" s="134" t="s">
        <v>521</v>
      </c>
      <c r="F1946" s="135">
        <f t="shared" si="30"/>
        <v>640000</v>
      </c>
      <c r="G1946" s="136" t="s">
        <v>354</v>
      </c>
      <c r="H1946" s="133" t="s">
        <v>320</v>
      </c>
      <c r="I1946" s="134" t="s">
        <v>108</v>
      </c>
    </row>
    <row r="1947" spans="1:9" x14ac:dyDescent="0.35">
      <c r="A1947" s="144">
        <v>45719</v>
      </c>
      <c r="B1947" s="135">
        <v>50000</v>
      </c>
      <c r="C1947" s="134"/>
      <c r="D1947" s="135"/>
      <c r="E1947" s="134" t="s">
        <v>521</v>
      </c>
      <c r="F1947" s="135">
        <f t="shared" si="30"/>
        <v>590000</v>
      </c>
      <c r="G1947" s="136" t="s">
        <v>355</v>
      </c>
      <c r="H1947" s="133" t="s">
        <v>320</v>
      </c>
      <c r="I1947" s="134" t="s">
        <v>108</v>
      </c>
    </row>
    <row r="1948" spans="1:9" x14ac:dyDescent="0.35">
      <c r="A1948" s="144">
        <v>45720</v>
      </c>
      <c r="B1948" s="135"/>
      <c r="C1948" s="134"/>
      <c r="D1948" s="135">
        <v>3000000</v>
      </c>
      <c r="E1948" s="134" t="s">
        <v>521</v>
      </c>
      <c r="F1948" s="135">
        <f t="shared" si="30"/>
        <v>3590000</v>
      </c>
      <c r="G1948" s="136" t="s">
        <v>110</v>
      </c>
      <c r="H1948" s="133" t="s">
        <v>109</v>
      </c>
      <c r="I1948" s="134" t="s">
        <v>108</v>
      </c>
    </row>
    <row r="1949" spans="1:9" x14ac:dyDescent="0.35">
      <c r="A1949" s="144">
        <v>45721</v>
      </c>
      <c r="B1949" s="135">
        <v>130000</v>
      </c>
      <c r="C1949" s="134"/>
      <c r="D1949" s="135"/>
      <c r="E1949" s="134" t="s">
        <v>521</v>
      </c>
      <c r="F1949" s="135">
        <f t="shared" si="30"/>
        <v>3460000</v>
      </c>
      <c r="G1949" s="136" t="s">
        <v>356</v>
      </c>
      <c r="H1949" s="133" t="s">
        <v>322</v>
      </c>
      <c r="I1949" s="134" t="s">
        <v>108</v>
      </c>
    </row>
    <row r="1950" spans="1:9" x14ac:dyDescent="0.35">
      <c r="A1950" s="144">
        <v>45722</v>
      </c>
      <c r="B1950" s="135">
        <v>500000</v>
      </c>
      <c r="C1950" s="134"/>
      <c r="D1950" s="135"/>
      <c r="E1950" s="134" t="s">
        <v>521</v>
      </c>
      <c r="F1950" s="135">
        <f t="shared" si="30"/>
        <v>2960000</v>
      </c>
      <c r="G1950" s="136" t="s">
        <v>191</v>
      </c>
      <c r="H1950" s="133" t="s">
        <v>323</v>
      </c>
      <c r="I1950" s="134" t="s">
        <v>108</v>
      </c>
    </row>
    <row r="1951" spans="1:9" x14ac:dyDescent="0.35">
      <c r="A1951" s="144">
        <v>45723</v>
      </c>
      <c r="B1951" s="135">
        <v>150000</v>
      </c>
      <c r="C1951" s="134"/>
      <c r="D1951" s="135"/>
      <c r="E1951" s="134" t="s">
        <v>521</v>
      </c>
      <c r="F1951" s="135">
        <f t="shared" si="30"/>
        <v>2810000</v>
      </c>
      <c r="G1951" s="136" t="s">
        <v>392</v>
      </c>
      <c r="H1951" s="133" t="s">
        <v>203</v>
      </c>
      <c r="I1951" s="134" t="s">
        <v>108</v>
      </c>
    </row>
    <row r="1952" spans="1:9" x14ac:dyDescent="0.35">
      <c r="A1952" s="144">
        <v>45723</v>
      </c>
      <c r="B1952" s="135">
        <v>245000</v>
      </c>
      <c r="C1952" s="134"/>
      <c r="D1952" s="135"/>
      <c r="E1952" s="134" t="s">
        <v>521</v>
      </c>
      <c r="F1952" s="135">
        <f t="shared" si="30"/>
        <v>2565000</v>
      </c>
      <c r="G1952" s="136" t="s">
        <v>393</v>
      </c>
      <c r="H1952" s="133" t="s">
        <v>322</v>
      </c>
      <c r="I1952" s="134" t="s">
        <v>108</v>
      </c>
    </row>
    <row r="1953" spans="1:9" x14ac:dyDescent="0.35">
      <c r="A1953" s="144">
        <v>45727</v>
      </c>
      <c r="B1953" s="135">
        <v>150000</v>
      </c>
      <c r="C1953" s="134"/>
      <c r="D1953" s="135"/>
      <c r="E1953" s="134" t="s">
        <v>521</v>
      </c>
      <c r="F1953" s="135">
        <f t="shared" si="30"/>
        <v>2415000</v>
      </c>
      <c r="G1953" s="136" t="s">
        <v>394</v>
      </c>
      <c r="H1953" s="133" t="s">
        <v>320</v>
      </c>
      <c r="I1953" s="134" t="s">
        <v>108</v>
      </c>
    </row>
    <row r="1954" spans="1:9" x14ac:dyDescent="0.35">
      <c r="A1954" s="144">
        <v>45728</v>
      </c>
      <c r="B1954" s="135">
        <v>130000</v>
      </c>
      <c r="C1954" s="134"/>
      <c r="D1954" s="135"/>
      <c r="E1954" s="134" t="s">
        <v>521</v>
      </c>
      <c r="F1954" s="135">
        <f t="shared" si="30"/>
        <v>2285000</v>
      </c>
      <c r="G1954" s="136" t="s">
        <v>395</v>
      </c>
      <c r="H1954" s="133" t="s">
        <v>322</v>
      </c>
      <c r="I1954" s="134" t="s">
        <v>108</v>
      </c>
    </row>
    <row r="1955" spans="1:9" x14ac:dyDescent="0.35">
      <c r="A1955" s="144">
        <v>45728</v>
      </c>
      <c r="B1955" s="135">
        <v>200000</v>
      </c>
      <c r="C1955" s="134"/>
      <c r="D1955" s="135"/>
      <c r="E1955" s="134" t="s">
        <v>521</v>
      </c>
      <c r="F1955" s="135">
        <f t="shared" si="30"/>
        <v>2085000</v>
      </c>
      <c r="G1955" s="136" t="s">
        <v>396</v>
      </c>
      <c r="H1955" s="133" t="s">
        <v>322</v>
      </c>
      <c r="I1955" s="134" t="s">
        <v>108</v>
      </c>
    </row>
    <row r="1956" spans="1:9" x14ac:dyDescent="0.35">
      <c r="A1956" s="144">
        <v>45728</v>
      </c>
      <c r="B1956" s="135">
        <v>240000</v>
      </c>
      <c r="C1956" s="134"/>
      <c r="D1956" s="135"/>
      <c r="E1956" s="134" t="s">
        <v>521</v>
      </c>
      <c r="F1956" s="135">
        <f t="shared" ref="F1956:F2019" si="31">+F1955+D1956-B1956</f>
        <v>1845000</v>
      </c>
      <c r="G1956" s="136" t="s">
        <v>397</v>
      </c>
      <c r="H1956" s="133" t="s">
        <v>320</v>
      </c>
      <c r="I1956" s="134" t="s">
        <v>108</v>
      </c>
    </row>
    <row r="1957" spans="1:9" x14ac:dyDescent="0.35">
      <c r="A1957" s="144">
        <v>45730</v>
      </c>
      <c r="B1957" s="135">
        <v>500000</v>
      </c>
      <c r="C1957" s="134"/>
      <c r="D1957" s="135"/>
      <c r="E1957" s="134" t="s">
        <v>521</v>
      </c>
      <c r="F1957" s="135">
        <f t="shared" si="31"/>
        <v>1345000</v>
      </c>
      <c r="G1957" s="136" t="s">
        <v>191</v>
      </c>
      <c r="H1957" s="133" t="s">
        <v>323</v>
      </c>
      <c r="I1957" s="134" t="s">
        <v>108</v>
      </c>
    </row>
    <row r="1958" spans="1:9" x14ac:dyDescent="0.35">
      <c r="A1958" s="144">
        <v>45732</v>
      </c>
      <c r="B1958" s="135">
        <v>585000</v>
      </c>
      <c r="C1958" s="134"/>
      <c r="D1958" s="135"/>
      <c r="E1958" s="134" t="s">
        <v>521</v>
      </c>
      <c r="F1958" s="135">
        <f t="shared" si="31"/>
        <v>760000</v>
      </c>
      <c r="G1958" s="136" t="s">
        <v>412</v>
      </c>
      <c r="H1958" s="133" t="s">
        <v>320</v>
      </c>
      <c r="I1958" s="134" t="s">
        <v>108</v>
      </c>
    </row>
    <row r="1959" spans="1:9" x14ac:dyDescent="0.35">
      <c r="A1959" s="144">
        <v>45732</v>
      </c>
      <c r="B1959" s="135">
        <v>100000</v>
      </c>
      <c r="C1959" s="134"/>
      <c r="D1959" s="135"/>
      <c r="E1959" s="134" t="s">
        <v>521</v>
      </c>
      <c r="F1959" s="135">
        <f t="shared" si="31"/>
        <v>660000</v>
      </c>
      <c r="G1959" s="136" t="s">
        <v>413</v>
      </c>
      <c r="H1959" s="133" t="s">
        <v>322</v>
      </c>
      <c r="I1959" s="134" t="s">
        <v>108</v>
      </c>
    </row>
    <row r="1960" spans="1:9" x14ac:dyDescent="0.35">
      <c r="A1960" s="144">
        <v>45733</v>
      </c>
      <c r="B1960" s="135"/>
      <c r="C1960" s="134"/>
      <c r="D1960" s="135">
        <v>5000000</v>
      </c>
      <c r="E1960" s="134" t="s">
        <v>521</v>
      </c>
      <c r="F1960" s="135">
        <f t="shared" si="31"/>
        <v>5660000</v>
      </c>
      <c r="G1960" s="136" t="s">
        <v>414</v>
      </c>
      <c r="H1960" s="133" t="s">
        <v>109</v>
      </c>
      <c r="I1960" s="134" t="s">
        <v>108</v>
      </c>
    </row>
    <row r="1961" spans="1:9" x14ac:dyDescent="0.35">
      <c r="A1961" s="144">
        <v>45735</v>
      </c>
      <c r="B1961" s="135">
        <v>1250000</v>
      </c>
      <c r="C1961" s="134"/>
      <c r="D1961" s="135"/>
      <c r="E1961" s="134" t="s">
        <v>521</v>
      </c>
      <c r="F1961" s="135">
        <f t="shared" si="31"/>
        <v>4410000</v>
      </c>
      <c r="G1961" s="136" t="s">
        <v>415</v>
      </c>
      <c r="H1961" s="133" t="s">
        <v>323</v>
      </c>
      <c r="I1961" s="134" t="s">
        <v>108</v>
      </c>
    </row>
    <row r="1962" spans="1:9" x14ac:dyDescent="0.35">
      <c r="A1962" s="144">
        <v>45735</v>
      </c>
      <c r="B1962" s="135">
        <v>100000</v>
      </c>
      <c r="C1962" s="134"/>
      <c r="D1962" s="135"/>
      <c r="E1962" s="134" t="s">
        <v>521</v>
      </c>
      <c r="F1962" s="135">
        <f t="shared" si="31"/>
        <v>4310000</v>
      </c>
      <c r="G1962" s="136" t="s">
        <v>416</v>
      </c>
      <c r="H1962" s="133" t="s">
        <v>322</v>
      </c>
      <c r="I1962" s="134" t="s">
        <v>108</v>
      </c>
    </row>
    <row r="1963" spans="1:9" x14ac:dyDescent="0.35">
      <c r="A1963" s="144">
        <v>45736</v>
      </c>
      <c r="B1963" s="135">
        <v>200000</v>
      </c>
      <c r="C1963" s="134"/>
      <c r="D1963" s="135"/>
      <c r="E1963" s="134" t="s">
        <v>521</v>
      </c>
      <c r="F1963" s="135">
        <f t="shared" si="31"/>
        <v>4110000</v>
      </c>
      <c r="G1963" s="136" t="s">
        <v>417</v>
      </c>
      <c r="H1963" s="133" t="s">
        <v>327</v>
      </c>
      <c r="I1963" s="134" t="s">
        <v>108</v>
      </c>
    </row>
    <row r="1964" spans="1:9" x14ac:dyDescent="0.35">
      <c r="A1964" s="144">
        <v>45737</v>
      </c>
      <c r="B1964" s="135">
        <v>500000</v>
      </c>
      <c r="C1964" s="134"/>
      <c r="D1964" s="135"/>
      <c r="E1964" s="134" t="s">
        <v>521</v>
      </c>
      <c r="F1964" s="135">
        <f t="shared" si="31"/>
        <v>3610000</v>
      </c>
      <c r="G1964" s="136" t="s">
        <v>302</v>
      </c>
      <c r="H1964" s="133" t="s">
        <v>323</v>
      </c>
      <c r="I1964" s="134" t="s">
        <v>108</v>
      </c>
    </row>
    <row r="1965" spans="1:9" x14ac:dyDescent="0.35">
      <c r="A1965" s="144">
        <v>45737</v>
      </c>
      <c r="B1965" s="135">
        <v>250000</v>
      </c>
      <c r="C1965" s="134"/>
      <c r="D1965" s="135"/>
      <c r="E1965" s="134" t="s">
        <v>521</v>
      </c>
      <c r="F1965" s="135">
        <f t="shared" si="31"/>
        <v>3360000</v>
      </c>
      <c r="G1965" s="136" t="s">
        <v>462</v>
      </c>
      <c r="H1965" s="133" t="s">
        <v>203</v>
      </c>
      <c r="I1965" s="134" t="s">
        <v>108</v>
      </c>
    </row>
    <row r="1966" spans="1:9" x14ac:dyDescent="0.35">
      <c r="A1966" s="144">
        <v>45738</v>
      </c>
      <c r="B1966" s="135">
        <v>250000</v>
      </c>
      <c r="C1966" s="134"/>
      <c r="D1966" s="135"/>
      <c r="E1966" s="134" t="s">
        <v>521</v>
      </c>
      <c r="F1966" s="135">
        <f t="shared" si="31"/>
        <v>3110000</v>
      </c>
      <c r="G1966" s="136" t="s">
        <v>463</v>
      </c>
      <c r="H1966" s="133" t="s">
        <v>322</v>
      </c>
      <c r="I1966" s="134" t="s">
        <v>108</v>
      </c>
    </row>
    <row r="1967" spans="1:9" x14ac:dyDescent="0.35">
      <c r="A1967" s="144">
        <v>45739</v>
      </c>
      <c r="B1967" s="135"/>
      <c r="C1967" s="134"/>
      <c r="D1967" s="135">
        <v>2000000</v>
      </c>
      <c r="E1967" s="134" t="s">
        <v>521</v>
      </c>
      <c r="F1967" s="135">
        <f t="shared" si="31"/>
        <v>5110000</v>
      </c>
      <c r="G1967" s="136" t="s">
        <v>414</v>
      </c>
      <c r="H1967" s="133" t="s">
        <v>109</v>
      </c>
      <c r="I1967" s="134" t="s">
        <v>108</v>
      </c>
    </row>
    <row r="1968" spans="1:9" x14ac:dyDescent="0.35">
      <c r="A1968" s="144">
        <v>45739</v>
      </c>
      <c r="B1968" s="135">
        <v>120000</v>
      </c>
      <c r="C1968" s="134"/>
      <c r="D1968" s="135"/>
      <c r="E1968" s="134" t="s">
        <v>521</v>
      </c>
      <c r="F1968" s="135">
        <f t="shared" si="31"/>
        <v>4990000</v>
      </c>
      <c r="G1968" s="136" t="s">
        <v>464</v>
      </c>
      <c r="H1968" s="133" t="s">
        <v>322</v>
      </c>
      <c r="I1968" s="134" t="s">
        <v>108</v>
      </c>
    </row>
    <row r="1969" spans="1:9" x14ac:dyDescent="0.35">
      <c r="A1969" s="144">
        <v>45744</v>
      </c>
      <c r="B1969" s="135">
        <v>500000</v>
      </c>
      <c r="C1969" s="134"/>
      <c r="D1969" s="135"/>
      <c r="E1969" s="134" t="s">
        <v>521</v>
      </c>
      <c r="F1969" s="135">
        <f t="shared" si="31"/>
        <v>4490000</v>
      </c>
      <c r="G1969" s="136" t="s">
        <v>191</v>
      </c>
      <c r="H1969" s="133" t="s">
        <v>323</v>
      </c>
      <c r="I1969" s="134" t="s">
        <v>108</v>
      </c>
    </row>
    <row r="1970" spans="1:9" x14ac:dyDescent="0.35">
      <c r="A1970" s="144">
        <v>45745</v>
      </c>
      <c r="B1970" s="135">
        <v>400000</v>
      </c>
      <c r="C1970" s="134"/>
      <c r="D1970" s="135"/>
      <c r="E1970" s="134" t="s">
        <v>521</v>
      </c>
      <c r="F1970" s="135">
        <f t="shared" si="31"/>
        <v>4090000</v>
      </c>
      <c r="G1970" s="136" t="s">
        <v>188</v>
      </c>
      <c r="H1970" s="133" t="s">
        <v>323</v>
      </c>
      <c r="I1970" s="134" t="s">
        <v>108</v>
      </c>
    </row>
    <row r="1971" spans="1:9" x14ac:dyDescent="0.35">
      <c r="A1971" s="144">
        <v>45745</v>
      </c>
      <c r="B1971" s="135">
        <v>1005000</v>
      </c>
      <c r="C1971" s="134"/>
      <c r="D1971" s="135"/>
      <c r="E1971" s="134" t="s">
        <v>521</v>
      </c>
      <c r="F1971" s="135">
        <f t="shared" si="31"/>
        <v>3085000</v>
      </c>
      <c r="G1971" s="136" t="s">
        <v>296</v>
      </c>
      <c r="H1971" s="133" t="s">
        <v>321</v>
      </c>
      <c r="I1971" s="134" t="s">
        <v>108</v>
      </c>
    </row>
    <row r="1972" spans="1:9" x14ac:dyDescent="0.35">
      <c r="A1972" s="144">
        <v>45745</v>
      </c>
      <c r="B1972" s="135">
        <v>250000</v>
      </c>
      <c r="C1972" s="134"/>
      <c r="D1972" s="135"/>
      <c r="E1972" s="134" t="s">
        <v>521</v>
      </c>
      <c r="F1972" s="135">
        <f t="shared" si="31"/>
        <v>2835000</v>
      </c>
      <c r="G1972" s="136" t="s">
        <v>493</v>
      </c>
      <c r="H1972" s="133" t="s">
        <v>499</v>
      </c>
      <c r="I1972" s="134" t="s">
        <v>108</v>
      </c>
    </row>
    <row r="1973" spans="1:9" x14ac:dyDescent="0.35">
      <c r="A1973" s="144">
        <v>45746</v>
      </c>
      <c r="B1973" s="135">
        <v>500000</v>
      </c>
      <c r="C1973" s="134"/>
      <c r="D1973" s="135"/>
      <c r="E1973" s="134" t="s">
        <v>521</v>
      </c>
      <c r="F1973" s="135">
        <f t="shared" si="31"/>
        <v>2335000</v>
      </c>
      <c r="G1973" s="136" t="s">
        <v>494</v>
      </c>
      <c r="H1973" s="133" t="s">
        <v>499</v>
      </c>
      <c r="I1973" s="134" t="s">
        <v>108</v>
      </c>
    </row>
    <row r="1974" spans="1:9" x14ac:dyDescent="0.35">
      <c r="A1974" s="144">
        <v>45747</v>
      </c>
      <c r="B1974" s="135"/>
      <c r="C1974" s="187">
        <v>2000000</v>
      </c>
      <c r="D1974" s="135"/>
      <c r="E1974" s="189"/>
      <c r="F1974" s="186">
        <f t="shared" si="31"/>
        <v>2335000</v>
      </c>
      <c r="G1974" s="190" t="s">
        <v>495</v>
      </c>
      <c r="H1974" s="133"/>
      <c r="I1974" s="134"/>
    </row>
    <row r="1975" spans="1:9" x14ac:dyDescent="0.35">
      <c r="A1975" s="144">
        <v>45747</v>
      </c>
      <c r="B1975" s="135"/>
      <c r="C1975" s="187">
        <v>1500000</v>
      </c>
      <c r="D1975" s="135"/>
      <c r="E1975" s="189"/>
      <c r="F1975" s="186">
        <f t="shared" si="31"/>
        <v>2335000</v>
      </c>
      <c r="G1975" s="190" t="s">
        <v>496</v>
      </c>
      <c r="H1975" s="133"/>
      <c r="I1975" s="134"/>
    </row>
    <row r="1976" spans="1:9" x14ac:dyDescent="0.35">
      <c r="A1976" s="144">
        <v>45745</v>
      </c>
      <c r="B1976" s="135">
        <v>130000</v>
      </c>
      <c r="C1976" s="188"/>
      <c r="D1976" s="135"/>
      <c r="E1976" s="134" t="s">
        <v>521</v>
      </c>
      <c r="F1976" s="135">
        <f t="shared" si="31"/>
        <v>2205000</v>
      </c>
      <c r="G1976" s="136" t="s">
        <v>497</v>
      </c>
      <c r="H1976" s="133" t="s">
        <v>322</v>
      </c>
      <c r="I1976" s="134" t="s">
        <v>108</v>
      </c>
    </row>
    <row r="1977" spans="1:9" x14ac:dyDescent="0.35">
      <c r="A1977" s="144">
        <v>45745</v>
      </c>
      <c r="B1977" s="135"/>
      <c r="C1977" s="187">
        <v>7000000</v>
      </c>
      <c r="D1977" s="135"/>
      <c r="E1977" s="189"/>
      <c r="F1977" s="186">
        <f t="shared" si="31"/>
        <v>2205000</v>
      </c>
      <c r="G1977" s="190" t="s">
        <v>498</v>
      </c>
      <c r="H1977" s="133"/>
      <c r="I1977" s="134"/>
    </row>
    <row r="1978" spans="1:9" x14ac:dyDescent="0.35">
      <c r="A1978" s="144">
        <v>45720</v>
      </c>
      <c r="B1978" s="135">
        <v>500000</v>
      </c>
      <c r="C1978" s="134"/>
      <c r="D1978" s="135"/>
      <c r="E1978" s="134" t="s">
        <v>521</v>
      </c>
      <c r="F1978" s="135">
        <f t="shared" si="31"/>
        <v>1705000</v>
      </c>
      <c r="G1978" s="136" t="s">
        <v>191</v>
      </c>
      <c r="H1978" s="133" t="s">
        <v>323</v>
      </c>
      <c r="I1978" s="134" t="s">
        <v>108</v>
      </c>
    </row>
    <row r="1979" spans="1:9" x14ac:dyDescent="0.35">
      <c r="A1979" s="144">
        <v>45753</v>
      </c>
      <c r="B1979" s="135">
        <v>400000</v>
      </c>
      <c r="C1979" s="134"/>
      <c r="D1979" s="135"/>
      <c r="E1979" s="134" t="s">
        <v>559</v>
      </c>
      <c r="F1979" s="135">
        <f t="shared" si="31"/>
        <v>1305000</v>
      </c>
      <c r="G1979" s="136" t="s">
        <v>511</v>
      </c>
      <c r="H1979" s="133" t="s">
        <v>322</v>
      </c>
      <c r="I1979" s="134" t="s">
        <v>108</v>
      </c>
    </row>
    <row r="1980" spans="1:9" x14ac:dyDescent="0.35">
      <c r="A1980" s="144">
        <v>45753</v>
      </c>
      <c r="B1980" s="135">
        <v>130000</v>
      </c>
      <c r="C1980" s="134"/>
      <c r="D1980" s="135"/>
      <c r="E1980" s="134" t="s">
        <v>559</v>
      </c>
      <c r="F1980" s="135">
        <f t="shared" si="31"/>
        <v>1175000</v>
      </c>
      <c r="G1980" s="136" t="s">
        <v>112</v>
      </c>
      <c r="H1980" s="133" t="s">
        <v>322</v>
      </c>
      <c r="I1980" s="134" t="s">
        <v>108</v>
      </c>
    </row>
    <row r="1981" spans="1:9" x14ac:dyDescent="0.35">
      <c r="A1981" s="144">
        <v>45753</v>
      </c>
      <c r="B1981" s="135">
        <v>1400000</v>
      </c>
      <c r="C1981" s="134"/>
      <c r="D1981" s="135"/>
      <c r="E1981" s="134" t="s">
        <v>559</v>
      </c>
      <c r="F1981" s="135">
        <f t="shared" si="31"/>
        <v>-225000</v>
      </c>
      <c r="G1981" s="136" t="s">
        <v>512</v>
      </c>
      <c r="H1981" s="133" t="s">
        <v>322</v>
      </c>
      <c r="I1981" s="134" t="s">
        <v>108</v>
      </c>
    </row>
    <row r="1982" spans="1:9" x14ac:dyDescent="0.35">
      <c r="A1982" s="144">
        <v>45754</v>
      </c>
      <c r="B1982" s="135"/>
      <c r="C1982" s="134"/>
      <c r="D1982" s="135">
        <v>3000000</v>
      </c>
      <c r="E1982" s="134" t="s">
        <v>559</v>
      </c>
      <c r="F1982" s="135">
        <f t="shared" si="31"/>
        <v>2775000</v>
      </c>
      <c r="G1982" s="136" t="s">
        <v>414</v>
      </c>
      <c r="H1982" s="133" t="s">
        <v>109</v>
      </c>
      <c r="I1982" s="134" t="s">
        <v>108</v>
      </c>
    </row>
    <row r="1983" spans="1:9" x14ac:dyDescent="0.35">
      <c r="A1983" s="144">
        <v>45756</v>
      </c>
      <c r="B1983" s="135">
        <v>1500000</v>
      </c>
      <c r="C1983" s="134"/>
      <c r="D1983" s="135"/>
      <c r="E1983" s="134" t="s">
        <v>559</v>
      </c>
      <c r="F1983" s="135">
        <f t="shared" si="31"/>
        <v>1275000</v>
      </c>
      <c r="G1983" s="136" t="s">
        <v>513</v>
      </c>
      <c r="H1983" s="133" t="s">
        <v>322</v>
      </c>
      <c r="I1983" s="134" t="s">
        <v>108</v>
      </c>
    </row>
    <row r="1984" spans="1:9" x14ac:dyDescent="0.35">
      <c r="A1984" s="144">
        <v>45756</v>
      </c>
      <c r="B1984" s="135">
        <v>300000</v>
      </c>
      <c r="C1984" s="134"/>
      <c r="D1984" s="135"/>
      <c r="E1984" s="134" t="s">
        <v>559</v>
      </c>
      <c r="F1984" s="135">
        <f t="shared" si="31"/>
        <v>975000</v>
      </c>
      <c r="G1984" s="136" t="s">
        <v>514</v>
      </c>
      <c r="H1984" s="133" t="s">
        <v>322</v>
      </c>
      <c r="I1984" s="134" t="s">
        <v>108</v>
      </c>
    </row>
    <row r="1985" spans="1:9" x14ac:dyDescent="0.35">
      <c r="A1985" s="144">
        <v>45758</v>
      </c>
      <c r="B1985" s="135">
        <v>500000</v>
      </c>
      <c r="C1985" s="134"/>
      <c r="D1985" s="135"/>
      <c r="E1985" s="134" t="s">
        <v>559</v>
      </c>
      <c r="F1985" s="135">
        <f t="shared" si="31"/>
        <v>475000</v>
      </c>
      <c r="G1985" s="136" t="s">
        <v>191</v>
      </c>
      <c r="H1985" s="133" t="s">
        <v>323</v>
      </c>
      <c r="I1985" s="134" t="s">
        <v>108</v>
      </c>
    </row>
    <row r="1986" spans="1:9" x14ac:dyDescent="0.35">
      <c r="A1986" s="144">
        <v>45759</v>
      </c>
      <c r="B1986" s="135"/>
      <c r="C1986" s="134"/>
      <c r="D1986" s="135">
        <v>2000000</v>
      </c>
      <c r="E1986" s="134" t="s">
        <v>559</v>
      </c>
      <c r="F1986" s="135">
        <f t="shared" si="31"/>
        <v>2475000</v>
      </c>
      <c r="G1986" s="136" t="s">
        <v>414</v>
      </c>
      <c r="H1986" s="133" t="s">
        <v>109</v>
      </c>
      <c r="I1986" s="134" t="s">
        <v>108</v>
      </c>
    </row>
    <row r="1987" spans="1:9" x14ac:dyDescent="0.35">
      <c r="A1987" s="144">
        <v>45759</v>
      </c>
      <c r="B1987" s="135">
        <v>100000</v>
      </c>
      <c r="C1987" s="134"/>
      <c r="D1987" s="135"/>
      <c r="E1987" s="134" t="s">
        <v>559</v>
      </c>
      <c r="F1987" s="135">
        <f t="shared" si="31"/>
        <v>2375000</v>
      </c>
      <c r="G1987" s="136" t="s">
        <v>537</v>
      </c>
      <c r="H1987" s="133" t="s">
        <v>322</v>
      </c>
      <c r="I1987" s="134" t="s">
        <v>108</v>
      </c>
    </row>
    <row r="1988" spans="1:9" x14ac:dyDescent="0.35">
      <c r="A1988" s="144">
        <v>45761</v>
      </c>
      <c r="B1988" s="135">
        <v>200000</v>
      </c>
      <c r="C1988" s="134"/>
      <c r="D1988" s="135"/>
      <c r="E1988" s="134" t="s">
        <v>559</v>
      </c>
      <c r="F1988" s="135">
        <f t="shared" si="31"/>
        <v>2175000</v>
      </c>
      <c r="G1988" s="136" t="s">
        <v>538</v>
      </c>
      <c r="H1988" s="133" t="s">
        <v>322</v>
      </c>
      <c r="I1988" s="134" t="s">
        <v>108</v>
      </c>
    </row>
    <row r="1989" spans="1:9" x14ac:dyDescent="0.35">
      <c r="A1989" s="144">
        <v>45763</v>
      </c>
      <c r="B1989" s="135">
        <v>380000</v>
      </c>
      <c r="C1989" s="134"/>
      <c r="D1989" s="135"/>
      <c r="E1989" s="134" t="s">
        <v>559</v>
      </c>
      <c r="F1989" s="135">
        <f t="shared" si="31"/>
        <v>1795000</v>
      </c>
      <c r="G1989" s="136" t="s">
        <v>539</v>
      </c>
      <c r="H1989" s="133" t="s">
        <v>322</v>
      </c>
      <c r="I1989" s="134" t="s">
        <v>108</v>
      </c>
    </row>
    <row r="1990" spans="1:9" x14ac:dyDescent="0.35">
      <c r="A1990" s="144">
        <v>45763</v>
      </c>
      <c r="B1990" s="135">
        <v>300000</v>
      </c>
      <c r="C1990" s="134"/>
      <c r="D1990" s="135"/>
      <c r="E1990" s="134" t="s">
        <v>559</v>
      </c>
      <c r="F1990" s="135">
        <f t="shared" si="31"/>
        <v>1495000</v>
      </c>
      <c r="G1990" s="136" t="s">
        <v>297</v>
      </c>
      <c r="H1990" s="133" t="s">
        <v>322</v>
      </c>
      <c r="I1990" s="134" t="s">
        <v>108</v>
      </c>
    </row>
    <row r="1991" spans="1:9" x14ac:dyDescent="0.35">
      <c r="A1991" s="144">
        <v>45763</v>
      </c>
      <c r="B1991" s="135">
        <v>200000</v>
      </c>
      <c r="C1991" s="134"/>
      <c r="D1991" s="135"/>
      <c r="E1991" s="134" t="s">
        <v>559</v>
      </c>
      <c r="F1991" s="135">
        <f t="shared" si="31"/>
        <v>1295000</v>
      </c>
      <c r="G1991" s="136" t="s">
        <v>540</v>
      </c>
      <c r="H1991" s="133" t="s">
        <v>322</v>
      </c>
      <c r="I1991" s="134" t="s">
        <v>108</v>
      </c>
    </row>
    <row r="1992" spans="1:9" x14ac:dyDescent="0.35">
      <c r="A1992" s="144">
        <v>45764</v>
      </c>
      <c r="B1992" s="135">
        <v>500000</v>
      </c>
      <c r="C1992" s="134"/>
      <c r="D1992" s="135"/>
      <c r="E1992" s="134" t="s">
        <v>559</v>
      </c>
      <c r="F1992" s="135">
        <f t="shared" si="31"/>
        <v>795000</v>
      </c>
      <c r="G1992" s="136" t="s">
        <v>191</v>
      </c>
      <c r="H1992" s="133" t="s">
        <v>323</v>
      </c>
      <c r="I1992" s="134" t="s">
        <v>108</v>
      </c>
    </row>
    <row r="1993" spans="1:9" x14ac:dyDescent="0.35">
      <c r="A1993" s="144">
        <v>45766</v>
      </c>
      <c r="B1993" s="135">
        <v>110000</v>
      </c>
      <c r="C1993" s="134"/>
      <c r="D1993" s="135"/>
      <c r="E1993" s="134" t="s">
        <v>559</v>
      </c>
      <c r="F1993" s="135">
        <f t="shared" si="31"/>
        <v>685000</v>
      </c>
      <c r="G1993" s="136" t="s">
        <v>553</v>
      </c>
      <c r="H1993" s="133" t="s">
        <v>322</v>
      </c>
      <c r="I1993" s="134" t="s">
        <v>108</v>
      </c>
    </row>
    <row r="1994" spans="1:9" x14ac:dyDescent="0.35">
      <c r="A1994" s="144">
        <v>45767</v>
      </c>
      <c r="B1994" s="135">
        <v>92000</v>
      </c>
      <c r="C1994" s="134"/>
      <c r="D1994" s="135"/>
      <c r="E1994" s="134" t="s">
        <v>559</v>
      </c>
      <c r="F1994" s="135">
        <f t="shared" si="31"/>
        <v>593000</v>
      </c>
      <c r="G1994" s="136" t="s">
        <v>554</v>
      </c>
      <c r="H1994" s="133" t="s">
        <v>327</v>
      </c>
      <c r="I1994" s="134" t="s">
        <v>108</v>
      </c>
    </row>
    <row r="1995" spans="1:9" x14ac:dyDescent="0.35">
      <c r="A1995" s="144">
        <v>45768</v>
      </c>
      <c r="B1995" s="135">
        <v>100000</v>
      </c>
      <c r="C1995" s="134"/>
      <c r="D1995" s="135"/>
      <c r="E1995" s="134" t="s">
        <v>559</v>
      </c>
      <c r="F1995" s="135">
        <f t="shared" si="31"/>
        <v>493000</v>
      </c>
      <c r="G1995" s="136" t="s">
        <v>493</v>
      </c>
      <c r="H1995" s="133" t="s">
        <v>322</v>
      </c>
      <c r="I1995" s="134" t="s">
        <v>108</v>
      </c>
    </row>
    <row r="1996" spans="1:9" x14ac:dyDescent="0.35">
      <c r="A1996" s="144">
        <v>45771</v>
      </c>
      <c r="B1996" s="135">
        <v>300000</v>
      </c>
      <c r="C1996" s="134"/>
      <c r="D1996" s="135"/>
      <c r="E1996" s="134" t="s">
        <v>559</v>
      </c>
      <c r="F1996" s="135">
        <f t="shared" si="31"/>
        <v>193000</v>
      </c>
      <c r="G1996" s="136" t="s">
        <v>555</v>
      </c>
      <c r="H1996" s="133" t="s">
        <v>322</v>
      </c>
      <c r="I1996" s="134" t="s">
        <v>108</v>
      </c>
    </row>
    <row r="1997" spans="1:9" x14ac:dyDescent="0.35">
      <c r="A1997" s="144">
        <v>45767</v>
      </c>
      <c r="B1997" s="135"/>
      <c r="C1997" s="134"/>
      <c r="D1997" s="135">
        <v>3000000</v>
      </c>
      <c r="E1997" s="134" t="s">
        <v>559</v>
      </c>
      <c r="F1997" s="135">
        <f t="shared" si="31"/>
        <v>3193000</v>
      </c>
      <c r="G1997" s="136" t="s">
        <v>556</v>
      </c>
      <c r="H1997" s="133" t="s">
        <v>109</v>
      </c>
      <c r="I1997" s="134" t="s">
        <v>108</v>
      </c>
    </row>
    <row r="1998" spans="1:9" x14ac:dyDescent="0.35">
      <c r="A1998" s="144">
        <v>45772</v>
      </c>
      <c r="B1998" s="135">
        <v>500000</v>
      </c>
      <c r="C1998" s="134"/>
      <c r="D1998" s="135"/>
      <c r="E1998" s="134" t="s">
        <v>559</v>
      </c>
      <c r="F1998" s="135">
        <f t="shared" si="31"/>
        <v>2693000</v>
      </c>
      <c r="G1998" s="136" t="s">
        <v>191</v>
      </c>
      <c r="H1998" s="133" t="s">
        <v>323</v>
      </c>
      <c r="I1998" s="134" t="s">
        <v>108</v>
      </c>
    </row>
    <row r="1999" spans="1:9" x14ac:dyDescent="0.35">
      <c r="A1999" s="144">
        <v>45772</v>
      </c>
      <c r="B1999" s="135">
        <v>1002000</v>
      </c>
      <c r="C1999" s="134"/>
      <c r="D1999" s="135"/>
      <c r="E1999" s="134" t="s">
        <v>559</v>
      </c>
      <c r="F1999" s="135">
        <f t="shared" si="31"/>
        <v>1691000</v>
      </c>
      <c r="G1999" s="136" t="s">
        <v>296</v>
      </c>
      <c r="H1999" s="133" t="s">
        <v>321</v>
      </c>
      <c r="I1999" s="134" t="s">
        <v>108</v>
      </c>
    </row>
    <row r="2000" spans="1:9" x14ac:dyDescent="0.35">
      <c r="A2000" s="144">
        <v>45773</v>
      </c>
      <c r="B2000" s="135">
        <v>150000</v>
      </c>
      <c r="C2000" s="134"/>
      <c r="D2000" s="135"/>
      <c r="E2000" s="134" t="s">
        <v>559</v>
      </c>
      <c r="F2000" s="135">
        <f t="shared" si="31"/>
        <v>1541000</v>
      </c>
      <c r="G2000" s="136" t="s">
        <v>583</v>
      </c>
      <c r="H2000" s="133" t="s">
        <v>322</v>
      </c>
      <c r="I2000" s="134" t="s">
        <v>108</v>
      </c>
    </row>
    <row r="2001" spans="1:12" x14ac:dyDescent="0.35">
      <c r="A2001" s="144">
        <v>45774</v>
      </c>
      <c r="B2001" s="135">
        <v>120000</v>
      </c>
      <c r="C2001" s="134"/>
      <c r="D2001" s="135"/>
      <c r="E2001" s="134" t="s">
        <v>559</v>
      </c>
      <c r="F2001" s="135">
        <f t="shared" si="31"/>
        <v>1421000</v>
      </c>
      <c r="G2001" s="136" t="s">
        <v>298</v>
      </c>
      <c r="H2001" s="133" t="s">
        <v>327</v>
      </c>
      <c r="I2001" s="134" t="s">
        <v>108</v>
      </c>
    </row>
    <row r="2002" spans="1:12" x14ac:dyDescent="0.35">
      <c r="A2002" s="144">
        <v>45777</v>
      </c>
      <c r="B2002" s="135">
        <v>400000</v>
      </c>
      <c r="C2002" s="134"/>
      <c r="D2002" s="135"/>
      <c r="E2002" s="134" t="s">
        <v>559</v>
      </c>
      <c r="F2002" s="135">
        <f t="shared" si="31"/>
        <v>1021000</v>
      </c>
      <c r="G2002" s="136" t="s">
        <v>188</v>
      </c>
      <c r="H2002" s="133" t="s">
        <v>323</v>
      </c>
      <c r="I2002" s="134" t="s">
        <v>108</v>
      </c>
    </row>
    <row r="2003" spans="1:12" x14ac:dyDescent="0.35">
      <c r="A2003" s="144">
        <v>45778</v>
      </c>
      <c r="B2003" s="135">
        <v>500000</v>
      </c>
      <c r="C2003" s="134"/>
      <c r="D2003" s="135"/>
      <c r="E2003" s="134" t="s">
        <v>588</v>
      </c>
      <c r="F2003" s="135">
        <f t="shared" si="31"/>
        <v>521000</v>
      </c>
      <c r="G2003" s="136" t="s">
        <v>191</v>
      </c>
      <c r="H2003" s="133" t="s">
        <v>323</v>
      </c>
      <c r="I2003" s="134" t="s">
        <v>108</v>
      </c>
    </row>
    <row r="2004" spans="1:12" x14ac:dyDescent="0.35">
      <c r="A2004" s="144">
        <v>45778</v>
      </c>
      <c r="B2004" s="135"/>
      <c r="C2004" s="134"/>
      <c r="D2004" s="135">
        <v>3000000</v>
      </c>
      <c r="E2004" s="134" t="s">
        <v>588</v>
      </c>
      <c r="F2004" s="135">
        <f t="shared" si="31"/>
        <v>3521000</v>
      </c>
      <c r="G2004" s="136" t="s">
        <v>556</v>
      </c>
      <c r="H2004" s="133" t="s">
        <v>109</v>
      </c>
      <c r="I2004" s="134" t="s">
        <v>108</v>
      </c>
    </row>
    <row r="2005" spans="1:12" x14ac:dyDescent="0.35">
      <c r="A2005" s="144">
        <v>45779</v>
      </c>
      <c r="B2005" s="135">
        <v>130000</v>
      </c>
      <c r="C2005" s="134"/>
      <c r="D2005" s="135"/>
      <c r="E2005" s="134" t="s">
        <v>588</v>
      </c>
      <c r="F2005" s="135">
        <f t="shared" si="31"/>
        <v>3391000</v>
      </c>
      <c r="G2005" s="136" t="s">
        <v>497</v>
      </c>
      <c r="H2005" s="133" t="s">
        <v>322</v>
      </c>
      <c r="I2005" s="134" t="s">
        <v>108</v>
      </c>
    </row>
    <row r="2006" spans="1:12" x14ac:dyDescent="0.35">
      <c r="A2006" s="144">
        <v>45778</v>
      </c>
      <c r="B2006" s="135">
        <v>446000</v>
      </c>
      <c r="C2006" s="134"/>
      <c r="D2006" s="135"/>
      <c r="E2006" s="134" t="s">
        <v>588</v>
      </c>
      <c r="F2006" s="135">
        <f t="shared" si="31"/>
        <v>2945000</v>
      </c>
      <c r="G2006" s="136" t="s">
        <v>615</v>
      </c>
      <c r="H2006" s="133" t="s">
        <v>320</v>
      </c>
      <c r="I2006" s="134" t="s">
        <v>108</v>
      </c>
    </row>
    <row r="2007" spans="1:12" x14ac:dyDescent="0.35">
      <c r="A2007" s="144">
        <v>45781</v>
      </c>
      <c r="B2007" s="135">
        <v>165000</v>
      </c>
      <c r="C2007" s="134"/>
      <c r="D2007" s="135"/>
      <c r="E2007" s="134" t="s">
        <v>588</v>
      </c>
      <c r="F2007" s="135">
        <f t="shared" si="31"/>
        <v>2780000</v>
      </c>
      <c r="G2007" s="136" t="s">
        <v>615</v>
      </c>
      <c r="H2007" s="133" t="s">
        <v>320</v>
      </c>
      <c r="I2007" s="134" t="s">
        <v>108</v>
      </c>
    </row>
    <row r="2008" spans="1:12" x14ac:dyDescent="0.35">
      <c r="A2008" s="144">
        <v>45781</v>
      </c>
      <c r="B2008" s="135">
        <v>110000</v>
      </c>
      <c r="C2008" s="134"/>
      <c r="D2008" s="135"/>
      <c r="E2008" s="134" t="s">
        <v>588</v>
      </c>
      <c r="F2008" s="135">
        <f t="shared" si="31"/>
        <v>2670000</v>
      </c>
      <c r="G2008" s="136" t="s">
        <v>298</v>
      </c>
      <c r="H2008" s="133" t="s">
        <v>327</v>
      </c>
      <c r="I2008" s="134" t="s">
        <v>108</v>
      </c>
    </row>
    <row r="2009" spans="1:12" x14ac:dyDescent="0.35">
      <c r="A2009" s="144">
        <v>45783</v>
      </c>
      <c r="B2009" s="135">
        <v>300000</v>
      </c>
      <c r="C2009" s="134"/>
      <c r="D2009" s="135"/>
      <c r="E2009" s="134" t="s">
        <v>588</v>
      </c>
      <c r="F2009" s="135">
        <f t="shared" si="31"/>
        <v>2370000</v>
      </c>
      <c r="G2009" s="136" t="s">
        <v>616</v>
      </c>
      <c r="H2009" s="133" t="s">
        <v>322</v>
      </c>
      <c r="I2009" s="134" t="s">
        <v>108</v>
      </c>
    </row>
    <row r="2010" spans="1:12" x14ac:dyDescent="0.35">
      <c r="A2010" s="144">
        <v>45785</v>
      </c>
      <c r="B2010" s="135">
        <v>500000</v>
      </c>
      <c r="C2010" s="134"/>
      <c r="D2010" s="135"/>
      <c r="E2010" s="134" t="s">
        <v>588</v>
      </c>
      <c r="F2010" s="135">
        <f t="shared" si="31"/>
        <v>1870000</v>
      </c>
      <c r="G2010" s="136" t="s">
        <v>302</v>
      </c>
      <c r="H2010" s="133" t="s">
        <v>323</v>
      </c>
      <c r="I2010" s="134" t="s">
        <v>108</v>
      </c>
    </row>
    <row r="2011" spans="1:12" x14ac:dyDescent="0.35">
      <c r="A2011" s="144">
        <v>45785</v>
      </c>
      <c r="B2011" s="135">
        <v>293000</v>
      </c>
      <c r="C2011" s="134"/>
      <c r="D2011" s="135"/>
      <c r="E2011" s="134" t="s">
        <v>588</v>
      </c>
      <c r="F2011" s="135">
        <f t="shared" si="31"/>
        <v>1577000</v>
      </c>
      <c r="G2011" s="136" t="s">
        <v>313</v>
      </c>
      <c r="H2011" s="133" t="s">
        <v>320</v>
      </c>
      <c r="I2011" s="134" t="s">
        <v>108</v>
      </c>
    </row>
    <row r="2012" spans="1:12" x14ac:dyDescent="0.35">
      <c r="A2012" s="144">
        <v>45787</v>
      </c>
      <c r="B2012" s="135"/>
      <c r="C2012" s="134"/>
      <c r="D2012" s="135">
        <v>3000000</v>
      </c>
      <c r="E2012" s="134" t="s">
        <v>588</v>
      </c>
      <c r="F2012" s="135">
        <f t="shared" si="31"/>
        <v>4577000</v>
      </c>
      <c r="G2012" s="136" t="s">
        <v>556</v>
      </c>
      <c r="H2012" s="133" t="s">
        <v>109</v>
      </c>
      <c r="I2012" s="134" t="s">
        <v>108</v>
      </c>
    </row>
    <row r="2013" spans="1:12" x14ac:dyDescent="0.35">
      <c r="A2013" s="144">
        <v>45787</v>
      </c>
      <c r="B2013" s="135">
        <v>300000</v>
      </c>
      <c r="C2013" s="134"/>
      <c r="D2013" s="135"/>
      <c r="E2013" s="134" t="s">
        <v>588</v>
      </c>
      <c r="F2013" s="135">
        <f t="shared" si="31"/>
        <v>4277000</v>
      </c>
      <c r="G2013" s="136" t="s">
        <v>637</v>
      </c>
      <c r="H2013" s="133" t="s">
        <v>327</v>
      </c>
      <c r="I2013" s="134" t="s">
        <v>108</v>
      </c>
      <c r="K2013" s="181"/>
      <c r="L2013" s="181"/>
    </row>
    <row r="2014" spans="1:12" x14ac:dyDescent="0.35">
      <c r="A2014" s="144">
        <v>45787</v>
      </c>
      <c r="B2014" s="135">
        <v>130000</v>
      </c>
      <c r="C2014" s="134"/>
      <c r="D2014" s="135"/>
      <c r="E2014" s="134" t="s">
        <v>588</v>
      </c>
      <c r="F2014" s="135">
        <f t="shared" si="31"/>
        <v>4147000</v>
      </c>
      <c r="G2014" s="136" t="s">
        <v>497</v>
      </c>
      <c r="H2014" s="133" t="s">
        <v>322</v>
      </c>
      <c r="I2014" s="134" t="s">
        <v>108</v>
      </c>
      <c r="K2014" s="181"/>
      <c r="L2014" s="181"/>
    </row>
    <row r="2015" spans="1:12" x14ac:dyDescent="0.35">
      <c r="A2015" s="144">
        <v>45787</v>
      </c>
      <c r="B2015" s="135">
        <v>500000</v>
      </c>
      <c r="C2015" s="134"/>
      <c r="D2015" s="135"/>
      <c r="E2015" s="134" t="s">
        <v>588</v>
      </c>
      <c r="F2015" s="135">
        <f t="shared" si="31"/>
        <v>3647000</v>
      </c>
      <c r="G2015" s="136" t="s">
        <v>638</v>
      </c>
      <c r="H2015" s="133" t="s">
        <v>323</v>
      </c>
      <c r="I2015" s="134" t="s">
        <v>108</v>
      </c>
      <c r="K2015" s="181"/>
      <c r="L2015" s="181"/>
    </row>
    <row r="2016" spans="1:12" x14ac:dyDescent="0.35">
      <c r="A2016" s="144">
        <v>45787</v>
      </c>
      <c r="B2016" s="135">
        <v>110000</v>
      </c>
      <c r="C2016" s="134"/>
      <c r="D2016" s="135"/>
      <c r="E2016" s="134" t="s">
        <v>588</v>
      </c>
      <c r="F2016" s="135">
        <f t="shared" si="31"/>
        <v>3537000</v>
      </c>
      <c r="G2016" s="136" t="s">
        <v>639</v>
      </c>
      <c r="H2016" s="133" t="s">
        <v>327</v>
      </c>
      <c r="I2016" s="134" t="s">
        <v>108</v>
      </c>
      <c r="K2016" s="181"/>
      <c r="L2016" s="181"/>
    </row>
    <row r="2017" spans="1:12" x14ac:dyDescent="0.35">
      <c r="A2017" s="144">
        <v>45787</v>
      </c>
      <c r="B2017" s="135">
        <v>366000</v>
      </c>
      <c r="C2017" s="134"/>
      <c r="D2017" s="135"/>
      <c r="E2017" s="134" t="s">
        <v>588</v>
      </c>
      <c r="F2017" s="135">
        <f t="shared" si="31"/>
        <v>3171000</v>
      </c>
      <c r="G2017" s="136" t="s">
        <v>640</v>
      </c>
      <c r="H2017" s="133" t="s">
        <v>614</v>
      </c>
      <c r="I2017" s="134" t="s">
        <v>108</v>
      </c>
      <c r="K2017" s="181"/>
      <c r="L2017" s="181"/>
    </row>
    <row r="2018" spans="1:12" x14ac:dyDescent="0.35">
      <c r="A2018" s="144">
        <v>45787</v>
      </c>
      <c r="B2018" s="135">
        <v>500000</v>
      </c>
      <c r="C2018" s="134"/>
      <c r="D2018" s="135"/>
      <c r="E2018" s="134" t="s">
        <v>588</v>
      </c>
      <c r="F2018" s="135">
        <f t="shared" si="31"/>
        <v>2671000</v>
      </c>
      <c r="G2018" s="136" t="s">
        <v>641</v>
      </c>
      <c r="H2018" s="133" t="s">
        <v>323</v>
      </c>
      <c r="I2018" s="134" t="s">
        <v>108</v>
      </c>
      <c r="K2018" s="181"/>
      <c r="L2018" s="181"/>
    </row>
    <row r="2019" spans="1:12" x14ac:dyDescent="0.35">
      <c r="A2019" s="144">
        <v>45793</v>
      </c>
      <c r="B2019" s="135">
        <v>250000</v>
      </c>
      <c r="C2019" s="134"/>
      <c r="D2019" s="135"/>
      <c r="E2019" s="134" t="s">
        <v>588</v>
      </c>
      <c r="F2019" s="135">
        <f t="shared" si="31"/>
        <v>2421000</v>
      </c>
      <c r="G2019" s="136" t="s">
        <v>642</v>
      </c>
      <c r="H2019" s="133" t="s">
        <v>203</v>
      </c>
      <c r="I2019" s="134" t="s">
        <v>108</v>
      </c>
      <c r="K2019" s="181"/>
      <c r="L2019" s="181"/>
    </row>
    <row r="2020" spans="1:12" x14ac:dyDescent="0.35">
      <c r="A2020" s="144">
        <v>45793</v>
      </c>
      <c r="B2020" s="135">
        <v>200000</v>
      </c>
      <c r="C2020" s="134"/>
      <c r="D2020" s="135"/>
      <c r="E2020" s="134" t="s">
        <v>588</v>
      </c>
      <c r="F2020" s="135">
        <f t="shared" ref="F2020:F2083" si="32">+F2019+D2020-B2020</f>
        <v>2221000</v>
      </c>
      <c r="G2020" s="136" t="s">
        <v>643</v>
      </c>
      <c r="H2020" s="133" t="s">
        <v>322</v>
      </c>
      <c r="I2020" s="134" t="s">
        <v>108</v>
      </c>
      <c r="K2020" s="181"/>
      <c r="L2020" s="181"/>
    </row>
    <row r="2021" spans="1:12" x14ac:dyDescent="0.35">
      <c r="A2021" s="144">
        <v>45795</v>
      </c>
      <c r="B2021" s="135">
        <v>120000</v>
      </c>
      <c r="C2021" s="134"/>
      <c r="D2021" s="135"/>
      <c r="E2021" s="134" t="s">
        <v>588</v>
      </c>
      <c r="F2021" s="135">
        <f t="shared" si="32"/>
        <v>2101000</v>
      </c>
      <c r="G2021" s="136" t="s">
        <v>644</v>
      </c>
      <c r="H2021" s="133" t="s">
        <v>327</v>
      </c>
      <c r="I2021" s="134" t="s">
        <v>108</v>
      </c>
      <c r="K2021" s="181"/>
      <c r="L2021" s="181"/>
    </row>
    <row r="2022" spans="1:12" x14ac:dyDescent="0.35">
      <c r="A2022" s="144">
        <v>45795</v>
      </c>
      <c r="B2022" s="135">
        <v>75000</v>
      </c>
      <c r="C2022" s="134"/>
      <c r="D2022" s="135"/>
      <c r="E2022" s="134" t="s">
        <v>588</v>
      </c>
      <c r="F2022" s="135">
        <f t="shared" si="32"/>
        <v>2026000</v>
      </c>
      <c r="G2022" s="136" t="s">
        <v>644</v>
      </c>
      <c r="H2022" s="133" t="s">
        <v>327</v>
      </c>
      <c r="I2022" s="134" t="s">
        <v>108</v>
      </c>
      <c r="K2022" s="181"/>
      <c r="L2022" s="181"/>
    </row>
    <row r="2023" spans="1:12" x14ac:dyDescent="0.35">
      <c r="A2023" s="144">
        <v>45800</v>
      </c>
      <c r="B2023" s="135">
        <v>500000</v>
      </c>
      <c r="C2023" s="134"/>
      <c r="D2023" s="135"/>
      <c r="E2023" s="134" t="s">
        <v>588</v>
      </c>
      <c r="F2023" s="135">
        <f t="shared" si="32"/>
        <v>1526000</v>
      </c>
      <c r="G2023" s="136" t="s">
        <v>641</v>
      </c>
      <c r="H2023" s="133" t="s">
        <v>323</v>
      </c>
      <c r="I2023" s="134" t="s">
        <v>108</v>
      </c>
      <c r="K2023" s="181"/>
      <c r="L2023" s="181"/>
    </row>
    <row r="2024" spans="1:12" x14ac:dyDescent="0.35">
      <c r="A2024" s="144">
        <v>45802</v>
      </c>
      <c r="B2024" s="135"/>
      <c r="C2024" s="134"/>
      <c r="D2024" s="135">
        <v>2000000</v>
      </c>
      <c r="E2024" s="134" t="s">
        <v>588</v>
      </c>
      <c r="F2024" s="135">
        <f t="shared" si="32"/>
        <v>3526000</v>
      </c>
      <c r="G2024" s="136" t="s">
        <v>108</v>
      </c>
      <c r="H2024" s="133" t="s">
        <v>109</v>
      </c>
      <c r="I2024" s="134" t="s">
        <v>108</v>
      </c>
      <c r="K2024" s="181"/>
      <c r="L2024" s="181"/>
    </row>
    <row r="2025" spans="1:12" x14ac:dyDescent="0.35">
      <c r="A2025" s="144">
        <v>45802</v>
      </c>
      <c r="B2025" s="135">
        <v>220000</v>
      </c>
      <c r="C2025" s="134"/>
      <c r="D2025" s="135"/>
      <c r="E2025" s="134" t="s">
        <v>588</v>
      </c>
      <c r="F2025" s="135">
        <f t="shared" si="32"/>
        <v>3306000</v>
      </c>
      <c r="G2025" s="136" t="s">
        <v>658</v>
      </c>
      <c r="H2025" s="133" t="s">
        <v>327</v>
      </c>
      <c r="I2025" s="134" t="s">
        <v>108</v>
      </c>
      <c r="K2025" s="181"/>
      <c r="L2025" s="181"/>
    </row>
    <row r="2026" spans="1:12" x14ac:dyDescent="0.35">
      <c r="A2026" s="144">
        <v>45802</v>
      </c>
      <c r="B2026" s="135">
        <v>150000</v>
      </c>
      <c r="C2026" s="134"/>
      <c r="D2026" s="135"/>
      <c r="E2026" s="134" t="s">
        <v>588</v>
      </c>
      <c r="F2026" s="135">
        <f t="shared" si="32"/>
        <v>3156000</v>
      </c>
      <c r="G2026" s="136" t="s">
        <v>659</v>
      </c>
      <c r="H2026" s="133" t="s">
        <v>323</v>
      </c>
      <c r="I2026" s="134" t="s">
        <v>108</v>
      </c>
      <c r="K2026" s="181"/>
      <c r="L2026" s="181"/>
    </row>
    <row r="2027" spans="1:12" x14ac:dyDescent="0.35">
      <c r="A2027" s="144">
        <v>45805</v>
      </c>
      <c r="B2027" s="135">
        <v>150000</v>
      </c>
      <c r="C2027" s="134"/>
      <c r="D2027" s="135"/>
      <c r="E2027" s="134" t="s">
        <v>588</v>
      </c>
      <c r="F2027" s="135">
        <f t="shared" si="32"/>
        <v>3006000</v>
      </c>
      <c r="G2027" s="136" t="s">
        <v>660</v>
      </c>
      <c r="H2027" s="133" t="s">
        <v>322</v>
      </c>
      <c r="I2027" s="134" t="s">
        <v>108</v>
      </c>
      <c r="K2027" s="181"/>
      <c r="L2027" s="181"/>
    </row>
    <row r="2028" spans="1:12" x14ac:dyDescent="0.35">
      <c r="A2028" s="144">
        <v>45806</v>
      </c>
      <c r="B2028" s="135">
        <v>400000</v>
      </c>
      <c r="C2028" s="134"/>
      <c r="D2028" s="135"/>
      <c r="E2028" s="134" t="s">
        <v>588</v>
      </c>
      <c r="F2028" s="135">
        <f t="shared" si="32"/>
        <v>2606000</v>
      </c>
      <c r="G2028" s="136" t="s">
        <v>188</v>
      </c>
      <c r="H2028" s="133" t="s">
        <v>323</v>
      </c>
      <c r="I2028" s="134" t="s">
        <v>108</v>
      </c>
      <c r="K2028" s="181"/>
      <c r="L2028" s="181"/>
    </row>
    <row r="2029" spans="1:12" x14ac:dyDescent="0.35">
      <c r="A2029" s="144">
        <v>45807</v>
      </c>
      <c r="B2029" s="135">
        <v>500000</v>
      </c>
      <c r="C2029" s="134"/>
      <c r="D2029" s="135"/>
      <c r="E2029" s="134" t="s">
        <v>588</v>
      </c>
      <c r="F2029" s="135">
        <f t="shared" si="32"/>
        <v>2106000</v>
      </c>
      <c r="G2029" s="136" t="s">
        <v>641</v>
      </c>
      <c r="H2029" s="133" t="s">
        <v>323</v>
      </c>
      <c r="I2029" s="134" t="s">
        <v>108</v>
      </c>
      <c r="K2029" s="181"/>
      <c r="L2029" s="181"/>
    </row>
    <row r="2030" spans="1:12" x14ac:dyDescent="0.35">
      <c r="A2030" s="144">
        <v>45807</v>
      </c>
      <c r="B2030" s="135"/>
      <c r="C2030" s="134"/>
      <c r="D2030" s="135">
        <v>3000000</v>
      </c>
      <c r="E2030" s="134" t="s">
        <v>588</v>
      </c>
      <c r="F2030" s="135">
        <f t="shared" si="32"/>
        <v>5106000</v>
      </c>
      <c r="G2030" s="136" t="s">
        <v>108</v>
      </c>
      <c r="H2030" s="133" t="s">
        <v>109</v>
      </c>
      <c r="I2030" s="134" t="s">
        <v>108</v>
      </c>
      <c r="K2030" s="181"/>
      <c r="L2030" s="181"/>
    </row>
    <row r="2031" spans="1:12" x14ac:dyDescent="0.35">
      <c r="A2031" s="144">
        <v>45807</v>
      </c>
      <c r="B2031" s="135">
        <v>100000</v>
      </c>
      <c r="C2031" s="134"/>
      <c r="D2031" s="135"/>
      <c r="E2031" s="134" t="s">
        <v>588</v>
      </c>
      <c r="F2031" s="135">
        <f t="shared" si="32"/>
        <v>5006000</v>
      </c>
      <c r="G2031" s="136" t="s">
        <v>687</v>
      </c>
      <c r="H2031" s="133" t="s">
        <v>322</v>
      </c>
      <c r="I2031" s="134" t="s">
        <v>108</v>
      </c>
    </row>
    <row r="2032" spans="1:12" x14ac:dyDescent="0.35">
      <c r="A2032" s="144">
        <v>45808</v>
      </c>
      <c r="B2032" s="135">
        <v>100000</v>
      </c>
      <c r="C2032" s="134"/>
      <c r="D2032" s="135"/>
      <c r="E2032" s="134" t="s">
        <v>588</v>
      </c>
      <c r="F2032" s="135">
        <f t="shared" si="32"/>
        <v>4906000</v>
      </c>
      <c r="G2032" s="136" t="s">
        <v>688</v>
      </c>
      <c r="H2032" s="133" t="s">
        <v>203</v>
      </c>
      <c r="I2032" s="134" t="s">
        <v>108</v>
      </c>
    </row>
    <row r="2033" spans="1:9" x14ac:dyDescent="0.35">
      <c r="A2033" s="144">
        <v>45808</v>
      </c>
      <c r="B2033" s="135">
        <v>216000</v>
      </c>
      <c r="C2033" s="134"/>
      <c r="D2033" s="135"/>
      <c r="E2033" s="134" t="s">
        <v>588</v>
      </c>
      <c r="F2033" s="135">
        <f t="shared" si="32"/>
        <v>4690000</v>
      </c>
      <c r="G2033" s="136" t="s">
        <v>689</v>
      </c>
      <c r="H2033" s="133" t="s">
        <v>327</v>
      </c>
      <c r="I2033" s="134" t="s">
        <v>108</v>
      </c>
    </row>
    <row r="2034" spans="1:9" x14ac:dyDescent="0.35">
      <c r="A2034" s="144">
        <v>45810</v>
      </c>
      <c r="B2034" s="135">
        <v>1000000</v>
      </c>
      <c r="C2034" s="134"/>
      <c r="D2034" s="135"/>
      <c r="E2034" s="134" t="s">
        <v>732</v>
      </c>
      <c r="F2034" s="135">
        <f t="shared" si="32"/>
        <v>3690000</v>
      </c>
      <c r="G2034" s="136" t="s">
        <v>690</v>
      </c>
      <c r="H2034" s="133" t="s">
        <v>203</v>
      </c>
      <c r="I2034" s="134" t="s">
        <v>108</v>
      </c>
    </row>
    <row r="2035" spans="1:9" x14ac:dyDescent="0.35">
      <c r="A2035" s="144">
        <v>45810</v>
      </c>
      <c r="B2035" s="135">
        <v>100000</v>
      </c>
      <c r="C2035" s="134"/>
      <c r="D2035" s="135"/>
      <c r="E2035" s="134" t="s">
        <v>732</v>
      </c>
      <c r="F2035" s="135">
        <f t="shared" si="32"/>
        <v>3590000</v>
      </c>
      <c r="G2035" s="136" t="s">
        <v>691</v>
      </c>
      <c r="H2035" s="133" t="s">
        <v>327</v>
      </c>
      <c r="I2035" s="134" t="s">
        <v>108</v>
      </c>
    </row>
    <row r="2036" spans="1:9" x14ac:dyDescent="0.35">
      <c r="A2036" s="144">
        <v>45810</v>
      </c>
      <c r="B2036" s="135">
        <v>250000</v>
      </c>
      <c r="C2036" s="134"/>
      <c r="D2036" s="135"/>
      <c r="E2036" s="134" t="s">
        <v>732</v>
      </c>
      <c r="F2036" s="135">
        <f t="shared" si="32"/>
        <v>3340000</v>
      </c>
      <c r="G2036" s="136" t="s">
        <v>555</v>
      </c>
      <c r="H2036" s="133" t="s">
        <v>322</v>
      </c>
      <c r="I2036" s="134" t="s">
        <v>108</v>
      </c>
    </row>
    <row r="2037" spans="1:9" x14ac:dyDescent="0.35">
      <c r="A2037" s="144">
        <v>45810</v>
      </c>
      <c r="B2037" s="135">
        <v>92000</v>
      </c>
      <c r="C2037" s="134"/>
      <c r="D2037" s="135"/>
      <c r="E2037" s="134" t="s">
        <v>732</v>
      </c>
      <c r="F2037" s="135">
        <f t="shared" si="32"/>
        <v>3248000</v>
      </c>
      <c r="G2037" s="136" t="s">
        <v>692</v>
      </c>
      <c r="H2037" s="133" t="s">
        <v>322</v>
      </c>
      <c r="I2037" s="134" t="s">
        <v>108</v>
      </c>
    </row>
    <row r="2038" spans="1:9" x14ac:dyDescent="0.35">
      <c r="A2038" s="144">
        <v>45810</v>
      </c>
      <c r="B2038" s="135">
        <v>500000</v>
      </c>
      <c r="C2038" s="134"/>
      <c r="D2038" s="135"/>
      <c r="E2038" s="134" t="s">
        <v>732</v>
      </c>
      <c r="F2038" s="135">
        <f t="shared" si="32"/>
        <v>2748000</v>
      </c>
      <c r="G2038" s="136" t="s">
        <v>191</v>
      </c>
      <c r="H2038" s="133" t="s">
        <v>323</v>
      </c>
      <c r="I2038" s="134" t="s">
        <v>108</v>
      </c>
    </row>
    <row r="2039" spans="1:9" x14ac:dyDescent="0.35">
      <c r="A2039" s="144">
        <v>45815</v>
      </c>
      <c r="B2039" s="135"/>
      <c r="C2039" s="134"/>
      <c r="D2039" s="135">
        <v>3000000</v>
      </c>
      <c r="E2039" s="134" t="s">
        <v>732</v>
      </c>
      <c r="F2039" s="135">
        <f t="shared" si="32"/>
        <v>5748000</v>
      </c>
      <c r="G2039" s="136" t="s">
        <v>108</v>
      </c>
      <c r="H2039" s="133" t="s">
        <v>109</v>
      </c>
      <c r="I2039" s="134" t="s">
        <v>108</v>
      </c>
    </row>
    <row r="2040" spans="1:9" x14ac:dyDescent="0.35">
      <c r="A2040" s="144">
        <v>45815</v>
      </c>
      <c r="B2040" s="135">
        <v>800000</v>
      </c>
      <c r="C2040" s="134"/>
      <c r="D2040" s="135"/>
      <c r="E2040" s="134" t="s">
        <v>732</v>
      </c>
      <c r="F2040" s="135">
        <f t="shared" si="32"/>
        <v>4948000</v>
      </c>
      <c r="G2040" s="136" t="s">
        <v>700</v>
      </c>
      <c r="H2040" s="133" t="s">
        <v>322</v>
      </c>
      <c r="I2040" s="134" t="s">
        <v>108</v>
      </c>
    </row>
    <row r="2041" spans="1:9" x14ac:dyDescent="0.35">
      <c r="A2041" s="144">
        <v>45815</v>
      </c>
      <c r="B2041" s="135">
        <v>200000</v>
      </c>
      <c r="C2041" s="134"/>
      <c r="D2041" s="135"/>
      <c r="E2041" s="134" t="s">
        <v>732</v>
      </c>
      <c r="F2041" s="135">
        <f t="shared" si="32"/>
        <v>4748000</v>
      </c>
      <c r="G2041" s="136" t="s">
        <v>701</v>
      </c>
      <c r="H2041" s="133" t="s">
        <v>322</v>
      </c>
      <c r="I2041" s="134" t="s">
        <v>108</v>
      </c>
    </row>
    <row r="2042" spans="1:9" x14ac:dyDescent="0.35">
      <c r="A2042" s="144">
        <v>45815</v>
      </c>
      <c r="B2042" s="135">
        <v>200000</v>
      </c>
      <c r="C2042" s="134"/>
      <c r="D2042" s="135"/>
      <c r="E2042" s="134" t="s">
        <v>732</v>
      </c>
      <c r="F2042" s="135">
        <f t="shared" si="32"/>
        <v>4548000</v>
      </c>
      <c r="G2042" s="136" t="s">
        <v>702</v>
      </c>
      <c r="H2042" s="133" t="s">
        <v>327</v>
      </c>
      <c r="I2042" s="134" t="s">
        <v>108</v>
      </c>
    </row>
    <row r="2043" spans="1:9" x14ac:dyDescent="0.35">
      <c r="A2043" s="144">
        <v>45815</v>
      </c>
      <c r="B2043" s="135">
        <v>500000</v>
      </c>
      <c r="C2043" s="134"/>
      <c r="D2043" s="135"/>
      <c r="E2043" s="134" t="s">
        <v>732</v>
      </c>
      <c r="F2043" s="135">
        <f t="shared" si="32"/>
        <v>4048000</v>
      </c>
      <c r="G2043" s="136" t="s">
        <v>191</v>
      </c>
      <c r="H2043" s="133" t="s">
        <v>323</v>
      </c>
      <c r="I2043" s="134" t="s">
        <v>108</v>
      </c>
    </row>
    <row r="2044" spans="1:9" x14ac:dyDescent="0.35">
      <c r="A2044" s="144">
        <v>45823</v>
      </c>
      <c r="B2044" s="135">
        <v>250000</v>
      </c>
      <c r="C2044" s="134"/>
      <c r="D2044" s="135"/>
      <c r="E2044" s="134" t="s">
        <v>732</v>
      </c>
      <c r="F2044" s="135">
        <f t="shared" si="32"/>
        <v>3798000</v>
      </c>
      <c r="G2044" s="136" t="s">
        <v>719</v>
      </c>
      <c r="H2044" s="133" t="s">
        <v>327</v>
      </c>
      <c r="I2044" s="134" t="s">
        <v>108</v>
      </c>
    </row>
    <row r="2045" spans="1:9" x14ac:dyDescent="0.35">
      <c r="A2045" s="144">
        <v>45823</v>
      </c>
      <c r="B2045" s="135">
        <v>230000</v>
      </c>
      <c r="C2045" s="134"/>
      <c r="D2045" s="135"/>
      <c r="E2045" s="134" t="s">
        <v>732</v>
      </c>
      <c r="F2045" s="135">
        <f t="shared" si="32"/>
        <v>3568000</v>
      </c>
      <c r="G2045" s="136" t="s">
        <v>720</v>
      </c>
      <c r="H2045" s="133" t="s">
        <v>322</v>
      </c>
      <c r="I2045" s="134" t="s">
        <v>108</v>
      </c>
    </row>
    <row r="2046" spans="1:9" x14ac:dyDescent="0.35">
      <c r="A2046" s="144">
        <v>45823</v>
      </c>
      <c r="B2046" s="135">
        <v>130000</v>
      </c>
      <c r="C2046" s="134"/>
      <c r="D2046" s="135"/>
      <c r="E2046" s="134" t="s">
        <v>732</v>
      </c>
      <c r="F2046" s="135">
        <f t="shared" si="32"/>
        <v>3438000</v>
      </c>
      <c r="G2046" s="136" t="s">
        <v>497</v>
      </c>
      <c r="H2046" s="133" t="s">
        <v>322</v>
      </c>
      <c r="I2046" s="134" t="s">
        <v>108</v>
      </c>
    </row>
    <row r="2047" spans="1:9" x14ac:dyDescent="0.35">
      <c r="A2047" s="144">
        <v>45823</v>
      </c>
      <c r="B2047" s="135">
        <v>500000</v>
      </c>
      <c r="C2047" s="134"/>
      <c r="D2047" s="135"/>
      <c r="E2047" s="134" t="s">
        <v>732</v>
      </c>
      <c r="F2047" s="135">
        <f t="shared" si="32"/>
        <v>2938000</v>
      </c>
      <c r="G2047" s="136" t="s">
        <v>191</v>
      </c>
      <c r="H2047" s="133" t="s">
        <v>323</v>
      </c>
      <c r="I2047" s="134" t="s">
        <v>108</v>
      </c>
    </row>
    <row r="2048" spans="1:9" x14ac:dyDescent="0.35">
      <c r="A2048" s="144">
        <v>45829</v>
      </c>
      <c r="B2048" s="135"/>
      <c r="C2048" s="134"/>
      <c r="D2048" s="135">
        <v>2000000</v>
      </c>
      <c r="E2048" s="134" t="s">
        <v>732</v>
      </c>
      <c r="F2048" s="135">
        <f t="shared" si="32"/>
        <v>4938000</v>
      </c>
      <c r="G2048" s="136" t="s">
        <v>108</v>
      </c>
      <c r="H2048" s="133" t="s">
        <v>109</v>
      </c>
      <c r="I2048" s="134" t="s">
        <v>108</v>
      </c>
    </row>
    <row r="2049" spans="1:9" x14ac:dyDescent="0.35">
      <c r="A2049" s="144">
        <v>45829</v>
      </c>
      <c r="B2049" s="135">
        <v>700000</v>
      </c>
      <c r="C2049" s="134"/>
      <c r="D2049" s="135"/>
      <c r="E2049" s="134" t="s">
        <v>732</v>
      </c>
      <c r="F2049" s="135">
        <f t="shared" si="32"/>
        <v>4238000</v>
      </c>
      <c r="G2049" s="136" t="s">
        <v>728</v>
      </c>
      <c r="H2049" s="133" t="s">
        <v>203</v>
      </c>
      <c r="I2049" s="134" t="s">
        <v>108</v>
      </c>
    </row>
    <row r="2050" spans="1:9" x14ac:dyDescent="0.35">
      <c r="A2050" s="144">
        <v>45830</v>
      </c>
      <c r="B2050" s="135">
        <v>250000</v>
      </c>
      <c r="C2050" s="134"/>
      <c r="D2050" s="135"/>
      <c r="E2050" s="134" t="s">
        <v>732</v>
      </c>
      <c r="F2050" s="135">
        <f t="shared" si="32"/>
        <v>3988000</v>
      </c>
      <c r="G2050" s="136" t="s">
        <v>729</v>
      </c>
      <c r="H2050" s="133" t="s">
        <v>327</v>
      </c>
      <c r="I2050" s="134" t="s">
        <v>108</v>
      </c>
    </row>
    <row r="2051" spans="1:9" x14ac:dyDescent="0.35">
      <c r="A2051" s="144">
        <v>45832</v>
      </c>
      <c r="B2051" s="135">
        <v>150000</v>
      </c>
      <c r="C2051" s="134"/>
      <c r="D2051" s="135"/>
      <c r="E2051" s="134" t="s">
        <v>732</v>
      </c>
      <c r="F2051" s="135">
        <f t="shared" si="32"/>
        <v>3838000</v>
      </c>
      <c r="G2051" s="136" t="s">
        <v>730</v>
      </c>
      <c r="H2051" s="133" t="s">
        <v>203</v>
      </c>
      <c r="I2051" s="134" t="s">
        <v>108</v>
      </c>
    </row>
    <row r="2052" spans="1:9" x14ac:dyDescent="0.35">
      <c r="A2052" s="144">
        <v>45832</v>
      </c>
      <c r="B2052" s="135">
        <v>250000</v>
      </c>
      <c r="C2052" s="134"/>
      <c r="D2052" s="135"/>
      <c r="E2052" s="134" t="s">
        <v>732</v>
      </c>
      <c r="F2052" s="135">
        <f t="shared" si="32"/>
        <v>3588000</v>
      </c>
      <c r="G2052" s="136" t="s">
        <v>731</v>
      </c>
      <c r="H2052" s="133" t="s">
        <v>322</v>
      </c>
      <c r="I2052" s="134" t="s">
        <v>108</v>
      </c>
    </row>
    <row r="2053" spans="1:9" x14ac:dyDescent="0.35">
      <c r="A2053" s="144">
        <v>45833</v>
      </c>
      <c r="B2053" s="135">
        <v>130000</v>
      </c>
      <c r="C2053" s="134"/>
      <c r="D2053" s="135"/>
      <c r="E2053" s="134" t="s">
        <v>732</v>
      </c>
      <c r="F2053" s="135">
        <f t="shared" si="32"/>
        <v>3458000</v>
      </c>
      <c r="G2053" s="136" t="s">
        <v>497</v>
      </c>
      <c r="H2053" s="133" t="s">
        <v>322</v>
      </c>
      <c r="I2053" s="134" t="s">
        <v>108</v>
      </c>
    </row>
    <row r="2054" spans="1:9" x14ac:dyDescent="0.35">
      <c r="A2054" s="144">
        <v>45835</v>
      </c>
      <c r="B2054" s="135">
        <v>500000</v>
      </c>
      <c r="C2054" s="134"/>
      <c r="D2054" s="135"/>
      <c r="E2054" s="134" t="s">
        <v>732</v>
      </c>
      <c r="F2054" s="135">
        <f t="shared" si="32"/>
        <v>2958000</v>
      </c>
      <c r="G2054" s="136" t="s">
        <v>191</v>
      </c>
      <c r="H2054" s="133" t="s">
        <v>323</v>
      </c>
      <c r="I2054" s="134" t="s">
        <v>108</v>
      </c>
    </row>
    <row r="2055" spans="1:9" x14ac:dyDescent="0.35">
      <c r="A2055" s="144">
        <v>45839</v>
      </c>
      <c r="B2055" s="135"/>
      <c r="C2055" s="134"/>
      <c r="D2055" s="135">
        <v>2000000</v>
      </c>
      <c r="E2055" s="134" t="s">
        <v>733</v>
      </c>
      <c r="F2055" s="135">
        <f t="shared" si="32"/>
        <v>4958000</v>
      </c>
      <c r="G2055" s="136" t="s">
        <v>108</v>
      </c>
      <c r="H2055" s="133" t="s">
        <v>109</v>
      </c>
      <c r="I2055" s="134" t="s">
        <v>108</v>
      </c>
    </row>
    <row r="2056" spans="1:9" x14ac:dyDescent="0.35">
      <c r="A2056" s="144">
        <v>45839</v>
      </c>
      <c r="B2056" s="135">
        <v>400000</v>
      </c>
      <c r="C2056" s="134"/>
      <c r="D2056" s="135"/>
      <c r="E2056" s="134" t="s">
        <v>733</v>
      </c>
      <c r="F2056" s="135">
        <f t="shared" si="32"/>
        <v>4558000</v>
      </c>
      <c r="G2056" s="136" t="s">
        <v>188</v>
      </c>
      <c r="H2056" s="133" t="s">
        <v>323</v>
      </c>
      <c r="I2056" s="134" t="s">
        <v>108</v>
      </c>
    </row>
    <row r="2057" spans="1:9" x14ac:dyDescent="0.35">
      <c r="A2057" s="144">
        <v>45839</v>
      </c>
      <c r="B2057" s="135">
        <v>250000</v>
      </c>
      <c r="C2057" s="134"/>
      <c r="D2057" s="135"/>
      <c r="E2057" s="134" t="s">
        <v>733</v>
      </c>
      <c r="F2057" s="135">
        <f t="shared" si="32"/>
        <v>4308000</v>
      </c>
      <c r="G2057" s="136" t="s">
        <v>729</v>
      </c>
      <c r="H2057" s="133" t="s">
        <v>327</v>
      </c>
      <c r="I2057" s="134" t="s">
        <v>108</v>
      </c>
    </row>
    <row r="2058" spans="1:9" x14ac:dyDescent="0.35">
      <c r="A2058" s="144">
        <v>45839</v>
      </c>
      <c r="B2058" s="135">
        <v>170000</v>
      </c>
      <c r="C2058" s="134"/>
      <c r="D2058" s="135"/>
      <c r="E2058" s="134" t="s">
        <v>733</v>
      </c>
      <c r="F2058" s="135">
        <f t="shared" si="32"/>
        <v>4138000</v>
      </c>
      <c r="G2058" s="136" t="s">
        <v>701</v>
      </c>
      <c r="H2058" s="133" t="s">
        <v>322</v>
      </c>
      <c r="I2058" s="134" t="s">
        <v>108</v>
      </c>
    </row>
    <row r="2059" spans="1:9" x14ac:dyDescent="0.35">
      <c r="A2059" s="144">
        <v>45839</v>
      </c>
      <c r="B2059" s="135">
        <v>500000</v>
      </c>
      <c r="C2059" s="134"/>
      <c r="D2059" s="135"/>
      <c r="E2059" s="134" t="s">
        <v>733</v>
      </c>
      <c r="F2059" s="135">
        <f t="shared" si="32"/>
        <v>3638000</v>
      </c>
      <c r="G2059" s="136" t="s">
        <v>191</v>
      </c>
      <c r="H2059" s="133" t="s">
        <v>323</v>
      </c>
      <c r="I2059" s="134" t="s">
        <v>108</v>
      </c>
    </row>
    <row r="2060" spans="1:9" x14ac:dyDescent="0.35">
      <c r="A2060" s="144">
        <v>45845</v>
      </c>
      <c r="B2060" s="135">
        <v>80000</v>
      </c>
      <c r="C2060" s="134"/>
      <c r="D2060" s="135"/>
      <c r="E2060" s="134" t="s">
        <v>733</v>
      </c>
      <c r="F2060" s="135">
        <f t="shared" si="32"/>
        <v>3558000</v>
      </c>
      <c r="G2060" s="136" t="s">
        <v>750</v>
      </c>
      <c r="H2060" s="133" t="s">
        <v>322</v>
      </c>
      <c r="I2060" s="134" t="s">
        <v>108</v>
      </c>
    </row>
    <row r="2061" spans="1:9" x14ac:dyDescent="0.35">
      <c r="A2061" s="144">
        <v>45846</v>
      </c>
      <c r="B2061" s="135">
        <v>150000</v>
      </c>
      <c r="C2061" s="134"/>
      <c r="D2061" s="135"/>
      <c r="E2061" s="134" t="s">
        <v>733</v>
      </c>
      <c r="F2061" s="135">
        <f t="shared" si="32"/>
        <v>3408000</v>
      </c>
      <c r="G2061" s="136" t="s">
        <v>751</v>
      </c>
      <c r="H2061" s="133" t="s">
        <v>322</v>
      </c>
      <c r="I2061" s="134" t="s">
        <v>108</v>
      </c>
    </row>
    <row r="2062" spans="1:9" x14ac:dyDescent="0.35">
      <c r="A2062" s="144">
        <v>45847</v>
      </c>
      <c r="B2062" s="135">
        <v>130000</v>
      </c>
      <c r="C2062" s="134"/>
      <c r="D2062" s="135"/>
      <c r="E2062" s="134" t="s">
        <v>733</v>
      </c>
      <c r="F2062" s="135">
        <f t="shared" si="32"/>
        <v>3278000</v>
      </c>
      <c r="G2062" s="136" t="s">
        <v>497</v>
      </c>
      <c r="H2062" s="133" t="s">
        <v>322</v>
      </c>
      <c r="I2062" s="134" t="s">
        <v>108</v>
      </c>
    </row>
    <row r="2063" spans="1:9" x14ac:dyDescent="0.35">
      <c r="A2063" s="144">
        <v>45847</v>
      </c>
      <c r="B2063" s="135">
        <v>400000</v>
      </c>
      <c r="C2063" s="134"/>
      <c r="D2063" s="135"/>
      <c r="E2063" s="134" t="s">
        <v>733</v>
      </c>
      <c r="F2063" s="135">
        <f t="shared" si="32"/>
        <v>2878000</v>
      </c>
      <c r="G2063" s="136" t="s">
        <v>752</v>
      </c>
      <c r="H2063" s="133" t="s">
        <v>322</v>
      </c>
      <c r="I2063" s="134" t="s">
        <v>108</v>
      </c>
    </row>
    <row r="2064" spans="1:9" x14ac:dyDescent="0.35">
      <c r="A2064" s="144">
        <v>45847</v>
      </c>
      <c r="B2064" s="135">
        <v>750000</v>
      </c>
      <c r="C2064" s="134"/>
      <c r="D2064" s="135"/>
      <c r="E2064" s="134" t="s">
        <v>733</v>
      </c>
      <c r="F2064" s="135">
        <f t="shared" si="32"/>
        <v>2128000</v>
      </c>
      <c r="G2064" s="136" t="s">
        <v>753</v>
      </c>
      <c r="H2064" s="133" t="s">
        <v>322</v>
      </c>
      <c r="I2064" s="134" t="s">
        <v>108</v>
      </c>
    </row>
    <row r="2065" spans="1:9" x14ac:dyDescent="0.35">
      <c r="A2065" s="144">
        <v>45847</v>
      </c>
      <c r="B2065" s="135">
        <v>250000</v>
      </c>
      <c r="C2065" s="134"/>
      <c r="D2065" s="135"/>
      <c r="E2065" s="134" t="s">
        <v>733</v>
      </c>
      <c r="F2065" s="135">
        <f t="shared" si="32"/>
        <v>1878000</v>
      </c>
      <c r="G2065" s="136" t="s">
        <v>754</v>
      </c>
      <c r="H2065" s="133" t="s">
        <v>322</v>
      </c>
      <c r="I2065" s="134" t="s">
        <v>108</v>
      </c>
    </row>
    <row r="2066" spans="1:9" x14ac:dyDescent="0.35">
      <c r="A2066" s="144">
        <v>45848</v>
      </c>
      <c r="B2066" s="135">
        <v>500000</v>
      </c>
      <c r="C2066" s="134"/>
      <c r="D2066" s="135"/>
      <c r="E2066" s="134" t="s">
        <v>733</v>
      </c>
      <c r="F2066" s="135">
        <f t="shared" si="32"/>
        <v>1378000</v>
      </c>
      <c r="G2066" s="136" t="s">
        <v>191</v>
      </c>
      <c r="H2066" s="133" t="s">
        <v>323</v>
      </c>
      <c r="I2066" s="134" t="s">
        <v>108</v>
      </c>
    </row>
    <row r="2067" spans="1:9" x14ac:dyDescent="0.35">
      <c r="A2067" s="144">
        <v>45851</v>
      </c>
      <c r="B2067" s="135"/>
      <c r="C2067" s="134"/>
      <c r="D2067" s="135">
        <v>2000000</v>
      </c>
      <c r="E2067" s="134" t="s">
        <v>733</v>
      </c>
      <c r="F2067" s="135">
        <f t="shared" si="32"/>
        <v>3378000</v>
      </c>
      <c r="G2067" s="136" t="s">
        <v>108</v>
      </c>
      <c r="H2067" s="133" t="s">
        <v>109</v>
      </c>
      <c r="I2067" s="134" t="s">
        <v>108</v>
      </c>
    </row>
    <row r="2068" spans="1:9" x14ac:dyDescent="0.35">
      <c r="A2068" s="144">
        <v>45851</v>
      </c>
      <c r="B2068" s="135">
        <v>250000</v>
      </c>
      <c r="C2068" s="134"/>
      <c r="D2068" s="135"/>
      <c r="E2068" s="134" t="s">
        <v>733</v>
      </c>
      <c r="F2068" s="135">
        <f t="shared" si="32"/>
        <v>3128000</v>
      </c>
      <c r="G2068" s="136" t="s">
        <v>758</v>
      </c>
      <c r="H2068" s="133" t="s">
        <v>327</v>
      </c>
      <c r="I2068" s="134" t="s">
        <v>108</v>
      </c>
    </row>
    <row r="2069" spans="1:9" x14ac:dyDescent="0.35">
      <c r="A2069" s="144">
        <v>45855</v>
      </c>
      <c r="B2069" s="135">
        <v>130000</v>
      </c>
      <c r="C2069" s="134"/>
      <c r="D2069" s="135"/>
      <c r="E2069" s="134" t="s">
        <v>733</v>
      </c>
      <c r="F2069" s="135">
        <f t="shared" si="32"/>
        <v>2998000</v>
      </c>
      <c r="G2069" s="136" t="s">
        <v>497</v>
      </c>
      <c r="H2069" s="133" t="s">
        <v>322</v>
      </c>
      <c r="I2069" s="134" t="s">
        <v>108</v>
      </c>
    </row>
    <row r="2070" spans="1:9" x14ac:dyDescent="0.35">
      <c r="A2070" s="144">
        <v>45855</v>
      </c>
      <c r="B2070" s="135">
        <v>125000</v>
      </c>
      <c r="C2070" s="134"/>
      <c r="D2070" s="135"/>
      <c r="E2070" s="134" t="s">
        <v>733</v>
      </c>
      <c r="F2070" s="135">
        <f t="shared" si="32"/>
        <v>2873000</v>
      </c>
      <c r="G2070" s="136" t="s">
        <v>751</v>
      </c>
      <c r="H2070" s="133" t="s">
        <v>322</v>
      </c>
      <c r="I2070" s="134" t="s">
        <v>108</v>
      </c>
    </row>
    <row r="2071" spans="1:9" x14ac:dyDescent="0.35">
      <c r="A2071" s="144">
        <v>45856</v>
      </c>
      <c r="B2071" s="135">
        <v>500000</v>
      </c>
      <c r="C2071" s="134"/>
      <c r="D2071" s="135"/>
      <c r="E2071" s="134" t="s">
        <v>733</v>
      </c>
      <c r="F2071" s="135">
        <f t="shared" si="32"/>
        <v>2373000</v>
      </c>
      <c r="G2071" s="136" t="s">
        <v>191</v>
      </c>
      <c r="H2071" s="133" t="s">
        <v>323</v>
      </c>
      <c r="I2071" s="134" t="s">
        <v>108</v>
      </c>
    </row>
    <row r="2072" spans="1:9" x14ac:dyDescent="0.35">
      <c r="A2072" s="144">
        <v>45856</v>
      </c>
      <c r="B2072" s="135">
        <v>170000</v>
      </c>
      <c r="C2072" s="134"/>
      <c r="D2072" s="135"/>
      <c r="E2072" s="134" t="s">
        <v>733</v>
      </c>
      <c r="F2072" s="135">
        <f t="shared" si="32"/>
        <v>2203000</v>
      </c>
      <c r="G2072" s="136" t="s">
        <v>759</v>
      </c>
      <c r="H2072" s="133" t="s">
        <v>322</v>
      </c>
      <c r="I2072" s="134" t="s">
        <v>108</v>
      </c>
    </row>
    <row r="2073" spans="1:9" x14ac:dyDescent="0.35">
      <c r="A2073" s="144">
        <v>45858</v>
      </c>
      <c r="B2073" s="135"/>
      <c r="C2073" s="134"/>
      <c r="D2073" s="135">
        <v>2000000</v>
      </c>
      <c r="E2073" s="134" t="s">
        <v>733</v>
      </c>
      <c r="F2073" s="135">
        <f t="shared" si="32"/>
        <v>4203000</v>
      </c>
      <c r="G2073" s="136" t="s">
        <v>108</v>
      </c>
      <c r="H2073" s="133" t="s">
        <v>109</v>
      </c>
      <c r="I2073" s="134" t="s">
        <v>108</v>
      </c>
    </row>
    <row r="2074" spans="1:9" x14ac:dyDescent="0.35">
      <c r="A2074" s="144">
        <v>45858</v>
      </c>
      <c r="B2074" s="135">
        <v>250000</v>
      </c>
      <c r="C2074" s="134"/>
      <c r="D2074" s="135"/>
      <c r="E2074" s="134" t="s">
        <v>733</v>
      </c>
      <c r="F2074" s="135">
        <f t="shared" si="32"/>
        <v>3953000</v>
      </c>
      <c r="G2074" s="136" t="s">
        <v>758</v>
      </c>
      <c r="H2074" s="133" t="s">
        <v>327</v>
      </c>
      <c r="I2074" s="134" t="s">
        <v>108</v>
      </c>
    </row>
    <row r="2075" spans="1:9" x14ac:dyDescent="0.35">
      <c r="A2075" s="144">
        <v>45858</v>
      </c>
      <c r="B2075" s="135">
        <v>250000</v>
      </c>
      <c r="C2075" s="134"/>
      <c r="D2075" s="135"/>
      <c r="E2075" s="134" t="s">
        <v>733</v>
      </c>
      <c r="F2075" s="135">
        <f t="shared" si="32"/>
        <v>3703000</v>
      </c>
      <c r="G2075" s="136" t="s">
        <v>353</v>
      </c>
      <c r="H2075" s="133" t="s">
        <v>322</v>
      </c>
      <c r="I2075" s="134" t="s">
        <v>108</v>
      </c>
    </row>
    <row r="2076" spans="1:9" x14ac:dyDescent="0.35">
      <c r="A2076" s="144">
        <v>45858</v>
      </c>
      <c r="B2076" s="135">
        <v>150000</v>
      </c>
      <c r="C2076" s="134"/>
      <c r="D2076" s="135"/>
      <c r="E2076" s="134" t="s">
        <v>733</v>
      </c>
      <c r="F2076" s="135">
        <f t="shared" si="32"/>
        <v>3553000</v>
      </c>
      <c r="G2076" s="136" t="s">
        <v>764</v>
      </c>
      <c r="H2076" s="133" t="s">
        <v>322</v>
      </c>
      <c r="I2076" s="134" t="s">
        <v>108</v>
      </c>
    </row>
    <row r="2077" spans="1:9" x14ac:dyDescent="0.35">
      <c r="A2077" s="144">
        <v>45858</v>
      </c>
      <c r="B2077" s="135">
        <v>500000</v>
      </c>
      <c r="C2077" s="134"/>
      <c r="D2077" s="135"/>
      <c r="E2077" s="134" t="s">
        <v>733</v>
      </c>
      <c r="F2077" s="135">
        <f t="shared" si="32"/>
        <v>3053000</v>
      </c>
      <c r="G2077" s="136" t="s">
        <v>191</v>
      </c>
      <c r="H2077" s="133" t="s">
        <v>323</v>
      </c>
      <c r="I2077" s="134" t="s">
        <v>108</v>
      </c>
    </row>
    <row r="2078" spans="1:9" x14ac:dyDescent="0.35">
      <c r="A2078" s="144">
        <v>45865</v>
      </c>
      <c r="B2078" s="135">
        <v>242000</v>
      </c>
      <c r="C2078" s="134"/>
      <c r="D2078" s="135"/>
      <c r="E2078" s="134" t="s">
        <v>733</v>
      </c>
      <c r="F2078" s="135">
        <f t="shared" si="32"/>
        <v>2811000</v>
      </c>
      <c r="G2078" s="136" t="s">
        <v>758</v>
      </c>
      <c r="H2078" s="133" t="s">
        <v>327</v>
      </c>
      <c r="I2078" s="134" t="s">
        <v>108</v>
      </c>
    </row>
    <row r="2079" spans="1:9" x14ac:dyDescent="0.35">
      <c r="A2079" s="144">
        <v>45867</v>
      </c>
      <c r="B2079" s="135">
        <v>248000</v>
      </c>
      <c r="C2079" s="134"/>
      <c r="D2079" s="135"/>
      <c r="E2079" s="134" t="s">
        <v>733</v>
      </c>
      <c r="F2079" s="135">
        <f t="shared" si="32"/>
        <v>2563000</v>
      </c>
      <c r="G2079" s="136" t="s">
        <v>787</v>
      </c>
      <c r="H2079" s="133" t="s">
        <v>322</v>
      </c>
      <c r="I2079" s="134" t="s">
        <v>108</v>
      </c>
    </row>
    <row r="2080" spans="1:9" x14ac:dyDescent="0.35">
      <c r="A2080" s="144">
        <v>45868</v>
      </c>
      <c r="B2080" s="135">
        <v>400000</v>
      </c>
      <c r="C2080" s="134"/>
      <c r="D2080" s="135"/>
      <c r="E2080" s="134" t="s">
        <v>733</v>
      </c>
      <c r="F2080" s="135">
        <f t="shared" si="32"/>
        <v>2163000</v>
      </c>
      <c r="G2080" s="136" t="s">
        <v>188</v>
      </c>
      <c r="H2080" s="133" t="s">
        <v>323</v>
      </c>
      <c r="I2080" s="134" t="s">
        <v>108</v>
      </c>
    </row>
    <row r="2081" spans="1:9" x14ac:dyDescent="0.35">
      <c r="A2081" s="144">
        <v>45869</v>
      </c>
      <c r="B2081" s="135">
        <v>500000</v>
      </c>
      <c r="C2081" s="134"/>
      <c r="D2081" s="135"/>
      <c r="E2081" s="134" t="s">
        <v>733</v>
      </c>
      <c r="F2081" s="135">
        <f t="shared" si="32"/>
        <v>1663000</v>
      </c>
      <c r="G2081" s="136" t="s">
        <v>191</v>
      </c>
      <c r="H2081" s="133" t="s">
        <v>323</v>
      </c>
      <c r="I2081" s="134" t="s">
        <v>108</v>
      </c>
    </row>
    <row r="2082" spans="1:9" x14ac:dyDescent="0.35">
      <c r="A2082" s="144">
        <v>45872</v>
      </c>
      <c r="B2082" s="135"/>
      <c r="C2082" s="134"/>
      <c r="D2082" s="135">
        <v>2000000</v>
      </c>
      <c r="E2082" s="134" t="s">
        <v>860</v>
      </c>
      <c r="F2082" s="135">
        <f t="shared" si="32"/>
        <v>3663000</v>
      </c>
      <c r="G2082" s="136" t="s">
        <v>108</v>
      </c>
      <c r="H2082" s="133" t="s">
        <v>109</v>
      </c>
      <c r="I2082" s="134" t="s">
        <v>108</v>
      </c>
    </row>
    <row r="2083" spans="1:9" x14ac:dyDescent="0.35">
      <c r="A2083" s="144">
        <v>45872</v>
      </c>
      <c r="B2083" s="135">
        <v>250000</v>
      </c>
      <c r="C2083" s="134"/>
      <c r="D2083" s="135"/>
      <c r="E2083" s="134" t="s">
        <v>860</v>
      </c>
      <c r="F2083" s="135">
        <f t="shared" si="32"/>
        <v>3413000</v>
      </c>
      <c r="G2083" s="136" t="s">
        <v>758</v>
      </c>
      <c r="H2083" s="133" t="s">
        <v>327</v>
      </c>
      <c r="I2083" s="134" t="s">
        <v>108</v>
      </c>
    </row>
    <row r="2084" spans="1:9" x14ac:dyDescent="0.35">
      <c r="A2084" s="144">
        <v>45872</v>
      </c>
      <c r="B2084" s="135">
        <v>270000</v>
      </c>
      <c r="C2084" s="134"/>
      <c r="D2084" s="135"/>
      <c r="E2084" s="134" t="s">
        <v>860</v>
      </c>
      <c r="F2084" s="135">
        <f t="shared" ref="F2084:F2129" si="33">+F2083+D2084-B2084</f>
        <v>3143000</v>
      </c>
      <c r="G2084" s="136" t="s">
        <v>794</v>
      </c>
      <c r="H2084" s="133" t="s">
        <v>322</v>
      </c>
      <c r="I2084" s="134" t="s">
        <v>108</v>
      </c>
    </row>
    <row r="2085" spans="1:9" x14ac:dyDescent="0.35">
      <c r="A2085" s="144">
        <v>45872</v>
      </c>
      <c r="B2085" s="135">
        <v>500000</v>
      </c>
      <c r="C2085" s="134"/>
      <c r="D2085" s="135"/>
      <c r="E2085" s="134" t="s">
        <v>860</v>
      </c>
      <c r="F2085" s="135">
        <f t="shared" si="33"/>
        <v>2643000</v>
      </c>
      <c r="G2085" s="136" t="s">
        <v>191</v>
      </c>
      <c r="H2085" s="133" t="s">
        <v>323</v>
      </c>
      <c r="I2085" s="134" t="s">
        <v>108</v>
      </c>
    </row>
    <row r="2086" spans="1:9" x14ac:dyDescent="0.35">
      <c r="A2086" s="144">
        <v>45879</v>
      </c>
      <c r="B2086" s="135"/>
      <c r="C2086" s="134"/>
      <c r="D2086" s="135">
        <v>1000000</v>
      </c>
      <c r="E2086" s="134" t="s">
        <v>860</v>
      </c>
      <c r="F2086" s="135">
        <f t="shared" si="33"/>
        <v>3643000</v>
      </c>
      <c r="G2086" s="136" t="s">
        <v>108</v>
      </c>
      <c r="H2086" s="133" t="s">
        <v>109</v>
      </c>
      <c r="I2086" s="134" t="s">
        <v>108</v>
      </c>
    </row>
    <row r="2087" spans="1:9" x14ac:dyDescent="0.35">
      <c r="A2087" s="144">
        <v>45879</v>
      </c>
      <c r="B2087" s="135">
        <v>250000</v>
      </c>
      <c r="C2087" s="134"/>
      <c r="D2087" s="135"/>
      <c r="E2087" s="134" t="s">
        <v>860</v>
      </c>
      <c r="F2087" s="135">
        <f t="shared" si="33"/>
        <v>3393000</v>
      </c>
      <c r="G2087" s="136" t="s">
        <v>729</v>
      </c>
      <c r="H2087" s="133" t="s">
        <v>327</v>
      </c>
      <c r="I2087" s="134" t="s">
        <v>108</v>
      </c>
    </row>
    <row r="2088" spans="1:9" x14ac:dyDescent="0.35">
      <c r="A2088" s="144">
        <v>45879</v>
      </c>
      <c r="B2088" s="135">
        <v>200000</v>
      </c>
      <c r="C2088" s="134"/>
      <c r="D2088" s="135"/>
      <c r="E2088" s="134" t="s">
        <v>860</v>
      </c>
      <c r="F2088" s="135">
        <f t="shared" si="33"/>
        <v>3193000</v>
      </c>
      <c r="G2088" s="136" t="s">
        <v>799</v>
      </c>
      <c r="H2088" s="133" t="s">
        <v>322</v>
      </c>
      <c r="I2088" s="134" t="s">
        <v>108</v>
      </c>
    </row>
    <row r="2089" spans="1:9" x14ac:dyDescent="0.35">
      <c r="A2089" s="144">
        <v>45879</v>
      </c>
      <c r="B2089" s="135">
        <v>500000</v>
      </c>
      <c r="C2089" s="134"/>
      <c r="D2089" s="135"/>
      <c r="E2089" s="134" t="s">
        <v>860</v>
      </c>
      <c r="F2089" s="135">
        <f t="shared" si="33"/>
        <v>2693000</v>
      </c>
      <c r="G2089" s="136" t="s">
        <v>191</v>
      </c>
      <c r="H2089" s="133" t="s">
        <v>323</v>
      </c>
      <c r="I2089" s="134" t="s">
        <v>108</v>
      </c>
    </row>
    <row r="2090" spans="1:9" x14ac:dyDescent="0.35">
      <c r="A2090" s="144">
        <v>45886</v>
      </c>
      <c r="B2090" s="135"/>
      <c r="C2090" s="134"/>
      <c r="D2090" s="135">
        <v>1000000</v>
      </c>
      <c r="E2090" s="134" t="s">
        <v>860</v>
      </c>
      <c r="F2090" s="135">
        <f t="shared" si="33"/>
        <v>3693000</v>
      </c>
      <c r="G2090" s="136" t="s">
        <v>108</v>
      </c>
      <c r="H2090" s="133" t="s">
        <v>109</v>
      </c>
      <c r="I2090" s="134" t="s">
        <v>108</v>
      </c>
    </row>
    <row r="2091" spans="1:9" x14ac:dyDescent="0.35">
      <c r="A2091" s="144">
        <v>45886</v>
      </c>
      <c r="B2091" s="135">
        <v>250000</v>
      </c>
      <c r="C2091" s="134"/>
      <c r="D2091" s="135"/>
      <c r="E2091" s="134" t="s">
        <v>860</v>
      </c>
      <c r="F2091" s="135">
        <f t="shared" si="33"/>
        <v>3443000</v>
      </c>
      <c r="G2091" s="136" t="s">
        <v>803</v>
      </c>
      <c r="H2091" s="133" t="s">
        <v>327</v>
      </c>
      <c r="I2091" s="134" t="s">
        <v>108</v>
      </c>
    </row>
    <row r="2092" spans="1:9" x14ac:dyDescent="0.35">
      <c r="A2092" s="144">
        <v>45886</v>
      </c>
      <c r="B2092" s="135">
        <v>130000</v>
      </c>
      <c r="C2092" s="134"/>
      <c r="D2092" s="135"/>
      <c r="E2092" s="134" t="s">
        <v>860</v>
      </c>
      <c r="F2092" s="135">
        <f t="shared" si="33"/>
        <v>3313000</v>
      </c>
      <c r="G2092" s="136" t="s">
        <v>497</v>
      </c>
      <c r="H2092" s="133" t="s">
        <v>322</v>
      </c>
      <c r="I2092" s="134" t="s">
        <v>108</v>
      </c>
    </row>
    <row r="2093" spans="1:9" x14ac:dyDescent="0.35">
      <c r="A2093" s="144">
        <v>45886</v>
      </c>
      <c r="B2093" s="135">
        <v>250000</v>
      </c>
      <c r="C2093" s="134"/>
      <c r="D2093" s="135"/>
      <c r="E2093" s="134" t="s">
        <v>860</v>
      </c>
      <c r="F2093" s="135">
        <f t="shared" si="33"/>
        <v>3063000</v>
      </c>
      <c r="G2093" s="136" t="s">
        <v>804</v>
      </c>
      <c r="H2093" s="133" t="s">
        <v>499</v>
      </c>
      <c r="I2093" s="134" t="s">
        <v>108</v>
      </c>
    </row>
    <row r="2094" spans="1:9" x14ac:dyDescent="0.35">
      <c r="A2094" s="144">
        <v>45890</v>
      </c>
      <c r="B2094" s="135">
        <v>250000</v>
      </c>
      <c r="C2094" s="134"/>
      <c r="D2094" s="135"/>
      <c r="E2094" s="134" t="s">
        <v>860</v>
      </c>
      <c r="F2094" s="135">
        <f t="shared" si="33"/>
        <v>2813000</v>
      </c>
      <c r="G2094" s="136" t="s">
        <v>805</v>
      </c>
      <c r="H2094" s="133" t="s">
        <v>322</v>
      </c>
      <c r="I2094" s="134" t="s">
        <v>108</v>
      </c>
    </row>
    <row r="2095" spans="1:9" x14ac:dyDescent="0.35">
      <c r="A2095" s="144">
        <v>45891</v>
      </c>
      <c r="B2095" s="135">
        <v>500000</v>
      </c>
      <c r="C2095" s="134"/>
      <c r="D2095" s="135"/>
      <c r="E2095" s="134" t="s">
        <v>860</v>
      </c>
      <c r="F2095" s="135">
        <f t="shared" si="33"/>
        <v>2313000</v>
      </c>
      <c r="G2095" s="136" t="s">
        <v>191</v>
      </c>
      <c r="H2095" s="133" t="s">
        <v>323</v>
      </c>
      <c r="I2095" s="134" t="s">
        <v>108</v>
      </c>
    </row>
    <row r="2096" spans="1:9" x14ac:dyDescent="0.35">
      <c r="A2096" s="144">
        <v>45892</v>
      </c>
      <c r="B2096" s="135"/>
      <c r="C2096" s="134"/>
      <c r="D2096" s="135">
        <v>1000000</v>
      </c>
      <c r="E2096" s="134" t="s">
        <v>860</v>
      </c>
      <c r="F2096" s="135">
        <f t="shared" si="33"/>
        <v>3313000</v>
      </c>
      <c r="G2096" s="136" t="s">
        <v>414</v>
      </c>
      <c r="H2096" s="133" t="s">
        <v>109</v>
      </c>
      <c r="I2096" s="134" t="s">
        <v>108</v>
      </c>
    </row>
    <row r="2097" spans="1:9" x14ac:dyDescent="0.35">
      <c r="A2097" s="144">
        <v>45892</v>
      </c>
      <c r="B2097" s="135">
        <v>450000</v>
      </c>
      <c r="C2097" s="134"/>
      <c r="D2097" s="135"/>
      <c r="E2097" s="134" t="s">
        <v>860</v>
      </c>
      <c r="F2097" s="135">
        <f t="shared" si="33"/>
        <v>2863000</v>
      </c>
      <c r="G2097" s="136" t="s">
        <v>813</v>
      </c>
      <c r="H2097" s="133" t="s">
        <v>323</v>
      </c>
      <c r="I2097" s="134" t="s">
        <v>108</v>
      </c>
    </row>
    <row r="2098" spans="1:9" x14ac:dyDescent="0.35">
      <c r="A2098" s="144">
        <v>45893</v>
      </c>
      <c r="B2098" s="135">
        <v>250000</v>
      </c>
      <c r="C2098" s="134"/>
      <c r="D2098" s="135"/>
      <c r="E2098" s="134" t="s">
        <v>860</v>
      </c>
      <c r="F2098" s="135">
        <f t="shared" si="33"/>
        <v>2613000</v>
      </c>
      <c r="G2098" s="136" t="s">
        <v>814</v>
      </c>
      <c r="H2098" s="133" t="s">
        <v>327</v>
      </c>
      <c r="I2098" s="134" t="s">
        <v>108</v>
      </c>
    </row>
    <row r="2099" spans="1:9" x14ac:dyDescent="0.35">
      <c r="A2099" s="144">
        <v>45897</v>
      </c>
      <c r="B2099" s="135">
        <v>400000</v>
      </c>
      <c r="C2099" s="134"/>
      <c r="D2099" s="135"/>
      <c r="E2099" s="134" t="s">
        <v>860</v>
      </c>
      <c r="F2099" s="135">
        <f t="shared" si="33"/>
        <v>2213000</v>
      </c>
      <c r="G2099" s="136" t="s">
        <v>188</v>
      </c>
      <c r="H2099" s="133" t="s">
        <v>323</v>
      </c>
      <c r="I2099" s="134" t="s">
        <v>108</v>
      </c>
    </row>
    <row r="2100" spans="1:9" x14ac:dyDescent="0.35">
      <c r="A2100" s="144">
        <v>45898</v>
      </c>
      <c r="B2100" s="135">
        <v>500000</v>
      </c>
      <c r="C2100" s="134"/>
      <c r="D2100" s="135"/>
      <c r="E2100" s="134" t="s">
        <v>860</v>
      </c>
      <c r="F2100" s="135">
        <f t="shared" si="33"/>
        <v>1713000</v>
      </c>
      <c r="G2100" s="136" t="s">
        <v>191</v>
      </c>
      <c r="H2100" s="133" t="s">
        <v>323</v>
      </c>
      <c r="I2100" s="134" t="s">
        <v>108</v>
      </c>
    </row>
    <row r="2101" spans="1:9" x14ac:dyDescent="0.35">
      <c r="A2101" s="144">
        <v>45900</v>
      </c>
      <c r="B2101" s="135"/>
      <c r="C2101" s="134"/>
      <c r="D2101" s="135">
        <v>2000000</v>
      </c>
      <c r="E2101" s="134" t="s">
        <v>860</v>
      </c>
      <c r="F2101" s="135">
        <f t="shared" si="33"/>
        <v>3713000</v>
      </c>
      <c r="G2101" s="136" t="s">
        <v>414</v>
      </c>
      <c r="H2101" s="133" t="s">
        <v>109</v>
      </c>
      <c r="I2101" s="134" t="s">
        <v>108</v>
      </c>
    </row>
    <row r="2102" spans="1:9" x14ac:dyDescent="0.35">
      <c r="A2102" s="144">
        <v>45900</v>
      </c>
      <c r="B2102" s="135">
        <v>250000</v>
      </c>
      <c r="C2102" s="134"/>
      <c r="D2102" s="135"/>
      <c r="E2102" s="134" t="s">
        <v>860</v>
      </c>
      <c r="F2102" s="135">
        <f t="shared" si="33"/>
        <v>3463000</v>
      </c>
      <c r="G2102" s="136" t="s">
        <v>822</v>
      </c>
      <c r="H2102" s="133" t="s">
        <v>327</v>
      </c>
      <c r="I2102" s="134" t="s">
        <v>108</v>
      </c>
    </row>
    <row r="2103" spans="1:9" x14ac:dyDescent="0.35">
      <c r="A2103" s="144">
        <v>45904</v>
      </c>
      <c r="B2103" s="135">
        <v>250000</v>
      </c>
      <c r="C2103" s="134"/>
      <c r="D2103" s="135"/>
      <c r="E2103" s="220" t="s">
        <v>861</v>
      </c>
      <c r="F2103" s="135">
        <f t="shared" si="33"/>
        <v>3213000</v>
      </c>
      <c r="G2103" s="136" t="s">
        <v>823</v>
      </c>
      <c r="H2103" s="133" t="s">
        <v>322</v>
      </c>
      <c r="I2103" s="134" t="s">
        <v>108</v>
      </c>
    </row>
    <row r="2104" spans="1:9" x14ac:dyDescent="0.35">
      <c r="A2104" s="144">
        <v>45904</v>
      </c>
      <c r="B2104" s="135">
        <v>100000</v>
      </c>
      <c r="C2104" s="134"/>
      <c r="D2104" s="135"/>
      <c r="E2104" s="220" t="s">
        <v>861</v>
      </c>
      <c r="F2104" s="135">
        <f t="shared" si="33"/>
        <v>3113000</v>
      </c>
      <c r="G2104" s="136" t="s">
        <v>824</v>
      </c>
      <c r="H2104" s="133" t="s">
        <v>327</v>
      </c>
      <c r="I2104" s="134" t="s">
        <v>108</v>
      </c>
    </row>
    <row r="2105" spans="1:9" x14ac:dyDescent="0.35">
      <c r="A2105" s="144">
        <v>45905</v>
      </c>
      <c r="B2105" s="135">
        <v>500000</v>
      </c>
      <c r="C2105" s="134"/>
      <c r="D2105" s="135"/>
      <c r="E2105" s="220" t="s">
        <v>861</v>
      </c>
      <c r="F2105" s="135">
        <f t="shared" si="33"/>
        <v>2613000</v>
      </c>
      <c r="G2105" s="136" t="s">
        <v>191</v>
      </c>
      <c r="H2105" s="133" t="s">
        <v>323</v>
      </c>
      <c r="I2105" s="134" t="s">
        <v>108</v>
      </c>
    </row>
    <row r="2106" spans="1:9" x14ac:dyDescent="0.35">
      <c r="A2106" s="144">
        <v>45907</v>
      </c>
      <c r="B2106" s="135"/>
      <c r="C2106" s="134"/>
      <c r="D2106" s="135">
        <v>1000000</v>
      </c>
      <c r="E2106" s="220" t="s">
        <v>861</v>
      </c>
      <c r="F2106" s="135">
        <f t="shared" si="33"/>
        <v>3613000</v>
      </c>
      <c r="G2106" s="136" t="s">
        <v>414</v>
      </c>
      <c r="H2106" s="133" t="s">
        <v>109</v>
      </c>
      <c r="I2106" s="134" t="s">
        <v>108</v>
      </c>
    </row>
    <row r="2107" spans="1:9" x14ac:dyDescent="0.35">
      <c r="A2107" s="144">
        <v>45907</v>
      </c>
      <c r="B2107" s="135">
        <v>250000</v>
      </c>
      <c r="C2107" s="134"/>
      <c r="D2107" s="135"/>
      <c r="E2107" s="220" t="s">
        <v>861</v>
      </c>
      <c r="F2107" s="135">
        <f t="shared" si="33"/>
        <v>3363000</v>
      </c>
      <c r="G2107" s="136" t="s">
        <v>822</v>
      </c>
      <c r="H2107" s="133" t="s">
        <v>327</v>
      </c>
      <c r="I2107" s="134" t="s">
        <v>108</v>
      </c>
    </row>
    <row r="2108" spans="1:9" x14ac:dyDescent="0.35">
      <c r="A2108" s="144">
        <v>45911</v>
      </c>
      <c r="B2108" s="135">
        <v>1400000</v>
      </c>
      <c r="C2108" s="134"/>
      <c r="D2108" s="135"/>
      <c r="E2108" s="220" t="s">
        <v>861</v>
      </c>
      <c r="F2108" s="135">
        <f t="shared" si="33"/>
        <v>1963000</v>
      </c>
      <c r="G2108" s="136" t="s">
        <v>829</v>
      </c>
      <c r="H2108" s="133" t="s">
        <v>327</v>
      </c>
      <c r="I2108" s="134" t="s">
        <v>108</v>
      </c>
    </row>
    <row r="2109" spans="1:9" x14ac:dyDescent="0.35">
      <c r="A2109" s="144">
        <v>45912</v>
      </c>
      <c r="B2109" s="135">
        <v>500000</v>
      </c>
      <c r="C2109" s="134"/>
      <c r="D2109" s="135"/>
      <c r="E2109" s="220" t="s">
        <v>861</v>
      </c>
      <c r="F2109" s="135">
        <f t="shared" si="33"/>
        <v>1463000</v>
      </c>
      <c r="G2109" s="136" t="s">
        <v>191</v>
      </c>
      <c r="H2109" s="133" t="s">
        <v>323</v>
      </c>
      <c r="I2109" s="134" t="s">
        <v>108</v>
      </c>
    </row>
    <row r="2110" spans="1:9" x14ac:dyDescent="0.35">
      <c r="A2110" s="144">
        <v>45913</v>
      </c>
      <c r="B2110" s="135"/>
      <c r="C2110" s="134"/>
      <c r="D2110" s="135">
        <v>3000000</v>
      </c>
      <c r="E2110" s="220" t="s">
        <v>861</v>
      </c>
      <c r="F2110" s="135">
        <f t="shared" si="33"/>
        <v>4463000</v>
      </c>
      <c r="G2110" s="136" t="s">
        <v>414</v>
      </c>
      <c r="H2110" s="133" t="s">
        <v>109</v>
      </c>
      <c r="I2110" s="134" t="s">
        <v>108</v>
      </c>
    </row>
    <row r="2111" spans="1:9" x14ac:dyDescent="0.35">
      <c r="A2111" s="144">
        <v>45913</v>
      </c>
      <c r="B2111" s="135">
        <v>750000</v>
      </c>
      <c r="C2111" s="134"/>
      <c r="D2111" s="135"/>
      <c r="E2111" s="220" t="s">
        <v>861</v>
      </c>
      <c r="F2111" s="135">
        <f t="shared" si="33"/>
        <v>3713000</v>
      </c>
      <c r="G2111" s="136" t="s">
        <v>833</v>
      </c>
      <c r="H2111" s="133" t="s">
        <v>323</v>
      </c>
      <c r="I2111" s="134" t="s">
        <v>108</v>
      </c>
    </row>
    <row r="2112" spans="1:9" x14ac:dyDescent="0.35">
      <c r="A2112" s="144">
        <v>45914</v>
      </c>
      <c r="B2112" s="135">
        <v>250000</v>
      </c>
      <c r="C2112" s="134"/>
      <c r="D2112" s="135"/>
      <c r="E2112" s="220" t="s">
        <v>861</v>
      </c>
      <c r="F2112" s="135">
        <f t="shared" si="33"/>
        <v>3463000</v>
      </c>
      <c r="G2112" s="136" t="s">
        <v>834</v>
      </c>
      <c r="H2112" s="133" t="s">
        <v>327</v>
      </c>
      <c r="I2112" s="134" t="s">
        <v>108</v>
      </c>
    </row>
    <row r="2113" spans="1:9" x14ac:dyDescent="0.35">
      <c r="A2113" s="144">
        <v>45915</v>
      </c>
      <c r="B2113" s="135">
        <v>160000</v>
      </c>
      <c r="C2113" s="134"/>
      <c r="D2113" s="135"/>
      <c r="E2113" s="220" t="s">
        <v>861</v>
      </c>
      <c r="F2113" s="135">
        <f t="shared" si="33"/>
        <v>3303000</v>
      </c>
      <c r="G2113" s="136" t="s">
        <v>835</v>
      </c>
      <c r="H2113" s="133" t="s">
        <v>322</v>
      </c>
      <c r="I2113" s="134" t="s">
        <v>108</v>
      </c>
    </row>
    <row r="2114" spans="1:9" x14ac:dyDescent="0.35">
      <c r="A2114" s="144">
        <v>45914</v>
      </c>
      <c r="B2114" s="135">
        <v>1000000</v>
      </c>
      <c r="C2114" s="134"/>
      <c r="D2114" s="135"/>
      <c r="E2114" s="220" t="s">
        <v>861</v>
      </c>
      <c r="F2114" s="135">
        <f t="shared" si="33"/>
        <v>2303000</v>
      </c>
      <c r="G2114" s="136" t="s">
        <v>296</v>
      </c>
      <c r="H2114" s="133" t="s">
        <v>321</v>
      </c>
      <c r="I2114" s="134" t="s">
        <v>108</v>
      </c>
    </row>
    <row r="2115" spans="1:9" x14ac:dyDescent="0.35">
      <c r="A2115" s="144">
        <v>45916</v>
      </c>
      <c r="B2115" s="135">
        <v>250000</v>
      </c>
      <c r="C2115" s="134"/>
      <c r="D2115" s="135"/>
      <c r="E2115" s="220" t="s">
        <v>861</v>
      </c>
      <c r="F2115" s="135">
        <f t="shared" si="33"/>
        <v>2053000</v>
      </c>
      <c r="G2115" s="136" t="s">
        <v>642</v>
      </c>
      <c r="H2115" s="133" t="s">
        <v>203</v>
      </c>
      <c r="I2115" s="134" t="s">
        <v>108</v>
      </c>
    </row>
    <row r="2116" spans="1:9" x14ac:dyDescent="0.35">
      <c r="A2116" s="144">
        <v>45919</v>
      </c>
      <c r="B2116" s="135">
        <v>500000</v>
      </c>
      <c r="C2116" s="134"/>
      <c r="D2116" s="135"/>
      <c r="E2116" s="220" t="s">
        <v>861</v>
      </c>
      <c r="F2116" s="135">
        <f t="shared" si="33"/>
        <v>1553000</v>
      </c>
      <c r="G2116" s="136" t="s">
        <v>191</v>
      </c>
      <c r="H2116" s="133" t="s">
        <v>323</v>
      </c>
      <c r="I2116" s="134" t="s">
        <v>108</v>
      </c>
    </row>
    <row r="2117" spans="1:9" x14ac:dyDescent="0.35">
      <c r="A2117" s="144">
        <v>45921</v>
      </c>
      <c r="B2117" s="135"/>
      <c r="C2117" s="134"/>
      <c r="D2117" s="135">
        <v>3000000</v>
      </c>
      <c r="E2117" s="220" t="s">
        <v>861</v>
      </c>
      <c r="F2117" s="135">
        <f t="shared" si="33"/>
        <v>4553000</v>
      </c>
      <c r="G2117" s="136" t="s">
        <v>414</v>
      </c>
      <c r="H2117" s="133" t="s">
        <v>109</v>
      </c>
      <c r="I2117" s="134" t="s">
        <v>108</v>
      </c>
    </row>
    <row r="2118" spans="1:9" x14ac:dyDescent="0.35">
      <c r="A2118" s="144">
        <v>45921</v>
      </c>
      <c r="B2118" s="135">
        <v>250000</v>
      </c>
      <c r="C2118" s="134"/>
      <c r="D2118" s="135"/>
      <c r="E2118" s="220" t="s">
        <v>861</v>
      </c>
      <c r="F2118" s="135">
        <f t="shared" si="33"/>
        <v>4303000</v>
      </c>
      <c r="G2118" s="136" t="s">
        <v>822</v>
      </c>
      <c r="H2118" s="133" t="s">
        <v>327</v>
      </c>
      <c r="I2118" s="134" t="s">
        <v>108</v>
      </c>
    </row>
    <row r="2119" spans="1:9" x14ac:dyDescent="0.35">
      <c r="A2119" s="144">
        <v>45923</v>
      </c>
      <c r="B2119" s="135">
        <v>320000</v>
      </c>
      <c r="C2119" s="134"/>
      <c r="D2119" s="135"/>
      <c r="E2119" s="220" t="s">
        <v>861</v>
      </c>
      <c r="F2119" s="135">
        <f t="shared" si="33"/>
        <v>3983000</v>
      </c>
      <c r="G2119" s="136" t="s">
        <v>840</v>
      </c>
      <c r="H2119" s="133" t="s">
        <v>322</v>
      </c>
      <c r="I2119" s="134" t="s">
        <v>108</v>
      </c>
    </row>
    <row r="2120" spans="1:9" x14ac:dyDescent="0.35">
      <c r="A2120" s="144">
        <v>45924</v>
      </c>
      <c r="B2120" s="135">
        <v>200000</v>
      </c>
      <c r="C2120" s="134"/>
      <c r="D2120" s="135"/>
      <c r="E2120" s="220" t="s">
        <v>861</v>
      </c>
      <c r="F2120" s="135">
        <f t="shared" si="33"/>
        <v>3783000</v>
      </c>
      <c r="G2120" s="136" t="s">
        <v>688</v>
      </c>
      <c r="H2120" s="133" t="s">
        <v>203</v>
      </c>
      <c r="I2120" s="134" t="s">
        <v>108</v>
      </c>
    </row>
    <row r="2121" spans="1:9" x14ac:dyDescent="0.35">
      <c r="A2121" s="144">
        <v>45926</v>
      </c>
      <c r="B2121" s="135">
        <v>500000</v>
      </c>
      <c r="C2121" s="134"/>
      <c r="D2121" s="135"/>
      <c r="E2121" s="220" t="s">
        <v>861</v>
      </c>
      <c r="F2121" s="135">
        <f t="shared" si="33"/>
        <v>3283000</v>
      </c>
      <c r="G2121" s="136" t="s">
        <v>191</v>
      </c>
      <c r="H2121" s="133" t="s">
        <v>323</v>
      </c>
      <c r="I2121" s="134" t="s">
        <v>108</v>
      </c>
    </row>
    <row r="2122" spans="1:9" x14ac:dyDescent="0.35">
      <c r="A2122" s="144">
        <v>45921</v>
      </c>
      <c r="B2122" s="135">
        <v>500000</v>
      </c>
      <c r="C2122" s="134"/>
      <c r="D2122" s="135"/>
      <c r="E2122" s="220" t="s">
        <v>861</v>
      </c>
      <c r="F2122" s="135">
        <f t="shared" si="33"/>
        <v>2783000</v>
      </c>
      <c r="G2122" s="136" t="s">
        <v>841</v>
      </c>
      <c r="H2122" s="133" t="s">
        <v>323</v>
      </c>
      <c r="I2122" s="134" t="s">
        <v>108</v>
      </c>
    </row>
    <row r="2123" spans="1:9" x14ac:dyDescent="0.35">
      <c r="A2123" s="144">
        <v>45926</v>
      </c>
      <c r="B2123" s="135"/>
      <c r="C2123" s="134"/>
      <c r="D2123" s="135">
        <v>2000000</v>
      </c>
      <c r="E2123" s="220" t="s">
        <v>861</v>
      </c>
      <c r="F2123" s="135">
        <f t="shared" si="33"/>
        <v>4783000</v>
      </c>
      <c r="G2123" s="136" t="s">
        <v>414</v>
      </c>
      <c r="H2123" s="133" t="s">
        <v>109</v>
      </c>
      <c r="I2123" s="134" t="s">
        <v>108</v>
      </c>
    </row>
    <row r="2124" spans="1:9" x14ac:dyDescent="0.35">
      <c r="A2124" s="144">
        <v>45926</v>
      </c>
      <c r="B2124" s="135">
        <v>180000</v>
      </c>
      <c r="C2124" s="134"/>
      <c r="D2124" s="135"/>
      <c r="E2124" s="220" t="s">
        <v>861</v>
      </c>
      <c r="F2124" s="135">
        <f t="shared" si="33"/>
        <v>4603000</v>
      </c>
      <c r="G2124" s="136" t="s">
        <v>857</v>
      </c>
      <c r="H2124" s="133" t="s">
        <v>322</v>
      </c>
      <c r="I2124" s="134" t="s">
        <v>108</v>
      </c>
    </row>
    <row r="2125" spans="1:9" x14ac:dyDescent="0.35">
      <c r="A2125" s="144">
        <v>45926</v>
      </c>
      <c r="B2125" s="135">
        <v>750000</v>
      </c>
      <c r="C2125" s="134"/>
      <c r="D2125" s="135"/>
      <c r="E2125" s="220" t="s">
        <v>861</v>
      </c>
      <c r="F2125" s="135">
        <f t="shared" si="33"/>
        <v>3853000</v>
      </c>
      <c r="G2125" s="136" t="s">
        <v>858</v>
      </c>
      <c r="H2125" s="133" t="s">
        <v>203</v>
      </c>
      <c r="I2125" s="134" t="s">
        <v>108</v>
      </c>
    </row>
    <row r="2126" spans="1:9" x14ac:dyDescent="0.35">
      <c r="A2126" s="144">
        <v>45926</v>
      </c>
      <c r="B2126" s="135">
        <v>450000</v>
      </c>
      <c r="C2126" s="134"/>
      <c r="D2126" s="135"/>
      <c r="E2126" s="220" t="s">
        <v>861</v>
      </c>
      <c r="F2126" s="135">
        <f t="shared" si="33"/>
        <v>3403000</v>
      </c>
      <c r="G2126" s="136" t="s">
        <v>859</v>
      </c>
      <c r="H2126" s="133" t="s">
        <v>323</v>
      </c>
      <c r="I2126" s="134" t="s">
        <v>108</v>
      </c>
    </row>
    <row r="2127" spans="1:9" x14ac:dyDescent="0.35">
      <c r="A2127" s="144">
        <v>45926</v>
      </c>
      <c r="B2127" s="135">
        <v>250000</v>
      </c>
      <c r="C2127" s="134"/>
      <c r="D2127" s="135"/>
      <c r="E2127" s="220" t="s">
        <v>861</v>
      </c>
      <c r="F2127" s="135">
        <f t="shared" si="33"/>
        <v>3153000</v>
      </c>
      <c r="G2127" s="136" t="s">
        <v>729</v>
      </c>
      <c r="H2127" s="133" t="s">
        <v>327</v>
      </c>
      <c r="I2127" s="134" t="s">
        <v>108</v>
      </c>
    </row>
    <row r="2128" spans="1:9" x14ac:dyDescent="0.35">
      <c r="A2128" s="144">
        <v>45926</v>
      </c>
      <c r="B2128" s="135">
        <v>400000</v>
      </c>
      <c r="C2128" s="134"/>
      <c r="D2128" s="135"/>
      <c r="E2128" s="220" t="s">
        <v>861</v>
      </c>
      <c r="F2128" s="135">
        <f t="shared" si="33"/>
        <v>2753000</v>
      </c>
      <c r="G2128" s="136" t="s">
        <v>188</v>
      </c>
      <c r="H2128" s="133" t="s">
        <v>323</v>
      </c>
      <c r="I2128" s="134" t="s">
        <v>108</v>
      </c>
    </row>
    <row r="2129" spans="1:9" x14ac:dyDescent="0.35">
      <c r="A2129" s="144">
        <v>45926</v>
      </c>
      <c r="B2129" s="135">
        <v>500000</v>
      </c>
      <c r="C2129" s="134"/>
      <c r="D2129" s="135"/>
      <c r="E2129" s="220" t="s">
        <v>861</v>
      </c>
      <c r="F2129" s="135">
        <f t="shared" si="33"/>
        <v>2253000</v>
      </c>
      <c r="G2129" s="136" t="s">
        <v>191</v>
      </c>
      <c r="H2129" s="133" t="s">
        <v>323</v>
      </c>
      <c r="I2129" s="134" t="s">
        <v>108</v>
      </c>
    </row>
  </sheetData>
  <mergeCells count="1">
    <mergeCell ref="A1:G1"/>
  </mergeCell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420"/>
  <sheetViews>
    <sheetView zoomScale="85" zoomScaleNormal="85" workbookViewId="0">
      <pane xSplit="1" ySplit="7" topLeftCell="F1320" activePane="bottomRight" state="frozen"/>
      <selection pane="topRight" activeCell="B1" sqref="B1"/>
      <selection pane="bottomLeft" activeCell="A8" sqref="A8"/>
      <selection pane="bottomRight" activeCell="J4" sqref="J4"/>
    </sheetView>
  </sheetViews>
  <sheetFormatPr defaultRowHeight="14.5" x14ac:dyDescent="0.35"/>
  <cols>
    <col min="1" max="1" width="12.1796875" style="18" bestFit="1" customWidth="1"/>
    <col min="2" max="2" width="14.54296875" style="18" bestFit="1" customWidth="1"/>
    <col min="3" max="3" width="11.81640625" style="18" customWidth="1"/>
    <col min="4" max="4" width="12.54296875" style="18" customWidth="1"/>
    <col min="5" max="5" width="11.54296875" style="18" customWidth="1"/>
    <col min="6" max="6" width="12.81640625" style="18" customWidth="1"/>
    <col min="7" max="7" width="45.26953125" style="18" customWidth="1"/>
    <col min="8" max="8" width="29.1796875" style="18" customWidth="1"/>
    <col min="9" max="9" width="30.81640625" style="18" bestFit="1" customWidth="1"/>
    <col min="10" max="10" width="27" bestFit="1" customWidth="1"/>
    <col min="11" max="11" width="16.90625" bestFit="1" customWidth="1"/>
    <col min="12" max="12" width="12.36328125" bestFit="1" customWidth="1"/>
  </cols>
  <sheetData>
    <row r="1" spans="1:12" x14ac:dyDescent="0.35">
      <c r="A1" s="244" t="s">
        <v>104</v>
      </c>
      <c r="B1" s="244"/>
      <c r="C1" s="244"/>
      <c r="D1" s="244"/>
      <c r="E1" s="244"/>
      <c r="F1" s="244"/>
      <c r="G1" s="244"/>
      <c r="H1" s="37">
        <v>197854843</v>
      </c>
      <c r="I1" s="25"/>
    </row>
    <row r="2" spans="1:12" x14ac:dyDescent="0.35">
      <c r="A2" s="2"/>
      <c r="B2" s="2"/>
      <c r="C2" s="2"/>
      <c r="D2" s="2"/>
      <c r="E2" s="2"/>
      <c r="F2" s="2"/>
      <c r="G2" s="206"/>
      <c r="H2" s="37">
        <v>198929843</v>
      </c>
      <c r="I2" s="25"/>
    </row>
    <row r="3" spans="1:12" x14ac:dyDescent="0.35">
      <c r="A3" s="22" t="s">
        <v>49</v>
      </c>
      <c r="F3" s="182"/>
      <c r="G3" s="13"/>
      <c r="H3" s="37">
        <f>H2-H1</f>
        <v>1075000</v>
      </c>
      <c r="I3" s="25"/>
    </row>
    <row r="4" spans="1:12" x14ac:dyDescent="0.35">
      <c r="A4" s="22" t="s">
        <v>50</v>
      </c>
      <c r="E4" s="18" t="s">
        <v>865</v>
      </c>
      <c r="F4" s="206"/>
      <c r="G4" s="206"/>
      <c r="H4" s="37"/>
      <c r="I4" s="25"/>
    </row>
    <row r="5" spans="1:12" ht="14.5" customHeight="1" x14ac:dyDescent="0.35">
      <c r="A5" s="22" t="s">
        <v>1032</v>
      </c>
      <c r="E5" s="18" t="s">
        <v>108</v>
      </c>
      <c r="F5" s="206"/>
      <c r="H5" s="37"/>
    </row>
    <row r="6" spans="1:12" x14ac:dyDescent="0.35">
      <c r="A6" s="22"/>
      <c r="F6" s="191"/>
      <c r="G6" s="224"/>
      <c r="H6" s="37"/>
    </row>
    <row r="7" spans="1:12" x14ac:dyDescent="0.35">
      <c r="A7" s="6" t="s">
        <v>2</v>
      </c>
      <c r="B7" s="6" t="s">
        <v>3</v>
      </c>
      <c r="C7" s="6" t="s">
        <v>138</v>
      </c>
      <c r="D7" s="6" t="s">
        <v>4</v>
      </c>
      <c r="E7" s="6" t="s">
        <v>192</v>
      </c>
      <c r="F7" s="6" t="s">
        <v>5</v>
      </c>
      <c r="G7" s="6" t="s">
        <v>6</v>
      </c>
      <c r="H7" s="34" t="s">
        <v>141</v>
      </c>
      <c r="I7" s="34" t="s">
        <v>359</v>
      </c>
      <c r="J7" s="36" t="s">
        <v>192</v>
      </c>
      <c r="K7" t="s">
        <v>492</v>
      </c>
    </row>
    <row r="8" spans="1:12" x14ac:dyDescent="0.35">
      <c r="A8" s="19">
        <v>46024</v>
      </c>
      <c r="B8" s="20"/>
      <c r="C8" s="20"/>
      <c r="D8" s="20">
        <v>400000</v>
      </c>
      <c r="E8" s="234" t="s">
        <v>357</v>
      </c>
      <c r="F8" s="20">
        <v>187527301</v>
      </c>
      <c r="G8" s="7" t="s">
        <v>515</v>
      </c>
      <c r="H8" s="24" t="s">
        <v>109</v>
      </c>
      <c r="I8" s="32" t="s">
        <v>152</v>
      </c>
    </row>
    <row r="9" spans="1:12" x14ac:dyDescent="0.35">
      <c r="A9" s="19">
        <v>46024</v>
      </c>
      <c r="B9" s="20"/>
      <c r="C9" s="20"/>
      <c r="D9" s="20">
        <v>200000</v>
      </c>
      <c r="E9" s="234" t="s">
        <v>357</v>
      </c>
      <c r="F9" s="20">
        <f t="shared" ref="F9:F74" si="0">+F8+D9-B9</f>
        <v>187727301</v>
      </c>
      <c r="G9" s="7" t="s">
        <v>866</v>
      </c>
      <c r="H9" s="24" t="s">
        <v>109</v>
      </c>
      <c r="I9" s="32" t="s">
        <v>152</v>
      </c>
      <c r="J9" s="36" t="s">
        <v>149</v>
      </c>
      <c r="K9" t="s">
        <v>151</v>
      </c>
      <c r="L9" t="s">
        <v>148</v>
      </c>
    </row>
    <row r="10" spans="1:12" x14ac:dyDescent="0.35">
      <c r="A10" s="19">
        <v>46024</v>
      </c>
      <c r="B10" s="20"/>
      <c r="C10" s="20"/>
      <c r="D10" s="20">
        <v>10000</v>
      </c>
      <c r="E10" s="234" t="s">
        <v>357</v>
      </c>
      <c r="F10" s="20">
        <f t="shared" si="0"/>
        <v>187737301</v>
      </c>
      <c r="G10" s="7" t="s">
        <v>330</v>
      </c>
      <c r="H10" s="24" t="s">
        <v>109</v>
      </c>
      <c r="I10" s="32" t="s">
        <v>152</v>
      </c>
      <c r="J10" s="13" t="s">
        <v>107</v>
      </c>
      <c r="K10" s="160"/>
      <c r="L10" s="160">
        <v>2750000</v>
      </c>
    </row>
    <row r="11" spans="1:12" x14ac:dyDescent="0.35">
      <c r="A11" s="19">
        <v>46024</v>
      </c>
      <c r="B11" s="20"/>
      <c r="C11" s="20"/>
      <c r="D11" s="20">
        <v>20000</v>
      </c>
      <c r="E11" s="234" t="s">
        <v>357</v>
      </c>
      <c r="F11" s="20">
        <f t="shared" si="0"/>
        <v>187757301</v>
      </c>
      <c r="G11" s="7" t="s">
        <v>330</v>
      </c>
      <c r="H11" s="24" t="s">
        <v>109</v>
      </c>
      <c r="I11" s="32" t="s">
        <v>152</v>
      </c>
      <c r="J11" s="13" t="s">
        <v>201</v>
      </c>
      <c r="K11" s="160">
        <v>9219500</v>
      </c>
      <c r="L11" s="160"/>
    </row>
    <row r="12" spans="1:12" x14ac:dyDescent="0.35">
      <c r="A12" s="19">
        <v>46024</v>
      </c>
      <c r="B12" s="20"/>
      <c r="C12" s="20"/>
      <c r="D12" s="20">
        <v>350000</v>
      </c>
      <c r="E12" s="234" t="s">
        <v>357</v>
      </c>
      <c r="F12" s="20">
        <f t="shared" si="0"/>
        <v>188107301</v>
      </c>
      <c r="G12" s="7" t="s">
        <v>740</v>
      </c>
      <c r="H12" s="24" t="s">
        <v>109</v>
      </c>
      <c r="I12" s="32" t="s">
        <v>152</v>
      </c>
      <c r="J12" s="13" t="s">
        <v>323</v>
      </c>
      <c r="K12" s="160">
        <v>2006500</v>
      </c>
      <c r="L12" s="160"/>
    </row>
    <row r="13" spans="1:12" x14ac:dyDescent="0.35">
      <c r="A13" s="19">
        <v>46024</v>
      </c>
      <c r="B13" s="20">
        <v>75000</v>
      </c>
      <c r="C13" s="20"/>
      <c r="D13" s="20"/>
      <c r="E13" s="234" t="s">
        <v>357</v>
      </c>
      <c r="F13" s="20">
        <f t="shared" si="0"/>
        <v>188032301</v>
      </c>
      <c r="G13" s="7" t="s">
        <v>1029</v>
      </c>
      <c r="H13" s="24" t="s">
        <v>320</v>
      </c>
      <c r="I13" s="32" t="s">
        <v>152</v>
      </c>
      <c r="J13" s="13" t="s">
        <v>109</v>
      </c>
      <c r="K13" s="160"/>
      <c r="L13" s="160">
        <v>4270000</v>
      </c>
    </row>
    <row r="14" spans="1:12" x14ac:dyDescent="0.35">
      <c r="A14" s="19">
        <v>46024</v>
      </c>
      <c r="B14" s="20">
        <v>2500</v>
      </c>
      <c r="C14" s="20"/>
      <c r="D14" s="20"/>
      <c r="E14" s="234" t="s">
        <v>357</v>
      </c>
      <c r="F14" s="20">
        <f t="shared" si="0"/>
        <v>188029801</v>
      </c>
      <c r="G14" s="7" t="s">
        <v>1029</v>
      </c>
      <c r="H14" s="24" t="s">
        <v>320</v>
      </c>
      <c r="I14" s="32" t="s">
        <v>152</v>
      </c>
      <c r="J14" s="13" t="s">
        <v>217</v>
      </c>
      <c r="K14" s="160"/>
      <c r="L14" s="160"/>
    </row>
    <row r="15" spans="1:12" x14ac:dyDescent="0.35">
      <c r="A15" s="19">
        <v>46024</v>
      </c>
      <c r="B15" s="20"/>
      <c r="C15" s="20"/>
      <c r="D15" s="20">
        <v>300000</v>
      </c>
      <c r="E15" s="234" t="s">
        <v>357</v>
      </c>
      <c r="F15" s="20">
        <f t="shared" si="0"/>
        <v>188329801</v>
      </c>
      <c r="G15" s="7" t="s">
        <v>577</v>
      </c>
      <c r="H15" s="24" t="s">
        <v>109</v>
      </c>
      <c r="I15" s="32" t="s">
        <v>152</v>
      </c>
      <c r="J15" s="13" t="s">
        <v>202</v>
      </c>
      <c r="K15" s="160">
        <v>1000000</v>
      </c>
      <c r="L15" s="160"/>
    </row>
    <row r="16" spans="1:12" x14ac:dyDescent="0.35">
      <c r="A16" s="19">
        <v>46024</v>
      </c>
      <c r="B16" s="20"/>
      <c r="C16" s="20"/>
      <c r="D16" s="20">
        <v>500000</v>
      </c>
      <c r="E16" s="234" t="s">
        <v>357</v>
      </c>
      <c r="F16" s="20">
        <f t="shared" si="0"/>
        <v>188829801</v>
      </c>
      <c r="G16" s="7" t="s">
        <v>675</v>
      </c>
      <c r="H16" s="24" t="s">
        <v>109</v>
      </c>
      <c r="I16" s="32" t="s">
        <v>152</v>
      </c>
      <c r="J16" s="13" t="s">
        <v>325</v>
      </c>
      <c r="K16" s="160">
        <v>12582500</v>
      </c>
      <c r="L16" s="160"/>
    </row>
    <row r="17" spans="1:12" x14ac:dyDescent="0.35">
      <c r="A17" s="19">
        <v>46027</v>
      </c>
      <c r="B17" s="20">
        <v>750000</v>
      </c>
      <c r="C17" s="20"/>
      <c r="D17" s="20"/>
      <c r="E17" s="234" t="s">
        <v>357</v>
      </c>
      <c r="F17" s="20">
        <f t="shared" si="0"/>
        <v>188079801</v>
      </c>
      <c r="G17" s="7" t="s">
        <v>596</v>
      </c>
      <c r="H17" s="24" t="s">
        <v>323</v>
      </c>
      <c r="I17" s="32" t="s">
        <v>152</v>
      </c>
      <c r="J17" s="13" t="s">
        <v>322</v>
      </c>
      <c r="K17" s="160">
        <v>1306500</v>
      </c>
      <c r="L17" s="160"/>
    </row>
    <row r="18" spans="1:12" x14ac:dyDescent="0.35">
      <c r="A18" s="19">
        <v>46027</v>
      </c>
      <c r="B18" s="20">
        <v>6500</v>
      </c>
      <c r="C18" s="20"/>
      <c r="D18" s="20"/>
      <c r="E18" s="234" t="s">
        <v>357</v>
      </c>
      <c r="F18" s="20">
        <f t="shared" si="0"/>
        <v>188073301</v>
      </c>
      <c r="G18" s="7" t="s">
        <v>596</v>
      </c>
      <c r="H18" s="24" t="s">
        <v>323</v>
      </c>
      <c r="I18" s="32" t="s">
        <v>152</v>
      </c>
      <c r="J18" s="13" t="s">
        <v>150</v>
      </c>
      <c r="K18" s="160">
        <v>26115000</v>
      </c>
      <c r="L18" s="160">
        <v>7020000</v>
      </c>
    </row>
    <row r="19" spans="1:12" x14ac:dyDescent="0.35">
      <c r="A19" s="19">
        <v>46027</v>
      </c>
      <c r="B19" s="20"/>
      <c r="C19" s="20"/>
      <c r="D19" s="20">
        <v>50000</v>
      </c>
      <c r="E19" s="234" t="s">
        <v>357</v>
      </c>
      <c r="F19" s="20">
        <f t="shared" si="0"/>
        <v>188123301</v>
      </c>
      <c r="G19" s="7" t="s">
        <v>330</v>
      </c>
      <c r="H19" s="24" t="s">
        <v>109</v>
      </c>
      <c r="I19" s="32" t="s">
        <v>152</v>
      </c>
    </row>
    <row r="20" spans="1:12" x14ac:dyDescent="0.35">
      <c r="A20" s="19">
        <v>46027</v>
      </c>
      <c r="B20" s="20"/>
      <c r="C20" s="20"/>
      <c r="D20" s="20">
        <v>100000</v>
      </c>
      <c r="E20" s="234" t="s">
        <v>357</v>
      </c>
      <c r="F20" s="20">
        <f t="shared" si="0"/>
        <v>188223301</v>
      </c>
      <c r="G20" s="7" t="s">
        <v>330</v>
      </c>
      <c r="H20" s="24" t="s">
        <v>109</v>
      </c>
      <c r="I20" s="32" t="s">
        <v>152</v>
      </c>
    </row>
    <row r="21" spans="1:12" x14ac:dyDescent="0.35">
      <c r="A21" s="19">
        <v>46027</v>
      </c>
      <c r="B21" s="20"/>
      <c r="C21" s="20"/>
      <c r="D21" s="20">
        <v>30000</v>
      </c>
      <c r="E21" s="234" t="s">
        <v>357</v>
      </c>
      <c r="F21" s="20">
        <f t="shared" si="0"/>
        <v>188253301</v>
      </c>
      <c r="G21" s="7" t="s">
        <v>330</v>
      </c>
      <c r="H21" s="24" t="s">
        <v>109</v>
      </c>
      <c r="I21" s="32" t="s">
        <v>152</v>
      </c>
    </row>
    <row r="22" spans="1:12" x14ac:dyDescent="0.35">
      <c r="A22" s="19">
        <v>46027</v>
      </c>
      <c r="B22" s="20"/>
      <c r="C22" s="20"/>
      <c r="D22" s="20">
        <v>200000</v>
      </c>
      <c r="E22" s="234" t="s">
        <v>357</v>
      </c>
      <c r="F22" s="20">
        <f t="shared" si="0"/>
        <v>188453301</v>
      </c>
      <c r="G22" s="7" t="s">
        <v>330</v>
      </c>
      <c r="H22" s="24" t="s">
        <v>109</v>
      </c>
      <c r="I22" s="32" t="s">
        <v>152</v>
      </c>
    </row>
    <row r="23" spans="1:12" x14ac:dyDescent="0.35">
      <c r="A23" s="19">
        <v>46027</v>
      </c>
      <c r="B23" s="20"/>
      <c r="C23" s="20"/>
      <c r="D23" s="20">
        <v>50000</v>
      </c>
      <c r="E23" s="234" t="s">
        <v>357</v>
      </c>
      <c r="F23" s="20">
        <f t="shared" si="0"/>
        <v>188503301</v>
      </c>
      <c r="G23" s="7" t="s">
        <v>330</v>
      </c>
      <c r="H23" s="24" t="s">
        <v>109</v>
      </c>
      <c r="I23" s="32" t="s">
        <v>152</v>
      </c>
    </row>
    <row r="24" spans="1:12" x14ac:dyDescent="0.35">
      <c r="A24" s="19">
        <v>46027</v>
      </c>
      <c r="B24" s="20"/>
      <c r="C24" s="20"/>
      <c r="D24" s="20">
        <v>25000</v>
      </c>
      <c r="E24" s="234" t="s">
        <v>357</v>
      </c>
      <c r="F24" s="20">
        <f t="shared" si="0"/>
        <v>188528301</v>
      </c>
      <c r="G24" s="7" t="s">
        <v>330</v>
      </c>
      <c r="H24" s="24" t="s">
        <v>109</v>
      </c>
      <c r="I24" s="32" t="s">
        <v>152</v>
      </c>
    </row>
    <row r="25" spans="1:12" x14ac:dyDescent="0.35">
      <c r="A25" s="19">
        <v>46027</v>
      </c>
      <c r="B25" s="20"/>
      <c r="C25" s="20"/>
      <c r="D25" s="20">
        <v>50000</v>
      </c>
      <c r="E25" s="234" t="s">
        <v>357</v>
      </c>
      <c r="F25" s="20">
        <f t="shared" si="0"/>
        <v>188578301</v>
      </c>
      <c r="G25" s="7" t="s">
        <v>330</v>
      </c>
      <c r="H25" s="24" t="s">
        <v>109</v>
      </c>
      <c r="I25" s="32" t="s">
        <v>152</v>
      </c>
    </row>
    <row r="26" spans="1:12" x14ac:dyDescent="0.35">
      <c r="A26" s="19">
        <v>46027</v>
      </c>
      <c r="B26" s="20"/>
      <c r="C26" s="20"/>
      <c r="D26" s="20">
        <v>100000</v>
      </c>
      <c r="E26" s="234" t="s">
        <v>357</v>
      </c>
      <c r="F26" s="20">
        <f t="shared" si="0"/>
        <v>188678301</v>
      </c>
      <c r="G26" s="7" t="s">
        <v>330</v>
      </c>
      <c r="H26" s="24" t="s">
        <v>109</v>
      </c>
      <c r="I26" s="32" t="s">
        <v>152</v>
      </c>
    </row>
    <row r="27" spans="1:12" x14ac:dyDescent="0.35">
      <c r="A27" s="19">
        <v>46027</v>
      </c>
      <c r="B27" s="20"/>
      <c r="C27" s="20"/>
      <c r="D27" s="20">
        <v>50000</v>
      </c>
      <c r="E27" s="234" t="s">
        <v>357</v>
      </c>
      <c r="F27" s="20">
        <f t="shared" si="0"/>
        <v>188728301</v>
      </c>
      <c r="G27" s="7" t="s">
        <v>330</v>
      </c>
      <c r="H27" s="24" t="s">
        <v>109</v>
      </c>
      <c r="I27" s="32" t="s">
        <v>152</v>
      </c>
    </row>
    <row r="28" spans="1:12" x14ac:dyDescent="0.35">
      <c r="A28" s="19">
        <v>46027</v>
      </c>
      <c r="B28" s="20"/>
      <c r="C28" s="20"/>
      <c r="D28" s="20">
        <v>20000</v>
      </c>
      <c r="E28" s="234" t="s">
        <v>357</v>
      </c>
      <c r="F28" s="20">
        <f t="shared" si="0"/>
        <v>188748301</v>
      </c>
      <c r="G28" s="7" t="s">
        <v>330</v>
      </c>
      <c r="H28" s="24" t="s">
        <v>109</v>
      </c>
      <c r="I28" s="32" t="s">
        <v>152</v>
      </c>
    </row>
    <row r="29" spans="1:12" x14ac:dyDescent="0.35">
      <c r="A29" s="19">
        <v>46027</v>
      </c>
      <c r="B29" s="20"/>
      <c r="C29" s="20"/>
      <c r="D29" s="20">
        <v>1011</v>
      </c>
      <c r="E29" s="234" t="s">
        <v>357</v>
      </c>
      <c r="F29" s="20">
        <f t="shared" si="0"/>
        <v>188749312</v>
      </c>
      <c r="G29" s="7" t="s">
        <v>330</v>
      </c>
      <c r="H29" s="24" t="s">
        <v>109</v>
      </c>
      <c r="I29" s="32" t="s">
        <v>152</v>
      </c>
    </row>
    <row r="30" spans="1:12" x14ac:dyDescent="0.35">
      <c r="A30" s="19">
        <v>46027</v>
      </c>
      <c r="B30" s="20">
        <v>750000</v>
      </c>
      <c r="C30" s="20"/>
      <c r="D30" s="20"/>
      <c r="E30" s="234" t="s">
        <v>357</v>
      </c>
      <c r="F30" s="20">
        <f t="shared" si="0"/>
        <v>187999312</v>
      </c>
      <c r="G30" s="7" t="s">
        <v>826</v>
      </c>
      <c r="H30" s="24" t="s">
        <v>323</v>
      </c>
      <c r="I30" s="32" t="s">
        <v>152</v>
      </c>
    </row>
    <row r="31" spans="1:12" x14ac:dyDescent="0.35">
      <c r="A31" s="19">
        <v>46027</v>
      </c>
      <c r="B31" s="20">
        <v>6500</v>
      </c>
      <c r="C31" s="20"/>
      <c r="D31" s="20"/>
      <c r="E31" s="234" t="s">
        <v>357</v>
      </c>
      <c r="F31" s="20">
        <f t="shared" si="0"/>
        <v>187992812</v>
      </c>
      <c r="G31" s="7" t="s">
        <v>826</v>
      </c>
      <c r="H31" s="24" t="s">
        <v>323</v>
      </c>
      <c r="I31" s="32" t="s">
        <v>152</v>
      </c>
    </row>
    <row r="32" spans="1:12" x14ac:dyDescent="0.35">
      <c r="A32" s="19">
        <v>46027</v>
      </c>
      <c r="B32" s="20"/>
      <c r="C32" s="20"/>
      <c r="D32" s="20">
        <v>25000</v>
      </c>
      <c r="E32" s="234" t="s">
        <v>357</v>
      </c>
      <c r="F32" s="20">
        <f t="shared" si="0"/>
        <v>188017812</v>
      </c>
      <c r="G32" s="7" t="s">
        <v>330</v>
      </c>
      <c r="H32" s="24" t="s">
        <v>109</v>
      </c>
      <c r="I32" s="32" t="s">
        <v>152</v>
      </c>
    </row>
    <row r="33" spans="1:9" x14ac:dyDescent="0.35">
      <c r="A33" s="19">
        <v>46027</v>
      </c>
      <c r="B33" s="20"/>
      <c r="C33" s="20"/>
      <c r="D33" s="20">
        <v>20000</v>
      </c>
      <c r="E33" s="234" t="s">
        <v>357</v>
      </c>
      <c r="F33" s="20">
        <f t="shared" si="0"/>
        <v>188037812</v>
      </c>
      <c r="G33" s="7" t="s">
        <v>330</v>
      </c>
      <c r="H33" s="24" t="s">
        <v>109</v>
      </c>
      <c r="I33" s="32" t="s">
        <v>152</v>
      </c>
    </row>
    <row r="34" spans="1:9" x14ac:dyDescent="0.35">
      <c r="A34" s="19">
        <v>46027</v>
      </c>
      <c r="B34" s="20"/>
      <c r="C34" s="20"/>
      <c r="D34" s="20">
        <v>200000</v>
      </c>
      <c r="E34" s="234" t="s">
        <v>357</v>
      </c>
      <c r="F34" s="20">
        <f t="shared" si="0"/>
        <v>188237812</v>
      </c>
      <c r="G34" s="7" t="s">
        <v>531</v>
      </c>
      <c r="H34" s="24" t="s">
        <v>109</v>
      </c>
      <c r="I34" s="32" t="s">
        <v>152</v>
      </c>
    </row>
    <row r="35" spans="1:9" x14ac:dyDescent="0.35">
      <c r="A35" s="19">
        <v>46027</v>
      </c>
      <c r="B35" s="20"/>
      <c r="C35" s="20"/>
      <c r="D35" s="20">
        <v>1011</v>
      </c>
      <c r="E35" s="234" t="s">
        <v>357</v>
      </c>
      <c r="F35" s="20">
        <f t="shared" si="0"/>
        <v>188238823</v>
      </c>
      <c r="G35" s="7" t="s">
        <v>330</v>
      </c>
      <c r="H35" s="24" t="s">
        <v>109</v>
      </c>
      <c r="I35" s="32" t="s">
        <v>152</v>
      </c>
    </row>
    <row r="36" spans="1:9" x14ac:dyDescent="0.35">
      <c r="A36" s="19">
        <v>46027</v>
      </c>
      <c r="B36" s="20"/>
      <c r="C36" s="20"/>
      <c r="D36" s="20">
        <v>25000</v>
      </c>
      <c r="E36" s="234" t="s">
        <v>357</v>
      </c>
      <c r="F36" s="20">
        <f t="shared" si="0"/>
        <v>188263823</v>
      </c>
      <c r="G36" s="7" t="s">
        <v>330</v>
      </c>
      <c r="H36" s="24" t="s">
        <v>109</v>
      </c>
      <c r="I36" s="32" t="s">
        <v>152</v>
      </c>
    </row>
    <row r="37" spans="1:9" x14ac:dyDescent="0.35">
      <c r="A37" s="19">
        <v>46027</v>
      </c>
      <c r="B37" s="20"/>
      <c r="C37" s="20"/>
      <c r="D37" s="20">
        <v>10000</v>
      </c>
      <c r="E37" s="234" t="s">
        <v>357</v>
      </c>
      <c r="F37" s="20">
        <f t="shared" si="0"/>
        <v>188273823</v>
      </c>
      <c r="G37" s="7" t="s">
        <v>330</v>
      </c>
      <c r="H37" s="24" t="s">
        <v>109</v>
      </c>
      <c r="I37" s="32" t="s">
        <v>152</v>
      </c>
    </row>
    <row r="38" spans="1:9" x14ac:dyDescent="0.35">
      <c r="A38" s="19">
        <v>46027</v>
      </c>
      <c r="B38" s="20"/>
      <c r="C38" s="20"/>
      <c r="D38" s="20">
        <v>20000</v>
      </c>
      <c r="E38" s="234" t="s">
        <v>357</v>
      </c>
      <c r="F38" s="20">
        <f t="shared" si="0"/>
        <v>188293823</v>
      </c>
      <c r="G38" s="7" t="s">
        <v>330</v>
      </c>
      <c r="H38" s="24" t="s">
        <v>109</v>
      </c>
      <c r="I38" s="32" t="s">
        <v>152</v>
      </c>
    </row>
    <row r="39" spans="1:9" x14ac:dyDescent="0.35">
      <c r="A39" s="19">
        <v>46027</v>
      </c>
      <c r="B39" s="20">
        <v>2500000</v>
      </c>
      <c r="C39" s="20"/>
      <c r="D39" s="20"/>
      <c r="E39" s="234" t="s">
        <v>357</v>
      </c>
      <c r="F39" s="20">
        <f t="shared" si="0"/>
        <v>185793823</v>
      </c>
      <c r="G39" s="7" t="s">
        <v>1030</v>
      </c>
      <c r="H39" s="24" t="s">
        <v>201</v>
      </c>
      <c r="I39" s="32" t="s">
        <v>152</v>
      </c>
    </row>
    <row r="40" spans="1:9" x14ac:dyDescent="0.35">
      <c r="A40" s="19">
        <v>46027</v>
      </c>
      <c r="B40" s="20">
        <v>6500</v>
      </c>
      <c r="C40" s="20"/>
      <c r="D40" s="20"/>
      <c r="E40" s="234" t="s">
        <v>357</v>
      </c>
      <c r="F40" s="20">
        <f t="shared" si="0"/>
        <v>185787323</v>
      </c>
      <c r="G40" s="7" t="s">
        <v>1030</v>
      </c>
      <c r="H40" s="24" t="s">
        <v>201</v>
      </c>
      <c r="I40" s="32" t="s">
        <v>152</v>
      </c>
    </row>
    <row r="41" spans="1:9" x14ac:dyDescent="0.35">
      <c r="A41" s="19">
        <v>46028</v>
      </c>
      <c r="B41" s="20"/>
      <c r="C41" s="20"/>
      <c r="D41" s="20">
        <v>20000</v>
      </c>
      <c r="E41" s="234" t="s">
        <v>357</v>
      </c>
      <c r="F41" s="20">
        <f t="shared" si="0"/>
        <v>185807323</v>
      </c>
      <c r="G41" s="7" t="s">
        <v>330</v>
      </c>
      <c r="H41" s="24" t="s">
        <v>109</v>
      </c>
      <c r="I41" s="32" t="s">
        <v>152</v>
      </c>
    </row>
    <row r="42" spans="1:9" x14ac:dyDescent="0.35">
      <c r="A42" s="19">
        <v>46028</v>
      </c>
      <c r="B42" s="20"/>
      <c r="C42" s="20"/>
      <c r="D42" s="20">
        <v>1011</v>
      </c>
      <c r="E42" s="234" t="s">
        <v>357</v>
      </c>
      <c r="F42" s="20">
        <f t="shared" si="0"/>
        <v>185808334</v>
      </c>
      <c r="G42" s="7" t="s">
        <v>330</v>
      </c>
      <c r="H42" s="24" t="s">
        <v>109</v>
      </c>
      <c r="I42" s="32" t="s">
        <v>152</v>
      </c>
    </row>
    <row r="43" spans="1:9" x14ac:dyDescent="0.35">
      <c r="A43" s="19">
        <v>46028</v>
      </c>
      <c r="B43" s="20"/>
      <c r="C43" s="20"/>
      <c r="D43" s="20">
        <v>1764000</v>
      </c>
      <c r="E43" s="234" t="s">
        <v>357</v>
      </c>
      <c r="F43" s="20">
        <f t="shared" si="0"/>
        <v>187572334</v>
      </c>
      <c r="G43" s="7"/>
      <c r="H43" s="24" t="s">
        <v>107</v>
      </c>
      <c r="I43" s="32" t="s">
        <v>152</v>
      </c>
    </row>
    <row r="44" spans="1:9" x14ac:dyDescent="0.35">
      <c r="A44" s="19">
        <v>46028</v>
      </c>
      <c r="B44" s="20"/>
      <c r="C44" s="20"/>
      <c r="D44" s="20">
        <v>972000</v>
      </c>
      <c r="E44" s="234" t="s">
        <v>357</v>
      </c>
      <c r="F44" s="20">
        <f t="shared" si="0"/>
        <v>188544334</v>
      </c>
      <c r="G44" s="7"/>
      <c r="H44" s="24" t="s">
        <v>109</v>
      </c>
      <c r="I44" s="32" t="s">
        <v>152</v>
      </c>
    </row>
    <row r="45" spans="1:9" x14ac:dyDescent="0.35">
      <c r="A45" s="19"/>
      <c r="B45" s="20"/>
      <c r="C45" s="20">
        <v>2736000</v>
      </c>
      <c r="D45" s="20"/>
      <c r="E45" s="99"/>
      <c r="F45" s="20">
        <f t="shared" si="0"/>
        <v>188544334</v>
      </c>
      <c r="G45" s="7" t="s">
        <v>1031</v>
      </c>
      <c r="H45" s="24"/>
      <c r="I45" s="32"/>
    </row>
    <row r="46" spans="1:9" x14ac:dyDescent="0.35">
      <c r="A46" s="19">
        <v>46029</v>
      </c>
      <c r="B46" s="20"/>
      <c r="C46" s="20"/>
      <c r="D46" s="20">
        <v>1011</v>
      </c>
      <c r="E46" s="234" t="s">
        <v>357</v>
      </c>
      <c r="F46" s="20">
        <f t="shared" si="0"/>
        <v>188545345</v>
      </c>
      <c r="G46" s="7" t="s">
        <v>330</v>
      </c>
      <c r="H46" s="24" t="s">
        <v>109</v>
      </c>
      <c r="I46" s="32" t="s">
        <v>152</v>
      </c>
    </row>
    <row r="47" spans="1:9" x14ac:dyDescent="0.35">
      <c r="A47" s="19">
        <v>46029</v>
      </c>
      <c r="B47" s="20"/>
      <c r="C47" s="20"/>
      <c r="D47" s="20">
        <v>10000</v>
      </c>
      <c r="E47" s="234" t="s">
        <v>357</v>
      </c>
      <c r="F47" s="20">
        <f t="shared" si="0"/>
        <v>188555345</v>
      </c>
      <c r="G47" s="7" t="s">
        <v>330</v>
      </c>
      <c r="H47" s="24" t="s">
        <v>109</v>
      </c>
      <c r="I47" s="32" t="s">
        <v>152</v>
      </c>
    </row>
    <row r="48" spans="1:9" x14ac:dyDescent="0.35">
      <c r="A48" s="19">
        <v>46029</v>
      </c>
      <c r="B48" s="20"/>
      <c r="C48" s="20"/>
      <c r="D48" s="20">
        <v>20000</v>
      </c>
      <c r="E48" s="234" t="s">
        <v>357</v>
      </c>
      <c r="F48" s="20">
        <f t="shared" si="0"/>
        <v>188575345</v>
      </c>
      <c r="G48" s="7" t="s">
        <v>330</v>
      </c>
      <c r="H48" s="24" t="s">
        <v>109</v>
      </c>
      <c r="I48" s="32" t="s">
        <v>152</v>
      </c>
    </row>
    <row r="49" spans="1:9" x14ac:dyDescent="0.35">
      <c r="A49" s="19">
        <v>46029</v>
      </c>
      <c r="B49" s="20"/>
      <c r="C49" s="20"/>
      <c r="D49" s="20">
        <v>100000</v>
      </c>
      <c r="E49" s="234" t="s">
        <v>357</v>
      </c>
      <c r="F49" s="20">
        <f t="shared" si="0"/>
        <v>188675345</v>
      </c>
      <c r="G49" s="7" t="s">
        <v>330</v>
      </c>
      <c r="H49" s="24" t="s">
        <v>109</v>
      </c>
      <c r="I49" s="32" t="s">
        <v>152</v>
      </c>
    </row>
    <row r="50" spans="1:9" x14ac:dyDescent="0.35">
      <c r="A50" s="19">
        <v>46030</v>
      </c>
      <c r="B50" s="20"/>
      <c r="C50" s="20"/>
      <c r="D50" s="20">
        <v>100000</v>
      </c>
      <c r="E50" s="234" t="s">
        <v>357</v>
      </c>
      <c r="F50" s="20">
        <f t="shared" si="0"/>
        <v>188775345</v>
      </c>
      <c r="G50" s="7" t="s">
        <v>603</v>
      </c>
      <c r="H50" s="24" t="s">
        <v>109</v>
      </c>
      <c r="I50" s="32" t="s">
        <v>152</v>
      </c>
    </row>
    <row r="51" spans="1:9" x14ac:dyDescent="0.35">
      <c r="A51" s="19">
        <v>46030</v>
      </c>
      <c r="B51" s="20"/>
      <c r="C51" s="20"/>
      <c r="D51" s="20">
        <v>10000</v>
      </c>
      <c r="E51" s="234" t="s">
        <v>357</v>
      </c>
      <c r="F51" s="20">
        <f t="shared" si="0"/>
        <v>188785345</v>
      </c>
      <c r="G51" s="7" t="s">
        <v>330</v>
      </c>
      <c r="H51" s="24" t="s">
        <v>109</v>
      </c>
      <c r="I51" s="32" t="s">
        <v>152</v>
      </c>
    </row>
    <row r="52" spans="1:9" x14ac:dyDescent="0.35">
      <c r="A52" s="19">
        <v>46030</v>
      </c>
      <c r="B52" s="20"/>
      <c r="C52" s="20"/>
      <c r="D52" s="20">
        <v>1011</v>
      </c>
      <c r="E52" s="234" t="s">
        <v>357</v>
      </c>
      <c r="F52" s="20">
        <f t="shared" si="0"/>
        <v>188786356</v>
      </c>
      <c r="G52" s="7" t="s">
        <v>330</v>
      </c>
      <c r="H52" s="24" t="s">
        <v>109</v>
      </c>
      <c r="I52" s="32" t="s">
        <v>152</v>
      </c>
    </row>
    <row r="53" spans="1:9" x14ac:dyDescent="0.35">
      <c r="A53" s="19">
        <v>46030</v>
      </c>
      <c r="B53" s="20"/>
      <c r="C53" s="20"/>
      <c r="D53" s="20">
        <v>100000</v>
      </c>
      <c r="E53" s="234" t="s">
        <v>357</v>
      </c>
      <c r="F53" s="20">
        <f t="shared" si="0"/>
        <v>188886356</v>
      </c>
      <c r="G53" s="7" t="s">
        <v>330</v>
      </c>
      <c r="H53" s="24" t="s">
        <v>109</v>
      </c>
      <c r="I53" s="32" t="s">
        <v>152</v>
      </c>
    </row>
    <row r="54" spans="1:9" x14ac:dyDescent="0.35">
      <c r="A54" s="19">
        <v>46030</v>
      </c>
      <c r="B54" s="20"/>
      <c r="C54" s="20"/>
      <c r="D54" s="20">
        <v>10000</v>
      </c>
      <c r="E54" s="234" t="s">
        <v>357</v>
      </c>
      <c r="F54" s="20">
        <f t="shared" si="0"/>
        <v>188896356</v>
      </c>
      <c r="G54" s="7" t="s">
        <v>330</v>
      </c>
      <c r="H54" s="24" t="s">
        <v>109</v>
      </c>
      <c r="I54" s="32" t="s">
        <v>152</v>
      </c>
    </row>
    <row r="55" spans="1:9" x14ac:dyDescent="0.35">
      <c r="A55" s="19">
        <v>46031</v>
      </c>
      <c r="B55" s="20"/>
      <c r="C55" s="20"/>
      <c r="D55" s="20">
        <v>20000</v>
      </c>
      <c r="E55" s="234" t="s">
        <v>357</v>
      </c>
      <c r="F55" s="20">
        <f t="shared" si="0"/>
        <v>188916356</v>
      </c>
      <c r="G55" s="7" t="s">
        <v>330</v>
      </c>
      <c r="H55" s="24" t="s">
        <v>109</v>
      </c>
      <c r="I55" s="32" t="s">
        <v>152</v>
      </c>
    </row>
    <row r="56" spans="1:9" x14ac:dyDescent="0.35">
      <c r="A56" s="19">
        <v>46031</v>
      </c>
      <c r="B56" s="20"/>
      <c r="C56" s="20"/>
      <c r="D56" s="20">
        <v>10000</v>
      </c>
      <c r="E56" s="234" t="s">
        <v>357</v>
      </c>
      <c r="F56" s="20">
        <f t="shared" si="0"/>
        <v>188926356</v>
      </c>
      <c r="G56" s="7" t="s">
        <v>330</v>
      </c>
      <c r="H56" s="24" t="s">
        <v>109</v>
      </c>
      <c r="I56" s="32" t="s">
        <v>152</v>
      </c>
    </row>
    <row r="57" spans="1:9" x14ac:dyDescent="0.35">
      <c r="A57" s="19">
        <v>46031</v>
      </c>
      <c r="B57" s="20"/>
      <c r="C57" s="20"/>
      <c r="D57" s="20">
        <v>2000000</v>
      </c>
      <c r="E57" s="234" t="s">
        <v>357</v>
      </c>
      <c r="F57" s="20">
        <f t="shared" si="0"/>
        <v>190926356</v>
      </c>
      <c r="G57" s="7" t="s">
        <v>425</v>
      </c>
      <c r="H57" s="24" t="s">
        <v>109</v>
      </c>
      <c r="I57" s="32" t="s">
        <v>152</v>
      </c>
    </row>
    <row r="58" spans="1:9" x14ac:dyDescent="0.35">
      <c r="A58" s="19">
        <v>46032</v>
      </c>
      <c r="B58" s="20">
        <v>750000</v>
      </c>
      <c r="C58" s="20"/>
      <c r="D58" s="20"/>
      <c r="E58" s="234" t="s">
        <v>357</v>
      </c>
      <c r="F58" s="20">
        <f t="shared" si="0"/>
        <v>190176356</v>
      </c>
      <c r="G58" s="7" t="s">
        <v>620</v>
      </c>
      <c r="H58" s="24" t="s">
        <v>323</v>
      </c>
      <c r="I58" s="32" t="s">
        <v>152</v>
      </c>
    </row>
    <row r="59" spans="1:9" x14ac:dyDescent="0.35">
      <c r="A59" s="19">
        <v>46032</v>
      </c>
      <c r="B59" s="20">
        <v>6500</v>
      </c>
      <c r="C59" s="20"/>
      <c r="D59" s="20"/>
      <c r="E59" s="234" t="s">
        <v>357</v>
      </c>
      <c r="F59" s="20">
        <f t="shared" si="0"/>
        <v>190169856</v>
      </c>
      <c r="G59" s="7" t="s">
        <v>620</v>
      </c>
      <c r="H59" s="24" t="s">
        <v>323</v>
      </c>
      <c r="I59" s="32" t="s">
        <v>152</v>
      </c>
    </row>
    <row r="60" spans="1:9" x14ac:dyDescent="0.35">
      <c r="A60" s="19">
        <v>46032</v>
      </c>
      <c r="B60" s="20"/>
      <c r="C60" s="20"/>
      <c r="D60" s="20">
        <v>50000</v>
      </c>
      <c r="E60" s="234" t="s">
        <v>357</v>
      </c>
      <c r="F60" s="20">
        <f t="shared" si="0"/>
        <v>190219856</v>
      </c>
      <c r="G60" s="7" t="s">
        <v>330</v>
      </c>
      <c r="H60" s="24" t="s">
        <v>109</v>
      </c>
      <c r="I60" s="32" t="s">
        <v>152</v>
      </c>
    </row>
    <row r="61" spans="1:9" x14ac:dyDescent="0.35">
      <c r="A61" s="19">
        <v>46032</v>
      </c>
      <c r="B61" s="20"/>
      <c r="C61" s="20"/>
      <c r="D61" s="20">
        <v>20000</v>
      </c>
      <c r="E61" s="234" t="s">
        <v>357</v>
      </c>
      <c r="F61" s="20">
        <f t="shared" si="0"/>
        <v>190239856</v>
      </c>
      <c r="G61" s="7" t="s">
        <v>330</v>
      </c>
      <c r="H61" s="24" t="s">
        <v>109</v>
      </c>
      <c r="I61" s="32" t="s">
        <v>152</v>
      </c>
    </row>
    <row r="62" spans="1:9" x14ac:dyDescent="0.35">
      <c r="A62" s="19">
        <v>46032</v>
      </c>
      <c r="B62" s="20"/>
      <c r="C62" s="20"/>
      <c r="D62" s="20">
        <v>10000</v>
      </c>
      <c r="E62" s="234" t="s">
        <v>357</v>
      </c>
      <c r="F62" s="20">
        <f t="shared" si="0"/>
        <v>190249856</v>
      </c>
      <c r="G62" s="7" t="s">
        <v>330</v>
      </c>
      <c r="H62" s="24" t="s">
        <v>109</v>
      </c>
      <c r="I62" s="32" t="s">
        <v>152</v>
      </c>
    </row>
    <row r="63" spans="1:9" x14ac:dyDescent="0.35">
      <c r="A63" s="19">
        <v>46032</v>
      </c>
      <c r="B63" s="20"/>
      <c r="C63" s="20"/>
      <c r="D63" s="20">
        <v>20000</v>
      </c>
      <c r="E63" s="234" t="s">
        <v>357</v>
      </c>
      <c r="F63" s="20">
        <f t="shared" si="0"/>
        <v>190269856</v>
      </c>
      <c r="G63" s="7" t="s">
        <v>330</v>
      </c>
      <c r="H63" s="24" t="s">
        <v>109</v>
      </c>
      <c r="I63" s="32" t="s">
        <v>152</v>
      </c>
    </row>
    <row r="64" spans="1:9" x14ac:dyDescent="0.35">
      <c r="A64" s="19">
        <v>46032</v>
      </c>
      <c r="B64" s="20"/>
      <c r="C64" s="20"/>
      <c r="D64" s="20">
        <v>10000</v>
      </c>
      <c r="E64" s="234" t="s">
        <v>357</v>
      </c>
      <c r="F64" s="20">
        <f t="shared" si="0"/>
        <v>190279856</v>
      </c>
      <c r="G64" s="7" t="s">
        <v>330</v>
      </c>
      <c r="H64" s="24" t="s">
        <v>109</v>
      </c>
      <c r="I64" s="32" t="s">
        <v>152</v>
      </c>
    </row>
    <row r="65" spans="1:9" x14ac:dyDescent="0.35">
      <c r="A65" s="19">
        <v>46032</v>
      </c>
      <c r="B65" s="20"/>
      <c r="C65" s="20"/>
      <c r="D65" s="20">
        <v>600000</v>
      </c>
      <c r="E65" s="234" t="s">
        <v>357</v>
      </c>
      <c r="F65" s="20">
        <f t="shared" si="0"/>
        <v>190879856</v>
      </c>
      <c r="G65" s="7" t="s">
        <v>1040</v>
      </c>
      <c r="H65" s="24" t="s">
        <v>109</v>
      </c>
      <c r="I65" s="32" t="s">
        <v>152</v>
      </c>
    </row>
    <row r="66" spans="1:9" x14ac:dyDescent="0.35">
      <c r="A66" s="19">
        <v>46033</v>
      </c>
      <c r="B66" s="20"/>
      <c r="C66" s="20"/>
      <c r="D66" s="20">
        <v>10000</v>
      </c>
      <c r="E66" s="234" t="s">
        <v>357</v>
      </c>
      <c r="F66" s="20">
        <f t="shared" si="0"/>
        <v>190889856</v>
      </c>
      <c r="G66" s="7" t="s">
        <v>330</v>
      </c>
      <c r="H66" s="24" t="s">
        <v>109</v>
      </c>
      <c r="I66" s="32" t="s">
        <v>152</v>
      </c>
    </row>
    <row r="67" spans="1:9" x14ac:dyDescent="0.35">
      <c r="A67" s="19">
        <v>46033</v>
      </c>
      <c r="B67" s="20"/>
      <c r="C67" s="20"/>
      <c r="D67" s="20">
        <v>5000</v>
      </c>
      <c r="E67" s="234" t="s">
        <v>357</v>
      </c>
      <c r="F67" s="20">
        <f t="shared" si="0"/>
        <v>190894856</v>
      </c>
      <c r="G67" s="7" t="s">
        <v>330</v>
      </c>
      <c r="H67" s="24" t="s">
        <v>109</v>
      </c>
      <c r="I67" s="32" t="s">
        <v>152</v>
      </c>
    </row>
    <row r="68" spans="1:9" x14ac:dyDescent="0.35">
      <c r="A68" s="19">
        <v>46034</v>
      </c>
      <c r="B68" s="20"/>
      <c r="C68" s="20"/>
      <c r="D68" s="20">
        <v>10000</v>
      </c>
      <c r="E68" s="234" t="s">
        <v>357</v>
      </c>
      <c r="F68" s="20">
        <f t="shared" si="0"/>
        <v>190904856</v>
      </c>
      <c r="G68" s="7" t="s">
        <v>330</v>
      </c>
      <c r="H68" s="24" t="s">
        <v>109</v>
      </c>
      <c r="I68" s="32" t="s">
        <v>152</v>
      </c>
    </row>
    <row r="69" spans="1:9" x14ac:dyDescent="0.35">
      <c r="A69" s="19">
        <v>46035</v>
      </c>
      <c r="B69" s="20"/>
      <c r="C69" s="20"/>
      <c r="D69" s="20">
        <v>20000</v>
      </c>
      <c r="E69" s="234" t="s">
        <v>357</v>
      </c>
      <c r="F69" s="20">
        <f t="shared" si="0"/>
        <v>190924856</v>
      </c>
      <c r="G69" s="7" t="s">
        <v>330</v>
      </c>
      <c r="H69" s="24" t="s">
        <v>109</v>
      </c>
      <c r="I69" s="32" t="s">
        <v>152</v>
      </c>
    </row>
    <row r="70" spans="1:9" x14ac:dyDescent="0.35">
      <c r="A70" s="19">
        <v>46035</v>
      </c>
      <c r="B70" s="20"/>
      <c r="C70" s="20"/>
      <c r="D70" s="20">
        <v>10000</v>
      </c>
      <c r="E70" s="234" t="s">
        <v>357</v>
      </c>
      <c r="F70" s="20">
        <f t="shared" si="0"/>
        <v>190934856</v>
      </c>
      <c r="G70" s="7" t="s">
        <v>330</v>
      </c>
      <c r="H70" s="24" t="s">
        <v>109</v>
      </c>
      <c r="I70" s="32" t="s">
        <v>152</v>
      </c>
    </row>
    <row r="71" spans="1:9" x14ac:dyDescent="0.35">
      <c r="A71" s="19">
        <v>46035</v>
      </c>
      <c r="B71" s="20"/>
      <c r="C71" s="20"/>
      <c r="D71" s="20">
        <f>2092000-850000</f>
        <v>1242000</v>
      </c>
      <c r="E71" s="234" t="s">
        <v>357</v>
      </c>
      <c r="F71" s="20">
        <f t="shared" si="0"/>
        <v>192176856</v>
      </c>
      <c r="G71" s="7"/>
      <c r="H71" s="24" t="s">
        <v>107</v>
      </c>
      <c r="I71" s="32" t="s">
        <v>152</v>
      </c>
    </row>
    <row r="72" spans="1:9" x14ac:dyDescent="0.35">
      <c r="A72" s="19">
        <v>46035</v>
      </c>
      <c r="B72" s="20"/>
      <c r="C72" s="20"/>
      <c r="D72" s="20">
        <v>1106000</v>
      </c>
      <c r="E72" s="234" t="s">
        <v>357</v>
      </c>
      <c r="F72" s="20">
        <f t="shared" si="0"/>
        <v>193282856</v>
      </c>
      <c r="G72" s="7"/>
      <c r="H72" s="24" t="s">
        <v>109</v>
      </c>
      <c r="I72" s="32" t="s">
        <v>152</v>
      </c>
    </row>
    <row r="73" spans="1:9" x14ac:dyDescent="0.35">
      <c r="A73" s="19"/>
      <c r="B73" s="20"/>
      <c r="C73" s="20">
        <v>2348000</v>
      </c>
      <c r="D73" s="20"/>
      <c r="E73" s="234"/>
      <c r="F73" s="20">
        <f t="shared" si="0"/>
        <v>193282856</v>
      </c>
      <c r="G73" s="7" t="s">
        <v>1041</v>
      </c>
      <c r="H73" s="24"/>
      <c r="I73" s="32"/>
    </row>
    <row r="74" spans="1:9" x14ac:dyDescent="0.35">
      <c r="A74" s="19">
        <v>46036</v>
      </c>
      <c r="B74" s="20"/>
      <c r="C74" s="20"/>
      <c r="D74" s="20">
        <v>10000</v>
      </c>
      <c r="E74" s="234" t="s">
        <v>357</v>
      </c>
      <c r="F74" s="20">
        <f t="shared" si="0"/>
        <v>193292856</v>
      </c>
      <c r="G74" s="7" t="s">
        <v>330</v>
      </c>
      <c r="H74" s="24" t="s">
        <v>109</v>
      </c>
      <c r="I74" s="32" t="s">
        <v>152</v>
      </c>
    </row>
    <row r="75" spans="1:9" x14ac:dyDescent="0.35">
      <c r="A75" s="19">
        <v>46036</v>
      </c>
      <c r="B75" s="20"/>
      <c r="C75" s="20"/>
      <c r="D75" s="20">
        <v>20000</v>
      </c>
      <c r="E75" s="234" t="s">
        <v>357</v>
      </c>
      <c r="F75" s="20">
        <f>+F74+D75-B75</f>
        <v>193312856</v>
      </c>
      <c r="G75" s="7" t="s">
        <v>330</v>
      </c>
      <c r="H75" s="24" t="s">
        <v>109</v>
      </c>
      <c r="I75" s="32" t="s">
        <v>152</v>
      </c>
    </row>
    <row r="76" spans="1:9" x14ac:dyDescent="0.35">
      <c r="A76" s="19">
        <v>46037</v>
      </c>
      <c r="B76" s="20"/>
      <c r="C76" s="20"/>
      <c r="D76" s="20">
        <v>20000</v>
      </c>
      <c r="E76" s="234" t="s">
        <v>357</v>
      </c>
      <c r="F76" s="20">
        <f>+F75+D76-B76</f>
        <v>193332856</v>
      </c>
      <c r="G76" s="7" t="s">
        <v>330</v>
      </c>
      <c r="H76" s="24" t="s">
        <v>109</v>
      </c>
      <c r="I76" s="32" t="s">
        <v>152</v>
      </c>
    </row>
    <row r="77" spans="1:9" x14ac:dyDescent="0.35">
      <c r="A77" s="19">
        <v>46037</v>
      </c>
      <c r="B77" s="20">
        <v>700000</v>
      </c>
      <c r="C77" s="20"/>
      <c r="D77" s="20"/>
      <c r="E77" s="234" t="s">
        <v>357</v>
      </c>
      <c r="F77" s="20">
        <f>+F76+D77-B77</f>
        <v>192632856</v>
      </c>
      <c r="G77" s="7" t="s">
        <v>1042</v>
      </c>
      <c r="H77" s="24" t="s">
        <v>323</v>
      </c>
      <c r="I77" s="32" t="s">
        <v>152</v>
      </c>
    </row>
    <row r="78" spans="1:9" x14ac:dyDescent="0.35">
      <c r="A78" s="19">
        <v>46037</v>
      </c>
      <c r="B78" s="20">
        <v>6500</v>
      </c>
      <c r="C78" s="20"/>
      <c r="D78" s="20"/>
      <c r="E78" s="234" t="s">
        <v>357</v>
      </c>
      <c r="F78" s="20">
        <f t="shared" ref="F78:F145" si="1">+F77+D78-B78</f>
        <v>192626356</v>
      </c>
      <c r="G78" s="7" t="s">
        <v>1042</v>
      </c>
      <c r="H78" s="24" t="s">
        <v>323</v>
      </c>
      <c r="I78" s="32" t="s">
        <v>152</v>
      </c>
    </row>
    <row r="79" spans="1:9" x14ac:dyDescent="0.35">
      <c r="A79" s="19">
        <v>46038</v>
      </c>
      <c r="B79" s="20"/>
      <c r="C79" s="20"/>
      <c r="D79" s="20">
        <v>10000</v>
      </c>
      <c r="E79" s="234" t="s">
        <v>357</v>
      </c>
      <c r="F79" s="20">
        <f t="shared" si="1"/>
        <v>192636356</v>
      </c>
      <c r="G79" s="7" t="s">
        <v>330</v>
      </c>
      <c r="H79" s="24" t="s">
        <v>109</v>
      </c>
      <c r="I79" s="32" t="s">
        <v>152</v>
      </c>
    </row>
    <row r="80" spans="1:9" x14ac:dyDescent="0.35">
      <c r="A80" s="19">
        <v>46038</v>
      </c>
      <c r="B80" s="20"/>
      <c r="C80" s="20"/>
      <c r="D80" s="20">
        <v>1011</v>
      </c>
      <c r="E80" s="234" t="s">
        <v>357</v>
      </c>
      <c r="F80" s="20">
        <f t="shared" si="1"/>
        <v>192637367</v>
      </c>
      <c r="G80" s="7" t="s">
        <v>330</v>
      </c>
      <c r="H80" s="24" t="s">
        <v>109</v>
      </c>
      <c r="I80" s="32" t="s">
        <v>152</v>
      </c>
    </row>
    <row r="81" spans="1:9" x14ac:dyDescent="0.35">
      <c r="A81" s="19">
        <v>46038</v>
      </c>
      <c r="B81" s="20"/>
      <c r="C81" s="20"/>
      <c r="D81" s="20">
        <v>50000</v>
      </c>
      <c r="E81" s="234" t="s">
        <v>357</v>
      </c>
      <c r="F81" s="20">
        <f t="shared" si="1"/>
        <v>192687367</v>
      </c>
      <c r="G81" s="7" t="s">
        <v>330</v>
      </c>
      <c r="H81" s="24" t="s">
        <v>109</v>
      </c>
      <c r="I81" s="32" t="s">
        <v>152</v>
      </c>
    </row>
    <row r="82" spans="1:9" x14ac:dyDescent="0.35">
      <c r="A82" s="19">
        <v>46038</v>
      </c>
      <c r="B82" s="20"/>
      <c r="C82" s="20"/>
      <c r="D82" s="20">
        <v>20000</v>
      </c>
      <c r="E82" s="234" t="s">
        <v>357</v>
      </c>
      <c r="F82" s="20">
        <f t="shared" si="1"/>
        <v>192707367</v>
      </c>
      <c r="G82" s="7" t="s">
        <v>330</v>
      </c>
      <c r="H82" s="24" t="s">
        <v>109</v>
      </c>
      <c r="I82" s="32" t="s">
        <v>152</v>
      </c>
    </row>
    <row r="83" spans="1:9" x14ac:dyDescent="0.35">
      <c r="A83" s="19">
        <v>46038</v>
      </c>
      <c r="B83" s="20"/>
      <c r="C83" s="20"/>
      <c r="D83" s="20">
        <v>10000</v>
      </c>
      <c r="E83" s="234" t="s">
        <v>357</v>
      </c>
      <c r="F83" s="20">
        <f t="shared" si="1"/>
        <v>192717367</v>
      </c>
      <c r="G83" s="7" t="s">
        <v>330</v>
      </c>
      <c r="H83" s="24" t="s">
        <v>109</v>
      </c>
      <c r="I83" s="32" t="s">
        <v>152</v>
      </c>
    </row>
    <row r="84" spans="1:9" x14ac:dyDescent="0.35">
      <c r="A84" s="19">
        <v>46038</v>
      </c>
      <c r="B84" s="20"/>
      <c r="C84" s="20"/>
      <c r="D84" s="20">
        <v>1260000</v>
      </c>
      <c r="E84" s="234" t="s">
        <v>357</v>
      </c>
      <c r="F84" s="20">
        <f t="shared" si="1"/>
        <v>193977367</v>
      </c>
      <c r="G84" s="7" t="s">
        <v>1047</v>
      </c>
      <c r="H84" s="24" t="s">
        <v>1052</v>
      </c>
      <c r="I84" s="32" t="s">
        <v>152</v>
      </c>
    </row>
    <row r="85" spans="1:9" x14ac:dyDescent="0.35">
      <c r="A85" s="19">
        <v>46038</v>
      </c>
      <c r="B85" s="20"/>
      <c r="C85" s="20"/>
      <c r="D85" s="20">
        <v>100000</v>
      </c>
      <c r="E85" s="234" t="s">
        <v>357</v>
      </c>
      <c r="F85" s="20">
        <f t="shared" si="1"/>
        <v>194077367</v>
      </c>
      <c r="G85" s="7" t="s">
        <v>330</v>
      </c>
      <c r="H85" s="24" t="s">
        <v>109</v>
      </c>
      <c r="I85" s="32" t="s">
        <v>152</v>
      </c>
    </row>
    <row r="86" spans="1:9" x14ac:dyDescent="0.35">
      <c r="A86" s="19">
        <v>46038</v>
      </c>
      <c r="B86" s="20"/>
      <c r="C86" s="20"/>
      <c r="D86" s="20">
        <v>12600005</v>
      </c>
      <c r="E86" s="234" t="s">
        <v>357</v>
      </c>
      <c r="F86" s="20">
        <f t="shared" si="1"/>
        <v>206677372</v>
      </c>
      <c r="G86" s="7" t="s">
        <v>1047</v>
      </c>
      <c r="H86" s="24" t="s">
        <v>1052</v>
      </c>
      <c r="I86" s="32" t="s">
        <v>152</v>
      </c>
    </row>
    <row r="87" spans="1:9" x14ac:dyDescent="0.35">
      <c r="A87" s="19">
        <v>46039</v>
      </c>
      <c r="B87" s="20">
        <v>750000</v>
      </c>
      <c r="C87" s="20"/>
      <c r="D87" s="20"/>
      <c r="E87" s="234" t="s">
        <v>357</v>
      </c>
      <c r="F87" s="20">
        <f t="shared" si="1"/>
        <v>205927372</v>
      </c>
      <c r="G87" s="7" t="s">
        <v>968</v>
      </c>
      <c r="H87" s="24" t="s">
        <v>323</v>
      </c>
      <c r="I87" s="32" t="s">
        <v>152</v>
      </c>
    </row>
    <row r="88" spans="1:9" x14ac:dyDescent="0.35">
      <c r="A88" s="19">
        <v>46039</v>
      </c>
      <c r="B88" s="20"/>
      <c r="C88" s="20"/>
      <c r="D88" s="20">
        <v>20000</v>
      </c>
      <c r="E88" s="234" t="s">
        <v>357</v>
      </c>
      <c r="F88" s="20">
        <f t="shared" si="1"/>
        <v>205947372</v>
      </c>
      <c r="G88" s="7" t="s">
        <v>330</v>
      </c>
      <c r="H88" s="24" t="s">
        <v>109</v>
      </c>
      <c r="I88" s="32" t="s">
        <v>152</v>
      </c>
    </row>
    <row r="89" spans="1:9" x14ac:dyDescent="0.35">
      <c r="A89" s="19">
        <v>46039</v>
      </c>
      <c r="B89" s="20"/>
      <c r="C89" s="20"/>
      <c r="D89" s="20">
        <v>10000</v>
      </c>
      <c r="E89" s="234" t="s">
        <v>357</v>
      </c>
      <c r="F89" s="20">
        <f t="shared" si="1"/>
        <v>205957372</v>
      </c>
      <c r="G89" s="7" t="s">
        <v>330</v>
      </c>
      <c r="H89" s="24" t="s">
        <v>109</v>
      </c>
      <c r="I89" s="32" t="s">
        <v>152</v>
      </c>
    </row>
    <row r="90" spans="1:9" x14ac:dyDescent="0.35">
      <c r="A90" s="19">
        <v>46039</v>
      </c>
      <c r="B90" s="20"/>
      <c r="C90" s="20"/>
      <c r="D90" s="20">
        <v>100000</v>
      </c>
      <c r="E90" s="234" t="s">
        <v>357</v>
      </c>
      <c r="F90" s="20">
        <f t="shared" si="1"/>
        <v>206057372</v>
      </c>
      <c r="G90" s="7" t="s">
        <v>330</v>
      </c>
      <c r="H90" s="24" t="s">
        <v>109</v>
      </c>
      <c r="I90" s="32" t="s">
        <v>152</v>
      </c>
    </row>
    <row r="91" spans="1:9" x14ac:dyDescent="0.35">
      <c r="A91" s="19">
        <v>46039</v>
      </c>
      <c r="B91" s="20"/>
      <c r="C91" s="20"/>
      <c r="D91" s="20">
        <v>25000</v>
      </c>
      <c r="E91" s="234" t="s">
        <v>357</v>
      </c>
      <c r="F91" s="20">
        <f t="shared" si="1"/>
        <v>206082372</v>
      </c>
      <c r="G91" s="7" t="s">
        <v>330</v>
      </c>
      <c r="H91" s="24" t="s">
        <v>109</v>
      </c>
      <c r="I91" s="32" t="s">
        <v>152</v>
      </c>
    </row>
    <row r="92" spans="1:9" x14ac:dyDescent="0.35">
      <c r="A92" s="19">
        <v>46039</v>
      </c>
      <c r="B92" s="20"/>
      <c r="C92" s="20"/>
      <c r="D92" s="20">
        <v>25000</v>
      </c>
      <c r="E92" s="234" t="s">
        <v>357</v>
      </c>
      <c r="F92" s="20">
        <f t="shared" si="1"/>
        <v>206107372</v>
      </c>
      <c r="G92" s="7" t="s">
        <v>330</v>
      </c>
      <c r="H92" s="24" t="s">
        <v>109</v>
      </c>
      <c r="I92" s="32" t="s">
        <v>152</v>
      </c>
    </row>
    <row r="93" spans="1:9" x14ac:dyDescent="0.35">
      <c r="A93" s="19">
        <v>46039</v>
      </c>
      <c r="B93" s="20"/>
      <c r="C93" s="20"/>
      <c r="D93" s="20">
        <v>20000</v>
      </c>
      <c r="E93" s="234" t="s">
        <v>357</v>
      </c>
      <c r="F93" s="20">
        <f t="shared" si="1"/>
        <v>206127372</v>
      </c>
      <c r="G93" s="7" t="s">
        <v>330</v>
      </c>
      <c r="H93" s="24" t="s">
        <v>109</v>
      </c>
      <c r="I93" s="32" t="s">
        <v>152</v>
      </c>
    </row>
    <row r="94" spans="1:9" x14ac:dyDescent="0.35">
      <c r="A94" s="19">
        <v>46039</v>
      </c>
      <c r="B94" s="20"/>
      <c r="C94" s="20"/>
      <c r="D94" s="20">
        <v>50000</v>
      </c>
      <c r="E94" s="234" t="s">
        <v>357</v>
      </c>
      <c r="F94" s="20">
        <f t="shared" si="1"/>
        <v>206177372</v>
      </c>
      <c r="G94" s="7" t="s">
        <v>330</v>
      </c>
      <c r="H94" s="24" t="s">
        <v>109</v>
      </c>
      <c r="I94" s="32" t="s">
        <v>152</v>
      </c>
    </row>
    <row r="95" spans="1:9" x14ac:dyDescent="0.35">
      <c r="A95" s="19">
        <v>46039</v>
      </c>
      <c r="B95" s="20"/>
      <c r="C95" s="20"/>
      <c r="D95" s="20">
        <v>50000</v>
      </c>
      <c r="E95" s="234" t="s">
        <v>357</v>
      </c>
      <c r="F95" s="20">
        <f t="shared" si="1"/>
        <v>206227372</v>
      </c>
      <c r="G95" s="7" t="s">
        <v>330</v>
      </c>
      <c r="H95" s="24" t="s">
        <v>109</v>
      </c>
      <c r="I95" s="32" t="s">
        <v>152</v>
      </c>
    </row>
    <row r="96" spans="1:9" x14ac:dyDescent="0.35">
      <c r="A96" s="19">
        <v>46039</v>
      </c>
      <c r="B96" s="20"/>
      <c r="C96" s="20"/>
      <c r="D96" s="20">
        <v>1011</v>
      </c>
      <c r="E96" s="234" t="s">
        <v>357</v>
      </c>
      <c r="F96" s="20">
        <f t="shared" si="1"/>
        <v>206228383</v>
      </c>
      <c r="G96" s="7" t="s">
        <v>330</v>
      </c>
      <c r="H96" s="24" t="s">
        <v>109</v>
      </c>
      <c r="I96" s="32" t="s">
        <v>152</v>
      </c>
    </row>
    <row r="97" spans="1:9" x14ac:dyDescent="0.35">
      <c r="A97" s="19">
        <v>46039</v>
      </c>
      <c r="B97" s="20"/>
      <c r="C97" s="20"/>
      <c r="D97" s="20">
        <v>630005</v>
      </c>
      <c r="E97" s="234" t="s">
        <v>357</v>
      </c>
      <c r="F97" s="20">
        <f t="shared" si="1"/>
        <v>206858388</v>
      </c>
      <c r="G97" s="7" t="s">
        <v>1047</v>
      </c>
      <c r="H97" s="24" t="s">
        <v>1052</v>
      </c>
      <c r="I97" s="32" t="s">
        <v>152</v>
      </c>
    </row>
    <row r="98" spans="1:9" x14ac:dyDescent="0.35">
      <c r="A98" s="19">
        <v>46039</v>
      </c>
      <c r="B98" s="20"/>
      <c r="C98" s="20"/>
      <c r="D98" s="20">
        <v>150005</v>
      </c>
      <c r="E98" s="234" t="s">
        <v>357</v>
      </c>
      <c r="F98" s="20">
        <f t="shared" si="1"/>
        <v>207008393</v>
      </c>
      <c r="G98" s="7" t="s">
        <v>1047</v>
      </c>
      <c r="H98" s="24" t="s">
        <v>1052</v>
      </c>
      <c r="I98" s="32" t="s">
        <v>152</v>
      </c>
    </row>
    <row r="99" spans="1:9" x14ac:dyDescent="0.35">
      <c r="A99" s="19">
        <v>46039</v>
      </c>
      <c r="B99" s="20"/>
      <c r="C99" s="20"/>
      <c r="D99" s="20">
        <v>6000000</v>
      </c>
      <c r="E99" s="234" t="s">
        <v>357</v>
      </c>
      <c r="F99" s="20">
        <f t="shared" si="1"/>
        <v>213008393</v>
      </c>
      <c r="G99" s="7" t="s">
        <v>1048</v>
      </c>
      <c r="H99" s="24" t="s">
        <v>109</v>
      </c>
      <c r="I99" s="32" t="s">
        <v>152</v>
      </c>
    </row>
    <row r="100" spans="1:9" x14ac:dyDescent="0.35">
      <c r="A100" s="19">
        <v>46039</v>
      </c>
      <c r="B100" s="20"/>
      <c r="C100" s="20"/>
      <c r="D100" s="20">
        <v>1260005</v>
      </c>
      <c r="E100" s="234" t="s">
        <v>357</v>
      </c>
      <c r="F100" s="20">
        <f t="shared" si="1"/>
        <v>214268398</v>
      </c>
      <c r="G100" s="7" t="s">
        <v>1047</v>
      </c>
      <c r="H100" s="24" t="s">
        <v>1052</v>
      </c>
      <c r="I100" s="32" t="s">
        <v>152</v>
      </c>
    </row>
    <row r="101" spans="1:9" x14ac:dyDescent="0.35">
      <c r="A101" s="19">
        <v>46039</v>
      </c>
      <c r="B101" s="20"/>
      <c r="C101" s="20"/>
      <c r="D101" s="20">
        <v>500005</v>
      </c>
      <c r="E101" s="234" t="s">
        <v>357</v>
      </c>
      <c r="F101" s="20">
        <f t="shared" si="1"/>
        <v>214768403</v>
      </c>
      <c r="G101" s="7" t="s">
        <v>1047</v>
      </c>
      <c r="H101" s="24" t="s">
        <v>1052</v>
      </c>
      <c r="I101" s="32" t="s">
        <v>152</v>
      </c>
    </row>
    <row r="102" spans="1:9" x14ac:dyDescent="0.35">
      <c r="A102" s="19">
        <v>46039</v>
      </c>
      <c r="B102" s="20"/>
      <c r="C102" s="20"/>
      <c r="D102" s="20">
        <v>1260000</v>
      </c>
      <c r="E102" s="234" t="s">
        <v>357</v>
      </c>
      <c r="F102" s="20">
        <f t="shared" si="1"/>
        <v>216028403</v>
      </c>
      <c r="G102" s="7" t="s">
        <v>1047</v>
      </c>
      <c r="H102" s="24" t="s">
        <v>1052</v>
      </c>
      <c r="I102" s="32" t="s">
        <v>152</v>
      </c>
    </row>
    <row r="103" spans="1:9" x14ac:dyDescent="0.35">
      <c r="A103" s="19">
        <v>46040</v>
      </c>
      <c r="B103" s="20">
        <v>750000</v>
      </c>
      <c r="C103" s="20"/>
      <c r="D103" s="20"/>
      <c r="E103" s="234" t="s">
        <v>357</v>
      </c>
      <c r="F103" s="20">
        <f t="shared" si="1"/>
        <v>215278403</v>
      </c>
      <c r="G103" s="7" t="s">
        <v>969</v>
      </c>
      <c r="H103" s="24" t="s">
        <v>323</v>
      </c>
      <c r="I103" s="32" t="s">
        <v>152</v>
      </c>
    </row>
    <row r="104" spans="1:9" x14ac:dyDescent="0.35">
      <c r="A104" s="19">
        <v>46040</v>
      </c>
      <c r="B104" s="20">
        <v>6500</v>
      </c>
      <c r="C104" s="20"/>
      <c r="D104" s="20"/>
      <c r="E104" s="234" t="s">
        <v>357</v>
      </c>
      <c r="F104" s="20">
        <f t="shared" si="1"/>
        <v>215271903</v>
      </c>
      <c r="G104" s="7" t="s">
        <v>969</v>
      </c>
      <c r="H104" s="24" t="s">
        <v>323</v>
      </c>
      <c r="I104" s="32" t="s">
        <v>152</v>
      </c>
    </row>
    <row r="105" spans="1:9" x14ac:dyDescent="0.35">
      <c r="A105" s="19">
        <v>46040</v>
      </c>
      <c r="B105" s="20"/>
      <c r="C105" s="20"/>
      <c r="D105" s="20">
        <v>10000</v>
      </c>
      <c r="E105" s="234" t="s">
        <v>357</v>
      </c>
      <c r="F105" s="20">
        <f t="shared" si="1"/>
        <v>215281903</v>
      </c>
      <c r="G105" s="7" t="s">
        <v>330</v>
      </c>
      <c r="H105" s="24" t="s">
        <v>109</v>
      </c>
      <c r="I105" s="32" t="s">
        <v>152</v>
      </c>
    </row>
    <row r="106" spans="1:9" x14ac:dyDescent="0.35">
      <c r="A106" s="19">
        <v>46040</v>
      </c>
      <c r="B106" s="20"/>
      <c r="C106" s="20"/>
      <c r="D106" s="20">
        <v>20000</v>
      </c>
      <c r="E106" s="234" t="s">
        <v>357</v>
      </c>
      <c r="F106" s="20">
        <f t="shared" si="1"/>
        <v>215301903</v>
      </c>
      <c r="G106" s="7" t="s">
        <v>330</v>
      </c>
      <c r="H106" s="24" t="s">
        <v>109</v>
      </c>
      <c r="I106" s="32" t="s">
        <v>152</v>
      </c>
    </row>
    <row r="107" spans="1:9" x14ac:dyDescent="0.35">
      <c r="A107" s="19">
        <v>46040</v>
      </c>
      <c r="B107" s="20"/>
      <c r="C107" s="20"/>
      <c r="D107" s="20">
        <v>1011</v>
      </c>
      <c r="E107" s="234" t="s">
        <v>357</v>
      </c>
      <c r="F107" s="20">
        <f t="shared" si="1"/>
        <v>215302914</v>
      </c>
      <c r="G107" s="7" t="s">
        <v>330</v>
      </c>
      <c r="H107" s="24" t="s">
        <v>109</v>
      </c>
      <c r="I107" s="32" t="s">
        <v>152</v>
      </c>
    </row>
    <row r="108" spans="1:9" x14ac:dyDescent="0.35">
      <c r="A108" s="19">
        <v>46040</v>
      </c>
      <c r="B108" s="20"/>
      <c r="C108" s="20"/>
      <c r="D108" s="20">
        <v>5040005</v>
      </c>
      <c r="E108" s="234" t="s">
        <v>357</v>
      </c>
      <c r="F108" s="20">
        <f t="shared" si="1"/>
        <v>220342919</v>
      </c>
      <c r="G108" s="7" t="s">
        <v>1047</v>
      </c>
      <c r="H108" s="24" t="s">
        <v>1052</v>
      </c>
      <c r="I108" s="32" t="s">
        <v>152</v>
      </c>
    </row>
    <row r="109" spans="1:9" x14ac:dyDescent="0.35">
      <c r="A109" s="19">
        <v>46040</v>
      </c>
      <c r="B109" s="20"/>
      <c r="C109" s="20"/>
      <c r="D109" s="20">
        <v>6300005</v>
      </c>
      <c r="E109" s="234" t="s">
        <v>357</v>
      </c>
      <c r="F109" s="20">
        <f t="shared" si="1"/>
        <v>226642924</v>
      </c>
      <c r="G109" s="7" t="s">
        <v>1047</v>
      </c>
      <c r="H109" s="24" t="s">
        <v>1052</v>
      </c>
      <c r="I109" s="32" t="s">
        <v>152</v>
      </c>
    </row>
    <row r="110" spans="1:9" x14ac:dyDescent="0.35">
      <c r="A110" s="19">
        <v>46041</v>
      </c>
      <c r="B110" s="20"/>
      <c r="C110" s="20"/>
      <c r="D110" s="20">
        <v>1011</v>
      </c>
      <c r="E110" s="234" t="s">
        <v>357</v>
      </c>
      <c r="F110" s="20">
        <f t="shared" si="1"/>
        <v>226643935</v>
      </c>
      <c r="G110" s="7" t="s">
        <v>330</v>
      </c>
      <c r="H110" s="24" t="s">
        <v>109</v>
      </c>
      <c r="I110" s="32" t="s">
        <v>152</v>
      </c>
    </row>
    <row r="111" spans="1:9" x14ac:dyDescent="0.35">
      <c r="A111" s="19">
        <v>46041</v>
      </c>
      <c r="B111" s="20"/>
      <c r="C111" s="20"/>
      <c r="D111" s="20">
        <v>1260005</v>
      </c>
      <c r="E111" s="234" t="s">
        <v>357</v>
      </c>
      <c r="F111" s="20">
        <f t="shared" si="1"/>
        <v>227903940</v>
      </c>
      <c r="G111" s="7" t="s">
        <v>1047</v>
      </c>
      <c r="H111" s="24" t="s">
        <v>1052</v>
      </c>
      <c r="I111" s="32" t="s">
        <v>152</v>
      </c>
    </row>
    <row r="112" spans="1:9" x14ac:dyDescent="0.35">
      <c r="A112" s="19">
        <v>46041</v>
      </c>
      <c r="B112" s="20"/>
      <c r="C112" s="20"/>
      <c r="D112" s="20">
        <v>1260000</v>
      </c>
      <c r="E112" s="234" t="s">
        <v>357</v>
      </c>
      <c r="F112" s="20">
        <f t="shared" si="1"/>
        <v>229163940</v>
      </c>
      <c r="G112" s="7" t="s">
        <v>1047</v>
      </c>
      <c r="H112" s="24" t="s">
        <v>1052</v>
      </c>
      <c r="I112" s="32" t="s">
        <v>152</v>
      </c>
    </row>
    <row r="113" spans="1:9" x14ac:dyDescent="0.35">
      <c r="A113" s="19">
        <v>46041</v>
      </c>
      <c r="B113" s="20"/>
      <c r="C113" s="20"/>
      <c r="D113" s="20">
        <v>3780005</v>
      </c>
      <c r="E113" s="234" t="s">
        <v>357</v>
      </c>
      <c r="F113" s="20">
        <f t="shared" si="1"/>
        <v>232943945</v>
      </c>
      <c r="G113" s="7" t="s">
        <v>1047</v>
      </c>
      <c r="H113" s="24" t="s">
        <v>1052</v>
      </c>
      <c r="I113" s="32" t="s">
        <v>152</v>
      </c>
    </row>
    <row r="114" spans="1:9" x14ac:dyDescent="0.35">
      <c r="A114" s="19">
        <v>46041</v>
      </c>
      <c r="B114" s="20"/>
      <c r="C114" s="20"/>
      <c r="D114" s="20">
        <v>100000</v>
      </c>
      <c r="E114" s="234" t="s">
        <v>357</v>
      </c>
      <c r="F114" s="20">
        <f t="shared" si="1"/>
        <v>233043945</v>
      </c>
      <c r="G114" s="7" t="s">
        <v>970</v>
      </c>
      <c r="H114" s="24" t="s">
        <v>109</v>
      </c>
      <c r="I114" s="32" t="s">
        <v>152</v>
      </c>
    </row>
    <row r="115" spans="1:9" x14ac:dyDescent="0.35">
      <c r="A115" s="19">
        <v>46041</v>
      </c>
      <c r="B115" s="20"/>
      <c r="C115" s="20"/>
      <c r="D115" s="20">
        <v>1800000</v>
      </c>
      <c r="E115" s="234" t="s">
        <v>357</v>
      </c>
      <c r="F115" s="20">
        <f t="shared" si="1"/>
        <v>234843945</v>
      </c>
      <c r="G115" s="7" t="s">
        <v>1049</v>
      </c>
      <c r="H115" s="24" t="s">
        <v>109</v>
      </c>
      <c r="I115" s="32" t="s">
        <v>152</v>
      </c>
    </row>
    <row r="116" spans="1:9" x14ac:dyDescent="0.35">
      <c r="A116" s="19">
        <v>46042</v>
      </c>
      <c r="B116" s="20"/>
      <c r="C116" s="20"/>
      <c r="D116" s="20">
        <v>1011</v>
      </c>
      <c r="E116" s="234" t="s">
        <v>357</v>
      </c>
      <c r="F116" s="20">
        <f t="shared" si="1"/>
        <v>234844956</v>
      </c>
      <c r="G116" s="7" t="s">
        <v>330</v>
      </c>
      <c r="H116" s="24" t="s">
        <v>109</v>
      </c>
      <c r="I116" s="32" t="s">
        <v>152</v>
      </c>
    </row>
    <row r="117" spans="1:9" x14ac:dyDescent="0.35">
      <c r="A117" s="19">
        <v>46042</v>
      </c>
      <c r="B117" s="20"/>
      <c r="C117" s="20"/>
      <c r="D117" s="20">
        <v>10000</v>
      </c>
      <c r="E117" s="234" t="s">
        <v>357</v>
      </c>
      <c r="F117" s="20">
        <f t="shared" si="1"/>
        <v>234854956</v>
      </c>
      <c r="G117" s="7" t="s">
        <v>330</v>
      </c>
      <c r="H117" s="24" t="s">
        <v>109</v>
      </c>
      <c r="I117" s="32" t="s">
        <v>152</v>
      </c>
    </row>
    <row r="118" spans="1:9" x14ac:dyDescent="0.35">
      <c r="A118" s="19">
        <v>46042</v>
      </c>
      <c r="B118" s="20"/>
      <c r="C118" s="20"/>
      <c r="D118" s="20">
        <v>20000</v>
      </c>
      <c r="E118" s="234" t="s">
        <v>357</v>
      </c>
      <c r="F118" s="20">
        <f t="shared" si="1"/>
        <v>234874956</v>
      </c>
      <c r="G118" s="7" t="s">
        <v>330</v>
      </c>
      <c r="H118" s="24" t="s">
        <v>109</v>
      </c>
      <c r="I118" s="32" t="s">
        <v>152</v>
      </c>
    </row>
    <row r="119" spans="1:9" x14ac:dyDescent="0.35">
      <c r="A119" s="19">
        <v>46042</v>
      </c>
      <c r="B119" s="20"/>
      <c r="C119" s="20"/>
      <c r="D119" s="20">
        <v>1800000</v>
      </c>
      <c r="E119" s="234" t="s">
        <v>357</v>
      </c>
      <c r="F119" s="20">
        <f t="shared" si="1"/>
        <v>236674956</v>
      </c>
      <c r="G119" s="7" t="s">
        <v>1105</v>
      </c>
      <c r="H119" s="24" t="s">
        <v>109</v>
      </c>
      <c r="I119" s="32" t="s">
        <v>152</v>
      </c>
    </row>
    <row r="120" spans="1:9" x14ac:dyDescent="0.35">
      <c r="A120" s="19">
        <v>46042</v>
      </c>
      <c r="B120" s="20"/>
      <c r="C120" s="20"/>
      <c r="D120" s="20">
        <f>3306000-850000</f>
        <v>2456000</v>
      </c>
      <c r="E120" s="234" t="s">
        <v>357</v>
      </c>
      <c r="F120" s="20">
        <f t="shared" si="1"/>
        <v>239130956</v>
      </c>
      <c r="G120" s="7"/>
      <c r="H120" s="24" t="s">
        <v>107</v>
      </c>
      <c r="I120" s="32" t="s">
        <v>152</v>
      </c>
    </row>
    <row r="121" spans="1:9" x14ac:dyDescent="0.35">
      <c r="A121" s="19">
        <v>46042</v>
      </c>
      <c r="B121" s="20"/>
      <c r="C121" s="20"/>
      <c r="D121" s="20">
        <v>2981000</v>
      </c>
      <c r="E121" s="234" t="s">
        <v>357</v>
      </c>
      <c r="F121" s="20">
        <f t="shared" si="1"/>
        <v>242111956</v>
      </c>
      <c r="G121" s="7"/>
      <c r="H121" s="24" t="s">
        <v>109</v>
      </c>
      <c r="I121" s="32" t="s">
        <v>152</v>
      </c>
    </row>
    <row r="122" spans="1:9" x14ac:dyDescent="0.35">
      <c r="A122" s="19"/>
      <c r="B122" s="20"/>
      <c r="C122" s="20">
        <v>5437000</v>
      </c>
      <c r="D122" s="20"/>
      <c r="E122" s="234"/>
      <c r="F122" s="20">
        <f t="shared" si="1"/>
        <v>242111956</v>
      </c>
      <c r="G122" s="7" t="s">
        <v>1053</v>
      </c>
      <c r="H122" s="24"/>
      <c r="I122" s="32"/>
    </row>
    <row r="123" spans="1:9" x14ac:dyDescent="0.35">
      <c r="A123" s="19">
        <v>46042</v>
      </c>
      <c r="B123" s="101">
        <v>11500000</v>
      </c>
      <c r="C123" s="20"/>
      <c r="D123" s="20"/>
      <c r="E123" s="240" t="s">
        <v>357</v>
      </c>
      <c r="F123" s="101">
        <f t="shared" si="1"/>
        <v>230611956</v>
      </c>
      <c r="G123" s="241" t="s">
        <v>1050</v>
      </c>
      <c r="H123" s="104" t="s">
        <v>202</v>
      </c>
      <c r="I123" s="32" t="s">
        <v>152</v>
      </c>
    </row>
    <row r="124" spans="1:9" x14ac:dyDescent="0.35">
      <c r="A124" s="19">
        <v>46042</v>
      </c>
      <c r="B124" s="20">
        <v>6500</v>
      </c>
      <c r="C124" s="20"/>
      <c r="D124" s="20"/>
      <c r="E124" s="234" t="s">
        <v>357</v>
      </c>
      <c r="F124" s="20">
        <f t="shared" si="1"/>
        <v>230605456</v>
      </c>
      <c r="G124" s="7" t="s">
        <v>1050</v>
      </c>
      <c r="H124" s="24" t="s">
        <v>499</v>
      </c>
      <c r="I124" s="32" t="s">
        <v>152</v>
      </c>
    </row>
    <row r="125" spans="1:9" x14ac:dyDescent="0.35">
      <c r="A125" s="19">
        <v>46042</v>
      </c>
      <c r="B125" s="20"/>
      <c r="C125" s="20"/>
      <c r="D125" s="20">
        <v>1260005</v>
      </c>
      <c r="E125" s="234" t="s">
        <v>357</v>
      </c>
      <c r="F125" s="20">
        <f t="shared" si="1"/>
        <v>231865461</v>
      </c>
      <c r="G125" s="7" t="s">
        <v>1139</v>
      </c>
      <c r="H125" s="24" t="s">
        <v>1052</v>
      </c>
      <c r="I125" s="32" t="s">
        <v>152</v>
      </c>
    </row>
    <row r="126" spans="1:9" x14ac:dyDescent="0.35">
      <c r="A126" s="19">
        <v>46042</v>
      </c>
      <c r="B126" s="20"/>
      <c r="C126" s="20"/>
      <c r="D126" s="20">
        <v>3780000</v>
      </c>
      <c r="E126" s="234" t="s">
        <v>357</v>
      </c>
      <c r="F126" s="20">
        <f t="shared" si="1"/>
        <v>235645461</v>
      </c>
      <c r="G126" s="7" t="s">
        <v>1139</v>
      </c>
      <c r="H126" s="24" t="s">
        <v>109</v>
      </c>
      <c r="I126" s="32" t="s">
        <v>152</v>
      </c>
    </row>
    <row r="127" spans="1:9" x14ac:dyDescent="0.35">
      <c r="A127" s="19"/>
      <c r="B127" s="20"/>
      <c r="C127" s="20">
        <v>5040005</v>
      </c>
      <c r="D127" s="20"/>
      <c r="E127" s="234"/>
      <c r="F127" s="20">
        <f t="shared" si="1"/>
        <v>235645461</v>
      </c>
      <c r="G127" s="7"/>
      <c r="H127" s="24"/>
      <c r="I127" s="32"/>
    </row>
    <row r="128" spans="1:9" x14ac:dyDescent="0.35">
      <c r="A128" s="19">
        <v>46042</v>
      </c>
      <c r="B128" s="20"/>
      <c r="C128" s="20"/>
      <c r="D128" s="20">
        <v>1260000</v>
      </c>
      <c r="E128" s="234" t="s">
        <v>357</v>
      </c>
      <c r="F128" s="20">
        <f t="shared" si="1"/>
        <v>236905461</v>
      </c>
      <c r="G128" s="7" t="s">
        <v>1047</v>
      </c>
      <c r="H128" s="24" t="s">
        <v>1052</v>
      </c>
      <c r="I128" s="32" t="s">
        <v>152</v>
      </c>
    </row>
    <row r="129" spans="1:9" x14ac:dyDescent="0.35">
      <c r="A129" s="19">
        <v>46042</v>
      </c>
      <c r="B129" s="20"/>
      <c r="C129" s="20"/>
      <c r="D129" s="20">
        <v>1260005</v>
      </c>
      <c r="E129" s="234" t="s">
        <v>357</v>
      </c>
      <c r="F129" s="20">
        <f t="shared" si="1"/>
        <v>238165466</v>
      </c>
      <c r="G129" s="7" t="s">
        <v>1047</v>
      </c>
      <c r="H129" s="24" t="s">
        <v>1052</v>
      </c>
      <c r="I129" s="32" t="s">
        <v>152</v>
      </c>
    </row>
    <row r="130" spans="1:9" x14ac:dyDescent="0.35">
      <c r="A130" s="19">
        <v>46042</v>
      </c>
      <c r="B130" s="20"/>
      <c r="C130" s="20"/>
      <c r="D130" s="20">
        <v>2520000</v>
      </c>
      <c r="E130" s="234" t="s">
        <v>357</v>
      </c>
      <c r="F130" s="20">
        <f t="shared" si="1"/>
        <v>240685466</v>
      </c>
      <c r="G130" s="7" t="s">
        <v>1117</v>
      </c>
      <c r="H130" s="24" t="s">
        <v>109</v>
      </c>
      <c r="I130" s="32" t="s">
        <v>152</v>
      </c>
    </row>
    <row r="131" spans="1:9" x14ac:dyDescent="0.35">
      <c r="A131" s="19">
        <v>46042</v>
      </c>
      <c r="B131" s="20"/>
      <c r="C131" s="20"/>
      <c r="D131" s="20">
        <v>5040005</v>
      </c>
      <c r="E131" s="234" t="s">
        <v>357</v>
      </c>
      <c r="F131" s="20">
        <f t="shared" si="1"/>
        <v>245725471</v>
      </c>
      <c r="G131" s="7" t="s">
        <v>1047</v>
      </c>
      <c r="H131" s="24" t="s">
        <v>1052</v>
      </c>
      <c r="I131" s="32" t="s">
        <v>152</v>
      </c>
    </row>
    <row r="132" spans="1:9" x14ac:dyDescent="0.35">
      <c r="A132" s="19">
        <v>46043</v>
      </c>
      <c r="B132" s="20"/>
      <c r="C132" s="20"/>
      <c r="D132" s="20">
        <v>1011</v>
      </c>
      <c r="E132" s="234" t="s">
        <v>357</v>
      </c>
      <c r="F132" s="20">
        <f t="shared" si="1"/>
        <v>245726482</v>
      </c>
      <c r="G132" s="7" t="s">
        <v>330</v>
      </c>
      <c r="H132" s="24" t="s">
        <v>109</v>
      </c>
      <c r="I132" s="32" t="s">
        <v>152</v>
      </c>
    </row>
    <row r="133" spans="1:9" x14ac:dyDescent="0.35">
      <c r="A133" s="19">
        <v>46043</v>
      </c>
      <c r="B133" s="20"/>
      <c r="C133" s="20"/>
      <c r="D133" s="20">
        <v>10000</v>
      </c>
      <c r="E133" s="234" t="s">
        <v>357</v>
      </c>
      <c r="F133" s="20">
        <f t="shared" si="1"/>
        <v>245736482</v>
      </c>
      <c r="G133" s="7" t="s">
        <v>330</v>
      </c>
      <c r="H133" s="24" t="s">
        <v>109</v>
      </c>
      <c r="I133" s="32" t="s">
        <v>152</v>
      </c>
    </row>
    <row r="134" spans="1:9" x14ac:dyDescent="0.35">
      <c r="A134" s="19">
        <v>46043</v>
      </c>
      <c r="B134" s="20"/>
      <c r="C134" s="20"/>
      <c r="D134" s="20">
        <v>10000</v>
      </c>
      <c r="E134" s="234" t="s">
        <v>357</v>
      </c>
      <c r="F134" s="20">
        <f t="shared" si="1"/>
        <v>245746482</v>
      </c>
      <c r="G134" s="7" t="s">
        <v>330</v>
      </c>
      <c r="H134" s="24" t="s">
        <v>109</v>
      </c>
      <c r="I134" s="32" t="s">
        <v>152</v>
      </c>
    </row>
    <row r="135" spans="1:9" x14ac:dyDescent="0.35">
      <c r="A135" s="19">
        <v>46043</v>
      </c>
      <c r="B135" s="20"/>
      <c r="C135" s="20"/>
      <c r="D135" s="20">
        <v>20000</v>
      </c>
      <c r="E135" s="234" t="s">
        <v>357</v>
      </c>
      <c r="F135" s="20">
        <f t="shared" si="1"/>
        <v>245766482</v>
      </c>
      <c r="G135" s="7" t="s">
        <v>330</v>
      </c>
      <c r="H135" s="24" t="s">
        <v>109</v>
      </c>
      <c r="I135" s="32" t="s">
        <v>152</v>
      </c>
    </row>
    <row r="136" spans="1:9" x14ac:dyDescent="0.35">
      <c r="A136" s="19">
        <v>46043</v>
      </c>
      <c r="B136" s="20"/>
      <c r="C136" s="20"/>
      <c r="D136" s="20">
        <v>1260005</v>
      </c>
      <c r="E136" s="234" t="s">
        <v>357</v>
      </c>
      <c r="F136" s="20">
        <f t="shared" si="1"/>
        <v>247026487</v>
      </c>
      <c r="G136" s="7" t="s">
        <v>1047</v>
      </c>
      <c r="H136" s="24" t="s">
        <v>1052</v>
      </c>
      <c r="I136" s="32" t="s">
        <v>152</v>
      </c>
    </row>
    <row r="137" spans="1:9" x14ac:dyDescent="0.35">
      <c r="A137" s="19">
        <v>46043</v>
      </c>
      <c r="B137" s="20"/>
      <c r="C137" s="20"/>
      <c r="D137" s="20">
        <v>1260005</v>
      </c>
      <c r="E137" s="234" t="s">
        <v>357</v>
      </c>
      <c r="F137" s="20">
        <f t="shared" si="1"/>
        <v>248286492</v>
      </c>
      <c r="G137" s="7" t="s">
        <v>1047</v>
      </c>
      <c r="H137" s="24" t="s">
        <v>1052</v>
      </c>
      <c r="I137" s="32" t="s">
        <v>152</v>
      </c>
    </row>
    <row r="138" spans="1:9" x14ac:dyDescent="0.35">
      <c r="A138" s="19">
        <v>46043</v>
      </c>
      <c r="B138" s="20"/>
      <c r="C138" s="20"/>
      <c r="D138" s="20">
        <v>750005</v>
      </c>
      <c r="E138" s="234" t="s">
        <v>357</v>
      </c>
      <c r="F138" s="20">
        <f t="shared" si="1"/>
        <v>249036497</v>
      </c>
      <c r="G138" s="7" t="s">
        <v>1047</v>
      </c>
      <c r="H138" s="24" t="s">
        <v>1052</v>
      </c>
      <c r="I138" s="32" t="s">
        <v>152</v>
      </c>
    </row>
    <row r="139" spans="1:9" x14ac:dyDescent="0.35">
      <c r="A139" s="19">
        <v>46043</v>
      </c>
      <c r="B139" s="20"/>
      <c r="C139" s="20"/>
      <c r="D139" s="20">
        <v>5000005</v>
      </c>
      <c r="E139" s="234" t="s">
        <v>357</v>
      </c>
      <c r="F139" s="20">
        <f t="shared" si="1"/>
        <v>254036502</v>
      </c>
      <c r="G139" s="7" t="s">
        <v>1047</v>
      </c>
      <c r="H139" s="24" t="s">
        <v>1052</v>
      </c>
      <c r="I139" s="32" t="s">
        <v>152</v>
      </c>
    </row>
    <row r="140" spans="1:9" x14ac:dyDescent="0.35">
      <c r="A140" s="19">
        <v>46043</v>
      </c>
      <c r="B140" s="20"/>
      <c r="C140" s="20"/>
      <c r="D140" s="20">
        <v>630005</v>
      </c>
      <c r="E140" s="234" t="s">
        <v>357</v>
      </c>
      <c r="F140" s="20">
        <f t="shared" si="1"/>
        <v>254666507</v>
      </c>
      <c r="G140" s="7" t="s">
        <v>1047</v>
      </c>
      <c r="H140" s="24" t="s">
        <v>1052</v>
      </c>
      <c r="I140" s="32" t="s">
        <v>152</v>
      </c>
    </row>
    <row r="141" spans="1:9" x14ac:dyDescent="0.35">
      <c r="A141" s="19">
        <v>46043</v>
      </c>
      <c r="B141" s="20"/>
      <c r="C141" s="20"/>
      <c r="D141" s="20">
        <v>315005</v>
      </c>
      <c r="E141" s="234" t="s">
        <v>357</v>
      </c>
      <c r="F141" s="20">
        <f t="shared" si="1"/>
        <v>254981512</v>
      </c>
      <c r="G141" s="7" t="s">
        <v>1047</v>
      </c>
      <c r="H141" s="24" t="s">
        <v>1052</v>
      </c>
      <c r="I141" s="32" t="s">
        <v>152</v>
      </c>
    </row>
    <row r="142" spans="1:9" x14ac:dyDescent="0.35">
      <c r="A142" s="19">
        <v>46043</v>
      </c>
      <c r="B142" s="20"/>
      <c r="C142" s="20"/>
      <c r="D142" s="20">
        <v>12600005</v>
      </c>
      <c r="E142" s="234" t="s">
        <v>357</v>
      </c>
      <c r="F142" s="20">
        <f t="shared" si="1"/>
        <v>267581517</v>
      </c>
      <c r="G142" s="7" t="s">
        <v>1047</v>
      </c>
      <c r="H142" s="24" t="s">
        <v>1052</v>
      </c>
      <c r="I142" s="32" t="s">
        <v>152</v>
      </c>
    </row>
    <row r="143" spans="1:9" x14ac:dyDescent="0.35">
      <c r="A143" s="19">
        <v>46044</v>
      </c>
      <c r="B143" s="20"/>
      <c r="C143" s="20"/>
      <c r="D143" s="20">
        <v>5040005</v>
      </c>
      <c r="E143" s="234" t="s">
        <v>357</v>
      </c>
      <c r="F143" s="20">
        <f t="shared" si="1"/>
        <v>272621522</v>
      </c>
      <c r="G143" s="7" t="s">
        <v>1047</v>
      </c>
      <c r="H143" s="24" t="s">
        <v>1052</v>
      </c>
      <c r="I143" s="32" t="s">
        <v>152</v>
      </c>
    </row>
    <row r="144" spans="1:9" x14ac:dyDescent="0.35">
      <c r="A144" s="19">
        <v>46044</v>
      </c>
      <c r="B144" s="20"/>
      <c r="C144" s="20"/>
      <c r="D144" s="20">
        <v>1890005</v>
      </c>
      <c r="E144" s="234" t="s">
        <v>357</v>
      </c>
      <c r="F144" s="20">
        <f t="shared" si="1"/>
        <v>274511527</v>
      </c>
      <c r="G144" s="7" t="s">
        <v>1047</v>
      </c>
      <c r="H144" s="24" t="s">
        <v>1052</v>
      </c>
      <c r="I144" s="32" t="s">
        <v>152</v>
      </c>
    </row>
    <row r="145" spans="1:9" x14ac:dyDescent="0.35">
      <c r="A145" s="19">
        <v>46044</v>
      </c>
      <c r="B145" s="20"/>
      <c r="C145" s="20"/>
      <c r="D145" s="20">
        <v>3100000</v>
      </c>
      <c r="E145" s="234" t="s">
        <v>357</v>
      </c>
      <c r="F145" s="20">
        <f t="shared" si="1"/>
        <v>277611527</v>
      </c>
      <c r="G145" s="7" t="s">
        <v>1047</v>
      </c>
      <c r="H145" s="24" t="s">
        <v>1052</v>
      </c>
      <c r="I145" s="32" t="s">
        <v>152</v>
      </c>
    </row>
    <row r="146" spans="1:9" x14ac:dyDescent="0.35">
      <c r="A146" s="19">
        <v>46044</v>
      </c>
      <c r="B146" s="20"/>
      <c r="C146" s="20"/>
      <c r="D146" s="20">
        <v>20000</v>
      </c>
      <c r="E146" s="234" t="s">
        <v>357</v>
      </c>
      <c r="F146" s="20">
        <f t="shared" ref="F146:F213" si="2">+F145+D146-B146</f>
        <v>277631527</v>
      </c>
      <c r="G146" s="7" t="s">
        <v>330</v>
      </c>
      <c r="H146" s="24" t="s">
        <v>109</v>
      </c>
      <c r="I146" s="32" t="s">
        <v>152</v>
      </c>
    </row>
    <row r="147" spans="1:9" x14ac:dyDescent="0.35">
      <c r="A147" s="19">
        <v>46044</v>
      </c>
      <c r="B147" s="20"/>
      <c r="C147" s="20"/>
      <c r="D147" s="20">
        <v>10000005</v>
      </c>
      <c r="E147" s="234" t="s">
        <v>357</v>
      </c>
      <c r="F147" s="20">
        <f t="shared" si="2"/>
        <v>287631532</v>
      </c>
      <c r="G147" s="7" t="s">
        <v>1047</v>
      </c>
      <c r="H147" s="24" t="s">
        <v>1052</v>
      </c>
      <c r="I147" s="32" t="s">
        <v>152</v>
      </c>
    </row>
    <row r="148" spans="1:9" x14ac:dyDescent="0.35">
      <c r="A148" s="19">
        <v>46044</v>
      </c>
      <c r="B148" s="20"/>
      <c r="C148" s="20"/>
      <c r="D148" s="20">
        <v>630005</v>
      </c>
      <c r="E148" s="234" t="s">
        <v>357</v>
      </c>
      <c r="F148" s="20">
        <f t="shared" si="2"/>
        <v>288261537</v>
      </c>
      <c r="G148" s="7" t="s">
        <v>1047</v>
      </c>
      <c r="H148" s="24" t="s">
        <v>1052</v>
      </c>
      <c r="I148" s="32" t="s">
        <v>152</v>
      </c>
    </row>
    <row r="149" spans="1:9" x14ac:dyDescent="0.35">
      <c r="A149" s="19">
        <v>46044</v>
      </c>
      <c r="B149" s="20"/>
      <c r="C149" s="20"/>
      <c r="D149" s="20">
        <v>12600000</v>
      </c>
      <c r="E149" s="234" t="s">
        <v>357</v>
      </c>
      <c r="F149" s="20">
        <f t="shared" si="2"/>
        <v>300861537</v>
      </c>
      <c r="G149" s="7" t="s">
        <v>1047</v>
      </c>
      <c r="H149" s="24" t="s">
        <v>1052</v>
      </c>
      <c r="I149" s="32" t="s">
        <v>152</v>
      </c>
    </row>
    <row r="150" spans="1:9" x14ac:dyDescent="0.35">
      <c r="A150" s="19">
        <v>46044</v>
      </c>
      <c r="B150" s="20"/>
      <c r="C150" s="20"/>
      <c r="D150" s="20">
        <v>1000000</v>
      </c>
      <c r="E150" s="234" t="s">
        <v>357</v>
      </c>
      <c r="F150" s="20">
        <f t="shared" si="2"/>
        <v>301861537</v>
      </c>
      <c r="G150" s="7" t="s">
        <v>1047</v>
      </c>
      <c r="H150" s="24" t="s">
        <v>1052</v>
      </c>
      <c r="I150" s="32" t="s">
        <v>152</v>
      </c>
    </row>
    <row r="151" spans="1:9" x14ac:dyDescent="0.35">
      <c r="A151" s="19">
        <v>46044</v>
      </c>
      <c r="B151" s="20"/>
      <c r="C151" s="20"/>
      <c r="D151" s="20">
        <v>6300005</v>
      </c>
      <c r="E151" s="234" t="s">
        <v>357</v>
      </c>
      <c r="F151" s="20">
        <f t="shared" si="2"/>
        <v>308161542</v>
      </c>
      <c r="G151" s="7" t="s">
        <v>1047</v>
      </c>
      <c r="H151" s="24" t="s">
        <v>1052</v>
      </c>
      <c r="I151" s="32" t="s">
        <v>152</v>
      </c>
    </row>
    <row r="152" spans="1:9" x14ac:dyDescent="0.35">
      <c r="A152" s="19">
        <v>46045</v>
      </c>
      <c r="B152" s="20"/>
      <c r="C152" s="20"/>
      <c r="D152" s="20">
        <v>2520005</v>
      </c>
      <c r="E152" s="234" t="s">
        <v>357</v>
      </c>
      <c r="F152" s="20">
        <f t="shared" si="2"/>
        <v>310681547</v>
      </c>
      <c r="G152" s="7" t="s">
        <v>1047</v>
      </c>
      <c r="H152" s="24" t="s">
        <v>1052</v>
      </c>
      <c r="I152" s="32" t="s">
        <v>152</v>
      </c>
    </row>
    <row r="153" spans="1:9" x14ac:dyDescent="0.35">
      <c r="A153" s="19">
        <v>46045</v>
      </c>
      <c r="B153" s="20"/>
      <c r="C153" s="20"/>
      <c r="D153" s="20">
        <v>1620005</v>
      </c>
      <c r="E153" s="234" t="s">
        <v>357</v>
      </c>
      <c r="F153" s="20">
        <f t="shared" si="2"/>
        <v>312301552</v>
      </c>
      <c r="G153" s="7" t="s">
        <v>1047</v>
      </c>
      <c r="H153" s="24" t="s">
        <v>1052</v>
      </c>
      <c r="I153" s="32" t="s">
        <v>152</v>
      </c>
    </row>
    <row r="154" spans="1:9" x14ac:dyDescent="0.35">
      <c r="A154" s="19">
        <v>46045</v>
      </c>
      <c r="B154" s="20"/>
      <c r="C154" s="20"/>
      <c r="D154" s="20">
        <v>12600005</v>
      </c>
      <c r="E154" s="234" t="s">
        <v>357</v>
      </c>
      <c r="F154" s="20">
        <f t="shared" si="2"/>
        <v>324901557</v>
      </c>
      <c r="G154" s="7" t="s">
        <v>1047</v>
      </c>
      <c r="H154" s="24" t="s">
        <v>1052</v>
      </c>
      <c r="I154" s="32" t="s">
        <v>152</v>
      </c>
    </row>
    <row r="155" spans="1:9" x14ac:dyDescent="0.35">
      <c r="A155" s="19">
        <v>46045</v>
      </c>
      <c r="B155" s="20"/>
      <c r="C155" s="20"/>
      <c r="D155" s="20">
        <v>1260005</v>
      </c>
      <c r="E155" s="234" t="s">
        <v>357</v>
      </c>
      <c r="F155" s="20">
        <f t="shared" si="2"/>
        <v>326161562</v>
      </c>
      <c r="G155" s="7" t="s">
        <v>1047</v>
      </c>
      <c r="H155" s="24" t="s">
        <v>1052</v>
      </c>
      <c r="I155" s="32" t="s">
        <v>152</v>
      </c>
    </row>
    <row r="156" spans="1:9" x14ac:dyDescent="0.35">
      <c r="A156" s="19">
        <v>46045</v>
      </c>
      <c r="B156" s="20"/>
      <c r="C156" s="20"/>
      <c r="D156" s="20">
        <v>20000</v>
      </c>
      <c r="E156" s="234" t="s">
        <v>357</v>
      </c>
      <c r="F156" s="20">
        <f t="shared" si="2"/>
        <v>326181562</v>
      </c>
      <c r="G156" s="7" t="s">
        <v>330</v>
      </c>
      <c r="H156" s="24" t="s">
        <v>109</v>
      </c>
      <c r="I156" s="32" t="s">
        <v>152</v>
      </c>
    </row>
    <row r="157" spans="1:9" x14ac:dyDescent="0.35">
      <c r="A157" s="19">
        <v>46045</v>
      </c>
      <c r="B157" s="20"/>
      <c r="C157" s="20"/>
      <c r="D157" s="20">
        <v>1011</v>
      </c>
      <c r="E157" s="234" t="s">
        <v>357</v>
      </c>
      <c r="F157" s="20">
        <f t="shared" si="2"/>
        <v>326182573</v>
      </c>
      <c r="G157" s="7" t="s">
        <v>330</v>
      </c>
      <c r="H157" s="24" t="s">
        <v>109</v>
      </c>
      <c r="I157" s="32" t="s">
        <v>152</v>
      </c>
    </row>
    <row r="158" spans="1:9" x14ac:dyDescent="0.35">
      <c r="A158" s="19">
        <v>46045</v>
      </c>
      <c r="B158" s="20"/>
      <c r="C158" s="20"/>
      <c r="D158" s="20">
        <v>1500000</v>
      </c>
      <c r="E158" s="234" t="s">
        <v>357</v>
      </c>
      <c r="F158" s="20">
        <f t="shared" si="2"/>
        <v>327682573</v>
      </c>
      <c r="G158" s="7" t="s">
        <v>1047</v>
      </c>
      <c r="H158" s="24" t="s">
        <v>1052</v>
      </c>
      <c r="I158" s="32" t="s">
        <v>152</v>
      </c>
    </row>
    <row r="159" spans="1:9" x14ac:dyDescent="0.35">
      <c r="A159" s="19">
        <v>46045</v>
      </c>
      <c r="B159" s="20"/>
      <c r="C159" s="20"/>
      <c r="D159" s="20">
        <v>2525000</v>
      </c>
      <c r="E159" s="234" t="s">
        <v>357</v>
      </c>
      <c r="F159" s="20">
        <f t="shared" si="2"/>
        <v>330207573</v>
      </c>
      <c r="G159" s="7" t="s">
        <v>1047</v>
      </c>
      <c r="H159" s="24" t="s">
        <v>1052</v>
      </c>
      <c r="I159" s="32" t="s">
        <v>152</v>
      </c>
    </row>
    <row r="160" spans="1:9" x14ac:dyDescent="0.35">
      <c r="A160" s="19">
        <v>46045</v>
      </c>
      <c r="B160" s="20"/>
      <c r="C160" s="20"/>
      <c r="D160" s="20">
        <v>5000005</v>
      </c>
      <c r="E160" s="234" t="s">
        <v>357</v>
      </c>
      <c r="F160" s="20">
        <f t="shared" si="2"/>
        <v>335207578</v>
      </c>
      <c r="G160" s="7" t="s">
        <v>1047</v>
      </c>
      <c r="H160" s="24" t="s">
        <v>1052</v>
      </c>
      <c r="I160" s="32" t="s">
        <v>152</v>
      </c>
    </row>
    <row r="161" spans="1:9" x14ac:dyDescent="0.35">
      <c r="A161" s="19">
        <v>46045</v>
      </c>
      <c r="B161" s="20">
        <v>3000000</v>
      </c>
      <c r="C161" s="20"/>
      <c r="D161" s="20"/>
      <c r="E161" s="234" t="s">
        <v>357</v>
      </c>
      <c r="F161" s="20">
        <f t="shared" si="2"/>
        <v>332207578</v>
      </c>
      <c r="G161" s="7" t="s">
        <v>1055</v>
      </c>
      <c r="H161" s="24" t="s">
        <v>203</v>
      </c>
      <c r="I161" s="32" t="s">
        <v>152</v>
      </c>
    </row>
    <row r="162" spans="1:9" x14ac:dyDescent="0.35">
      <c r="A162" s="19">
        <v>46045</v>
      </c>
      <c r="B162" s="20">
        <v>6500</v>
      </c>
      <c r="C162" s="20"/>
      <c r="D162" s="20"/>
      <c r="E162" s="234" t="s">
        <v>357</v>
      </c>
      <c r="F162" s="20">
        <f t="shared" si="2"/>
        <v>332201078</v>
      </c>
      <c r="G162" s="7" t="s">
        <v>1055</v>
      </c>
      <c r="H162" s="24" t="s">
        <v>203</v>
      </c>
      <c r="I162" s="32" t="s">
        <v>152</v>
      </c>
    </row>
    <row r="163" spans="1:9" x14ac:dyDescent="0.35">
      <c r="A163" s="19">
        <v>46045</v>
      </c>
      <c r="B163" s="20"/>
      <c r="C163" s="20"/>
      <c r="D163" s="20">
        <v>5000005</v>
      </c>
      <c r="E163" s="234" t="s">
        <v>357</v>
      </c>
      <c r="F163" s="20">
        <f t="shared" si="2"/>
        <v>337201083</v>
      </c>
      <c r="G163" s="7" t="s">
        <v>1047</v>
      </c>
      <c r="H163" s="24" t="s">
        <v>1052</v>
      </c>
      <c r="I163" s="32" t="s">
        <v>152</v>
      </c>
    </row>
    <row r="164" spans="1:9" x14ac:dyDescent="0.35">
      <c r="A164" s="19">
        <v>46045</v>
      </c>
      <c r="B164" s="20"/>
      <c r="C164" s="20"/>
      <c r="D164" s="20">
        <v>6220000</v>
      </c>
      <c r="E164" s="234" t="s">
        <v>357</v>
      </c>
      <c r="F164" s="20">
        <f t="shared" si="2"/>
        <v>343421083</v>
      </c>
      <c r="G164" s="7" t="s">
        <v>1138</v>
      </c>
      <c r="H164" s="24" t="s">
        <v>1052</v>
      </c>
      <c r="I164" s="32" t="s">
        <v>152</v>
      </c>
    </row>
    <row r="165" spans="1:9" x14ac:dyDescent="0.35">
      <c r="A165" s="19">
        <v>46045</v>
      </c>
      <c r="B165" s="20"/>
      <c r="C165" s="20"/>
      <c r="D165" s="20">
        <v>3780000</v>
      </c>
      <c r="E165" s="234" t="s">
        <v>357</v>
      </c>
      <c r="F165" s="20">
        <f t="shared" si="2"/>
        <v>347201083</v>
      </c>
      <c r="G165" s="7" t="s">
        <v>1138</v>
      </c>
      <c r="H165" s="24" t="s">
        <v>109</v>
      </c>
      <c r="I165" s="32" t="s">
        <v>152</v>
      </c>
    </row>
    <row r="166" spans="1:9" x14ac:dyDescent="0.35">
      <c r="A166" s="19"/>
      <c r="B166" s="20"/>
      <c r="C166" s="20">
        <v>10000000</v>
      </c>
      <c r="D166" s="20"/>
      <c r="E166" s="234"/>
      <c r="F166" s="20">
        <f t="shared" si="2"/>
        <v>347201083</v>
      </c>
      <c r="G166" s="7"/>
      <c r="H166" s="24"/>
      <c r="I166" s="32"/>
    </row>
    <row r="167" spans="1:9" x14ac:dyDescent="0.35">
      <c r="A167" s="19">
        <v>46045</v>
      </c>
      <c r="B167" s="20"/>
      <c r="C167" s="20"/>
      <c r="D167" s="20">
        <v>6300005</v>
      </c>
      <c r="E167" s="234" t="s">
        <v>357</v>
      </c>
      <c r="F167" s="20">
        <f t="shared" si="2"/>
        <v>353501088</v>
      </c>
      <c r="G167" s="7" t="s">
        <v>1047</v>
      </c>
      <c r="H167" s="24" t="s">
        <v>1052</v>
      </c>
      <c r="I167" s="32" t="s">
        <v>152</v>
      </c>
    </row>
    <row r="168" spans="1:9" x14ac:dyDescent="0.35">
      <c r="A168" s="19">
        <v>46045</v>
      </c>
      <c r="B168" s="20"/>
      <c r="C168" s="20"/>
      <c r="D168" s="20">
        <v>1260005</v>
      </c>
      <c r="E168" s="234" t="s">
        <v>357</v>
      </c>
      <c r="F168" s="20">
        <f t="shared" si="2"/>
        <v>354761093</v>
      </c>
      <c r="G168" s="7" t="s">
        <v>1047</v>
      </c>
      <c r="H168" s="24" t="s">
        <v>1052</v>
      </c>
      <c r="I168" s="32" t="s">
        <v>152</v>
      </c>
    </row>
    <row r="169" spans="1:9" x14ac:dyDescent="0.35">
      <c r="A169" s="19">
        <v>46045</v>
      </c>
      <c r="B169" s="20"/>
      <c r="C169" s="20"/>
      <c r="D169" s="20">
        <v>1260005</v>
      </c>
      <c r="E169" s="234" t="s">
        <v>357</v>
      </c>
      <c r="F169" s="20">
        <f t="shared" si="2"/>
        <v>356021098</v>
      </c>
      <c r="G169" s="7" t="s">
        <v>1047</v>
      </c>
      <c r="H169" s="24" t="s">
        <v>1052</v>
      </c>
      <c r="I169" s="32" t="s">
        <v>152</v>
      </c>
    </row>
    <row r="170" spans="1:9" x14ac:dyDescent="0.35">
      <c r="A170" s="19">
        <v>46045</v>
      </c>
      <c r="B170" s="20"/>
      <c r="C170" s="20"/>
      <c r="D170" s="20">
        <v>5000000</v>
      </c>
      <c r="E170" s="234" t="s">
        <v>357</v>
      </c>
      <c r="F170" s="20">
        <f t="shared" si="2"/>
        <v>361021098</v>
      </c>
      <c r="G170" s="7" t="s">
        <v>1047</v>
      </c>
      <c r="H170" s="24" t="s">
        <v>1052</v>
      </c>
      <c r="I170" s="32" t="s">
        <v>152</v>
      </c>
    </row>
    <row r="171" spans="1:9" x14ac:dyDescent="0.35">
      <c r="A171" s="19">
        <v>46045</v>
      </c>
      <c r="B171" s="20"/>
      <c r="C171" s="20"/>
      <c r="D171" s="20">
        <v>2520005</v>
      </c>
      <c r="E171" s="234" t="s">
        <v>357</v>
      </c>
      <c r="F171" s="20">
        <f t="shared" si="2"/>
        <v>363541103</v>
      </c>
      <c r="G171" s="7" t="s">
        <v>1047</v>
      </c>
      <c r="H171" s="24" t="s">
        <v>1052</v>
      </c>
      <c r="I171" s="32" t="s">
        <v>152</v>
      </c>
    </row>
    <row r="172" spans="1:9" x14ac:dyDescent="0.35">
      <c r="A172" s="19">
        <v>46045</v>
      </c>
      <c r="B172" s="20"/>
      <c r="C172" s="20"/>
      <c r="D172" s="20">
        <v>2520005</v>
      </c>
      <c r="E172" s="234" t="s">
        <v>357</v>
      </c>
      <c r="F172" s="20">
        <f t="shared" si="2"/>
        <v>366061108</v>
      </c>
      <c r="G172" s="7" t="s">
        <v>1047</v>
      </c>
      <c r="H172" s="24" t="s">
        <v>1052</v>
      </c>
      <c r="I172" s="32" t="s">
        <v>152</v>
      </c>
    </row>
    <row r="173" spans="1:9" x14ac:dyDescent="0.35">
      <c r="A173" s="19">
        <v>46045</v>
      </c>
      <c r="B173" s="20"/>
      <c r="C173" s="20"/>
      <c r="D173" s="20">
        <v>2505000</v>
      </c>
      <c r="E173" s="234" t="s">
        <v>357</v>
      </c>
      <c r="F173" s="20">
        <f t="shared" si="2"/>
        <v>368566108</v>
      </c>
      <c r="G173" s="7" t="s">
        <v>1047</v>
      </c>
      <c r="H173" s="24" t="s">
        <v>1052</v>
      </c>
      <c r="I173" s="32" t="s">
        <v>152</v>
      </c>
    </row>
    <row r="174" spans="1:9" x14ac:dyDescent="0.35">
      <c r="A174" s="19">
        <v>46045</v>
      </c>
      <c r="B174" s="20"/>
      <c r="C174" s="20"/>
      <c r="D174" s="20">
        <v>200005</v>
      </c>
      <c r="E174" s="234" t="s">
        <v>357</v>
      </c>
      <c r="F174" s="20">
        <f t="shared" si="2"/>
        <v>368766113</v>
      </c>
      <c r="G174" s="7" t="s">
        <v>1047</v>
      </c>
      <c r="H174" s="24" t="s">
        <v>1052</v>
      </c>
      <c r="I174" s="32" t="s">
        <v>152</v>
      </c>
    </row>
    <row r="175" spans="1:9" x14ac:dyDescent="0.35">
      <c r="A175" s="19">
        <v>46045</v>
      </c>
      <c r="B175" s="20">
        <v>500000</v>
      </c>
      <c r="C175" s="20"/>
      <c r="D175" s="20"/>
      <c r="E175" s="234" t="s">
        <v>357</v>
      </c>
      <c r="F175" s="20">
        <f t="shared" si="2"/>
        <v>368266113</v>
      </c>
      <c r="G175" s="7" t="s">
        <v>1056</v>
      </c>
      <c r="H175" s="24" t="s">
        <v>203</v>
      </c>
      <c r="I175" s="32" t="s">
        <v>152</v>
      </c>
    </row>
    <row r="176" spans="1:9" x14ac:dyDescent="0.35">
      <c r="A176" s="19">
        <v>46045</v>
      </c>
      <c r="B176" s="20">
        <v>6500</v>
      </c>
      <c r="C176" s="20"/>
      <c r="D176" s="20"/>
      <c r="E176" s="234" t="s">
        <v>357</v>
      </c>
      <c r="F176" s="20">
        <f t="shared" si="2"/>
        <v>368259613</v>
      </c>
      <c r="G176" s="7" t="s">
        <v>1056</v>
      </c>
      <c r="H176" s="24" t="s">
        <v>203</v>
      </c>
      <c r="I176" s="32" t="s">
        <v>152</v>
      </c>
    </row>
    <row r="177" spans="1:9" x14ac:dyDescent="0.35">
      <c r="A177" s="19">
        <v>46045</v>
      </c>
      <c r="B177" s="20"/>
      <c r="C177" s="20"/>
      <c r="D177" s="20">
        <v>1000000</v>
      </c>
      <c r="E177" s="234" t="s">
        <v>357</v>
      </c>
      <c r="F177" s="20">
        <f t="shared" si="2"/>
        <v>369259613</v>
      </c>
      <c r="G177" s="7" t="s">
        <v>609</v>
      </c>
      <c r="H177" s="24" t="s">
        <v>109</v>
      </c>
      <c r="I177" s="32" t="s">
        <v>152</v>
      </c>
    </row>
    <row r="178" spans="1:9" x14ac:dyDescent="0.35">
      <c r="A178" s="19">
        <v>46045</v>
      </c>
      <c r="B178" s="20"/>
      <c r="C178" s="20"/>
      <c r="D178" s="20">
        <v>1260005</v>
      </c>
      <c r="E178" s="234" t="s">
        <v>357</v>
      </c>
      <c r="F178" s="20">
        <f t="shared" si="2"/>
        <v>370519618</v>
      </c>
      <c r="G178" s="7" t="s">
        <v>1116</v>
      </c>
      <c r="H178" s="24" t="s">
        <v>1052</v>
      </c>
      <c r="I178" s="32" t="s">
        <v>152</v>
      </c>
    </row>
    <row r="179" spans="1:9" x14ac:dyDescent="0.35">
      <c r="A179" s="19">
        <v>46045</v>
      </c>
      <c r="B179" s="20"/>
      <c r="C179" s="20"/>
      <c r="D179" s="20">
        <v>6300000</v>
      </c>
      <c r="E179" s="234" t="s">
        <v>357</v>
      </c>
      <c r="F179" s="20">
        <f t="shared" si="2"/>
        <v>376819618</v>
      </c>
      <c r="G179" s="7" t="s">
        <v>1116</v>
      </c>
      <c r="H179" s="24" t="s">
        <v>109</v>
      </c>
      <c r="I179" s="32" t="s">
        <v>152</v>
      </c>
    </row>
    <row r="180" spans="1:9" x14ac:dyDescent="0.35">
      <c r="A180" s="19"/>
      <c r="B180" s="20"/>
      <c r="C180" s="20">
        <v>7560005</v>
      </c>
      <c r="D180" s="20"/>
      <c r="E180" s="234"/>
      <c r="F180" s="20">
        <f t="shared" si="2"/>
        <v>376819618</v>
      </c>
      <c r="G180" s="7"/>
      <c r="H180" s="24"/>
      <c r="I180" s="32"/>
    </row>
    <row r="181" spans="1:9" x14ac:dyDescent="0.35">
      <c r="A181" s="19">
        <v>46045</v>
      </c>
      <c r="B181" s="20"/>
      <c r="C181" s="20"/>
      <c r="D181" s="20">
        <v>500005</v>
      </c>
      <c r="E181" s="234" t="s">
        <v>357</v>
      </c>
      <c r="F181" s="20">
        <f t="shared" si="2"/>
        <v>377319623</v>
      </c>
      <c r="G181" s="7" t="s">
        <v>1047</v>
      </c>
      <c r="H181" s="24" t="s">
        <v>1052</v>
      </c>
      <c r="I181" s="32" t="s">
        <v>152</v>
      </c>
    </row>
    <row r="182" spans="1:9" x14ac:dyDescent="0.35">
      <c r="A182" s="19">
        <v>46046</v>
      </c>
      <c r="B182" s="20"/>
      <c r="C182" s="20"/>
      <c r="D182" s="20">
        <v>1260000</v>
      </c>
      <c r="E182" s="234" t="s">
        <v>357</v>
      </c>
      <c r="F182" s="20">
        <f t="shared" si="2"/>
        <v>378579623</v>
      </c>
      <c r="G182" s="7" t="s">
        <v>1047</v>
      </c>
      <c r="H182" s="24" t="s">
        <v>1052</v>
      </c>
      <c r="I182" s="32" t="s">
        <v>152</v>
      </c>
    </row>
    <row r="183" spans="1:9" x14ac:dyDescent="0.35">
      <c r="A183" s="19">
        <v>46046</v>
      </c>
      <c r="B183" s="20"/>
      <c r="C183" s="20"/>
      <c r="D183" s="20">
        <v>500000</v>
      </c>
      <c r="E183" s="234" t="s">
        <v>357</v>
      </c>
      <c r="F183" s="20">
        <f t="shared" si="2"/>
        <v>379079623</v>
      </c>
      <c r="G183" s="7" t="s">
        <v>1057</v>
      </c>
      <c r="H183" s="24" t="s">
        <v>109</v>
      </c>
      <c r="I183" s="32" t="s">
        <v>152</v>
      </c>
    </row>
    <row r="184" spans="1:9" x14ac:dyDescent="0.35">
      <c r="A184" s="19">
        <v>46046</v>
      </c>
      <c r="B184" s="20"/>
      <c r="C184" s="20"/>
      <c r="D184" s="20">
        <v>1260005</v>
      </c>
      <c r="E184" s="234" t="s">
        <v>357</v>
      </c>
      <c r="F184" s="20">
        <f t="shared" si="2"/>
        <v>380339628</v>
      </c>
      <c r="G184" s="7" t="s">
        <v>1047</v>
      </c>
      <c r="H184" s="24" t="s">
        <v>1052</v>
      </c>
      <c r="I184" s="32" t="s">
        <v>152</v>
      </c>
    </row>
    <row r="185" spans="1:9" x14ac:dyDescent="0.35">
      <c r="A185" s="19">
        <v>46046</v>
      </c>
      <c r="B185" s="20"/>
      <c r="C185" s="20"/>
      <c r="D185" s="20">
        <v>1260005</v>
      </c>
      <c r="E185" s="234" t="s">
        <v>357</v>
      </c>
      <c r="F185" s="20">
        <f t="shared" si="2"/>
        <v>381599633</v>
      </c>
      <c r="G185" s="7" t="s">
        <v>1047</v>
      </c>
      <c r="H185" s="24" t="s">
        <v>1052</v>
      </c>
      <c r="I185" s="32" t="s">
        <v>152</v>
      </c>
    </row>
    <row r="186" spans="1:9" x14ac:dyDescent="0.35">
      <c r="A186" s="19">
        <v>46046</v>
      </c>
      <c r="B186" s="20"/>
      <c r="C186" s="20"/>
      <c r="D186" s="20">
        <v>10000</v>
      </c>
      <c r="E186" s="234" t="s">
        <v>357</v>
      </c>
      <c r="F186" s="20">
        <f t="shared" si="2"/>
        <v>381609633</v>
      </c>
      <c r="G186" s="7" t="s">
        <v>330</v>
      </c>
      <c r="H186" s="24" t="s">
        <v>109</v>
      </c>
      <c r="I186" s="32" t="s">
        <v>152</v>
      </c>
    </row>
    <row r="187" spans="1:9" x14ac:dyDescent="0.35">
      <c r="A187" s="19">
        <v>46046</v>
      </c>
      <c r="B187" s="20"/>
      <c r="C187" s="20"/>
      <c r="D187" s="20">
        <v>100000</v>
      </c>
      <c r="E187" s="234" t="s">
        <v>357</v>
      </c>
      <c r="F187" s="20">
        <f t="shared" si="2"/>
        <v>381709633</v>
      </c>
      <c r="G187" s="7" t="s">
        <v>330</v>
      </c>
      <c r="H187" s="24" t="s">
        <v>109</v>
      </c>
      <c r="I187" s="32" t="s">
        <v>152</v>
      </c>
    </row>
    <row r="188" spans="1:9" x14ac:dyDescent="0.35">
      <c r="A188" s="19">
        <v>46046</v>
      </c>
      <c r="B188" s="20"/>
      <c r="C188" s="20"/>
      <c r="D188" s="20">
        <v>20000</v>
      </c>
      <c r="E188" s="234" t="s">
        <v>357</v>
      </c>
      <c r="F188" s="20">
        <f t="shared" si="2"/>
        <v>381729633</v>
      </c>
      <c r="G188" s="7" t="s">
        <v>330</v>
      </c>
      <c r="H188" s="24" t="s">
        <v>109</v>
      </c>
      <c r="I188" s="32" t="s">
        <v>152</v>
      </c>
    </row>
    <row r="189" spans="1:9" x14ac:dyDescent="0.35">
      <c r="A189" s="19">
        <v>46046</v>
      </c>
      <c r="B189" s="20"/>
      <c r="C189" s="20"/>
      <c r="D189" s="20">
        <v>20000</v>
      </c>
      <c r="E189" s="234" t="s">
        <v>357</v>
      </c>
      <c r="F189" s="20">
        <f t="shared" si="2"/>
        <v>381749633</v>
      </c>
      <c r="G189" s="7" t="s">
        <v>330</v>
      </c>
      <c r="H189" s="24" t="s">
        <v>109</v>
      </c>
      <c r="I189" s="32" t="s">
        <v>152</v>
      </c>
    </row>
    <row r="190" spans="1:9" x14ac:dyDescent="0.35">
      <c r="A190" s="19">
        <v>46046</v>
      </c>
      <c r="B190" s="20"/>
      <c r="C190" s="20"/>
      <c r="D190" s="20">
        <v>1500005</v>
      </c>
      <c r="E190" s="234" t="s">
        <v>357</v>
      </c>
      <c r="F190" s="20">
        <f t="shared" si="2"/>
        <v>383249638</v>
      </c>
      <c r="G190" s="7" t="s">
        <v>1047</v>
      </c>
      <c r="H190" s="24" t="s">
        <v>1052</v>
      </c>
      <c r="I190" s="32" t="s">
        <v>152</v>
      </c>
    </row>
    <row r="191" spans="1:9" x14ac:dyDescent="0.35">
      <c r="A191" s="19">
        <v>46046</v>
      </c>
      <c r="B191" s="20"/>
      <c r="C191" s="20"/>
      <c r="D191" s="20">
        <v>500005</v>
      </c>
      <c r="E191" s="234" t="s">
        <v>357</v>
      </c>
      <c r="F191" s="20">
        <f t="shared" si="2"/>
        <v>383749643</v>
      </c>
      <c r="G191" s="7" t="s">
        <v>1047</v>
      </c>
      <c r="H191" s="24" t="s">
        <v>1052</v>
      </c>
      <c r="I191" s="32" t="s">
        <v>152</v>
      </c>
    </row>
    <row r="192" spans="1:9" x14ac:dyDescent="0.35">
      <c r="A192" s="19">
        <v>46046</v>
      </c>
      <c r="B192" s="20"/>
      <c r="C192" s="20"/>
      <c r="D192" s="20">
        <v>2520000</v>
      </c>
      <c r="E192" s="234" t="s">
        <v>357</v>
      </c>
      <c r="F192" s="20">
        <f t="shared" si="2"/>
        <v>386269643</v>
      </c>
      <c r="G192" s="7" t="s">
        <v>1047</v>
      </c>
      <c r="H192" s="24" t="s">
        <v>1052</v>
      </c>
      <c r="I192" s="32" t="s">
        <v>152</v>
      </c>
    </row>
    <row r="193" spans="1:9" x14ac:dyDescent="0.35">
      <c r="A193" s="19">
        <v>46046</v>
      </c>
      <c r="B193" s="20"/>
      <c r="C193" s="20"/>
      <c r="D193" s="20">
        <v>1260005</v>
      </c>
      <c r="E193" s="234" t="s">
        <v>357</v>
      </c>
      <c r="F193" s="20">
        <f t="shared" si="2"/>
        <v>387529648</v>
      </c>
      <c r="G193" s="7" t="s">
        <v>1047</v>
      </c>
      <c r="H193" s="24" t="s">
        <v>1052</v>
      </c>
      <c r="I193" s="32" t="s">
        <v>152</v>
      </c>
    </row>
    <row r="194" spans="1:9" x14ac:dyDescent="0.35">
      <c r="A194" s="19">
        <v>46046</v>
      </c>
      <c r="B194" s="20"/>
      <c r="C194" s="20"/>
      <c r="D194" s="20">
        <v>5000005</v>
      </c>
      <c r="E194" s="234" t="s">
        <v>357</v>
      </c>
      <c r="F194" s="20">
        <f t="shared" si="2"/>
        <v>392529653</v>
      </c>
      <c r="G194" s="7" t="s">
        <v>1047</v>
      </c>
      <c r="H194" s="24" t="s">
        <v>1052</v>
      </c>
      <c r="I194" s="32" t="s">
        <v>152</v>
      </c>
    </row>
    <row r="195" spans="1:9" x14ac:dyDescent="0.35">
      <c r="A195" s="19">
        <v>46046</v>
      </c>
      <c r="B195" s="20"/>
      <c r="C195" s="20"/>
      <c r="D195" s="20">
        <v>2000005</v>
      </c>
      <c r="E195" s="234" t="s">
        <v>357</v>
      </c>
      <c r="F195" s="20">
        <f t="shared" si="2"/>
        <v>394529658</v>
      </c>
      <c r="G195" s="7" t="s">
        <v>1047</v>
      </c>
      <c r="H195" s="24" t="s">
        <v>1052</v>
      </c>
      <c r="I195" s="32" t="s">
        <v>152</v>
      </c>
    </row>
    <row r="196" spans="1:9" x14ac:dyDescent="0.35">
      <c r="A196" s="19">
        <v>46046</v>
      </c>
      <c r="B196" s="20"/>
      <c r="C196" s="20"/>
      <c r="D196" s="20">
        <v>630005</v>
      </c>
      <c r="E196" s="234" t="s">
        <v>357</v>
      </c>
      <c r="F196" s="20">
        <f t="shared" si="2"/>
        <v>395159663</v>
      </c>
      <c r="G196" s="7" t="s">
        <v>1047</v>
      </c>
      <c r="H196" s="24" t="s">
        <v>1052</v>
      </c>
      <c r="I196" s="32" t="s">
        <v>152</v>
      </c>
    </row>
    <row r="197" spans="1:9" x14ac:dyDescent="0.35">
      <c r="A197" s="19">
        <v>46047</v>
      </c>
      <c r="B197" s="20">
        <v>1000000</v>
      </c>
      <c r="C197" s="20"/>
      <c r="D197" s="20"/>
      <c r="E197" s="234" t="s">
        <v>357</v>
      </c>
      <c r="F197" s="20">
        <f t="shared" si="2"/>
        <v>394159663</v>
      </c>
      <c r="G197" s="7" t="s">
        <v>772</v>
      </c>
      <c r="H197" s="24" t="s">
        <v>323</v>
      </c>
      <c r="I197" s="32" t="s">
        <v>152</v>
      </c>
    </row>
    <row r="198" spans="1:9" x14ac:dyDescent="0.35">
      <c r="A198" s="19">
        <v>46047</v>
      </c>
      <c r="B198" s="20">
        <v>6500</v>
      </c>
      <c r="C198" s="20"/>
      <c r="D198" s="20"/>
      <c r="E198" s="234" t="s">
        <v>357</v>
      </c>
      <c r="F198" s="20">
        <f t="shared" si="2"/>
        <v>394153163</v>
      </c>
      <c r="G198" s="7" t="s">
        <v>772</v>
      </c>
      <c r="H198" s="24" t="s">
        <v>323</v>
      </c>
      <c r="I198" s="32" t="s">
        <v>152</v>
      </c>
    </row>
    <row r="199" spans="1:9" x14ac:dyDescent="0.35">
      <c r="A199" s="19">
        <v>46047</v>
      </c>
      <c r="B199" s="20"/>
      <c r="C199" s="20"/>
      <c r="D199" s="20">
        <v>200000</v>
      </c>
      <c r="E199" s="234" t="s">
        <v>357</v>
      </c>
      <c r="F199" s="20">
        <f t="shared" si="2"/>
        <v>394353163</v>
      </c>
      <c r="G199" s="7" t="s">
        <v>1058</v>
      </c>
      <c r="H199" s="24" t="s">
        <v>140</v>
      </c>
      <c r="I199" s="32" t="s">
        <v>152</v>
      </c>
    </row>
    <row r="200" spans="1:9" x14ac:dyDescent="0.35">
      <c r="A200" s="19">
        <v>46047</v>
      </c>
      <c r="B200" s="20"/>
      <c r="C200" s="20"/>
      <c r="D200" s="20">
        <v>20000</v>
      </c>
      <c r="E200" s="234" t="s">
        <v>357</v>
      </c>
      <c r="F200" s="20">
        <f t="shared" si="2"/>
        <v>394373163</v>
      </c>
      <c r="G200" s="7" t="s">
        <v>330</v>
      </c>
      <c r="H200" s="24" t="s">
        <v>109</v>
      </c>
      <c r="I200" s="32" t="s">
        <v>152</v>
      </c>
    </row>
    <row r="201" spans="1:9" x14ac:dyDescent="0.35">
      <c r="A201" s="19">
        <v>46047</v>
      </c>
      <c r="B201" s="20"/>
      <c r="C201" s="20"/>
      <c r="D201" s="20">
        <v>25000</v>
      </c>
      <c r="E201" s="234" t="s">
        <v>357</v>
      </c>
      <c r="F201" s="20">
        <f t="shared" si="2"/>
        <v>394398163</v>
      </c>
      <c r="G201" s="7" t="s">
        <v>330</v>
      </c>
      <c r="H201" s="24" t="s">
        <v>109</v>
      </c>
      <c r="I201" s="32" t="s">
        <v>152</v>
      </c>
    </row>
    <row r="202" spans="1:9" x14ac:dyDescent="0.35">
      <c r="A202" s="19">
        <v>46047</v>
      </c>
      <c r="B202" s="20"/>
      <c r="C202" s="20"/>
      <c r="D202" s="20">
        <v>100005</v>
      </c>
      <c r="E202" s="234" t="s">
        <v>357</v>
      </c>
      <c r="F202" s="20">
        <f t="shared" si="2"/>
        <v>394498168</v>
      </c>
      <c r="G202" s="7" t="s">
        <v>1047</v>
      </c>
      <c r="H202" s="24" t="s">
        <v>1052</v>
      </c>
      <c r="I202" s="32" t="s">
        <v>152</v>
      </c>
    </row>
    <row r="203" spans="1:9" x14ac:dyDescent="0.35">
      <c r="A203" s="19">
        <v>46047</v>
      </c>
      <c r="B203" s="53">
        <v>9650000</v>
      </c>
      <c r="C203" s="20"/>
      <c r="D203" s="20"/>
      <c r="E203" s="234" t="s">
        <v>357</v>
      </c>
      <c r="F203" s="20">
        <f t="shared" si="2"/>
        <v>384848168</v>
      </c>
      <c r="G203" s="7" t="s">
        <v>1059</v>
      </c>
      <c r="H203" s="55" t="s">
        <v>1051</v>
      </c>
      <c r="I203" s="32" t="s">
        <v>152</v>
      </c>
    </row>
    <row r="204" spans="1:9" x14ac:dyDescent="0.35">
      <c r="A204" s="19">
        <v>46047</v>
      </c>
      <c r="B204" s="20">
        <v>6500</v>
      </c>
      <c r="C204" s="20"/>
      <c r="D204" s="20"/>
      <c r="E204" s="234" t="s">
        <v>357</v>
      </c>
      <c r="F204" s="20">
        <f t="shared" si="2"/>
        <v>384841668</v>
      </c>
      <c r="G204" s="7" t="s">
        <v>1059</v>
      </c>
      <c r="H204" s="24" t="s">
        <v>202</v>
      </c>
      <c r="I204" s="32" t="s">
        <v>152</v>
      </c>
    </row>
    <row r="205" spans="1:9" x14ac:dyDescent="0.35">
      <c r="A205" s="19">
        <v>46047</v>
      </c>
      <c r="B205" s="20"/>
      <c r="C205" s="20"/>
      <c r="D205" s="20">
        <v>630005</v>
      </c>
      <c r="E205" s="234" t="s">
        <v>357</v>
      </c>
      <c r="F205" s="20">
        <f t="shared" si="2"/>
        <v>385471673</v>
      </c>
      <c r="G205" s="7" t="s">
        <v>1047</v>
      </c>
      <c r="H205" s="24" t="s">
        <v>1052</v>
      </c>
      <c r="I205" s="32" t="s">
        <v>152</v>
      </c>
    </row>
    <row r="206" spans="1:9" x14ac:dyDescent="0.35">
      <c r="A206" s="19">
        <v>46047</v>
      </c>
      <c r="B206" s="20"/>
      <c r="C206" s="20"/>
      <c r="D206" s="20">
        <v>800000</v>
      </c>
      <c r="E206" s="234" t="s">
        <v>357</v>
      </c>
      <c r="F206" s="20">
        <f t="shared" si="2"/>
        <v>386271673</v>
      </c>
      <c r="G206" s="7" t="s">
        <v>1060</v>
      </c>
      <c r="H206" s="24" t="s">
        <v>109</v>
      </c>
      <c r="I206" s="32" t="s">
        <v>152</v>
      </c>
    </row>
    <row r="207" spans="1:9" x14ac:dyDescent="0.35">
      <c r="A207" s="19">
        <v>46047</v>
      </c>
      <c r="B207" s="20"/>
      <c r="C207" s="20"/>
      <c r="D207" s="20">
        <v>1350005</v>
      </c>
      <c r="E207" s="234" t="s">
        <v>357</v>
      </c>
      <c r="F207" s="20">
        <f t="shared" si="2"/>
        <v>387621678</v>
      </c>
      <c r="G207" s="7" t="s">
        <v>1047</v>
      </c>
      <c r="H207" s="24" t="s">
        <v>1052</v>
      </c>
      <c r="I207" s="32" t="s">
        <v>152</v>
      </c>
    </row>
    <row r="208" spans="1:9" x14ac:dyDescent="0.35">
      <c r="A208" s="19">
        <v>46048</v>
      </c>
      <c r="B208" s="20"/>
      <c r="C208" s="20"/>
      <c r="D208" s="20">
        <v>25000</v>
      </c>
      <c r="E208" s="234" t="s">
        <v>357</v>
      </c>
      <c r="F208" s="20">
        <f t="shared" si="2"/>
        <v>387646678</v>
      </c>
      <c r="G208" s="7" t="s">
        <v>330</v>
      </c>
      <c r="H208" s="24" t="s">
        <v>109</v>
      </c>
      <c r="I208" s="32" t="s">
        <v>152</v>
      </c>
    </row>
    <row r="209" spans="1:9" x14ac:dyDescent="0.35">
      <c r="A209" s="19">
        <v>46048</v>
      </c>
      <c r="B209" s="20"/>
      <c r="C209" s="20"/>
      <c r="D209" s="20">
        <v>1011</v>
      </c>
      <c r="E209" s="234" t="s">
        <v>357</v>
      </c>
      <c r="F209" s="20">
        <f t="shared" si="2"/>
        <v>387647689</v>
      </c>
      <c r="G209" s="7" t="s">
        <v>330</v>
      </c>
      <c r="H209" s="24" t="s">
        <v>109</v>
      </c>
      <c r="I209" s="32" t="s">
        <v>152</v>
      </c>
    </row>
    <row r="210" spans="1:9" x14ac:dyDescent="0.35">
      <c r="A210" s="19">
        <v>46048</v>
      </c>
      <c r="B210" s="20"/>
      <c r="C210" s="20"/>
      <c r="D210" s="20">
        <v>20000</v>
      </c>
      <c r="E210" s="234" t="s">
        <v>357</v>
      </c>
      <c r="F210" s="20">
        <f t="shared" si="2"/>
        <v>387667689</v>
      </c>
      <c r="G210" s="7" t="s">
        <v>330</v>
      </c>
      <c r="H210" s="24" t="s">
        <v>109</v>
      </c>
      <c r="I210" s="32" t="s">
        <v>152</v>
      </c>
    </row>
    <row r="211" spans="1:9" x14ac:dyDescent="0.35">
      <c r="A211" s="19">
        <v>46048</v>
      </c>
      <c r="B211" s="20"/>
      <c r="C211" s="20"/>
      <c r="D211" s="20">
        <v>1000005</v>
      </c>
      <c r="E211" s="234" t="s">
        <v>357</v>
      </c>
      <c r="F211" s="20">
        <f t="shared" si="2"/>
        <v>388667694</v>
      </c>
      <c r="G211" s="7" t="s">
        <v>1047</v>
      </c>
      <c r="H211" s="24" t="s">
        <v>1052</v>
      </c>
      <c r="I211" s="32" t="s">
        <v>152</v>
      </c>
    </row>
    <row r="212" spans="1:9" x14ac:dyDescent="0.35">
      <c r="A212" s="19">
        <v>46048</v>
      </c>
      <c r="B212" s="20"/>
      <c r="C212" s="20"/>
      <c r="D212" s="20">
        <v>5000000</v>
      </c>
      <c r="E212" s="234" t="s">
        <v>357</v>
      </c>
      <c r="F212" s="20">
        <f t="shared" si="2"/>
        <v>393667694</v>
      </c>
      <c r="G212" s="7" t="s">
        <v>1047</v>
      </c>
      <c r="H212" s="24" t="s">
        <v>1052</v>
      </c>
      <c r="I212" s="32" t="s">
        <v>152</v>
      </c>
    </row>
    <row r="213" spans="1:9" x14ac:dyDescent="0.35">
      <c r="A213" s="19">
        <v>46048</v>
      </c>
      <c r="B213" s="20"/>
      <c r="C213" s="20"/>
      <c r="D213" s="20">
        <v>350000</v>
      </c>
      <c r="E213" s="234" t="s">
        <v>357</v>
      </c>
      <c r="F213" s="20">
        <f t="shared" si="2"/>
        <v>394017694</v>
      </c>
      <c r="G213" s="7" t="s">
        <v>1047</v>
      </c>
      <c r="H213" s="24" t="s">
        <v>1052</v>
      </c>
      <c r="I213" s="32" t="s">
        <v>152</v>
      </c>
    </row>
    <row r="214" spans="1:9" x14ac:dyDescent="0.35">
      <c r="A214" s="19">
        <v>46048</v>
      </c>
      <c r="B214" s="20"/>
      <c r="C214" s="20"/>
      <c r="D214" s="20">
        <v>650000</v>
      </c>
      <c r="E214" s="234" t="s">
        <v>357</v>
      </c>
      <c r="F214" s="20">
        <f t="shared" ref="F214:F279" si="3">+F213+D214-B214</f>
        <v>394667694</v>
      </c>
      <c r="G214" s="7" t="s">
        <v>1047</v>
      </c>
      <c r="H214" s="24" t="s">
        <v>1052</v>
      </c>
      <c r="I214" s="32" t="s">
        <v>152</v>
      </c>
    </row>
    <row r="215" spans="1:9" x14ac:dyDescent="0.35">
      <c r="A215" s="19">
        <v>46048</v>
      </c>
      <c r="B215" s="20"/>
      <c r="C215" s="20"/>
      <c r="D215" s="20">
        <f>2539000-850000</f>
        <v>1689000</v>
      </c>
      <c r="E215" s="234" t="s">
        <v>357</v>
      </c>
      <c r="F215" s="20">
        <f t="shared" si="3"/>
        <v>396356694</v>
      </c>
      <c r="G215" s="7"/>
      <c r="H215" s="24" t="s">
        <v>107</v>
      </c>
      <c r="I215" s="32" t="s">
        <v>152</v>
      </c>
    </row>
    <row r="216" spans="1:9" x14ac:dyDescent="0.35">
      <c r="A216" s="19">
        <v>46048</v>
      </c>
      <c r="B216" s="20"/>
      <c r="C216" s="20"/>
      <c r="D216" s="20">
        <v>1177000</v>
      </c>
      <c r="E216" s="234" t="s">
        <v>357</v>
      </c>
      <c r="F216" s="20">
        <f t="shared" si="3"/>
        <v>397533694</v>
      </c>
      <c r="G216" s="7"/>
      <c r="H216" s="24" t="s">
        <v>109</v>
      </c>
      <c r="I216" s="32" t="s">
        <v>152</v>
      </c>
    </row>
    <row r="217" spans="1:9" x14ac:dyDescent="0.35">
      <c r="A217" s="19">
        <v>46048</v>
      </c>
      <c r="B217" s="20"/>
      <c r="C217" s="20"/>
      <c r="D217" s="20">
        <v>3500000</v>
      </c>
      <c r="E217" s="234" t="s">
        <v>357</v>
      </c>
      <c r="F217" s="20">
        <f t="shared" si="3"/>
        <v>401033694</v>
      </c>
      <c r="G217" s="7"/>
      <c r="H217" s="24" t="s">
        <v>1052</v>
      </c>
      <c r="I217" s="32" t="s">
        <v>152</v>
      </c>
    </row>
    <row r="218" spans="1:9" x14ac:dyDescent="0.35">
      <c r="A218" s="19">
        <v>46048</v>
      </c>
      <c r="B218" s="20"/>
      <c r="C218" s="20"/>
      <c r="D218" s="20">
        <v>1250000</v>
      </c>
      <c r="E218" s="234" t="s">
        <v>357</v>
      </c>
      <c r="F218" s="20">
        <f t="shared" si="3"/>
        <v>402283694</v>
      </c>
      <c r="G218" s="7"/>
      <c r="H218" s="24" t="s">
        <v>1052</v>
      </c>
      <c r="I218" s="32" t="s">
        <v>152</v>
      </c>
    </row>
    <row r="219" spans="1:9" x14ac:dyDescent="0.35">
      <c r="A219" s="19">
        <v>46048</v>
      </c>
      <c r="B219" s="20"/>
      <c r="C219" s="20"/>
      <c r="D219" s="20">
        <v>600000</v>
      </c>
      <c r="E219" s="234" t="s">
        <v>357</v>
      </c>
      <c r="F219" s="20">
        <f t="shared" si="3"/>
        <v>402883694</v>
      </c>
      <c r="G219" s="7"/>
      <c r="H219" s="24" t="s">
        <v>1052</v>
      </c>
      <c r="I219" s="32" t="s">
        <v>152</v>
      </c>
    </row>
    <row r="220" spans="1:9" x14ac:dyDescent="0.35">
      <c r="A220" s="19"/>
      <c r="B220" s="20"/>
      <c r="C220" s="20">
        <v>8216000</v>
      </c>
      <c r="D220" s="20"/>
      <c r="E220" s="234"/>
      <c r="F220" s="20">
        <f t="shared" si="3"/>
        <v>402883694</v>
      </c>
      <c r="G220" s="7" t="s">
        <v>874</v>
      </c>
      <c r="H220" s="24"/>
      <c r="I220" s="32"/>
    </row>
    <row r="221" spans="1:9" x14ac:dyDescent="0.35">
      <c r="A221" s="19">
        <v>46049</v>
      </c>
      <c r="B221" s="20"/>
      <c r="C221" s="20"/>
      <c r="D221" s="20">
        <v>1011</v>
      </c>
      <c r="E221" s="234" t="s">
        <v>357</v>
      </c>
      <c r="F221" s="20">
        <f t="shared" si="3"/>
        <v>402884705</v>
      </c>
      <c r="G221" s="7" t="s">
        <v>330</v>
      </c>
      <c r="H221" s="24" t="s">
        <v>109</v>
      </c>
      <c r="I221" s="32" t="s">
        <v>152</v>
      </c>
    </row>
    <row r="222" spans="1:9" x14ac:dyDescent="0.35">
      <c r="A222" s="19">
        <v>46049</v>
      </c>
      <c r="B222" s="20"/>
      <c r="C222" s="20"/>
      <c r="D222" s="20">
        <v>200000</v>
      </c>
      <c r="E222" s="234" t="s">
        <v>357</v>
      </c>
      <c r="F222" s="20">
        <f t="shared" si="3"/>
        <v>403084705</v>
      </c>
      <c r="G222" s="7" t="s">
        <v>330</v>
      </c>
      <c r="H222" s="24" t="s">
        <v>109</v>
      </c>
      <c r="I222" s="32" t="s">
        <v>152</v>
      </c>
    </row>
    <row r="223" spans="1:9" x14ac:dyDescent="0.35">
      <c r="A223" s="19">
        <v>46049</v>
      </c>
      <c r="B223" s="20">
        <v>2500000</v>
      </c>
      <c r="C223" s="20"/>
      <c r="D223" s="20"/>
      <c r="E223" s="234" t="s">
        <v>357</v>
      </c>
      <c r="F223" s="20">
        <f t="shared" si="3"/>
        <v>400584705</v>
      </c>
      <c r="G223" s="7" t="s">
        <v>1061</v>
      </c>
      <c r="H223" s="24" t="s">
        <v>201</v>
      </c>
      <c r="I223" s="32" t="s">
        <v>152</v>
      </c>
    </row>
    <row r="224" spans="1:9" x14ac:dyDescent="0.35">
      <c r="A224" s="19">
        <v>46049</v>
      </c>
      <c r="B224" s="20">
        <v>6500</v>
      </c>
      <c r="C224" s="20"/>
      <c r="D224" s="20"/>
      <c r="E224" s="234" t="s">
        <v>357</v>
      </c>
      <c r="F224" s="20">
        <f t="shared" si="3"/>
        <v>400578205</v>
      </c>
      <c r="G224" s="7" t="s">
        <v>1061</v>
      </c>
      <c r="H224" s="24" t="s">
        <v>201</v>
      </c>
      <c r="I224" s="32" t="s">
        <v>152</v>
      </c>
    </row>
    <row r="225" spans="1:9" x14ac:dyDescent="0.35">
      <c r="A225" s="19">
        <v>46049</v>
      </c>
      <c r="B225" s="20">
        <v>2250000</v>
      </c>
      <c r="C225" s="20"/>
      <c r="D225" s="20"/>
      <c r="E225" s="234" t="s">
        <v>357</v>
      </c>
      <c r="F225" s="20">
        <f t="shared" si="3"/>
        <v>398328205</v>
      </c>
      <c r="G225" s="7" t="s">
        <v>1062</v>
      </c>
      <c r="H225" s="24" t="s">
        <v>325</v>
      </c>
      <c r="I225" s="32" t="s">
        <v>152</v>
      </c>
    </row>
    <row r="226" spans="1:9" x14ac:dyDescent="0.35">
      <c r="A226" s="19">
        <v>46049</v>
      </c>
      <c r="B226" s="20">
        <v>6500</v>
      </c>
      <c r="C226" s="20"/>
      <c r="D226" s="20"/>
      <c r="E226" s="234" t="s">
        <v>357</v>
      </c>
      <c r="F226" s="20">
        <f t="shared" si="3"/>
        <v>398321705</v>
      </c>
      <c r="G226" s="7" t="s">
        <v>1062</v>
      </c>
      <c r="H226" s="24" t="s">
        <v>325</v>
      </c>
      <c r="I226" s="32" t="s">
        <v>152</v>
      </c>
    </row>
    <row r="227" spans="1:9" x14ac:dyDescent="0.35">
      <c r="A227" s="19">
        <v>46049</v>
      </c>
      <c r="B227" s="20">
        <v>550000</v>
      </c>
      <c r="C227" s="20"/>
      <c r="D227" s="20"/>
      <c r="E227" s="234" t="s">
        <v>357</v>
      </c>
      <c r="F227" s="20">
        <f t="shared" si="3"/>
        <v>397771705</v>
      </c>
      <c r="G227" s="7" t="s">
        <v>1063</v>
      </c>
      <c r="H227" s="24" t="s">
        <v>325</v>
      </c>
      <c r="I227" s="32" t="s">
        <v>152</v>
      </c>
    </row>
    <row r="228" spans="1:9" x14ac:dyDescent="0.35">
      <c r="A228" s="19">
        <v>46049</v>
      </c>
      <c r="B228" s="20">
        <v>6500</v>
      </c>
      <c r="C228" s="20"/>
      <c r="D228" s="20"/>
      <c r="E228" s="234" t="s">
        <v>357</v>
      </c>
      <c r="F228" s="20">
        <f t="shared" si="3"/>
        <v>397765205</v>
      </c>
      <c r="G228" s="7" t="s">
        <v>1063</v>
      </c>
      <c r="H228" s="24" t="s">
        <v>325</v>
      </c>
      <c r="I228" s="32" t="s">
        <v>152</v>
      </c>
    </row>
    <row r="229" spans="1:9" x14ac:dyDescent="0.35">
      <c r="A229" s="19">
        <v>46049</v>
      </c>
      <c r="B229" s="20">
        <v>2700000</v>
      </c>
      <c r="C229" s="20"/>
      <c r="D229" s="20"/>
      <c r="E229" s="234" t="s">
        <v>357</v>
      </c>
      <c r="F229" s="20">
        <f t="shared" si="3"/>
        <v>395065205</v>
      </c>
      <c r="G229" s="7" t="s">
        <v>1064</v>
      </c>
      <c r="H229" s="24" t="s">
        <v>201</v>
      </c>
      <c r="I229" s="32" t="s">
        <v>152</v>
      </c>
    </row>
    <row r="230" spans="1:9" x14ac:dyDescent="0.35">
      <c r="A230" s="19">
        <v>46049</v>
      </c>
      <c r="B230" s="20">
        <v>6500</v>
      </c>
      <c r="C230" s="20"/>
      <c r="D230" s="20"/>
      <c r="E230" s="234" t="s">
        <v>357</v>
      </c>
      <c r="F230" s="20">
        <f t="shared" si="3"/>
        <v>395058705</v>
      </c>
      <c r="G230" s="7" t="s">
        <v>1064</v>
      </c>
      <c r="H230" s="24" t="s">
        <v>201</v>
      </c>
      <c r="I230" s="32" t="s">
        <v>152</v>
      </c>
    </row>
    <row r="231" spans="1:9" x14ac:dyDescent="0.35">
      <c r="A231" s="19">
        <v>46049</v>
      </c>
      <c r="B231" s="20">
        <v>4000000</v>
      </c>
      <c r="C231" s="20"/>
      <c r="D231" s="20"/>
      <c r="E231" s="234" t="s">
        <v>357</v>
      </c>
      <c r="F231" s="20">
        <f t="shared" si="3"/>
        <v>391058705</v>
      </c>
      <c r="G231" s="7" t="s">
        <v>1065</v>
      </c>
      <c r="H231" s="24" t="s">
        <v>201</v>
      </c>
      <c r="I231" s="32" t="s">
        <v>152</v>
      </c>
    </row>
    <row r="232" spans="1:9" x14ac:dyDescent="0.35">
      <c r="A232" s="19">
        <v>46049</v>
      </c>
      <c r="B232" s="20">
        <v>6500</v>
      </c>
      <c r="C232" s="20"/>
      <c r="D232" s="20"/>
      <c r="E232" s="234" t="s">
        <v>357</v>
      </c>
      <c r="F232" s="20">
        <f t="shared" si="3"/>
        <v>391052205</v>
      </c>
      <c r="G232" s="7" t="s">
        <v>1065</v>
      </c>
      <c r="H232" s="24" t="s">
        <v>201</v>
      </c>
      <c r="I232" s="32" t="s">
        <v>152</v>
      </c>
    </row>
    <row r="233" spans="1:9" x14ac:dyDescent="0.35">
      <c r="A233" s="19">
        <v>46049</v>
      </c>
      <c r="B233" s="20">
        <v>1000000</v>
      </c>
      <c r="C233" s="20"/>
      <c r="D233" s="20"/>
      <c r="E233" s="234" t="s">
        <v>357</v>
      </c>
      <c r="F233" s="20">
        <f t="shared" si="3"/>
        <v>390052205</v>
      </c>
      <c r="G233" s="7" t="s">
        <v>1066</v>
      </c>
      <c r="H233" s="24" t="s">
        <v>325</v>
      </c>
      <c r="I233" s="32" t="s">
        <v>152</v>
      </c>
    </row>
    <row r="234" spans="1:9" x14ac:dyDescent="0.35">
      <c r="A234" s="19">
        <v>46049</v>
      </c>
      <c r="B234" s="20">
        <v>6500</v>
      </c>
      <c r="C234" s="20"/>
      <c r="D234" s="20"/>
      <c r="E234" s="234" t="s">
        <v>357</v>
      </c>
      <c r="F234" s="20">
        <f t="shared" si="3"/>
        <v>390045705</v>
      </c>
      <c r="G234" s="7" t="s">
        <v>1066</v>
      </c>
      <c r="H234" s="24" t="s">
        <v>325</v>
      </c>
      <c r="I234" s="32" t="s">
        <v>152</v>
      </c>
    </row>
    <row r="235" spans="1:9" x14ac:dyDescent="0.35">
      <c r="A235" s="19">
        <v>46049</v>
      </c>
      <c r="B235" s="20">
        <v>3500000</v>
      </c>
      <c r="C235" s="20"/>
      <c r="D235" s="20"/>
      <c r="E235" s="234" t="s">
        <v>357</v>
      </c>
      <c r="F235" s="20">
        <f t="shared" si="3"/>
        <v>386545705</v>
      </c>
      <c r="G235" s="7" t="s">
        <v>1067</v>
      </c>
      <c r="H235" s="24" t="s">
        <v>325</v>
      </c>
      <c r="I235" s="32" t="s">
        <v>152</v>
      </c>
    </row>
    <row r="236" spans="1:9" x14ac:dyDescent="0.35">
      <c r="A236" s="19">
        <v>46049</v>
      </c>
      <c r="B236" s="20">
        <v>6500</v>
      </c>
      <c r="C236" s="20"/>
      <c r="D236" s="20"/>
      <c r="E236" s="234" t="s">
        <v>357</v>
      </c>
      <c r="F236" s="20">
        <f t="shared" si="3"/>
        <v>386539205</v>
      </c>
      <c r="G236" s="7" t="s">
        <v>1067</v>
      </c>
      <c r="H236" s="24" t="s">
        <v>325</v>
      </c>
      <c r="I236" s="32" t="s">
        <v>152</v>
      </c>
    </row>
    <row r="237" spans="1:9" x14ac:dyDescent="0.35">
      <c r="A237" s="19">
        <v>46049</v>
      </c>
      <c r="B237" s="20">
        <v>2500000</v>
      </c>
      <c r="C237" s="20"/>
      <c r="D237" s="20"/>
      <c r="E237" s="234" t="s">
        <v>357</v>
      </c>
      <c r="F237" s="20">
        <f t="shared" si="3"/>
        <v>384039205</v>
      </c>
      <c r="G237" s="7" t="s">
        <v>1068</v>
      </c>
      <c r="H237" s="24" t="s">
        <v>325</v>
      </c>
      <c r="I237" s="32" t="s">
        <v>152</v>
      </c>
    </row>
    <row r="238" spans="1:9" x14ac:dyDescent="0.35">
      <c r="A238" s="19">
        <v>46049</v>
      </c>
      <c r="B238" s="20">
        <v>6500</v>
      </c>
      <c r="C238" s="20"/>
      <c r="D238" s="20"/>
      <c r="E238" s="234" t="s">
        <v>357</v>
      </c>
      <c r="F238" s="20">
        <f t="shared" si="3"/>
        <v>384032705</v>
      </c>
      <c r="G238" s="7" t="s">
        <v>1068</v>
      </c>
      <c r="H238" s="24" t="s">
        <v>325</v>
      </c>
      <c r="I238" s="32" t="s">
        <v>152</v>
      </c>
    </row>
    <row r="239" spans="1:9" x14ac:dyDescent="0.35">
      <c r="A239" s="19">
        <v>46049</v>
      </c>
      <c r="B239" s="20">
        <v>2000000</v>
      </c>
      <c r="C239" s="20"/>
      <c r="D239" s="20"/>
      <c r="E239" s="234" t="s">
        <v>357</v>
      </c>
      <c r="F239" s="20">
        <f t="shared" si="3"/>
        <v>382032705</v>
      </c>
      <c r="G239" s="7" t="s">
        <v>1069</v>
      </c>
      <c r="H239" s="24" t="s">
        <v>323</v>
      </c>
      <c r="I239" s="32" t="s">
        <v>152</v>
      </c>
    </row>
    <row r="240" spans="1:9" x14ac:dyDescent="0.35">
      <c r="A240" s="19">
        <v>46049</v>
      </c>
      <c r="B240" s="20">
        <v>6500</v>
      </c>
      <c r="C240" s="20"/>
      <c r="D240" s="20"/>
      <c r="E240" s="234" t="s">
        <v>357</v>
      </c>
      <c r="F240" s="20">
        <f t="shared" si="3"/>
        <v>382026205</v>
      </c>
      <c r="G240" s="7" t="s">
        <v>1069</v>
      </c>
      <c r="H240" s="24" t="s">
        <v>323</v>
      </c>
      <c r="I240" s="32" t="s">
        <v>152</v>
      </c>
    </row>
    <row r="241" spans="1:10" x14ac:dyDescent="0.35">
      <c r="A241" s="19">
        <v>46049</v>
      </c>
      <c r="B241" s="20">
        <v>2750000</v>
      </c>
      <c r="C241" s="20"/>
      <c r="D241" s="20"/>
      <c r="E241" s="234" t="s">
        <v>357</v>
      </c>
      <c r="F241" s="20">
        <f t="shared" si="3"/>
        <v>379276205</v>
      </c>
      <c r="G241" s="7" t="s">
        <v>1070</v>
      </c>
      <c r="H241" s="24" t="s">
        <v>325</v>
      </c>
      <c r="I241" s="32" t="s">
        <v>152</v>
      </c>
    </row>
    <row r="242" spans="1:10" x14ac:dyDescent="0.35">
      <c r="A242" s="19">
        <v>46049</v>
      </c>
      <c r="B242" s="20"/>
      <c r="C242" s="20"/>
      <c r="D242" s="20">
        <v>5000000</v>
      </c>
      <c r="E242" s="234" t="s">
        <v>357</v>
      </c>
      <c r="F242" s="20">
        <f t="shared" si="3"/>
        <v>384276205</v>
      </c>
      <c r="G242" s="7" t="s">
        <v>1071</v>
      </c>
      <c r="H242" s="24" t="s">
        <v>109</v>
      </c>
      <c r="I242" s="32" t="s">
        <v>152</v>
      </c>
    </row>
    <row r="243" spans="1:10" x14ac:dyDescent="0.35">
      <c r="A243" s="19">
        <v>46050</v>
      </c>
      <c r="B243" s="20"/>
      <c r="C243" s="20"/>
      <c r="D243" s="20">
        <v>1011</v>
      </c>
      <c r="E243" s="234" t="s">
        <v>357</v>
      </c>
      <c r="F243" s="20">
        <f t="shared" si="3"/>
        <v>384277216</v>
      </c>
      <c r="G243" s="7" t="s">
        <v>330</v>
      </c>
      <c r="H243" s="24" t="s">
        <v>109</v>
      </c>
      <c r="I243" s="32" t="s">
        <v>152</v>
      </c>
    </row>
    <row r="244" spans="1:10" x14ac:dyDescent="0.35">
      <c r="A244" s="19">
        <v>46050</v>
      </c>
      <c r="B244" s="20"/>
      <c r="C244" s="20"/>
      <c r="D244" s="20">
        <v>20000</v>
      </c>
      <c r="E244" s="234" t="s">
        <v>357</v>
      </c>
      <c r="F244" s="20">
        <f t="shared" si="3"/>
        <v>384297216</v>
      </c>
      <c r="G244" s="7" t="s">
        <v>330</v>
      </c>
      <c r="H244" s="24" t="s">
        <v>109</v>
      </c>
      <c r="I244" s="32" t="s">
        <v>152</v>
      </c>
    </row>
    <row r="245" spans="1:10" x14ac:dyDescent="0.35">
      <c r="A245" s="19">
        <v>46051</v>
      </c>
      <c r="B245" s="20"/>
      <c r="C245" s="20"/>
      <c r="D245" s="20">
        <v>20000</v>
      </c>
      <c r="E245" s="234" t="s">
        <v>357</v>
      </c>
      <c r="F245" s="20">
        <f t="shared" si="3"/>
        <v>384317216</v>
      </c>
      <c r="G245" s="7" t="s">
        <v>330</v>
      </c>
      <c r="H245" s="24" t="s">
        <v>109</v>
      </c>
      <c r="I245" s="32" t="s">
        <v>152</v>
      </c>
    </row>
    <row r="246" spans="1:10" x14ac:dyDescent="0.35">
      <c r="A246" s="19">
        <v>46051</v>
      </c>
      <c r="B246" s="20"/>
      <c r="C246" s="20"/>
      <c r="D246" s="20">
        <v>1011</v>
      </c>
      <c r="E246" s="234" t="s">
        <v>357</v>
      </c>
      <c r="F246" s="20">
        <f t="shared" si="3"/>
        <v>384318227</v>
      </c>
      <c r="G246" s="7" t="s">
        <v>330</v>
      </c>
      <c r="H246" s="24" t="s">
        <v>109</v>
      </c>
      <c r="I246" s="32" t="s">
        <v>152</v>
      </c>
    </row>
    <row r="247" spans="1:10" x14ac:dyDescent="0.35">
      <c r="A247" s="19">
        <v>46051</v>
      </c>
      <c r="B247" s="20"/>
      <c r="C247" s="20"/>
      <c r="D247" s="20">
        <v>500000</v>
      </c>
      <c r="E247" s="234" t="s">
        <v>357</v>
      </c>
      <c r="F247" s="20">
        <f t="shared" si="3"/>
        <v>384818227</v>
      </c>
      <c r="G247" s="7" t="s">
        <v>1115</v>
      </c>
      <c r="H247" s="24" t="s">
        <v>109</v>
      </c>
      <c r="I247" s="32" t="s">
        <v>152</v>
      </c>
    </row>
    <row r="248" spans="1:10" x14ac:dyDescent="0.35">
      <c r="A248" s="19">
        <v>46051</v>
      </c>
      <c r="B248" s="20">
        <v>16960000</v>
      </c>
      <c r="C248" s="20"/>
      <c r="D248" s="20"/>
      <c r="E248" s="234" t="s">
        <v>357</v>
      </c>
      <c r="F248" s="20">
        <f t="shared" si="3"/>
        <v>367858227</v>
      </c>
      <c r="G248" s="7" t="s">
        <v>1072</v>
      </c>
      <c r="H248" s="24" t="s">
        <v>202</v>
      </c>
      <c r="I248" s="32" t="s">
        <v>152</v>
      </c>
    </row>
    <row r="249" spans="1:10" x14ac:dyDescent="0.35">
      <c r="A249" s="19">
        <v>46051</v>
      </c>
      <c r="B249" s="20">
        <v>6500</v>
      </c>
      <c r="C249" s="20"/>
      <c r="D249" s="20"/>
      <c r="E249" s="234" t="s">
        <v>357</v>
      </c>
      <c r="F249" s="20">
        <f t="shared" si="3"/>
        <v>367851727</v>
      </c>
      <c r="G249" s="7" t="s">
        <v>1072</v>
      </c>
      <c r="H249" s="24" t="s">
        <v>202</v>
      </c>
      <c r="I249" s="32" t="s">
        <v>152</v>
      </c>
    </row>
    <row r="250" spans="1:10" x14ac:dyDescent="0.35">
      <c r="A250" s="19">
        <v>46051</v>
      </c>
      <c r="B250" s="53">
        <v>1500000</v>
      </c>
      <c r="C250" s="20"/>
      <c r="D250" s="20"/>
      <c r="E250" s="234" t="s">
        <v>357</v>
      </c>
      <c r="F250" s="20">
        <f t="shared" si="3"/>
        <v>366351727</v>
      </c>
      <c r="G250" s="7" t="s">
        <v>1073</v>
      </c>
      <c r="H250" s="55" t="s">
        <v>322</v>
      </c>
      <c r="I250" s="32" t="s">
        <v>152</v>
      </c>
    </row>
    <row r="251" spans="1:10" x14ac:dyDescent="0.35">
      <c r="A251" s="19">
        <v>46051</v>
      </c>
      <c r="B251" s="20">
        <v>6500</v>
      </c>
      <c r="C251" s="20"/>
      <c r="D251" s="20"/>
      <c r="E251" s="234" t="s">
        <v>357</v>
      </c>
      <c r="F251" s="20">
        <f t="shared" si="3"/>
        <v>366345227</v>
      </c>
      <c r="G251" s="7" t="s">
        <v>1073</v>
      </c>
      <c r="H251" s="24" t="s">
        <v>322</v>
      </c>
      <c r="I251" s="32" t="s">
        <v>152</v>
      </c>
    </row>
    <row r="252" spans="1:10" x14ac:dyDescent="0.35">
      <c r="A252" s="19">
        <v>46051</v>
      </c>
      <c r="B252" s="53">
        <v>4025000</v>
      </c>
      <c r="C252" s="20"/>
      <c r="D252" s="20"/>
      <c r="E252" s="234" t="s">
        <v>357</v>
      </c>
      <c r="F252" s="20">
        <f t="shared" si="3"/>
        <v>362320227</v>
      </c>
      <c r="G252" s="7" t="s">
        <v>1074</v>
      </c>
      <c r="H252" s="24" t="s">
        <v>1051</v>
      </c>
      <c r="I252" s="32" t="s">
        <v>152</v>
      </c>
    </row>
    <row r="253" spans="1:10" x14ac:dyDescent="0.35">
      <c r="A253" s="19">
        <v>46051</v>
      </c>
      <c r="B253" s="20">
        <v>6500</v>
      </c>
      <c r="C253" s="20"/>
      <c r="D253" s="20"/>
      <c r="E253" s="234" t="s">
        <v>357</v>
      </c>
      <c r="F253" s="20">
        <f t="shared" si="3"/>
        <v>362313727</v>
      </c>
      <c r="G253" s="7" t="s">
        <v>1074</v>
      </c>
      <c r="H253" s="24" t="s">
        <v>499</v>
      </c>
      <c r="I253" s="32" t="s">
        <v>152</v>
      </c>
    </row>
    <row r="254" spans="1:10" x14ac:dyDescent="0.35">
      <c r="A254" s="19">
        <v>46051</v>
      </c>
      <c r="B254" s="20"/>
      <c r="C254" s="20"/>
      <c r="D254" s="20">
        <v>2000000</v>
      </c>
      <c r="E254" s="234" t="s">
        <v>357</v>
      </c>
      <c r="F254" s="20">
        <f t="shared" si="3"/>
        <v>364313727</v>
      </c>
      <c r="G254" s="7" t="s">
        <v>1106</v>
      </c>
      <c r="H254" s="24" t="s">
        <v>1052</v>
      </c>
      <c r="I254" s="32" t="s">
        <v>152</v>
      </c>
      <c r="J254" s="181">
        <v>900000</v>
      </c>
    </row>
    <row r="255" spans="1:10" x14ac:dyDescent="0.35">
      <c r="A255" s="19">
        <v>46051</v>
      </c>
      <c r="B255" s="20"/>
      <c r="C255" s="20"/>
      <c r="D255" s="20">
        <v>1260005</v>
      </c>
      <c r="E255" s="234" t="s">
        <v>357</v>
      </c>
      <c r="F255" s="20">
        <f t="shared" si="3"/>
        <v>365573732</v>
      </c>
      <c r="G255" s="7" t="s">
        <v>1047</v>
      </c>
      <c r="H255" s="24" t="s">
        <v>1052</v>
      </c>
      <c r="I255" s="32" t="s">
        <v>152</v>
      </c>
      <c r="J255" s="181"/>
    </row>
    <row r="256" spans="1:10" x14ac:dyDescent="0.35">
      <c r="A256" s="19">
        <v>46051</v>
      </c>
      <c r="B256" s="20"/>
      <c r="C256" s="20"/>
      <c r="D256" s="20">
        <v>1000000</v>
      </c>
      <c r="E256" s="234" t="s">
        <v>357</v>
      </c>
      <c r="F256" s="20">
        <f t="shared" si="3"/>
        <v>366573732</v>
      </c>
      <c r="G256" s="7" t="s">
        <v>1118</v>
      </c>
      <c r="H256" s="24" t="s">
        <v>1052</v>
      </c>
      <c r="I256" s="32" t="s">
        <v>152</v>
      </c>
      <c r="J256" s="181"/>
    </row>
    <row r="257" spans="1:10" x14ac:dyDescent="0.35">
      <c r="A257" s="19">
        <v>46051</v>
      </c>
      <c r="B257" s="20"/>
      <c r="C257" s="20"/>
      <c r="D257" s="20">
        <v>320000</v>
      </c>
      <c r="E257" s="234" t="s">
        <v>357</v>
      </c>
      <c r="F257" s="20">
        <f t="shared" si="3"/>
        <v>366893732</v>
      </c>
      <c r="G257" s="7" t="s">
        <v>1090</v>
      </c>
      <c r="H257" s="24" t="s">
        <v>1052</v>
      </c>
      <c r="I257" s="32" t="s">
        <v>152</v>
      </c>
      <c r="J257" s="181"/>
    </row>
    <row r="258" spans="1:10" x14ac:dyDescent="0.35">
      <c r="A258" s="19">
        <v>46052</v>
      </c>
      <c r="B258" s="20"/>
      <c r="C258" s="20"/>
      <c r="D258" s="20">
        <v>1000000</v>
      </c>
      <c r="E258" s="234" t="s">
        <v>357</v>
      </c>
      <c r="F258" s="20">
        <f t="shared" si="3"/>
        <v>367893732</v>
      </c>
      <c r="G258" s="7" t="s">
        <v>561</v>
      </c>
      <c r="H258" s="24" t="s">
        <v>109</v>
      </c>
      <c r="I258" s="32" t="s">
        <v>152</v>
      </c>
      <c r="J258" s="181"/>
    </row>
    <row r="259" spans="1:10" x14ac:dyDescent="0.35">
      <c r="A259" s="19">
        <v>46052</v>
      </c>
      <c r="B259" s="20"/>
      <c r="C259" s="20"/>
      <c r="D259" s="20">
        <v>1011</v>
      </c>
      <c r="E259" s="234" t="s">
        <v>357</v>
      </c>
      <c r="F259" s="20">
        <f t="shared" si="3"/>
        <v>367894743</v>
      </c>
      <c r="G259" s="7" t="s">
        <v>330</v>
      </c>
      <c r="H259" s="24" t="s">
        <v>109</v>
      </c>
      <c r="I259" s="32" t="s">
        <v>152</v>
      </c>
      <c r="J259" s="181"/>
    </row>
    <row r="260" spans="1:10" x14ac:dyDescent="0.35">
      <c r="A260" s="19">
        <v>46052</v>
      </c>
      <c r="B260" s="20"/>
      <c r="C260" s="20"/>
      <c r="D260" s="20">
        <v>20000</v>
      </c>
      <c r="E260" s="234" t="s">
        <v>357</v>
      </c>
      <c r="F260" s="20">
        <f t="shared" si="3"/>
        <v>367914743</v>
      </c>
      <c r="G260" s="7" t="s">
        <v>330</v>
      </c>
      <c r="H260" s="24" t="s">
        <v>109</v>
      </c>
      <c r="I260" s="32" t="s">
        <v>152</v>
      </c>
      <c r="J260" s="181"/>
    </row>
    <row r="261" spans="1:10" x14ac:dyDescent="0.35">
      <c r="A261" s="19">
        <v>46052</v>
      </c>
      <c r="B261" s="20"/>
      <c r="C261" s="20"/>
      <c r="D261" s="20">
        <v>1260005</v>
      </c>
      <c r="E261" s="234" t="s">
        <v>357</v>
      </c>
      <c r="F261" s="20">
        <f t="shared" si="3"/>
        <v>369174748</v>
      </c>
      <c r="G261" s="7" t="s">
        <v>1047</v>
      </c>
      <c r="H261" s="24" t="s">
        <v>1052</v>
      </c>
      <c r="I261" s="32" t="s">
        <v>152</v>
      </c>
      <c r="J261" s="181"/>
    </row>
    <row r="262" spans="1:10" x14ac:dyDescent="0.35">
      <c r="A262" s="19">
        <v>46052</v>
      </c>
      <c r="B262" s="20"/>
      <c r="C262" s="20"/>
      <c r="D262" s="20">
        <v>1260005</v>
      </c>
      <c r="E262" s="234" t="s">
        <v>357</v>
      </c>
      <c r="F262" s="20">
        <f t="shared" si="3"/>
        <v>370434753</v>
      </c>
      <c r="G262" s="7" t="s">
        <v>1113</v>
      </c>
      <c r="H262" s="24" t="s">
        <v>1052</v>
      </c>
      <c r="I262" s="32" t="s">
        <v>152</v>
      </c>
      <c r="J262" s="181"/>
    </row>
    <row r="263" spans="1:10" x14ac:dyDescent="0.35">
      <c r="A263" s="19">
        <v>46052</v>
      </c>
      <c r="B263" s="20"/>
      <c r="C263" s="20"/>
      <c r="D263" s="20">
        <v>8740000</v>
      </c>
      <c r="E263" s="234" t="s">
        <v>357</v>
      </c>
      <c r="F263" s="20">
        <f t="shared" si="3"/>
        <v>379174753</v>
      </c>
      <c r="G263" s="7" t="s">
        <v>1113</v>
      </c>
      <c r="H263" s="24" t="s">
        <v>109</v>
      </c>
      <c r="I263" s="32" t="s">
        <v>152</v>
      </c>
    </row>
    <row r="264" spans="1:10" x14ac:dyDescent="0.35">
      <c r="A264" s="19"/>
      <c r="B264" s="20"/>
      <c r="C264" s="20">
        <v>10000005</v>
      </c>
      <c r="D264" s="20"/>
      <c r="E264" s="234"/>
      <c r="F264" s="20">
        <f t="shared" si="3"/>
        <v>379174753</v>
      </c>
      <c r="G264" s="7"/>
      <c r="H264" s="24"/>
      <c r="I264" s="32"/>
    </row>
    <row r="265" spans="1:10" x14ac:dyDescent="0.35">
      <c r="A265" s="19">
        <v>46052</v>
      </c>
      <c r="B265" s="20"/>
      <c r="C265" s="20"/>
      <c r="D265" s="20">
        <v>630000</v>
      </c>
      <c r="E265" s="234" t="s">
        <v>357</v>
      </c>
      <c r="F265" s="20">
        <f t="shared" si="3"/>
        <v>379804753</v>
      </c>
      <c r="G265" s="7" t="s">
        <v>1047</v>
      </c>
      <c r="H265" s="24" t="s">
        <v>1052</v>
      </c>
      <c r="I265" s="32" t="s">
        <v>152</v>
      </c>
    </row>
    <row r="266" spans="1:10" x14ac:dyDescent="0.35">
      <c r="A266" s="19">
        <v>46052</v>
      </c>
      <c r="B266" s="20"/>
      <c r="C266" s="20"/>
      <c r="D266" s="20">
        <v>12600000</v>
      </c>
      <c r="E266" s="234" t="s">
        <v>357</v>
      </c>
      <c r="F266" s="20">
        <f t="shared" si="3"/>
        <v>392404753</v>
      </c>
      <c r="G266" s="7" t="s">
        <v>1047</v>
      </c>
      <c r="H266" s="24" t="s">
        <v>1052</v>
      </c>
      <c r="I266" s="32" t="s">
        <v>152</v>
      </c>
    </row>
    <row r="267" spans="1:10" x14ac:dyDescent="0.35">
      <c r="A267" s="19">
        <v>46052</v>
      </c>
      <c r="B267" s="20"/>
      <c r="C267" s="20"/>
      <c r="D267" s="20">
        <v>6300000</v>
      </c>
      <c r="E267" s="234" t="s">
        <v>357</v>
      </c>
      <c r="F267" s="20">
        <f t="shared" si="3"/>
        <v>398704753</v>
      </c>
      <c r="G267" s="7" t="s">
        <v>1047</v>
      </c>
      <c r="H267" s="24" t="s">
        <v>1052</v>
      </c>
      <c r="I267" s="32" t="s">
        <v>152</v>
      </c>
    </row>
    <row r="268" spans="1:10" x14ac:dyDescent="0.35">
      <c r="A268" s="19">
        <v>46052</v>
      </c>
      <c r="B268" s="20">
        <v>9000</v>
      </c>
      <c r="C268" s="20"/>
      <c r="D268" s="20"/>
      <c r="E268" s="234" t="s">
        <v>357</v>
      </c>
      <c r="F268" s="20">
        <f t="shared" si="3"/>
        <v>398695753</v>
      </c>
      <c r="G268" s="7" t="s">
        <v>1091</v>
      </c>
      <c r="H268" s="24" t="s">
        <v>320</v>
      </c>
      <c r="I268" s="32" t="s">
        <v>152</v>
      </c>
    </row>
    <row r="269" spans="1:10" x14ac:dyDescent="0.35">
      <c r="A269" s="19">
        <v>46052</v>
      </c>
      <c r="B269" s="53">
        <v>1923000</v>
      </c>
      <c r="C269" s="20"/>
      <c r="D269" s="20"/>
      <c r="E269" s="234" t="s">
        <v>357</v>
      </c>
      <c r="F269" s="20">
        <f t="shared" si="3"/>
        <v>396772753</v>
      </c>
      <c r="G269" s="7" t="s">
        <v>1092</v>
      </c>
      <c r="H269" s="24" t="s">
        <v>1051</v>
      </c>
      <c r="I269" s="32" t="s">
        <v>152</v>
      </c>
    </row>
    <row r="270" spans="1:10" x14ac:dyDescent="0.35">
      <c r="A270" s="19">
        <v>46052</v>
      </c>
      <c r="B270" s="20">
        <v>2500</v>
      </c>
      <c r="C270" s="20"/>
      <c r="D270" s="20"/>
      <c r="E270" s="234" t="s">
        <v>357</v>
      </c>
      <c r="F270" s="20">
        <f t="shared" si="3"/>
        <v>396770253</v>
      </c>
      <c r="G270" s="7" t="s">
        <v>1092</v>
      </c>
      <c r="H270" s="24" t="s">
        <v>499</v>
      </c>
      <c r="I270" s="32" t="s">
        <v>152</v>
      </c>
    </row>
    <row r="271" spans="1:10" x14ac:dyDescent="0.35">
      <c r="A271" s="19">
        <v>46053</v>
      </c>
      <c r="B271" s="53">
        <v>900000</v>
      </c>
      <c r="C271" s="20"/>
      <c r="D271" s="20"/>
      <c r="E271" s="234" t="s">
        <v>357</v>
      </c>
      <c r="F271" s="20">
        <f t="shared" si="3"/>
        <v>395870253</v>
      </c>
      <c r="G271" s="7" t="s">
        <v>1095</v>
      </c>
      <c r="H271" s="24" t="s">
        <v>1051</v>
      </c>
      <c r="I271" s="32" t="s">
        <v>152</v>
      </c>
    </row>
    <row r="272" spans="1:10" x14ac:dyDescent="0.35">
      <c r="A272" s="19">
        <v>46053</v>
      </c>
      <c r="B272" s="20">
        <v>750000</v>
      </c>
      <c r="C272" s="20"/>
      <c r="D272" s="20"/>
      <c r="E272" s="234" t="s">
        <v>357</v>
      </c>
      <c r="F272" s="20">
        <f t="shared" si="3"/>
        <v>395120253</v>
      </c>
      <c r="G272" s="7" t="s">
        <v>976</v>
      </c>
      <c r="H272" s="24" t="s">
        <v>323</v>
      </c>
      <c r="I272" s="32" t="s">
        <v>152</v>
      </c>
    </row>
    <row r="273" spans="1:9" x14ac:dyDescent="0.35">
      <c r="A273" s="19">
        <v>46053</v>
      </c>
      <c r="B273" s="20">
        <v>6500</v>
      </c>
      <c r="C273" s="20"/>
      <c r="D273" s="20"/>
      <c r="E273" s="234" t="s">
        <v>357</v>
      </c>
      <c r="F273" s="20">
        <f t="shared" si="3"/>
        <v>395113753</v>
      </c>
      <c r="G273" s="7" t="s">
        <v>976</v>
      </c>
      <c r="H273" s="24" t="s">
        <v>323</v>
      </c>
      <c r="I273" s="32" t="s">
        <v>152</v>
      </c>
    </row>
    <row r="274" spans="1:9" x14ac:dyDescent="0.35">
      <c r="A274" s="19">
        <v>46053</v>
      </c>
      <c r="B274" s="101">
        <v>4500000</v>
      </c>
      <c r="C274" s="20"/>
      <c r="D274" s="20"/>
      <c r="E274" s="240" t="s">
        <v>357</v>
      </c>
      <c r="F274" s="101">
        <f t="shared" si="3"/>
        <v>390613753</v>
      </c>
      <c r="G274" s="241" t="s">
        <v>1096</v>
      </c>
      <c r="H274" s="104" t="s">
        <v>202</v>
      </c>
      <c r="I274" s="32" t="s">
        <v>152</v>
      </c>
    </row>
    <row r="275" spans="1:9" x14ac:dyDescent="0.35">
      <c r="A275" s="19">
        <v>46053</v>
      </c>
      <c r="B275" s="20">
        <v>6500</v>
      </c>
      <c r="C275" s="20"/>
      <c r="D275" s="20"/>
      <c r="E275" s="234" t="s">
        <v>357</v>
      </c>
      <c r="F275" s="20">
        <f t="shared" si="3"/>
        <v>390607253</v>
      </c>
      <c r="G275" s="7" t="s">
        <v>1096</v>
      </c>
      <c r="H275" s="24" t="s">
        <v>499</v>
      </c>
      <c r="I275" s="32" t="s">
        <v>152</v>
      </c>
    </row>
    <row r="276" spans="1:9" x14ac:dyDescent="0.35">
      <c r="A276" s="19">
        <v>46053</v>
      </c>
      <c r="B276" s="20"/>
      <c r="C276" s="20"/>
      <c r="D276" s="20">
        <v>1000000</v>
      </c>
      <c r="E276" s="234" t="s">
        <v>357</v>
      </c>
      <c r="F276" s="20">
        <f t="shared" si="3"/>
        <v>391607253</v>
      </c>
      <c r="G276" s="7" t="s">
        <v>1114</v>
      </c>
      <c r="H276" s="24" t="s">
        <v>1052</v>
      </c>
      <c r="I276" s="32" t="s">
        <v>152</v>
      </c>
    </row>
    <row r="277" spans="1:9" x14ac:dyDescent="0.35">
      <c r="A277" s="19">
        <v>46053</v>
      </c>
      <c r="B277" s="20"/>
      <c r="C277" s="20"/>
      <c r="D277" s="20">
        <v>50000</v>
      </c>
      <c r="E277" s="234" t="s">
        <v>357</v>
      </c>
      <c r="F277" s="20">
        <f t="shared" si="3"/>
        <v>391657253</v>
      </c>
      <c r="G277" s="7" t="s">
        <v>330</v>
      </c>
      <c r="H277" s="24" t="s">
        <v>109</v>
      </c>
      <c r="I277" s="32" t="s">
        <v>152</v>
      </c>
    </row>
    <row r="278" spans="1:9" x14ac:dyDescent="0.35">
      <c r="A278" s="19">
        <v>46053</v>
      </c>
      <c r="B278" s="20"/>
      <c r="C278" s="20"/>
      <c r="D278" s="20">
        <v>50000</v>
      </c>
      <c r="E278" s="234" t="s">
        <v>357</v>
      </c>
      <c r="F278" s="20">
        <f t="shared" si="3"/>
        <v>391707253</v>
      </c>
      <c r="G278" s="7" t="s">
        <v>330</v>
      </c>
      <c r="H278" s="24" t="s">
        <v>109</v>
      </c>
      <c r="I278" s="32" t="s">
        <v>152</v>
      </c>
    </row>
    <row r="279" spans="1:9" x14ac:dyDescent="0.35">
      <c r="A279" s="19">
        <v>46053</v>
      </c>
      <c r="B279" s="20"/>
      <c r="C279" s="20"/>
      <c r="D279" s="20">
        <v>50000</v>
      </c>
      <c r="E279" s="234" t="s">
        <v>357</v>
      </c>
      <c r="F279" s="20">
        <f t="shared" si="3"/>
        <v>391757253</v>
      </c>
      <c r="G279" s="7" t="s">
        <v>330</v>
      </c>
      <c r="H279" s="24" t="s">
        <v>109</v>
      </c>
      <c r="I279" s="32" t="s">
        <v>152</v>
      </c>
    </row>
    <row r="280" spans="1:9" x14ac:dyDescent="0.35">
      <c r="A280" s="19">
        <v>46053</v>
      </c>
      <c r="B280" s="20"/>
      <c r="C280" s="20"/>
      <c r="D280" s="20">
        <v>100000</v>
      </c>
      <c r="E280" s="234" t="s">
        <v>357</v>
      </c>
      <c r="F280" s="20">
        <f t="shared" ref="F280:F343" si="4">+F279+D280-B280</f>
        <v>391857253</v>
      </c>
      <c r="G280" s="7" t="s">
        <v>330</v>
      </c>
      <c r="H280" s="24" t="s">
        <v>109</v>
      </c>
      <c r="I280" s="32" t="s">
        <v>152</v>
      </c>
    </row>
    <row r="281" spans="1:9" x14ac:dyDescent="0.35">
      <c r="A281" s="19">
        <v>46053</v>
      </c>
      <c r="B281" s="20"/>
      <c r="C281" s="20"/>
      <c r="D281" s="20">
        <v>20000</v>
      </c>
      <c r="E281" s="234" t="s">
        <v>357</v>
      </c>
      <c r="F281" s="20">
        <f t="shared" si="4"/>
        <v>391877253</v>
      </c>
      <c r="G281" s="7" t="s">
        <v>330</v>
      </c>
      <c r="H281" s="24" t="s">
        <v>109</v>
      </c>
      <c r="I281" s="32" t="s">
        <v>152</v>
      </c>
    </row>
    <row r="282" spans="1:9" x14ac:dyDescent="0.35">
      <c r="A282" s="19">
        <v>46053</v>
      </c>
      <c r="B282" s="20"/>
      <c r="C282" s="20"/>
      <c r="D282" s="20">
        <v>1011</v>
      </c>
      <c r="E282" s="234" t="s">
        <v>357</v>
      </c>
      <c r="F282" s="20">
        <f t="shared" si="4"/>
        <v>391878264</v>
      </c>
      <c r="G282" s="7" t="s">
        <v>330</v>
      </c>
      <c r="H282" s="24" t="s">
        <v>109</v>
      </c>
      <c r="I282" s="32" t="s">
        <v>152</v>
      </c>
    </row>
    <row r="283" spans="1:9" x14ac:dyDescent="0.35">
      <c r="A283" s="19">
        <v>46053</v>
      </c>
      <c r="B283" s="53">
        <v>20000000</v>
      </c>
      <c r="C283" s="20"/>
      <c r="D283" s="20"/>
      <c r="E283" s="234" t="s">
        <v>357</v>
      </c>
      <c r="F283" s="20">
        <f t="shared" si="4"/>
        <v>371878264</v>
      </c>
      <c r="G283" s="7" t="s">
        <v>1097</v>
      </c>
      <c r="H283" s="24" t="s">
        <v>1051</v>
      </c>
      <c r="I283" s="32" t="s">
        <v>152</v>
      </c>
    </row>
    <row r="284" spans="1:9" x14ac:dyDescent="0.35">
      <c r="A284" s="19">
        <v>46053</v>
      </c>
      <c r="B284" s="20">
        <v>6500</v>
      </c>
      <c r="C284" s="20"/>
      <c r="D284" s="20"/>
      <c r="E284" s="234" t="s">
        <v>357</v>
      </c>
      <c r="F284" s="20">
        <f t="shared" si="4"/>
        <v>371871764</v>
      </c>
      <c r="G284" s="7" t="s">
        <v>1097</v>
      </c>
      <c r="H284" s="24" t="s">
        <v>499</v>
      </c>
      <c r="I284" s="32" t="s">
        <v>152</v>
      </c>
    </row>
    <row r="285" spans="1:9" x14ac:dyDescent="0.35">
      <c r="A285" s="19">
        <v>46054</v>
      </c>
      <c r="B285" s="20">
        <v>750000</v>
      </c>
      <c r="C285" s="20"/>
      <c r="D285" s="20"/>
      <c r="E285" s="234" t="s">
        <v>358</v>
      </c>
      <c r="F285" s="20">
        <f t="shared" si="4"/>
        <v>371121764</v>
      </c>
      <c r="G285" s="7" t="s">
        <v>826</v>
      </c>
      <c r="H285" s="24" t="s">
        <v>323</v>
      </c>
      <c r="I285" s="32" t="s">
        <v>152</v>
      </c>
    </row>
    <row r="286" spans="1:9" x14ac:dyDescent="0.35">
      <c r="A286" s="19">
        <v>46054</v>
      </c>
      <c r="B286" s="20">
        <v>6500</v>
      </c>
      <c r="C286" s="20"/>
      <c r="D286" s="20"/>
      <c r="E286" s="234" t="s">
        <v>358</v>
      </c>
      <c r="F286" s="20">
        <f t="shared" si="4"/>
        <v>371115264</v>
      </c>
      <c r="G286" s="7" t="s">
        <v>826</v>
      </c>
      <c r="H286" s="24" t="s">
        <v>323</v>
      </c>
      <c r="I286" s="32" t="s">
        <v>152</v>
      </c>
    </row>
    <row r="287" spans="1:9" x14ac:dyDescent="0.35">
      <c r="A287" s="19">
        <v>46054</v>
      </c>
      <c r="B287" s="20">
        <v>1500000</v>
      </c>
      <c r="C287" s="20"/>
      <c r="D287" s="20"/>
      <c r="E287" s="234" t="s">
        <v>358</v>
      </c>
      <c r="F287" s="20">
        <f t="shared" si="4"/>
        <v>369615264</v>
      </c>
      <c r="G287" s="7" t="s">
        <v>1098</v>
      </c>
      <c r="H287" s="24" t="s">
        <v>499</v>
      </c>
      <c r="I287" s="32" t="s">
        <v>152</v>
      </c>
    </row>
    <row r="288" spans="1:9" x14ac:dyDescent="0.35">
      <c r="A288" s="19">
        <v>46054</v>
      </c>
      <c r="B288" s="20">
        <v>6500</v>
      </c>
      <c r="C288" s="20"/>
      <c r="D288" s="20"/>
      <c r="E288" s="234" t="s">
        <v>358</v>
      </c>
      <c r="F288" s="20">
        <f t="shared" si="4"/>
        <v>369608764</v>
      </c>
      <c r="G288" s="7" t="s">
        <v>1098</v>
      </c>
      <c r="H288" s="24" t="s">
        <v>499</v>
      </c>
      <c r="I288" s="32" t="s">
        <v>152</v>
      </c>
    </row>
    <row r="289" spans="1:10" x14ac:dyDescent="0.35">
      <c r="A289" s="19">
        <v>46054</v>
      </c>
      <c r="B289" s="20"/>
      <c r="C289" s="20"/>
      <c r="D289" s="20">
        <v>350000</v>
      </c>
      <c r="E289" s="234" t="s">
        <v>358</v>
      </c>
      <c r="F289" s="20">
        <f t="shared" si="4"/>
        <v>369958764</v>
      </c>
      <c r="G289" s="7" t="s">
        <v>740</v>
      </c>
      <c r="H289" s="24" t="s">
        <v>109</v>
      </c>
      <c r="I289" s="32" t="s">
        <v>152</v>
      </c>
    </row>
    <row r="290" spans="1:10" x14ac:dyDescent="0.35">
      <c r="A290" s="19">
        <v>46054</v>
      </c>
      <c r="B290" s="20"/>
      <c r="C290" s="20"/>
      <c r="D290" s="20">
        <v>200000</v>
      </c>
      <c r="E290" s="234" t="s">
        <v>358</v>
      </c>
      <c r="F290" s="20">
        <f t="shared" si="4"/>
        <v>370158764</v>
      </c>
      <c r="G290" s="7" t="s">
        <v>866</v>
      </c>
      <c r="H290" s="24" t="s">
        <v>109</v>
      </c>
      <c r="I290" s="32" t="s">
        <v>152</v>
      </c>
    </row>
    <row r="291" spans="1:10" x14ac:dyDescent="0.35">
      <c r="A291" s="19">
        <v>46054</v>
      </c>
      <c r="B291" s="20"/>
      <c r="C291" s="20"/>
      <c r="D291" s="20">
        <v>1011</v>
      </c>
      <c r="E291" s="234" t="s">
        <v>358</v>
      </c>
      <c r="F291" s="20">
        <f t="shared" si="4"/>
        <v>370159775</v>
      </c>
      <c r="G291" s="7" t="s">
        <v>330</v>
      </c>
      <c r="H291" s="24" t="s">
        <v>109</v>
      </c>
      <c r="I291" s="32" t="s">
        <v>152</v>
      </c>
    </row>
    <row r="292" spans="1:10" x14ac:dyDescent="0.35">
      <c r="A292" s="19">
        <v>46054</v>
      </c>
      <c r="B292" s="20"/>
      <c r="C292" s="20"/>
      <c r="D292" s="20">
        <v>200000</v>
      </c>
      <c r="E292" s="234" t="s">
        <v>358</v>
      </c>
      <c r="F292" s="20">
        <f t="shared" si="4"/>
        <v>370359775</v>
      </c>
      <c r="G292" s="7" t="s">
        <v>531</v>
      </c>
      <c r="H292" s="24" t="s">
        <v>109</v>
      </c>
      <c r="I292" s="32" t="s">
        <v>152</v>
      </c>
    </row>
    <row r="293" spans="1:10" x14ac:dyDescent="0.35">
      <c r="A293" s="19">
        <v>46054</v>
      </c>
      <c r="B293" s="20"/>
      <c r="C293" s="20"/>
      <c r="D293" s="20">
        <v>500005</v>
      </c>
      <c r="E293" s="234" t="s">
        <v>358</v>
      </c>
      <c r="F293" s="20">
        <f t="shared" si="4"/>
        <v>370859780</v>
      </c>
      <c r="G293" s="7" t="s">
        <v>1099</v>
      </c>
      <c r="H293" s="24" t="s">
        <v>1052</v>
      </c>
      <c r="I293" s="32" t="s">
        <v>152</v>
      </c>
    </row>
    <row r="294" spans="1:10" x14ac:dyDescent="0.35">
      <c r="A294" s="19">
        <v>46054</v>
      </c>
      <c r="B294" s="20"/>
      <c r="C294" s="20"/>
      <c r="D294" s="20">
        <v>300000</v>
      </c>
      <c r="E294" s="234" t="s">
        <v>358</v>
      </c>
      <c r="F294" s="20">
        <f t="shared" si="4"/>
        <v>371159780</v>
      </c>
      <c r="G294" s="7" t="s">
        <v>577</v>
      </c>
      <c r="H294" s="24" t="s">
        <v>109</v>
      </c>
      <c r="I294" s="32" t="s">
        <v>152</v>
      </c>
    </row>
    <row r="295" spans="1:10" x14ac:dyDescent="0.35">
      <c r="A295" s="19">
        <v>46055</v>
      </c>
      <c r="B295" s="20"/>
      <c r="C295" s="20"/>
      <c r="D295" s="20">
        <v>25000</v>
      </c>
      <c r="E295" s="234" t="s">
        <v>358</v>
      </c>
      <c r="F295" s="20">
        <f t="shared" si="4"/>
        <v>371184780</v>
      </c>
      <c r="G295" s="7" t="s">
        <v>330</v>
      </c>
      <c r="H295" s="24" t="s">
        <v>109</v>
      </c>
      <c r="I295" s="32" t="s">
        <v>152</v>
      </c>
    </row>
    <row r="296" spans="1:10" x14ac:dyDescent="0.35">
      <c r="A296" s="19">
        <v>46055</v>
      </c>
      <c r="B296" s="20"/>
      <c r="C296" s="20"/>
      <c r="D296" s="20">
        <v>213000</v>
      </c>
      <c r="E296" s="234" t="s">
        <v>358</v>
      </c>
      <c r="F296" s="20">
        <f t="shared" si="4"/>
        <v>371397780</v>
      </c>
      <c r="G296" s="7"/>
      <c r="H296" s="24" t="s">
        <v>109</v>
      </c>
      <c r="I296" s="32" t="s">
        <v>152</v>
      </c>
      <c r="J296" s="30"/>
    </row>
    <row r="297" spans="1:10" x14ac:dyDescent="0.35">
      <c r="A297" s="19">
        <v>46055</v>
      </c>
      <c r="B297" s="20"/>
      <c r="C297" s="20"/>
      <c r="D297" s="20">
        <f>2424000-1010000</f>
        <v>1414000</v>
      </c>
      <c r="E297" s="234" t="s">
        <v>358</v>
      </c>
      <c r="F297" s="20">
        <f t="shared" si="4"/>
        <v>372811780</v>
      </c>
      <c r="G297" s="7"/>
      <c r="H297" s="24" t="s">
        <v>107</v>
      </c>
      <c r="I297" s="32" t="s">
        <v>152</v>
      </c>
      <c r="J297" s="30"/>
    </row>
    <row r="298" spans="1:10" x14ac:dyDescent="0.35">
      <c r="A298" s="19"/>
      <c r="B298" s="20"/>
      <c r="C298" s="20">
        <v>1627000</v>
      </c>
      <c r="D298" s="20"/>
      <c r="E298" s="234"/>
      <c r="F298" s="20">
        <f t="shared" si="4"/>
        <v>372811780</v>
      </c>
      <c r="G298" s="7" t="s">
        <v>874</v>
      </c>
      <c r="H298" s="24"/>
      <c r="I298" s="32"/>
    </row>
    <row r="299" spans="1:10" x14ac:dyDescent="0.35">
      <c r="A299" s="19">
        <v>46055</v>
      </c>
      <c r="B299" s="20"/>
      <c r="C299" s="20"/>
      <c r="D299" s="20">
        <v>5000000</v>
      </c>
      <c r="E299" s="234" t="s">
        <v>358</v>
      </c>
      <c r="F299" s="20">
        <f t="shared" si="4"/>
        <v>377811780</v>
      </c>
      <c r="G299" s="7" t="s">
        <v>1100</v>
      </c>
      <c r="H299" s="24" t="s">
        <v>109</v>
      </c>
      <c r="I299" s="32" t="s">
        <v>152</v>
      </c>
    </row>
    <row r="300" spans="1:10" x14ac:dyDescent="0.35">
      <c r="A300" s="19">
        <v>46056</v>
      </c>
      <c r="B300" s="20"/>
      <c r="C300" s="20"/>
      <c r="D300" s="20">
        <v>500000</v>
      </c>
      <c r="E300" s="234" t="s">
        <v>358</v>
      </c>
      <c r="F300" s="20">
        <f t="shared" si="4"/>
        <v>378311780</v>
      </c>
      <c r="G300" s="7" t="s">
        <v>579</v>
      </c>
      <c r="H300" s="24" t="s">
        <v>109</v>
      </c>
      <c r="I300" s="32" t="s">
        <v>152</v>
      </c>
    </row>
    <row r="301" spans="1:10" x14ac:dyDescent="0.35">
      <c r="A301" s="19">
        <v>46056</v>
      </c>
      <c r="B301" s="20"/>
      <c r="C301" s="20"/>
      <c r="D301" s="20">
        <v>20000</v>
      </c>
      <c r="E301" s="234" t="s">
        <v>358</v>
      </c>
      <c r="F301" s="20">
        <f t="shared" si="4"/>
        <v>378331780</v>
      </c>
      <c r="G301" s="7" t="s">
        <v>330</v>
      </c>
      <c r="H301" s="24" t="s">
        <v>109</v>
      </c>
      <c r="I301" s="32" t="s">
        <v>152</v>
      </c>
    </row>
    <row r="302" spans="1:10" x14ac:dyDescent="0.35">
      <c r="A302" s="19">
        <v>46056</v>
      </c>
      <c r="B302" s="20"/>
      <c r="C302" s="20"/>
      <c r="D302" s="20">
        <v>500000</v>
      </c>
      <c r="E302" s="234" t="s">
        <v>358</v>
      </c>
      <c r="F302" s="20">
        <f t="shared" si="4"/>
        <v>378831780</v>
      </c>
      <c r="G302" s="7" t="s">
        <v>675</v>
      </c>
      <c r="H302" s="24" t="s">
        <v>109</v>
      </c>
      <c r="I302" s="32" t="s">
        <v>152</v>
      </c>
    </row>
    <row r="303" spans="1:10" x14ac:dyDescent="0.35">
      <c r="A303" s="19">
        <v>46056</v>
      </c>
      <c r="B303" s="20">
        <v>1090000</v>
      </c>
      <c r="C303" s="20"/>
      <c r="D303" s="20"/>
      <c r="E303" s="234" t="s">
        <v>358</v>
      </c>
      <c r="F303" s="20">
        <f t="shared" si="4"/>
        <v>377741780</v>
      </c>
      <c r="G303" s="7" t="s">
        <v>1101</v>
      </c>
      <c r="H303" s="24" t="s">
        <v>322</v>
      </c>
      <c r="I303" s="32" t="s">
        <v>152</v>
      </c>
    </row>
    <row r="304" spans="1:10" x14ac:dyDescent="0.35">
      <c r="A304" s="19">
        <v>46056</v>
      </c>
      <c r="B304" s="20">
        <v>6500</v>
      </c>
      <c r="C304" s="20"/>
      <c r="D304" s="20"/>
      <c r="E304" s="234" t="s">
        <v>358</v>
      </c>
      <c r="F304" s="20">
        <f t="shared" si="4"/>
        <v>377735280</v>
      </c>
      <c r="G304" s="7" t="s">
        <v>1101</v>
      </c>
      <c r="H304" s="24" t="s">
        <v>322</v>
      </c>
      <c r="I304" s="32" t="s">
        <v>152</v>
      </c>
    </row>
    <row r="305" spans="1:9" x14ac:dyDescent="0.35">
      <c r="A305" s="19">
        <v>46056</v>
      </c>
      <c r="B305" s="20"/>
      <c r="C305" s="20"/>
      <c r="D305" s="20">
        <v>400000</v>
      </c>
      <c r="E305" s="234" t="s">
        <v>358</v>
      </c>
      <c r="F305" s="20">
        <f t="shared" si="4"/>
        <v>378135280</v>
      </c>
      <c r="G305" s="7" t="s">
        <v>600</v>
      </c>
      <c r="H305" s="24" t="s">
        <v>109</v>
      </c>
      <c r="I305" s="32" t="s">
        <v>152</v>
      </c>
    </row>
    <row r="306" spans="1:9" x14ac:dyDescent="0.35">
      <c r="A306" s="19">
        <v>46056</v>
      </c>
      <c r="B306" s="53">
        <v>1598000</v>
      </c>
      <c r="C306" s="20"/>
      <c r="D306" s="20"/>
      <c r="E306" s="234" t="s">
        <v>358</v>
      </c>
      <c r="F306" s="20">
        <f t="shared" si="4"/>
        <v>376537280</v>
      </c>
      <c r="G306" s="7" t="s">
        <v>1102</v>
      </c>
      <c r="H306" s="24" t="s">
        <v>1051</v>
      </c>
      <c r="I306" s="32" t="s">
        <v>152</v>
      </c>
    </row>
    <row r="307" spans="1:9" x14ac:dyDescent="0.35">
      <c r="A307" s="19">
        <v>46056</v>
      </c>
      <c r="B307" s="20">
        <v>6500</v>
      </c>
      <c r="C307" s="20"/>
      <c r="D307" s="20"/>
      <c r="E307" s="234" t="s">
        <v>358</v>
      </c>
      <c r="F307" s="20">
        <f t="shared" si="4"/>
        <v>376530780</v>
      </c>
      <c r="G307" s="7" t="s">
        <v>1102</v>
      </c>
      <c r="H307" s="24" t="s">
        <v>499</v>
      </c>
      <c r="I307" s="32" t="s">
        <v>152</v>
      </c>
    </row>
    <row r="308" spans="1:9" x14ac:dyDescent="0.35">
      <c r="A308" s="19">
        <v>46057</v>
      </c>
      <c r="B308" s="20"/>
      <c r="C308" s="20"/>
      <c r="D308" s="20">
        <v>10000</v>
      </c>
      <c r="E308" s="234" t="s">
        <v>358</v>
      </c>
      <c r="F308" s="20">
        <f t="shared" si="4"/>
        <v>376540780</v>
      </c>
      <c r="G308" s="7" t="s">
        <v>330</v>
      </c>
      <c r="H308" s="24" t="s">
        <v>109</v>
      </c>
      <c r="I308" s="32" t="s">
        <v>152</v>
      </c>
    </row>
    <row r="309" spans="1:9" x14ac:dyDescent="0.35">
      <c r="A309" s="19">
        <v>46057</v>
      </c>
      <c r="B309" s="20"/>
      <c r="C309" s="20"/>
      <c r="D309" s="20">
        <v>20000</v>
      </c>
      <c r="E309" s="234" t="s">
        <v>358</v>
      </c>
      <c r="F309" s="20">
        <f t="shared" si="4"/>
        <v>376560780</v>
      </c>
      <c r="G309" s="7" t="s">
        <v>330</v>
      </c>
      <c r="H309" s="24" t="s">
        <v>109</v>
      </c>
      <c r="I309" s="32" t="s">
        <v>152</v>
      </c>
    </row>
    <row r="310" spans="1:9" x14ac:dyDescent="0.35">
      <c r="A310" s="19">
        <v>46057</v>
      </c>
      <c r="B310" s="20"/>
      <c r="C310" s="20"/>
      <c r="D310" s="20">
        <v>2520000</v>
      </c>
      <c r="E310" s="234" t="s">
        <v>358</v>
      </c>
      <c r="F310" s="20">
        <f t="shared" si="4"/>
        <v>379080780</v>
      </c>
      <c r="G310" s="7" t="s">
        <v>1103</v>
      </c>
      <c r="H310" s="24" t="s">
        <v>1052</v>
      </c>
      <c r="I310" s="32" t="s">
        <v>152</v>
      </c>
    </row>
    <row r="311" spans="1:9" x14ac:dyDescent="0.35">
      <c r="A311" s="19">
        <v>46058</v>
      </c>
      <c r="B311" s="20"/>
      <c r="C311" s="20"/>
      <c r="D311" s="20">
        <v>10000</v>
      </c>
      <c r="E311" s="234" t="s">
        <v>358</v>
      </c>
      <c r="F311" s="20">
        <f t="shared" si="4"/>
        <v>379090780</v>
      </c>
      <c r="G311" s="7" t="s">
        <v>330</v>
      </c>
      <c r="H311" s="24" t="s">
        <v>109</v>
      </c>
      <c r="I311" s="32" t="s">
        <v>152</v>
      </c>
    </row>
    <row r="312" spans="1:9" x14ac:dyDescent="0.35">
      <c r="A312" s="19">
        <v>46058</v>
      </c>
      <c r="B312" s="20"/>
      <c r="C312" s="20"/>
      <c r="D312" s="20">
        <v>1011</v>
      </c>
      <c r="E312" s="234" t="s">
        <v>358</v>
      </c>
      <c r="F312" s="20">
        <f t="shared" si="4"/>
        <v>379091791</v>
      </c>
      <c r="G312" s="7" t="s">
        <v>330</v>
      </c>
      <c r="H312" s="24" t="s">
        <v>109</v>
      </c>
      <c r="I312" s="32" t="s">
        <v>152</v>
      </c>
    </row>
    <row r="313" spans="1:9" x14ac:dyDescent="0.35">
      <c r="A313" s="19">
        <v>46058</v>
      </c>
      <c r="B313" s="20"/>
      <c r="C313" s="20"/>
      <c r="D313" s="20">
        <v>10000</v>
      </c>
      <c r="E313" s="234" t="s">
        <v>358</v>
      </c>
      <c r="F313" s="20">
        <f t="shared" si="4"/>
        <v>379101791</v>
      </c>
      <c r="G313" s="7" t="s">
        <v>330</v>
      </c>
      <c r="H313" s="24" t="s">
        <v>109</v>
      </c>
      <c r="I313" s="32" t="s">
        <v>152</v>
      </c>
    </row>
    <row r="314" spans="1:9" x14ac:dyDescent="0.35">
      <c r="A314" s="19">
        <v>46058</v>
      </c>
      <c r="B314" s="20"/>
      <c r="C314" s="20"/>
      <c r="D314" s="20">
        <v>20000</v>
      </c>
      <c r="E314" s="234" t="s">
        <v>358</v>
      </c>
      <c r="F314" s="20">
        <f t="shared" si="4"/>
        <v>379121791</v>
      </c>
      <c r="G314" s="7" t="s">
        <v>330</v>
      </c>
      <c r="H314" s="24" t="s">
        <v>109</v>
      </c>
      <c r="I314" s="32" t="s">
        <v>152</v>
      </c>
    </row>
    <row r="315" spans="1:9" x14ac:dyDescent="0.35">
      <c r="A315" s="19">
        <v>46058</v>
      </c>
      <c r="B315" s="20">
        <v>14820000</v>
      </c>
      <c r="C315" s="20"/>
      <c r="D315" s="20"/>
      <c r="E315" s="234" t="s">
        <v>358</v>
      </c>
      <c r="F315" s="20">
        <f t="shared" si="4"/>
        <v>364301791</v>
      </c>
      <c r="G315" s="7" t="s">
        <v>1104</v>
      </c>
      <c r="H315" s="24" t="s">
        <v>322</v>
      </c>
      <c r="I315" s="32" t="s">
        <v>152</v>
      </c>
    </row>
    <row r="316" spans="1:9" x14ac:dyDescent="0.35">
      <c r="A316" s="19">
        <v>46058</v>
      </c>
      <c r="B316" s="20">
        <v>2500</v>
      </c>
      <c r="C316" s="20"/>
      <c r="D316" s="20"/>
      <c r="E316" s="234" t="s">
        <v>358</v>
      </c>
      <c r="F316" s="20">
        <f t="shared" si="4"/>
        <v>364299291</v>
      </c>
      <c r="G316" s="7" t="s">
        <v>1104</v>
      </c>
      <c r="H316" s="24" t="s">
        <v>322</v>
      </c>
      <c r="I316" s="32" t="s">
        <v>152</v>
      </c>
    </row>
    <row r="317" spans="1:9" x14ac:dyDescent="0.35">
      <c r="A317" s="19">
        <v>46058</v>
      </c>
      <c r="B317" s="20"/>
      <c r="C317" s="20"/>
      <c r="D317" s="20">
        <v>2520005</v>
      </c>
      <c r="E317" s="234" t="s">
        <v>358</v>
      </c>
      <c r="F317" s="20">
        <f t="shared" si="4"/>
        <v>366819296</v>
      </c>
      <c r="G317" s="7" t="s">
        <v>1107</v>
      </c>
      <c r="H317" s="24" t="s">
        <v>1052</v>
      </c>
      <c r="I317" s="32" t="s">
        <v>152</v>
      </c>
    </row>
    <row r="318" spans="1:9" x14ac:dyDescent="0.35">
      <c r="A318" s="19">
        <v>46058</v>
      </c>
      <c r="B318" s="20">
        <v>1000000</v>
      </c>
      <c r="C318" s="20"/>
      <c r="D318" s="20"/>
      <c r="E318" s="234" t="s">
        <v>358</v>
      </c>
      <c r="F318" s="20">
        <f t="shared" si="4"/>
        <v>365819296</v>
      </c>
      <c r="G318" s="7" t="s">
        <v>1108</v>
      </c>
      <c r="H318" s="24" t="s">
        <v>322</v>
      </c>
      <c r="I318" s="32" t="s">
        <v>152</v>
      </c>
    </row>
    <row r="319" spans="1:9" x14ac:dyDescent="0.35">
      <c r="A319" s="19">
        <v>46058</v>
      </c>
      <c r="B319" s="20">
        <v>2500</v>
      </c>
      <c r="C319" s="20"/>
      <c r="D319" s="20"/>
      <c r="E319" s="234" t="s">
        <v>358</v>
      </c>
      <c r="F319" s="20">
        <f t="shared" si="4"/>
        <v>365816796</v>
      </c>
      <c r="G319" s="7" t="s">
        <v>1108</v>
      </c>
      <c r="H319" s="24" t="s">
        <v>322</v>
      </c>
      <c r="I319" s="32" t="s">
        <v>152</v>
      </c>
    </row>
    <row r="320" spans="1:9" x14ac:dyDescent="0.35">
      <c r="A320" s="19">
        <v>46058</v>
      </c>
      <c r="B320" s="20"/>
      <c r="C320" s="20"/>
      <c r="D320" s="20">
        <v>3000005</v>
      </c>
      <c r="E320" s="234" t="s">
        <v>358</v>
      </c>
      <c r="F320" s="20">
        <f t="shared" si="4"/>
        <v>368816801</v>
      </c>
      <c r="G320" s="7" t="s">
        <v>1119</v>
      </c>
      <c r="H320" s="24" t="s">
        <v>1052</v>
      </c>
      <c r="I320" s="32" t="s">
        <v>152</v>
      </c>
    </row>
    <row r="321" spans="1:9" x14ac:dyDescent="0.35">
      <c r="A321" s="19">
        <v>46059</v>
      </c>
      <c r="B321" s="20"/>
      <c r="C321" s="20"/>
      <c r="D321" s="20">
        <v>500005</v>
      </c>
      <c r="E321" s="234" t="s">
        <v>358</v>
      </c>
      <c r="F321" s="20">
        <f t="shared" si="4"/>
        <v>369316806</v>
      </c>
      <c r="G321" s="7" t="s">
        <v>1120</v>
      </c>
      <c r="H321" s="24" t="s">
        <v>1052</v>
      </c>
      <c r="I321" s="32" t="s">
        <v>152</v>
      </c>
    </row>
    <row r="322" spans="1:9" x14ac:dyDescent="0.35">
      <c r="A322" s="19">
        <v>46059</v>
      </c>
      <c r="B322" s="20"/>
      <c r="C322" s="20"/>
      <c r="D322" s="20">
        <v>20000</v>
      </c>
      <c r="E322" s="234" t="s">
        <v>358</v>
      </c>
      <c r="F322" s="20">
        <f t="shared" si="4"/>
        <v>369336806</v>
      </c>
      <c r="G322" s="7" t="s">
        <v>330</v>
      </c>
      <c r="H322" s="24" t="s">
        <v>109</v>
      </c>
      <c r="I322" s="32" t="s">
        <v>152</v>
      </c>
    </row>
    <row r="323" spans="1:9" x14ac:dyDescent="0.35">
      <c r="A323" s="19">
        <v>46059</v>
      </c>
      <c r="B323" s="20"/>
      <c r="C323" s="20"/>
      <c r="D323" s="20">
        <v>2000000</v>
      </c>
      <c r="E323" s="234" t="s">
        <v>358</v>
      </c>
      <c r="F323" s="20">
        <f t="shared" si="4"/>
        <v>371336806</v>
      </c>
      <c r="G323" s="7" t="s">
        <v>425</v>
      </c>
      <c r="H323" s="24" t="s">
        <v>109</v>
      </c>
      <c r="I323" s="32" t="s">
        <v>152</v>
      </c>
    </row>
    <row r="324" spans="1:9" x14ac:dyDescent="0.35">
      <c r="A324" s="19">
        <v>46059</v>
      </c>
      <c r="B324" s="20"/>
      <c r="C324" s="20"/>
      <c r="D324" s="20">
        <v>1260005</v>
      </c>
      <c r="E324" s="234" t="s">
        <v>358</v>
      </c>
      <c r="F324" s="20">
        <f t="shared" si="4"/>
        <v>372596811</v>
      </c>
      <c r="G324" s="7" t="s">
        <v>1121</v>
      </c>
      <c r="H324" s="24" t="s">
        <v>1052</v>
      </c>
      <c r="I324" s="32" t="s">
        <v>152</v>
      </c>
    </row>
    <row r="325" spans="1:9" x14ac:dyDescent="0.35">
      <c r="A325" s="19">
        <v>46059</v>
      </c>
      <c r="B325" s="20"/>
      <c r="C325" s="20"/>
      <c r="D325" s="20">
        <v>100005</v>
      </c>
      <c r="E325" s="234" t="s">
        <v>358</v>
      </c>
      <c r="F325" s="20">
        <f t="shared" si="4"/>
        <v>372696816</v>
      </c>
      <c r="G325" s="7" t="s">
        <v>1122</v>
      </c>
      <c r="H325" s="24" t="s">
        <v>1052</v>
      </c>
      <c r="I325" s="32" t="s">
        <v>152</v>
      </c>
    </row>
    <row r="326" spans="1:9" x14ac:dyDescent="0.35">
      <c r="A326" s="19">
        <v>46060</v>
      </c>
      <c r="B326" s="20">
        <v>750000</v>
      </c>
      <c r="C326" s="20"/>
      <c r="D326" s="20"/>
      <c r="E326" s="234" t="s">
        <v>358</v>
      </c>
      <c r="F326" s="20">
        <f t="shared" si="4"/>
        <v>371946816</v>
      </c>
      <c r="G326" s="7" t="s">
        <v>818</v>
      </c>
      <c r="H326" s="24" t="s">
        <v>323</v>
      </c>
      <c r="I326" s="32" t="s">
        <v>152</v>
      </c>
    </row>
    <row r="327" spans="1:9" x14ac:dyDescent="0.35">
      <c r="A327" s="19">
        <v>46060</v>
      </c>
      <c r="B327" s="20">
        <v>6500</v>
      </c>
      <c r="C327" s="20"/>
      <c r="D327" s="20"/>
      <c r="E327" s="234" t="s">
        <v>358</v>
      </c>
      <c r="F327" s="20">
        <f t="shared" si="4"/>
        <v>371940316</v>
      </c>
      <c r="G327" s="7" t="s">
        <v>818</v>
      </c>
      <c r="H327" s="24" t="s">
        <v>323</v>
      </c>
      <c r="I327" s="32" t="s">
        <v>152</v>
      </c>
    </row>
    <row r="328" spans="1:9" x14ac:dyDescent="0.35">
      <c r="A328" s="19">
        <v>46060</v>
      </c>
      <c r="B328" s="20"/>
      <c r="C328" s="20"/>
      <c r="D328" s="20">
        <v>20000</v>
      </c>
      <c r="E328" s="234" t="s">
        <v>358</v>
      </c>
      <c r="F328" s="20">
        <f t="shared" si="4"/>
        <v>371960316</v>
      </c>
      <c r="G328" s="7" t="s">
        <v>330</v>
      </c>
      <c r="H328" s="24" t="s">
        <v>109</v>
      </c>
      <c r="I328" s="32" t="s">
        <v>152</v>
      </c>
    </row>
    <row r="329" spans="1:9" x14ac:dyDescent="0.35">
      <c r="A329" s="19">
        <v>46060</v>
      </c>
      <c r="B329" s="20"/>
      <c r="C329" s="20"/>
      <c r="D329" s="20">
        <v>50000</v>
      </c>
      <c r="E329" s="234" t="s">
        <v>358</v>
      </c>
      <c r="F329" s="20">
        <f t="shared" si="4"/>
        <v>372010316</v>
      </c>
      <c r="G329" s="7" t="s">
        <v>330</v>
      </c>
      <c r="H329" s="24" t="s">
        <v>109</v>
      </c>
      <c r="I329" s="32" t="s">
        <v>152</v>
      </c>
    </row>
    <row r="330" spans="1:9" x14ac:dyDescent="0.35">
      <c r="A330" s="19">
        <v>46060</v>
      </c>
      <c r="B330" s="20"/>
      <c r="C330" s="20"/>
      <c r="D330" s="20">
        <v>20000</v>
      </c>
      <c r="E330" s="234" t="s">
        <v>358</v>
      </c>
      <c r="F330" s="20">
        <f t="shared" si="4"/>
        <v>372030316</v>
      </c>
      <c r="G330" s="7" t="s">
        <v>330</v>
      </c>
      <c r="H330" s="24" t="s">
        <v>109</v>
      </c>
      <c r="I330" s="32" t="s">
        <v>152</v>
      </c>
    </row>
    <row r="331" spans="1:9" x14ac:dyDescent="0.35">
      <c r="A331" s="19">
        <v>46060</v>
      </c>
      <c r="B331" s="20"/>
      <c r="C331" s="20"/>
      <c r="D331" s="20">
        <v>20000</v>
      </c>
      <c r="E331" s="234" t="s">
        <v>358</v>
      </c>
      <c r="F331" s="20">
        <f t="shared" si="4"/>
        <v>372050316</v>
      </c>
      <c r="G331" s="7" t="s">
        <v>330</v>
      </c>
      <c r="H331" s="24" t="s">
        <v>109</v>
      </c>
      <c r="I331" s="32" t="s">
        <v>152</v>
      </c>
    </row>
    <row r="332" spans="1:9" x14ac:dyDescent="0.35">
      <c r="A332" s="19">
        <v>46060</v>
      </c>
      <c r="B332" s="20"/>
      <c r="C332" s="20"/>
      <c r="D332" s="20">
        <v>100000</v>
      </c>
      <c r="E332" s="234" t="s">
        <v>358</v>
      </c>
      <c r="F332" s="20">
        <f t="shared" si="4"/>
        <v>372150316</v>
      </c>
      <c r="G332" s="7" t="s">
        <v>330</v>
      </c>
      <c r="H332" s="24" t="s">
        <v>109</v>
      </c>
      <c r="I332" s="32" t="s">
        <v>152</v>
      </c>
    </row>
    <row r="333" spans="1:9" x14ac:dyDescent="0.35">
      <c r="A333" s="19">
        <v>46060</v>
      </c>
      <c r="B333" s="20"/>
      <c r="C333" s="20"/>
      <c r="D333" s="20">
        <v>20000</v>
      </c>
      <c r="E333" s="234" t="s">
        <v>358</v>
      </c>
      <c r="F333" s="20">
        <f t="shared" si="4"/>
        <v>372170316</v>
      </c>
      <c r="G333" s="7" t="s">
        <v>330</v>
      </c>
      <c r="H333" s="24" t="s">
        <v>109</v>
      </c>
      <c r="I333" s="32" t="s">
        <v>152</v>
      </c>
    </row>
    <row r="334" spans="1:9" x14ac:dyDescent="0.35">
      <c r="A334" s="19">
        <v>46060</v>
      </c>
      <c r="B334" s="20"/>
      <c r="C334" s="20"/>
      <c r="D334" s="20">
        <v>1011</v>
      </c>
      <c r="E334" s="234" t="s">
        <v>358</v>
      </c>
      <c r="F334" s="20">
        <f t="shared" si="4"/>
        <v>372171327</v>
      </c>
      <c r="G334" s="7" t="s">
        <v>330</v>
      </c>
      <c r="H334" s="24" t="s">
        <v>109</v>
      </c>
      <c r="I334" s="32" t="s">
        <v>152</v>
      </c>
    </row>
    <row r="335" spans="1:9" x14ac:dyDescent="0.35">
      <c r="A335" s="19">
        <v>46060</v>
      </c>
      <c r="B335" s="20"/>
      <c r="C335" s="20"/>
      <c r="D335" s="20">
        <v>50000</v>
      </c>
      <c r="E335" s="234" t="s">
        <v>358</v>
      </c>
      <c r="F335" s="20">
        <f t="shared" si="4"/>
        <v>372221327</v>
      </c>
      <c r="G335" s="7" t="s">
        <v>1123</v>
      </c>
      <c r="H335" s="24" t="s">
        <v>109</v>
      </c>
      <c r="I335" s="32" t="s">
        <v>152</v>
      </c>
    </row>
    <row r="336" spans="1:9" x14ac:dyDescent="0.35">
      <c r="A336" s="19">
        <v>46060</v>
      </c>
      <c r="B336" s="20">
        <v>1500000</v>
      </c>
      <c r="C336" s="20"/>
      <c r="D336" s="20"/>
      <c r="E336" s="234" t="s">
        <v>358</v>
      </c>
      <c r="F336" s="20">
        <f t="shared" si="4"/>
        <v>370721327</v>
      </c>
      <c r="G336" s="7" t="s">
        <v>1124</v>
      </c>
      <c r="H336" s="24" t="s">
        <v>499</v>
      </c>
      <c r="I336" s="32" t="s">
        <v>152</v>
      </c>
    </row>
    <row r="337" spans="1:9" x14ac:dyDescent="0.35">
      <c r="A337" s="19">
        <v>46060</v>
      </c>
      <c r="B337" s="20">
        <v>6500</v>
      </c>
      <c r="C337" s="20"/>
      <c r="D337" s="20"/>
      <c r="E337" s="234" t="s">
        <v>358</v>
      </c>
      <c r="F337" s="20">
        <f t="shared" si="4"/>
        <v>370714827</v>
      </c>
      <c r="G337" s="7" t="s">
        <v>1124</v>
      </c>
      <c r="H337" s="24" t="s">
        <v>322</v>
      </c>
      <c r="I337" s="32" t="s">
        <v>152</v>
      </c>
    </row>
    <row r="338" spans="1:9" x14ac:dyDescent="0.35">
      <c r="A338" s="19">
        <v>46061</v>
      </c>
      <c r="B338" s="20">
        <v>750000</v>
      </c>
      <c r="C338" s="20"/>
      <c r="D338" s="20"/>
      <c r="E338" s="234" t="s">
        <v>358</v>
      </c>
      <c r="F338" s="20">
        <f t="shared" si="4"/>
        <v>369964827</v>
      </c>
      <c r="G338" s="7" t="s">
        <v>1125</v>
      </c>
      <c r="H338" s="24" t="s">
        <v>323</v>
      </c>
      <c r="I338" s="32" t="s">
        <v>152</v>
      </c>
    </row>
    <row r="339" spans="1:9" x14ac:dyDescent="0.35">
      <c r="A339" s="19">
        <v>46061</v>
      </c>
      <c r="B339" s="20"/>
      <c r="C339" s="20"/>
      <c r="D339" s="20">
        <v>10000</v>
      </c>
      <c r="E339" s="234" t="s">
        <v>358</v>
      </c>
      <c r="F339" s="20">
        <f t="shared" si="4"/>
        <v>369974827</v>
      </c>
      <c r="G339" s="7" t="s">
        <v>330</v>
      </c>
      <c r="H339" s="24" t="s">
        <v>109</v>
      </c>
      <c r="I339" s="32" t="s">
        <v>152</v>
      </c>
    </row>
    <row r="340" spans="1:9" x14ac:dyDescent="0.35">
      <c r="A340" s="19">
        <v>46061</v>
      </c>
      <c r="B340" s="20"/>
      <c r="C340" s="20"/>
      <c r="D340" s="20">
        <v>25000</v>
      </c>
      <c r="E340" s="234" t="s">
        <v>358</v>
      </c>
      <c r="F340" s="20">
        <f t="shared" si="4"/>
        <v>369999827</v>
      </c>
      <c r="G340" s="7" t="s">
        <v>330</v>
      </c>
      <c r="H340" s="24" t="s">
        <v>109</v>
      </c>
      <c r="I340" s="32" t="s">
        <v>152</v>
      </c>
    </row>
    <row r="341" spans="1:9" x14ac:dyDescent="0.35">
      <c r="A341" s="19">
        <v>46061</v>
      </c>
      <c r="B341" s="20"/>
      <c r="C341" s="20"/>
      <c r="D341" s="20">
        <v>10000</v>
      </c>
      <c r="E341" s="234" t="s">
        <v>358</v>
      </c>
      <c r="F341" s="20">
        <f t="shared" si="4"/>
        <v>370009827</v>
      </c>
      <c r="G341" s="7" t="s">
        <v>330</v>
      </c>
      <c r="H341" s="24" t="s">
        <v>109</v>
      </c>
      <c r="I341" s="32" t="s">
        <v>152</v>
      </c>
    </row>
    <row r="342" spans="1:9" x14ac:dyDescent="0.35">
      <c r="A342" s="19">
        <v>46061</v>
      </c>
      <c r="B342" s="53">
        <v>300000</v>
      </c>
      <c r="C342" s="20"/>
      <c r="D342" s="20"/>
      <c r="E342" s="234" t="s">
        <v>358</v>
      </c>
      <c r="F342" s="20">
        <f t="shared" si="4"/>
        <v>369709827</v>
      </c>
      <c r="G342" s="7" t="s">
        <v>1126</v>
      </c>
      <c r="H342" s="24" t="s">
        <v>1051</v>
      </c>
      <c r="I342" s="32" t="s">
        <v>152</v>
      </c>
    </row>
    <row r="343" spans="1:9" x14ac:dyDescent="0.35">
      <c r="A343" s="19">
        <v>46061</v>
      </c>
      <c r="B343" s="20">
        <v>18022888</v>
      </c>
      <c r="C343" s="20"/>
      <c r="D343" s="20"/>
      <c r="E343" s="234" t="s">
        <v>358</v>
      </c>
      <c r="F343" s="20">
        <f t="shared" si="4"/>
        <v>351686939</v>
      </c>
      <c r="G343" s="7" t="s">
        <v>1127</v>
      </c>
      <c r="H343" s="24" t="s">
        <v>1051</v>
      </c>
      <c r="I343" s="32" t="s">
        <v>152</v>
      </c>
    </row>
    <row r="344" spans="1:9" x14ac:dyDescent="0.35">
      <c r="A344" s="19">
        <v>46061</v>
      </c>
      <c r="B344" s="20">
        <v>6500</v>
      </c>
      <c r="C344" s="20"/>
      <c r="D344" s="20"/>
      <c r="E344" s="234" t="s">
        <v>358</v>
      </c>
      <c r="F344" s="20">
        <f t="shared" ref="F344" si="5">+F343+D344-B344</f>
        <v>351680439</v>
      </c>
      <c r="G344" s="7" t="s">
        <v>1127</v>
      </c>
      <c r="H344" s="24" t="s">
        <v>499</v>
      </c>
      <c r="I344" s="32" t="s">
        <v>152</v>
      </c>
    </row>
    <row r="345" spans="1:9" x14ac:dyDescent="0.35">
      <c r="A345" s="19">
        <v>46062</v>
      </c>
      <c r="B345" s="20"/>
      <c r="C345" s="20"/>
      <c r="D345" s="20">
        <v>25000</v>
      </c>
      <c r="E345" s="234" t="s">
        <v>358</v>
      </c>
      <c r="F345" s="20">
        <f t="shared" ref="F345:F410" si="6">+F344+D345-B345</f>
        <v>351705439</v>
      </c>
      <c r="G345" s="7" t="s">
        <v>330</v>
      </c>
      <c r="H345" s="24" t="s">
        <v>109</v>
      </c>
      <c r="I345" s="32" t="s">
        <v>152</v>
      </c>
    </row>
    <row r="346" spans="1:9" x14ac:dyDescent="0.35">
      <c r="A346" s="19">
        <v>46062</v>
      </c>
      <c r="B346" s="20"/>
      <c r="C346" s="20"/>
      <c r="D346" s="20">
        <v>1066000</v>
      </c>
      <c r="E346" s="234" t="s">
        <v>358</v>
      </c>
      <c r="F346" s="20">
        <f t="shared" si="6"/>
        <v>352771439</v>
      </c>
      <c r="G346" s="7"/>
      <c r="H346" s="24" t="s">
        <v>107</v>
      </c>
      <c r="I346" s="32" t="s">
        <v>152</v>
      </c>
    </row>
    <row r="347" spans="1:9" x14ac:dyDescent="0.35">
      <c r="A347" s="19">
        <v>46062</v>
      </c>
      <c r="B347" s="20"/>
      <c r="C347" s="20"/>
      <c r="D347" s="20">
        <f>1785000-850000</f>
        <v>935000</v>
      </c>
      <c r="E347" s="234" t="s">
        <v>358</v>
      </c>
      <c r="F347" s="20">
        <f t="shared" si="6"/>
        <v>353706439</v>
      </c>
      <c r="G347" s="7"/>
      <c r="H347" s="24" t="s">
        <v>109</v>
      </c>
      <c r="I347" s="32" t="s">
        <v>152</v>
      </c>
    </row>
    <row r="348" spans="1:9" x14ac:dyDescent="0.35">
      <c r="A348" s="19"/>
      <c r="B348" s="20"/>
      <c r="C348" s="20">
        <v>2001000</v>
      </c>
      <c r="D348" s="20"/>
      <c r="E348" s="234"/>
      <c r="F348" s="20">
        <f t="shared" si="6"/>
        <v>353706439</v>
      </c>
      <c r="G348" s="7" t="s">
        <v>1128</v>
      </c>
      <c r="H348" s="24"/>
      <c r="I348" s="32"/>
    </row>
    <row r="349" spans="1:9" x14ac:dyDescent="0.35">
      <c r="A349" s="19">
        <v>46063</v>
      </c>
      <c r="B349" s="20"/>
      <c r="C349" s="20"/>
      <c r="D349" s="20">
        <v>20000</v>
      </c>
      <c r="E349" s="234" t="s">
        <v>358</v>
      </c>
      <c r="F349" s="20">
        <f t="shared" si="6"/>
        <v>353726439</v>
      </c>
      <c r="G349" s="7" t="s">
        <v>330</v>
      </c>
      <c r="H349" s="24" t="s">
        <v>109</v>
      </c>
      <c r="I349" s="32" t="s">
        <v>152</v>
      </c>
    </row>
    <row r="350" spans="1:9" x14ac:dyDescent="0.35">
      <c r="A350" s="19">
        <v>46063</v>
      </c>
      <c r="B350" s="20"/>
      <c r="C350" s="20"/>
      <c r="D350" s="20">
        <v>10000</v>
      </c>
      <c r="E350" s="234" t="s">
        <v>358</v>
      </c>
      <c r="F350" s="20">
        <f t="shared" si="6"/>
        <v>353736439</v>
      </c>
      <c r="G350" s="7" t="s">
        <v>330</v>
      </c>
      <c r="H350" s="24" t="s">
        <v>109</v>
      </c>
      <c r="I350" s="32" t="s">
        <v>152</v>
      </c>
    </row>
    <row r="351" spans="1:9" x14ac:dyDescent="0.35">
      <c r="A351" s="19">
        <v>46064</v>
      </c>
      <c r="B351" s="20"/>
      <c r="C351" s="20"/>
      <c r="D351" s="20">
        <v>1011</v>
      </c>
      <c r="E351" s="234" t="s">
        <v>358</v>
      </c>
      <c r="F351" s="20">
        <f t="shared" si="6"/>
        <v>353737450</v>
      </c>
      <c r="G351" s="7" t="s">
        <v>330</v>
      </c>
      <c r="H351" s="24" t="s">
        <v>109</v>
      </c>
      <c r="I351" s="32" t="s">
        <v>152</v>
      </c>
    </row>
    <row r="352" spans="1:9" x14ac:dyDescent="0.35">
      <c r="A352" s="19">
        <v>46064</v>
      </c>
      <c r="B352" s="20"/>
      <c r="C352" s="20"/>
      <c r="D352" s="20">
        <v>20000</v>
      </c>
      <c r="E352" s="234" t="s">
        <v>358</v>
      </c>
      <c r="F352" s="20">
        <f t="shared" si="6"/>
        <v>353757450</v>
      </c>
      <c r="G352" s="7" t="s">
        <v>330</v>
      </c>
      <c r="H352" s="24" t="s">
        <v>109</v>
      </c>
      <c r="I352" s="32" t="s">
        <v>152</v>
      </c>
    </row>
    <row r="353" spans="1:9" x14ac:dyDescent="0.35">
      <c r="A353" s="19">
        <v>46064</v>
      </c>
      <c r="B353" s="20"/>
      <c r="C353" s="20"/>
      <c r="D353" s="20">
        <v>10000</v>
      </c>
      <c r="E353" s="234" t="s">
        <v>358</v>
      </c>
      <c r="F353" s="20">
        <f t="shared" si="6"/>
        <v>353767450</v>
      </c>
      <c r="G353" s="7" t="s">
        <v>330</v>
      </c>
      <c r="H353" s="24" t="s">
        <v>109</v>
      </c>
      <c r="I353" s="32" t="s">
        <v>152</v>
      </c>
    </row>
    <row r="354" spans="1:9" x14ac:dyDescent="0.35">
      <c r="A354" s="19">
        <v>46065</v>
      </c>
      <c r="B354" s="20">
        <v>1300000</v>
      </c>
      <c r="C354" s="20"/>
      <c r="D354" s="20"/>
      <c r="E354" s="234" t="s">
        <v>358</v>
      </c>
      <c r="F354" s="20">
        <f t="shared" si="6"/>
        <v>352467450</v>
      </c>
      <c r="G354" s="7" t="s">
        <v>1129</v>
      </c>
      <c r="H354" s="24" t="s">
        <v>202</v>
      </c>
      <c r="I354" s="32" t="s">
        <v>152</v>
      </c>
    </row>
    <row r="355" spans="1:9" x14ac:dyDescent="0.35">
      <c r="A355" s="19">
        <v>46065</v>
      </c>
      <c r="B355" s="20">
        <v>6500</v>
      </c>
      <c r="C355" s="20"/>
      <c r="D355" s="20"/>
      <c r="E355" s="234" t="s">
        <v>358</v>
      </c>
      <c r="F355" s="20">
        <f t="shared" si="6"/>
        <v>352460950</v>
      </c>
      <c r="G355" s="7" t="s">
        <v>1129</v>
      </c>
      <c r="H355" s="24" t="s">
        <v>202</v>
      </c>
      <c r="I355" s="32" t="s">
        <v>152</v>
      </c>
    </row>
    <row r="356" spans="1:9" x14ac:dyDescent="0.35">
      <c r="A356" s="19">
        <v>46065</v>
      </c>
      <c r="B356" s="20">
        <v>5298550</v>
      </c>
      <c r="C356" s="20"/>
      <c r="D356" s="20"/>
      <c r="E356" s="234" t="s">
        <v>358</v>
      </c>
      <c r="F356" s="20">
        <f t="shared" si="6"/>
        <v>347162400</v>
      </c>
      <c r="G356" s="7"/>
      <c r="H356" s="24" t="s">
        <v>202</v>
      </c>
      <c r="I356" s="32" t="s">
        <v>152</v>
      </c>
    </row>
    <row r="357" spans="1:9" x14ac:dyDescent="0.35">
      <c r="A357" s="19">
        <v>46065</v>
      </c>
      <c r="B357" s="20">
        <v>2451450</v>
      </c>
      <c r="C357" s="20"/>
      <c r="D357" s="20"/>
      <c r="E357" s="234" t="s">
        <v>358</v>
      </c>
      <c r="F357" s="20">
        <f t="shared" si="6"/>
        <v>344710950</v>
      </c>
      <c r="G357" s="7"/>
      <c r="H357" s="24" t="s">
        <v>322</v>
      </c>
      <c r="I357" s="32" t="s">
        <v>152</v>
      </c>
    </row>
    <row r="358" spans="1:9" x14ac:dyDescent="0.35">
      <c r="A358" s="19"/>
      <c r="B358" s="20"/>
      <c r="C358" s="20">
        <v>7750000</v>
      </c>
      <c r="D358" s="20"/>
      <c r="E358" s="234"/>
      <c r="F358" s="20">
        <f t="shared" si="6"/>
        <v>344710950</v>
      </c>
      <c r="G358" s="7" t="s">
        <v>1130</v>
      </c>
      <c r="H358" s="24"/>
      <c r="I358" s="32"/>
    </row>
    <row r="359" spans="1:9" x14ac:dyDescent="0.35">
      <c r="A359" s="19">
        <v>46065</v>
      </c>
      <c r="B359" s="20">
        <v>6500</v>
      </c>
      <c r="C359" s="20"/>
      <c r="D359" s="20"/>
      <c r="E359" s="234" t="s">
        <v>358</v>
      </c>
      <c r="F359" s="20">
        <f t="shared" si="6"/>
        <v>344704450</v>
      </c>
      <c r="G359" s="7" t="s">
        <v>1130</v>
      </c>
      <c r="H359" s="24" t="s">
        <v>320</v>
      </c>
      <c r="I359" s="32" t="s">
        <v>152</v>
      </c>
    </row>
    <row r="360" spans="1:9" x14ac:dyDescent="0.35">
      <c r="A360" s="19">
        <v>46065</v>
      </c>
      <c r="B360" s="53">
        <v>2725000</v>
      </c>
      <c r="C360" s="38"/>
      <c r="D360" s="20"/>
      <c r="E360" s="234" t="s">
        <v>358</v>
      </c>
      <c r="F360" s="20">
        <f t="shared" si="6"/>
        <v>341979450</v>
      </c>
      <c r="G360" s="7" t="s">
        <v>1131</v>
      </c>
      <c r="H360" s="24" t="s">
        <v>1051</v>
      </c>
      <c r="I360" s="32" t="s">
        <v>152</v>
      </c>
    </row>
    <row r="361" spans="1:9" x14ac:dyDescent="0.35">
      <c r="A361" s="19">
        <v>46065</v>
      </c>
      <c r="B361" s="20">
        <v>6500</v>
      </c>
      <c r="C361" s="20"/>
      <c r="D361" s="20"/>
      <c r="E361" s="234" t="s">
        <v>358</v>
      </c>
      <c r="F361" s="20">
        <f t="shared" si="6"/>
        <v>341972950</v>
      </c>
      <c r="G361" s="7" t="s">
        <v>1131</v>
      </c>
      <c r="H361" s="24" t="s">
        <v>499</v>
      </c>
      <c r="I361" s="32" t="s">
        <v>152</v>
      </c>
    </row>
    <row r="362" spans="1:9" x14ac:dyDescent="0.35">
      <c r="A362" s="19">
        <v>46065</v>
      </c>
      <c r="B362" s="20"/>
      <c r="C362" s="20"/>
      <c r="D362" s="20">
        <v>150000</v>
      </c>
      <c r="E362" s="234" t="s">
        <v>358</v>
      </c>
      <c r="F362" s="20">
        <f t="shared" si="6"/>
        <v>342122950</v>
      </c>
      <c r="G362" s="7" t="s">
        <v>603</v>
      </c>
      <c r="H362" s="24" t="s">
        <v>109</v>
      </c>
      <c r="I362" s="32" t="s">
        <v>152</v>
      </c>
    </row>
    <row r="363" spans="1:9" x14ac:dyDescent="0.35">
      <c r="A363" s="19">
        <v>46066</v>
      </c>
      <c r="B363" s="20"/>
      <c r="C363" s="20"/>
      <c r="D363" s="20">
        <v>10000</v>
      </c>
      <c r="E363" s="234" t="s">
        <v>358</v>
      </c>
      <c r="F363" s="20">
        <f t="shared" si="6"/>
        <v>342132950</v>
      </c>
      <c r="G363" s="7" t="s">
        <v>330</v>
      </c>
      <c r="H363" s="24" t="s">
        <v>109</v>
      </c>
      <c r="I363" s="32" t="s">
        <v>152</v>
      </c>
    </row>
    <row r="364" spans="1:9" x14ac:dyDescent="0.35">
      <c r="A364" s="19">
        <v>46066</v>
      </c>
      <c r="B364" s="20"/>
      <c r="C364" s="20"/>
      <c r="D364" s="20">
        <v>20000</v>
      </c>
      <c r="E364" s="234" t="s">
        <v>358</v>
      </c>
      <c r="F364" s="20">
        <f t="shared" si="6"/>
        <v>342152950</v>
      </c>
      <c r="G364" s="7" t="s">
        <v>330</v>
      </c>
      <c r="H364" s="24" t="s">
        <v>109</v>
      </c>
      <c r="I364" s="32" t="s">
        <v>152</v>
      </c>
    </row>
    <row r="365" spans="1:9" x14ac:dyDescent="0.35">
      <c r="A365" s="19">
        <v>46066</v>
      </c>
      <c r="B365" s="20"/>
      <c r="C365" s="20"/>
      <c r="D365" s="20">
        <v>5000</v>
      </c>
      <c r="E365" s="234" t="s">
        <v>358</v>
      </c>
      <c r="F365" s="20">
        <f t="shared" si="6"/>
        <v>342157950</v>
      </c>
      <c r="G365" s="7" t="s">
        <v>330</v>
      </c>
      <c r="H365" s="24" t="s">
        <v>109</v>
      </c>
      <c r="I365" s="32" t="s">
        <v>152</v>
      </c>
    </row>
    <row r="366" spans="1:9" x14ac:dyDescent="0.35">
      <c r="A366" s="19">
        <v>46066</v>
      </c>
      <c r="B366" s="53">
        <v>180780000</v>
      </c>
      <c r="C366" s="20"/>
      <c r="D366" s="20"/>
      <c r="E366" s="234" t="s">
        <v>358</v>
      </c>
      <c r="F366" s="20">
        <f t="shared" si="6"/>
        <v>161377950</v>
      </c>
      <c r="G366" s="7" t="s">
        <v>1140</v>
      </c>
      <c r="H366" s="24" t="s">
        <v>1051</v>
      </c>
      <c r="I366" s="32" t="s">
        <v>152</v>
      </c>
    </row>
    <row r="367" spans="1:9" x14ac:dyDescent="0.35">
      <c r="A367" s="19">
        <v>46066</v>
      </c>
      <c r="B367" s="20">
        <v>2500</v>
      </c>
      <c r="C367" s="20"/>
      <c r="D367" s="20"/>
      <c r="E367" s="234" t="s">
        <v>358</v>
      </c>
      <c r="F367" s="20">
        <f t="shared" si="6"/>
        <v>161375450</v>
      </c>
      <c r="G367" s="7" t="s">
        <v>1140</v>
      </c>
      <c r="H367" s="24" t="s">
        <v>499</v>
      </c>
      <c r="I367" s="32" t="s">
        <v>152</v>
      </c>
    </row>
    <row r="368" spans="1:9" x14ac:dyDescent="0.35">
      <c r="A368" s="19">
        <v>46067</v>
      </c>
      <c r="B368" s="20"/>
      <c r="C368" s="20"/>
      <c r="D368" s="20">
        <v>50000</v>
      </c>
      <c r="E368" s="234" t="s">
        <v>358</v>
      </c>
      <c r="F368" s="20">
        <f t="shared" si="6"/>
        <v>161425450</v>
      </c>
      <c r="G368" s="7" t="s">
        <v>330</v>
      </c>
      <c r="H368" s="24" t="s">
        <v>109</v>
      </c>
      <c r="I368" s="32" t="s">
        <v>152</v>
      </c>
    </row>
    <row r="369" spans="1:9" x14ac:dyDescent="0.35">
      <c r="A369" s="19">
        <v>46067</v>
      </c>
      <c r="B369" s="20"/>
      <c r="C369" s="20"/>
      <c r="D369" s="20">
        <v>50000</v>
      </c>
      <c r="E369" s="234" t="s">
        <v>358</v>
      </c>
      <c r="F369" s="20">
        <f t="shared" si="6"/>
        <v>161475450</v>
      </c>
      <c r="G369" s="7" t="s">
        <v>330</v>
      </c>
      <c r="H369" s="24" t="s">
        <v>109</v>
      </c>
      <c r="I369" s="32" t="s">
        <v>152</v>
      </c>
    </row>
    <row r="370" spans="1:9" x14ac:dyDescent="0.35">
      <c r="A370" s="19">
        <v>46067</v>
      </c>
      <c r="B370" s="20"/>
      <c r="C370" s="20"/>
      <c r="D370" s="20">
        <v>25000</v>
      </c>
      <c r="E370" s="234" t="s">
        <v>358</v>
      </c>
      <c r="F370" s="20">
        <f t="shared" si="6"/>
        <v>161500450</v>
      </c>
      <c r="G370" s="7" t="s">
        <v>330</v>
      </c>
      <c r="H370" s="24" t="s">
        <v>109</v>
      </c>
      <c r="I370" s="32" t="s">
        <v>152</v>
      </c>
    </row>
    <row r="371" spans="1:9" x14ac:dyDescent="0.35">
      <c r="A371" s="19">
        <v>46067</v>
      </c>
      <c r="B371" s="20"/>
      <c r="C371" s="20"/>
      <c r="D371" s="20">
        <v>200000</v>
      </c>
      <c r="E371" s="234" t="s">
        <v>358</v>
      </c>
      <c r="F371" s="20">
        <f t="shared" si="6"/>
        <v>161700450</v>
      </c>
      <c r="G371" s="7" t="s">
        <v>330</v>
      </c>
      <c r="H371" s="24" t="s">
        <v>109</v>
      </c>
      <c r="I371" s="32" t="s">
        <v>152</v>
      </c>
    </row>
    <row r="372" spans="1:9" x14ac:dyDescent="0.35">
      <c r="A372" s="19">
        <v>46067</v>
      </c>
      <c r="B372" s="20"/>
      <c r="C372" s="20"/>
      <c r="D372" s="20">
        <v>20000</v>
      </c>
      <c r="E372" s="234" t="s">
        <v>358</v>
      </c>
      <c r="F372" s="20">
        <f t="shared" si="6"/>
        <v>161720450</v>
      </c>
      <c r="G372" s="7" t="s">
        <v>330</v>
      </c>
      <c r="H372" s="24" t="s">
        <v>109</v>
      </c>
      <c r="I372" s="32" t="s">
        <v>152</v>
      </c>
    </row>
    <row r="373" spans="1:9" x14ac:dyDescent="0.35">
      <c r="A373" s="19">
        <v>46067</v>
      </c>
      <c r="B373" s="20"/>
      <c r="C373" s="20"/>
      <c r="D373" s="20">
        <v>100000</v>
      </c>
      <c r="E373" s="234" t="s">
        <v>358</v>
      </c>
      <c r="F373" s="20">
        <f t="shared" si="6"/>
        <v>161820450</v>
      </c>
      <c r="G373" s="7" t="s">
        <v>330</v>
      </c>
      <c r="H373" s="24" t="s">
        <v>109</v>
      </c>
      <c r="I373" s="32" t="s">
        <v>152</v>
      </c>
    </row>
    <row r="374" spans="1:9" x14ac:dyDescent="0.35">
      <c r="A374" s="19">
        <v>46067</v>
      </c>
      <c r="B374" s="20"/>
      <c r="C374" s="20"/>
      <c r="D374" s="20">
        <v>10000</v>
      </c>
      <c r="E374" s="234" t="s">
        <v>358</v>
      </c>
      <c r="F374" s="20">
        <f t="shared" si="6"/>
        <v>161830450</v>
      </c>
      <c r="G374" s="7" t="s">
        <v>330</v>
      </c>
      <c r="H374" s="24" t="s">
        <v>109</v>
      </c>
      <c r="I374" s="32" t="s">
        <v>152</v>
      </c>
    </row>
    <row r="375" spans="1:9" x14ac:dyDescent="0.35">
      <c r="A375" s="19">
        <v>46067</v>
      </c>
      <c r="B375" s="20"/>
      <c r="C375" s="20"/>
      <c r="D375" s="20">
        <v>20000</v>
      </c>
      <c r="E375" s="234" t="s">
        <v>358</v>
      </c>
      <c r="F375" s="20">
        <f t="shared" si="6"/>
        <v>161850450</v>
      </c>
      <c r="G375" s="7" t="s">
        <v>330</v>
      </c>
      <c r="H375" s="24" t="s">
        <v>109</v>
      </c>
      <c r="I375" s="32" t="s">
        <v>152</v>
      </c>
    </row>
    <row r="376" spans="1:9" x14ac:dyDescent="0.35">
      <c r="A376" s="19">
        <v>46068</v>
      </c>
      <c r="B376" s="20"/>
      <c r="C376" s="20"/>
      <c r="D376" s="20">
        <v>10000</v>
      </c>
      <c r="E376" s="234" t="s">
        <v>358</v>
      </c>
      <c r="F376" s="20">
        <f t="shared" si="6"/>
        <v>161860450</v>
      </c>
      <c r="G376" s="7" t="s">
        <v>330</v>
      </c>
      <c r="H376" s="24" t="s">
        <v>109</v>
      </c>
      <c r="I376" s="32" t="s">
        <v>152</v>
      </c>
    </row>
    <row r="377" spans="1:9" x14ac:dyDescent="0.35">
      <c r="A377" s="19">
        <v>46068</v>
      </c>
      <c r="B377" s="20"/>
      <c r="C377" s="20"/>
      <c r="D377" s="20">
        <v>20000</v>
      </c>
      <c r="E377" s="234" t="s">
        <v>358</v>
      </c>
      <c r="F377" s="20">
        <f t="shared" si="6"/>
        <v>161880450</v>
      </c>
      <c r="G377" s="7" t="s">
        <v>330</v>
      </c>
      <c r="H377" s="24" t="s">
        <v>109</v>
      </c>
      <c r="I377" s="32" t="s">
        <v>152</v>
      </c>
    </row>
    <row r="378" spans="1:9" x14ac:dyDescent="0.35">
      <c r="A378" s="19">
        <v>46068</v>
      </c>
      <c r="B378" s="20"/>
      <c r="C378" s="20"/>
      <c r="D378" s="20">
        <v>10000</v>
      </c>
      <c r="E378" s="234" t="s">
        <v>358</v>
      </c>
      <c r="F378" s="20">
        <f t="shared" si="6"/>
        <v>161890450</v>
      </c>
      <c r="G378" s="7" t="s">
        <v>330</v>
      </c>
      <c r="H378" s="24" t="s">
        <v>109</v>
      </c>
      <c r="I378" s="32" t="s">
        <v>152</v>
      </c>
    </row>
    <row r="379" spans="1:9" x14ac:dyDescent="0.35">
      <c r="A379" s="19">
        <v>46068</v>
      </c>
      <c r="B379" s="20"/>
      <c r="C379" s="20"/>
      <c r="D379" s="20">
        <v>1011</v>
      </c>
      <c r="E379" s="234" t="s">
        <v>358</v>
      </c>
      <c r="F379" s="20">
        <f t="shared" si="6"/>
        <v>161891461</v>
      </c>
      <c r="G379" s="7" t="s">
        <v>330</v>
      </c>
      <c r="H379" s="24" t="s">
        <v>109</v>
      </c>
      <c r="I379" s="32" t="s">
        <v>152</v>
      </c>
    </row>
    <row r="380" spans="1:9" x14ac:dyDescent="0.35">
      <c r="A380" s="19">
        <v>46068</v>
      </c>
      <c r="B380" s="20"/>
      <c r="C380" s="20"/>
      <c r="D380" s="20">
        <v>2520005</v>
      </c>
      <c r="E380" s="234" t="s">
        <v>358</v>
      </c>
      <c r="F380" s="20">
        <f t="shared" si="6"/>
        <v>164411466</v>
      </c>
      <c r="G380" s="7" t="s">
        <v>1141</v>
      </c>
      <c r="H380" s="24" t="s">
        <v>1052</v>
      </c>
      <c r="I380" s="32" t="s">
        <v>152</v>
      </c>
    </row>
    <row r="381" spans="1:9" x14ac:dyDescent="0.35">
      <c r="A381" s="19">
        <v>46069</v>
      </c>
      <c r="B381" s="20"/>
      <c r="C381" s="20"/>
      <c r="D381" s="20">
        <v>20000</v>
      </c>
      <c r="E381" s="234" t="s">
        <v>358</v>
      </c>
      <c r="F381" s="20">
        <f t="shared" si="6"/>
        <v>164431466</v>
      </c>
      <c r="G381" s="7" t="s">
        <v>330</v>
      </c>
      <c r="H381" s="24" t="s">
        <v>109</v>
      </c>
      <c r="I381" s="32" t="s">
        <v>152</v>
      </c>
    </row>
    <row r="382" spans="1:9" x14ac:dyDescent="0.35">
      <c r="A382" s="19">
        <v>46069</v>
      </c>
      <c r="B382" s="20"/>
      <c r="C382" s="20"/>
      <c r="D382" s="20">
        <v>50000</v>
      </c>
      <c r="E382" s="234" t="s">
        <v>358</v>
      </c>
      <c r="F382" s="20">
        <f t="shared" si="6"/>
        <v>164481466</v>
      </c>
      <c r="G382" s="7" t="s">
        <v>330</v>
      </c>
      <c r="H382" s="24" t="s">
        <v>109</v>
      </c>
      <c r="I382" s="32" t="s">
        <v>152</v>
      </c>
    </row>
    <row r="383" spans="1:9" x14ac:dyDescent="0.35">
      <c r="A383" s="19">
        <v>46070</v>
      </c>
      <c r="B383" s="20"/>
      <c r="C383" s="20"/>
      <c r="D383" s="20">
        <v>20000</v>
      </c>
      <c r="E383" s="234" t="s">
        <v>358</v>
      </c>
      <c r="F383" s="20">
        <f t="shared" si="6"/>
        <v>164501466</v>
      </c>
      <c r="G383" s="7" t="s">
        <v>330</v>
      </c>
      <c r="H383" s="24" t="s">
        <v>109</v>
      </c>
      <c r="I383" s="32" t="s">
        <v>152</v>
      </c>
    </row>
    <row r="384" spans="1:9" x14ac:dyDescent="0.35">
      <c r="A384" s="19">
        <v>46070</v>
      </c>
      <c r="B384" s="20">
        <v>2800000</v>
      </c>
      <c r="C384" s="20"/>
      <c r="D384" s="20"/>
      <c r="E384" s="234" t="s">
        <v>358</v>
      </c>
      <c r="F384" s="20">
        <f t="shared" si="6"/>
        <v>161701466</v>
      </c>
      <c r="G384" s="7" t="s">
        <v>1142</v>
      </c>
      <c r="H384" s="24" t="s">
        <v>322</v>
      </c>
      <c r="I384" s="32" t="s">
        <v>152</v>
      </c>
    </row>
    <row r="385" spans="1:9" x14ac:dyDescent="0.35">
      <c r="A385" s="19">
        <v>46070</v>
      </c>
      <c r="B385" s="20">
        <v>6500</v>
      </c>
      <c r="C385" s="20"/>
      <c r="D385" s="20"/>
      <c r="E385" s="234" t="s">
        <v>358</v>
      </c>
      <c r="F385" s="20">
        <f t="shared" si="6"/>
        <v>161694966</v>
      </c>
      <c r="G385" s="7" t="s">
        <v>1142</v>
      </c>
      <c r="H385" s="24" t="s">
        <v>322</v>
      </c>
      <c r="I385" s="32" t="s">
        <v>152</v>
      </c>
    </row>
    <row r="386" spans="1:9" x14ac:dyDescent="0.35">
      <c r="A386" s="19">
        <v>46071</v>
      </c>
      <c r="B386" s="20"/>
      <c r="C386" s="20"/>
      <c r="D386" s="20">
        <v>20000</v>
      </c>
      <c r="E386" s="234" t="s">
        <v>358</v>
      </c>
      <c r="F386" s="20">
        <f t="shared" si="6"/>
        <v>161714966</v>
      </c>
      <c r="G386" s="7" t="s">
        <v>330</v>
      </c>
      <c r="H386" s="24" t="s">
        <v>109</v>
      </c>
      <c r="I386" s="32" t="s">
        <v>152</v>
      </c>
    </row>
    <row r="387" spans="1:9" x14ac:dyDescent="0.35">
      <c r="A387" s="19">
        <v>46071</v>
      </c>
      <c r="B387" s="20">
        <v>1000000</v>
      </c>
      <c r="C387" s="20"/>
      <c r="D387" s="20"/>
      <c r="E387" s="234" t="s">
        <v>358</v>
      </c>
      <c r="F387" s="20">
        <f t="shared" si="6"/>
        <v>160714966</v>
      </c>
      <c r="G387" s="7" t="s">
        <v>1143</v>
      </c>
      <c r="H387" s="24" t="s">
        <v>203</v>
      </c>
      <c r="I387" s="32" t="s">
        <v>152</v>
      </c>
    </row>
    <row r="388" spans="1:9" x14ac:dyDescent="0.35">
      <c r="A388" s="19">
        <v>46071</v>
      </c>
      <c r="B388" s="20">
        <v>2500</v>
      </c>
      <c r="C388" s="20"/>
      <c r="D388" s="20"/>
      <c r="E388" s="234" t="s">
        <v>358</v>
      </c>
      <c r="F388" s="20">
        <f t="shared" si="6"/>
        <v>160712466</v>
      </c>
      <c r="G388" s="7" t="s">
        <v>1143</v>
      </c>
      <c r="H388" s="24" t="s">
        <v>203</v>
      </c>
      <c r="I388" s="32" t="s">
        <v>152</v>
      </c>
    </row>
    <row r="389" spans="1:9" x14ac:dyDescent="0.35">
      <c r="A389" s="19">
        <v>46071</v>
      </c>
      <c r="B389" s="20"/>
      <c r="C389" s="20"/>
      <c r="D389" s="20">
        <v>13000</v>
      </c>
      <c r="E389" s="234" t="s">
        <v>358</v>
      </c>
      <c r="F389" s="20">
        <f t="shared" si="6"/>
        <v>160725466</v>
      </c>
      <c r="G389" s="7" t="s">
        <v>306</v>
      </c>
      <c r="H389" s="24" t="s">
        <v>140</v>
      </c>
      <c r="I389" s="32" t="s">
        <v>152</v>
      </c>
    </row>
    <row r="390" spans="1:9" x14ac:dyDescent="0.35">
      <c r="A390" s="19">
        <v>46071</v>
      </c>
      <c r="B390" s="20"/>
      <c r="C390" s="20"/>
      <c r="D390" s="20">
        <f>3150000-850000</f>
        <v>2300000</v>
      </c>
      <c r="E390" s="234" t="s">
        <v>358</v>
      </c>
      <c r="F390" s="20">
        <f t="shared" si="6"/>
        <v>163025466</v>
      </c>
      <c r="G390" s="7"/>
      <c r="H390" s="24" t="s">
        <v>107</v>
      </c>
      <c r="I390" s="32" t="s">
        <v>152</v>
      </c>
    </row>
    <row r="391" spans="1:9" x14ac:dyDescent="0.35">
      <c r="A391" s="19">
        <v>46071</v>
      </c>
      <c r="B391" s="20"/>
      <c r="C391" s="20"/>
      <c r="D391" s="20">
        <v>457000</v>
      </c>
      <c r="E391" s="234" t="s">
        <v>358</v>
      </c>
      <c r="F391" s="20">
        <f t="shared" si="6"/>
        <v>163482466</v>
      </c>
      <c r="G391" s="7"/>
      <c r="H391" s="24" t="s">
        <v>109</v>
      </c>
      <c r="I391" s="32" t="s">
        <v>152</v>
      </c>
    </row>
    <row r="392" spans="1:9" x14ac:dyDescent="0.35">
      <c r="A392" s="19">
        <v>46071</v>
      </c>
      <c r="B392" s="20"/>
      <c r="C392" s="20"/>
      <c r="D392" s="20">
        <v>170000</v>
      </c>
      <c r="E392" s="234" t="s">
        <v>358</v>
      </c>
      <c r="F392" s="20">
        <f t="shared" si="6"/>
        <v>163652466</v>
      </c>
      <c r="G392" s="7"/>
      <c r="H392" s="24" t="s">
        <v>1052</v>
      </c>
      <c r="I392" s="32" t="s">
        <v>152</v>
      </c>
    </row>
    <row r="393" spans="1:9" x14ac:dyDescent="0.35">
      <c r="A393" s="19"/>
      <c r="B393" s="20"/>
      <c r="C393" s="20">
        <v>2927000</v>
      </c>
      <c r="D393" s="20"/>
      <c r="E393" s="234"/>
      <c r="F393" s="20">
        <f t="shared" si="6"/>
        <v>163652466</v>
      </c>
      <c r="G393" s="7" t="s">
        <v>874</v>
      </c>
      <c r="H393" s="24"/>
      <c r="I393" s="32"/>
    </row>
    <row r="394" spans="1:9" x14ac:dyDescent="0.35">
      <c r="A394" s="19">
        <v>46071</v>
      </c>
      <c r="B394" s="20">
        <v>600000</v>
      </c>
      <c r="C394" s="20"/>
      <c r="D394" s="20"/>
      <c r="E394" s="234" t="s">
        <v>358</v>
      </c>
      <c r="F394" s="20">
        <f t="shared" si="6"/>
        <v>163052466</v>
      </c>
      <c r="G394" s="7" t="s">
        <v>1144</v>
      </c>
      <c r="H394" s="24" t="s">
        <v>200</v>
      </c>
      <c r="I394" s="32" t="s">
        <v>152</v>
      </c>
    </row>
    <row r="395" spans="1:9" x14ac:dyDescent="0.35">
      <c r="A395" s="19">
        <v>46071</v>
      </c>
      <c r="B395" s="20">
        <v>2500</v>
      </c>
      <c r="C395" s="20"/>
      <c r="D395" s="20"/>
      <c r="E395" s="234" t="s">
        <v>358</v>
      </c>
      <c r="F395" s="20">
        <f t="shared" si="6"/>
        <v>163049966</v>
      </c>
      <c r="G395" s="7" t="s">
        <v>1144</v>
      </c>
      <c r="H395" s="24" t="s">
        <v>320</v>
      </c>
      <c r="I395" s="32" t="s">
        <v>152</v>
      </c>
    </row>
    <row r="396" spans="1:9" x14ac:dyDescent="0.35">
      <c r="A396" s="19">
        <v>46071</v>
      </c>
      <c r="B396" s="20"/>
      <c r="C396" s="20"/>
      <c r="D396" s="20">
        <v>20000</v>
      </c>
      <c r="E396" s="234" t="s">
        <v>358</v>
      </c>
      <c r="F396" s="20">
        <f t="shared" si="6"/>
        <v>163069966</v>
      </c>
      <c r="G396" s="7" t="s">
        <v>1145</v>
      </c>
      <c r="H396" s="24" t="s">
        <v>109</v>
      </c>
      <c r="I396" s="32" t="s">
        <v>152</v>
      </c>
    </row>
    <row r="397" spans="1:9" x14ac:dyDescent="0.35">
      <c r="A397" s="19">
        <v>46071</v>
      </c>
      <c r="B397" s="20">
        <v>750000</v>
      </c>
      <c r="C397" s="20"/>
      <c r="D397" s="20"/>
      <c r="E397" s="234" t="s">
        <v>358</v>
      </c>
      <c r="F397" s="20">
        <f t="shared" si="6"/>
        <v>162319966</v>
      </c>
      <c r="G397" s="7" t="s">
        <v>1146</v>
      </c>
      <c r="H397" s="24" t="s">
        <v>323</v>
      </c>
      <c r="I397" s="32" t="s">
        <v>152</v>
      </c>
    </row>
    <row r="398" spans="1:9" x14ac:dyDescent="0.35">
      <c r="A398" s="19">
        <v>46071</v>
      </c>
      <c r="B398" s="20">
        <v>6500</v>
      </c>
      <c r="C398" s="20"/>
      <c r="D398" s="20"/>
      <c r="E398" s="234" t="s">
        <v>358</v>
      </c>
      <c r="F398" s="20">
        <f t="shared" si="6"/>
        <v>162313466</v>
      </c>
      <c r="G398" s="7" t="s">
        <v>1146</v>
      </c>
      <c r="H398" s="24" t="s">
        <v>323</v>
      </c>
      <c r="I398" s="32" t="s">
        <v>152</v>
      </c>
    </row>
    <row r="399" spans="1:9" x14ac:dyDescent="0.35">
      <c r="A399" s="19">
        <v>46072</v>
      </c>
      <c r="B399" s="20"/>
      <c r="C399" s="20"/>
      <c r="D399" s="20">
        <v>100000</v>
      </c>
      <c r="E399" s="234" t="s">
        <v>358</v>
      </c>
      <c r="F399" s="20">
        <f t="shared" si="6"/>
        <v>162413466</v>
      </c>
      <c r="G399" s="7" t="s">
        <v>330</v>
      </c>
      <c r="H399" s="24" t="s">
        <v>109</v>
      </c>
      <c r="I399" s="32" t="s">
        <v>152</v>
      </c>
    </row>
    <row r="400" spans="1:9" x14ac:dyDescent="0.35">
      <c r="A400" s="19">
        <v>46072</v>
      </c>
      <c r="B400" s="20"/>
      <c r="C400" s="20"/>
      <c r="D400" s="20">
        <v>10000</v>
      </c>
      <c r="E400" s="234" t="s">
        <v>358</v>
      </c>
      <c r="F400" s="20">
        <f t="shared" si="6"/>
        <v>162423466</v>
      </c>
      <c r="G400" s="7" t="s">
        <v>330</v>
      </c>
      <c r="H400" s="24" t="s">
        <v>109</v>
      </c>
      <c r="I400" s="32" t="s">
        <v>152</v>
      </c>
    </row>
    <row r="401" spans="1:9" x14ac:dyDescent="0.35">
      <c r="A401" s="19">
        <v>46072</v>
      </c>
      <c r="B401" s="20"/>
      <c r="C401" s="20"/>
      <c r="D401" s="20">
        <v>30000</v>
      </c>
      <c r="E401" s="234" t="s">
        <v>358</v>
      </c>
      <c r="F401" s="20">
        <f t="shared" si="6"/>
        <v>162453466</v>
      </c>
      <c r="G401" s="7" t="s">
        <v>330</v>
      </c>
      <c r="H401" s="24" t="s">
        <v>109</v>
      </c>
      <c r="I401" s="32" t="s">
        <v>152</v>
      </c>
    </row>
    <row r="402" spans="1:9" x14ac:dyDescent="0.35">
      <c r="A402" s="19">
        <v>46072</v>
      </c>
      <c r="B402" s="20"/>
      <c r="C402" s="20"/>
      <c r="D402" s="20">
        <v>10000</v>
      </c>
      <c r="E402" s="234" t="s">
        <v>358</v>
      </c>
      <c r="F402" s="20">
        <f t="shared" si="6"/>
        <v>162463466</v>
      </c>
      <c r="G402" s="7" t="s">
        <v>330</v>
      </c>
      <c r="H402" s="24" t="s">
        <v>109</v>
      </c>
      <c r="I402" s="32" t="s">
        <v>152</v>
      </c>
    </row>
    <row r="403" spans="1:9" x14ac:dyDescent="0.35">
      <c r="A403" s="19">
        <v>46072</v>
      </c>
      <c r="B403" s="20"/>
      <c r="C403" s="20"/>
      <c r="D403" s="20">
        <v>17000</v>
      </c>
      <c r="E403" s="234" t="s">
        <v>358</v>
      </c>
      <c r="F403" s="20">
        <f t="shared" si="6"/>
        <v>162480466</v>
      </c>
      <c r="G403" s="7" t="s">
        <v>330</v>
      </c>
      <c r="H403" s="24" t="s">
        <v>109</v>
      </c>
      <c r="I403" s="32" t="s">
        <v>152</v>
      </c>
    </row>
    <row r="404" spans="1:9" x14ac:dyDescent="0.35">
      <c r="A404" s="19">
        <v>46072</v>
      </c>
      <c r="B404" s="20"/>
      <c r="C404" s="20"/>
      <c r="D404" s="20">
        <v>2000</v>
      </c>
      <c r="E404" s="234" t="s">
        <v>358</v>
      </c>
      <c r="F404" s="20">
        <f t="shared" si="6"/>
        <v>162482466</v>
      </c>
      <c r="G404" s="7" t="s">
        <v>330</v>
      </c>
      <c r="H404" s="24" t="s">
        <v>109</v>
      </c>
      <c r="I404" s="32" t="s">
        <v>152</v>
      </c>
    </row>
    <row r="405" spans="1:9" x14ac:dyDescent="0.35">
      <c r="A405" s="19">
        <v>46072</v>
      </c>
      <c r="B405" s="20"/>
      <c r="C405" s="20"/>
      <c r="D405" s="20">
        <v>10000</v>
      </c>
      <c r="E405" s="234" t="s">
        <v>358</v>
      </c>
      <c r="F405" s="20">
        <f t="shared" si="6"/>
        <v>162492466</v>
      </c>
      <c r="G405" s="7" t="s">
        <v>330</v>
      </c>
      <c r="H405" s="24" t="s">
        <v>109</v>
      </c>
      <c r="I405" s="32" t="s">
        <v>152</v>
      </c>
    </row>
    <row r="406" spans="1:9" x14ac:dyDescent="0.35">
      <c r="A406" s="19">
        <v>46072</v>
      </c>
      <c r="B406" s="20"/>
      <c r="C406" s="20"/>
      <c r="D406" s="20">
        <v>10000</v>
      </c>
      <c r="E406" s="234" t="s">
        <v>358</v>
      </c>
      <c r="F406" s="20">
        <f t="shared" si="6"/>
        <v>162502466</v>
      </c>
      <c r="G406" s="7" t="s">
        <v>330</v>
      </c>
      <c r="H406" s="24" t="s">
        <v>109</v>
      </c>
      <c r="I406" s="32" t="s">
        <v>152</v>
      </c>
    </row>
    <row r="407" spans="1:9" x14ac:dyDescent="0.35">
      <c r="A407" s="19">
        <v>46072</v>
      </c>
      <c r="B407" s="20"/>
      <c r="C407" s="20"/>
      <c r="D407" s="20">
        <v>25000</v>
      </c>
      <c r="E407" s="234" t="s">
        <v>358</v>
      </c>
      <c r="F407" s="20">
        <f t="shared" si="6"/>
        <v>162527466</v>
      </c>
      <c r="G407" s="7" t="s">
        <v>330</v>
      </c>
      <c r="H407" s="24" t="s">
        <v>109</v>
      </c>
      <c r="I407" s="32" t="s">
        <v>152</v>
      </c>
    </row>
    <row r="408" spans="1:9" x14ac:dyDescent="0.35">
      <c r="A408" s="19">
        <v>46072</v>
      </c>
      <c r="B408" s="20"/>
      <c r="C408" s="20"/>
      <c r="D408" s="20">
        <v>5000</v>
      </c>
      <c r="E408" s="234" t="s">
        <v>358</v>
      </c>
      <c r="F408" s="20">
        <f t="shared" si="6"/>
        <v>162532466</v>
      </c>
      <c r="G408" s="7" t="s">
        <v>330</v>
      </c>
      <c r="H408" s="24" t="s">
        <v>109</v>
      </c>
      <c r="I408" s="32" t="s">
        <v>152</v>
      </c>
    </row>
    <row r="409" spans="1:9" x14ac:dyDescent="0.35">
      <c r="A409" s="19">
        <v>46072</v>
      </c>
      <c r="B409" s="20"/>
      <c r="C409" s="20"/>
      <c r="D409" s="20">
        <v>10000</v>
      </c>
      <c r="E409" s="234" t="s">
        <v>358</v>
      </c>
      <c r="F409" s="20">
        <f t="shared" si="6"/>
        <v>162542466</v>
      </c>
      <c r="G409" s="7" t="s">
        <v>330</v>
      </c>
      <c r="H409" s="24" t="s">
        <v>109</v>
      </c>
      <c r="I409" s="32" t="s">
        <v>152</v>
      </c>
    </row>
    <row r="410" spans="1:9" x14ac:dyDescent="0.35">
      <c r="A410" s="19">
        <v>46072</v>
      </c>
      <c r="B410" s="20"/>
      <c r="C410" s="20"/>
      <c r="D410" s="20">
        <v>20000</v>
      </c>
      <c r="E410" s="234" t="s">
        <v>358</v>
      </c>
      <c r="F410" s="20">
        <f t="shared" si="6"/>
        <v>162562466</v>
      </c>
      <c r="G410" s="7" t="s">
        <v>330</v>
      </c>
      <c r="H410" s="24" t="s">
        <v>109</v>
      </c>
      <c r="I410" s="32" t="s">
        <v>152</v>
      </c>
    </row>
    <row r="411" spans="1:9" x14ac:dyDescent="0.35">
      <c r="A411" s="19">
        <v>46072</v>
      </c>
      <c r="B411" s="20"/>
      <c r="C411" s="20"/>
      <c r="D411" s="20">
        <v>20000</v>
      </c>
      <c r="E411" s="234" t="s">
        <v>358</v>
      </c>
      <c r="F411" s="20">
        <f t="shared" ref="F411:F474" si="7">+F410+D411-B411</f>
        <v>162582466</v>
      </c>
      <c r="G411" s="7" t="s">
        <v>330</v>
      </c>
      <c r="H411" s="24" t="s">
        <v>109</v>
      </c>
      <c r="I411" s="32" t="s">
        <v>152</v>
      </c>
    </row>
    <row r="412" spans="1:9" x14ac:dyDescent="0.35">
      <c r="A412" s="19">
        <v>46072</v>
      </c>
      <c r="B412" s="20"/>
      <c r="C412" s="20"/>
      <c r="D412" s="20">
        <v>10000</v>
      </c>
      <c r="E412" s="234" t="s">
        <v>358</v>
      </c>
      <c r="F412" s="20">
        <f t="shared" si="7"/>
        <v>162592466</v>
      </c>
      <c r="G412" s="7" t="s">
        <v>330</v>
      </c>
      <c r="H412" s="24" t="s">
        <v>109</v>
      </c>
      <c r="I412" s="32" t="s">
        <v>152</v>
      </c>
    </row>
    <row r="413" spans="1:9" x14ac:dyDescent="0.35">
      <c r="A413" s="19">
        <v>46072</v>
      </c>
      <c r="B413" s="20"/>
      <c r="C413" s="20"/>
      <c r="D413" s="20">
        <v>100000</v>
      </c>
      <c r="E413" s="234" t="s">
        <v>358</v>
      </c>
      <c r="F413" s="20">
        <f t="shared" si="7"/>
        <v>162692466</v>
      </c>
      <c r="G413" s="7" t="s">
        <v>330</v>
      </c>
      <c r="H413" s="24" t="s">
        <v>109</v>
      </c>
      <c r="I413" s="32" t="s">
        <v>152</v>
      </c>
    </row>
    <row r="414" spans="1:9" x14ac:dyDescent="0.35">
      <c r="A414" s="19">
        <v>46072</v>
      </c>
      <c r="B414" s="20"/>
      <c r="C414" s="20"/>
      <c r="D414" s="20">
        <v>50000</v>
      </c>
      <c r="E414" s="234" t="s">
        <v>358</v>
      </c>
      <c r="F414" s="20">
        <f t="shared" si="7"/>
        <v>162742466</v>
      </c>
      <c r="G414" s="7" t="s">
        <v>330</v>
      </c>
      <c r="H414" s="24" t="s">
        <v>109</v>
      </c>
      <c r="I414" s="32" t="s">
        <v>152</v>
      </c>
    </row>
    <row r="415" spans="1:9" x14ac:dyDescent="0.35">
      <c r="A415" s="19">
        <v>46072</v>
      </c>
      <c r="B415" s="20"/>
      <c r="C415" s="20"/>
      <c r="D415" s="20">
        <v>10000</v>
      </c>
      <c r="E415" s="234" t="s">
        <v>358</v>
      </c>
      <c r="F415" s="20">
        <f t="shared" si="7"/>
        <v>162752466</v>
      </c>
      <c r="G415" s="7" t="s">
        <v>330</v>
      </c>
      <c r="H415" s="24" t="s">
        <v>109</v>
      </c>
      <c r="I415" s="32" t="s">
        <v>152</v>
      </c>
    </row>
    <row r="416" spans="1:9" x14ac:dyDescent="0.35">
      <c r="A416" s="19">
        <v>46072</v>
      </c>
      <c r="B416" s="20"/>
      <c r="C416" s="20"/>
      <c r="D416" s="20">
        <v>5000</v>
      </c>
      <c r="E416" s="234" t="s">
        <v>358</v>
      </c>
      <c r="F416" s="20">
        <f t="shared" si="7"/>
        <v>162757466</v>
      </c>
      <c r="G416" s="7" t="s">
        <v>330</v>
      </c>
      <c r="H416" s="24" t="s">
        <v>109</v>
      </c>
      <c r="I416" s="32" t="s">
        <v>152</v>
      </c>
    </row>
    <row r="417" spans="1:9" x14ac:dyDescent="0.35">
      <c r="A417" s="19">
        <v>46072</v>
      </c>
      <c r="B417" s="20"/>
      <c r="C417" s="20"/>
      <c r="D417" s="20">
        <v>5000</v>
      </c>
      <c r="E417" s="234" t="s">
        <v>358</v>
      </c>
      <c r="F417" s="20">
        <f t="shared" si="7"/>
        <v>162762466</v>
      </c>
      <c r="G417" s="7" t="s">
        <v>330</v>
      </c>
      <c r="H417" s="24" t="s">
        <v>109</v>
      </c>
      <c r="I417" s="32" t="s">
        <v>152</v>
      </c>
    </row>
    <row r="418" spans="1:9" x14ac:dyDescent="0.35">
      <c r="A418" s="19">
        <v>46072</v>
      </c>
      <c r="B418" s="20"/>
      <c r="C418" s="20"/>
      <c r="D418" s="20">
        <v>100000</v>
      </c>
      <c r="E418" s="234" t="s">
        <v>358</v>
      </c>
      <c r="F418" s="20">
        <f t="shared" si="7"/>
        <v>162862466</v>
      </c>
      <c r="G418" s="7" t="s">
        <v>330</v>
      </c>
      <c r="H418" s="24" t="s">
        <v>109</v>
      </c>
      <c r="I418" s="32" t="s">
        <v>152</v>
      </c>
    </row>
    <row r="419" spans="1:9" x14ac:dyDescent="0.35">
      <c r="A419" s="19">
        <v>46072</v>
      </c>
      <c r="B419" s="20"/>
      <c r="C419" s="20"/>
      <c r="D419" s="20">
        <v>15000</v>
      </c>
      <c r="E419" s="234" t="s">
        <v>358</v>
      </c>
      <c r="F419" s="20">
        <f t="shared" si="7"/>
        <v>162877466</v>
      </c>
      <c r="G419" s="7" t="s">
        <v>330</v>
      </c>
      <c r="H419" s="24" t="s">
        <v>109</v>
      </c>
      <c r="I419" s="32" t="s">
        <v>152</v>
      </c>
    </row>
    <row r="420" spans="1:9" x14ac:dyDescent="0.35">
      <c r="A420" s="19">
        <v>46072</v>
      </c>
      <c r="B420" s="20"/>
      <c r="C420" s="20"/>
      <c r="D420" s="20">
        <v>2000</v>
      </c>
      <c r="E420" s="234" t="s">
        <v>358</v>
      </c>
      <c r="F420" s="20">
        <f t="shared" si="7"/>
        <v>162879466</v>
      </c>
      <c r="G420" s="7" t="s">
        <v>330</v>
      </c>
      <c r="H420" s="24" t="s">
        <v>109</v>
      </c>
      <c r="I420" s="32" t="s">
        <v>152</v>
      </c>
    </row>
    <row r="421" spans="1:9" x14ac:dyDescent="0.35">
      <c r="A421" s="19">
        <v>46072</v>
      </c>
      <c r="B421" s="20"/>
      <c r="C421" s="20"/>
      <c r="D421" s="20">
        <v>10000</v>
      </c>
      <c r="E421" s="234" t="s">
        <v>358</v>
      </c>
      <c r="F421" s="20">
        <f t="shared" si="7"/>
        <v>162889466</v>
      </c>
      <c r="G421" s="7" t="s">
        <v>330</v>
      </c>
      <c r="H421" s="24" t="s">
        <v>109</v>
      </c>
      <c r="I421" s="32" t="s">
        <v>152</v>
      </c>
    </row>
    <row r="422" spans="1:9" x14ac:dyDescent="0.35">
      <c r="A422" s="19">
        <v>46072</v>
      </c>
      <c r="B422" s="20"/>
      <c r="C422" s="20"/>
      <c r="D422" s="20">
        <v>25000</v>
      </c>
      <c r="E422" s="234" t="s">
        <v>358</v>
      </c>
      <c r="F422" s="20">
        <f t="shared" si="7"/>
        <v>162914466</v>
      </c>
      <c r="G422" s="7" t="s">
        <v>330</v>
      </c>
      <c r="H422" s="24" t="s">
        <v>109</v>
      </c>
      <c r="I422" s="32" t="s">
        <v>152</v>
      </c>
    </row>
    <row r="423" spans="1:9" x14ac:dyDescent="0.35">
      <c r="A423" s="19">
        <v>46072</v>
      </c>
      <c r="B423" s="20"/>
      <c r="C423" s="20"/>
      <c r="D423" s="20">
        <v>50000</v>
      </c>
      <c r="E423" s="234" t="s">
        <v>358</v>
      </c>
      <c r="F423" s="20">
        <f t="shared" si="7"/>
        <v>162964466</v>
      </c>
      <c r="G423" s="7" t="s">
        <v>330</v>
      </c>
      <c r="H423" s="24" t="s">
        <v>109</v>
      </c>
      <c r="I423" s="32" t="s">
        <v>152</v>
      </c>
    </row>
    <row r="424" spans="1:9" x14ac:dyDescent="0.35">
      <c r="A424" s="19">
        <v>46072</v>
      </c>
      <c r="B424" s="20"/>
      <c r="C424" s="20"/>
      <c r="D424" s="20">
        <v>100000</v>
      </c>
      <c r="E424" s="234" t="s">
        <v>358</v>
      </c>
      <c r="F424" s="20">
        <f t="shared" si="7"/>
        <v>163064466</v>
      </c>
      <c r="G424" s="7" t="s">
        <v>330</v>
      </c>
      <c r="H424" s="24" t="s">
        <v>109</v>
      </c>
      <c r="I424" s="32" t="s">
        <v>152</v>
      </c>
    </row>
    <row r="425" spans="1:9" x14ac:dyDescent="0.35">
      <c r="A425" s="19">
        <v>46072</v>
      </c>
      <c r="B425" s="20"/>
      <c r="C425" s="20"/>
      <c r="D425" s="20">
        <v>5000</v>
      </c>
      <c r="E425" s="234" t="s">
        <v>358</v>
      </c>
      <c r="F425" s="20">
        <f t="shared" si="7"/>
        <v>163069466</v>
      </c>
      <c r="G425" s="7" t="s">
        <v>330</v>
      </c>
      <c r="H425" s="24" t="s">
        <v>109</v>
      </c>
      <c r="I425" s="32" t="s">
        <v>152</v>
      </c>
    </row>
    <row r="426" spans="1:9" x14ac:dyDescent="0.35">
      <c r="A426" s="19">
        <v>46072</v>
      </c>
      <c r="B426" s="20"/>
      <c r="C426" s="20"/>
      <c r="D426" s="20">
        <v>10000</v>
      </c>
      <c r="E426" s="234" t="s">
        <v>358</v>
      </c>
      <c r="F426" s="20">
        <f t="shared" si="7"/>
        <v>163079466</v>
      </c>
      <c r="G426" s="7" t="s">
        <v>330</v>
      </c>
      <c r="H426" s="24" t="s">
        <v>109</v>
      </c>
      <c r="I426" s="32" t="s">
        <v>152</v>
      </c>
    </row>
    <row r="427" spans="1:9" x14ac:dyDescent="0.35">
      <c r="A427" s="19">
        <v>46072</v>
      </c>
      <c r="B427" s="20"/>
      <c r="C427" s="20"/>
      <c r="D427" s="20">
        <v>25000</v>
      </c>
      <c r="E427" s="234" t="s">
        <v>358</v>
      </c>
      <c r="F427" s="20">
        <f t="shared" si="7"/>
        <v>163104466</v>
      </c>
      <c r="G427" s="7" t="s">
        <v>330</v>
      </c>
      <c r="H427" s="24" t="s">
        <v>109</v>
      </c>
      <c r="I427" s="32" t="s">
        <v>152</v>
      </c>
    </row>
    <row r="428" spans="1:9" x14ac:dyDescent="0.35">
      <c r="A428" s="19">
        <v>46072</v>
      </c>
      <c r="B428" s="20"/>
      <c r="C428" s="20"/>
      <c r="D428" s="20">
        <v>15000</v>
      </c>
      <c r="E428" s="234" t="s">
        <v>358</v>
      </c>
      <c r="F428" s="20">
        <f t="shared" si="7"/>
        <v>163119466</v>
      </c>
      <c r="G428" s="7" t="s">
        <v>330</v>
      </c>
      <c r="H428" s="24" t="s">
        <v>109</v>
      </c>
      <c r="I428" s="32" t="s">
        <v>152</v>
      </c>
    </row>
    <row r="429" spans="1:9" x14ac:dyDescent="0.35">
      <c r="A429" s="19">
        <v>46072</v>
      </c>
      <c r="B429" s="20"/>
      <c r="C429" s="20"/>
      <c r="D429" s="20">
        <v>50000</v>
      </c>
      <c r="E429" s="234" t="s">
        <v>358</v>
      </c>
      <c r="F429" s="20">
        <f t="shared" si="7"/>
        <v>163169466</v>
      </c>
      <c r="G429" s="7" t="s">
        <v>330</v>
      </c>
      <c r="H429" s="24" t="s">
        <v>109</v>
      </c>
      <c r="I429" s="32" t="s">
        <v>152</v>
      </c>
    </row>
    <row r="430" spans="1:9" x14ac:dyDescent="0.35">
      <c r="A430" s="19">
        <v>46072</v>
      </c>
      <c r="B430" s="20"/>
      <c r="C430" s="20"/>
      <c r="D430" s="20">
        <v>100000</v>
      </c>
      <c r="E430" s="234" t="s">
        <v>358</v>
      </c>
      <c r="F430" s="20">
        <f t="shared" si="7"/>
        <v>163269466</v>
      </c>
      <c r="G430" s="7" t="s">
        <v>330</v>
      </c>
      <c r="H430" s="24" t="s">
        <v>109</v>
      </c>
      <c r="I430" s="32" t="s">
        <v>152</v>
      </c>
    </row>
    <row r="431" spans="1:9" x14ac:dyDescent="0.35">
      <c r="A431" s="19">
        <v>46072</v>
      </c>
      <c r="B431" s="20"/>
      <c r="C431" s="20"/>
      <c r="D431" s="20">
        <v>10000</v>
      </c>
      <c r="E431" s="234" t="s">
        <v>358</v>
      </c>
      <c r="F431" s="20">
        <f t="shared" si="7"/>
        <v>163279466</v>
      </c>
      <c r="G431" s="7" t="s">
        <v>330</v>
      </c>
      <c r="H431" s="24" t="s">
        <v>109</v>
      </c>
      <c r="I431" s="32" t="s">
        <v>152</v>
      </c>
    </row>
    <row r="432" spans="1:9" x14ac:dyDescent="0.35">
      <c r="A432" s="19">
        <v>46072</v>
      </c>
      <c r="B432" s="20"/>
      <c r="C432" s="20"/>
      <c r="D432" s="20">
        <v>5000</v>
      </c>
      <c r="E432" s="234" t="s">
        <v>358</v>
      </c>
      <c r="F432" s="20">
        <f t="shared" si="7"/>
        <v>163284466</v>
      </c>
      <c r="G432" s="7" t="s">
        <v>330</v>
      </c>
      <c r="H432" s="24" t="s">
        <v>109</v>
      </c>
      <c r="I432" s="32" t="s">
        <v>152</v>
      </c>
    </row>
    <row r="433" spans="1:9" x14ac:dyDescent="0.35">
      <c r="A433" s="19">
        <v>46072</v>
      </c>
      <c r="B433" s="20"/>
      <c r="C433" s="20"/>
      <c r="D433" s="20">
        <v>50000</v>
      </c>
      <c r="E433" s="234" t="s">
        <v>358</v>
      </c>
      <c r="F433" s="20">
        <f t="shared" si="7"/>
        <v>163334466</v>
      </c>
      <c r="G433" s="7" t="s">
        <v>330</v>
      </c>
      <c r="H433" s="24" t="s">
        <v>109</v>
      </c>
      <c r="I433" s="32" t="s">
        <v>152</v>
      </c>
    </row>
    <row r="434" spans="1:9" x14ac:dyDescent="0.35">
      <c r="A434" s="19">
        <v>46073</v>
      </c>
      <c r="B434" s="20"/>
      <c r="C434" s="20"/>
      <c r="D434" s="20">
        <v>100000</v>
      </c>
      <c r="E434" s="234" t="s">
        <v>358</v>
      </c>
      <c r="F434" s="20">
        <f t="shared" si="7"/>
        <v>163434466</v>
      </c>
      <c r="G434" s="7" t="s">
        <v>330</v>
      </c>
      <c r="H434" s="24" t="s">
        <v>109</v>
      </c>
      <c r="I434" s="32" t="s">
        <v>152</v>
      </c>
    </row>
    <row r="435" spans="1:9" x14ac:dyDescent="0.35">
      <c r="A435" s="19">
        <v>46073</v>
      </c>
      <c r="B435" s="20"/>
      <c r="C435" s="20"/>
      <c r="D435" s="20">
        <v>40000</v>
      </c>
      <c r="E435" s="234" t="s">
        <v>358</v>
      </c>
      <c r="F435" s="20">
        <f t="shared" si="7"/>
        <v>163474466</v>
      </c>
      <c r="G435" s="7" t="s">
        <v>330</v>
      </c>
      <c r="H435" s="24" t="s">
        <v>109</v>
      </c>
      <c r="I435" s="32" t="s">
        <v>152</v>
      </c>
    </row>
    <row r="436" spans="1:9" x14ac:dyDescent="0.35">
      <c r="A436" s="19">
        <v>46073</v>
      </c>
      <c r="B436" s="20"/>
      <c r="C436" s="20"/>
      <c r="D436" s="20">
        <v>100000</v>
      </c>
      <c r="E436" s="234" t="s">
        <v>358</v>
      </c>
      <c r="F436" s="20">
        <f t="shared" si="7"/>
        <v>163574466</v>
      </c>
      <c r="G436" s="7" t="s">
        <v>330</v>
      </c>
      <c r="H436" s="24" t="s">
        <v>109</v>
      </c>
      <c r="I436" s="32" t="s">
        <v>152</v>
      </c>
    </row>
    <row r="437" spans="1:9" x14ac:dyDescent="0.35">
      <c r="A437" s="19">
        <v>46073</v>
      </c>
      <c r="B437" s="20"/>
      <c r="C437" s="20"/>
      <c r="D437" s="20">
        <v>5000</v>
      </c>
      <c r="E437" s="234" t="s">
        <v>358</v>
      </c>
      <c r="F437" s="20">
        <f t="shared" si="7"/>
        <v>163579466</v>
      </c>
      <c r="G437" s="7" t="s">
        <v>330</v>
      </c>
      <c r="H437" s="24" t="s">
        <v>109</v>
      </c>
      <c r="I437" s="32" t="s">
        <v>152</v>
      </c>
    </row>
    <row r="438" spans="1:9" x14ac:dyDescent="0.35">
      <c r="A438" s="19">
        <v>46073</v>
      </c>
      <c r="B438" s="20"/>
      <c r="C438" s="20"/>
      <c r="D438" s="20">
        <v>20000</v>
      </c>
      <c r="E438" s="234" t="s">
        <v>358</v>
      </c>
      <c r="F438" s="20">
        <f t="shared" si="7"/>
        <v>163599466</v>
      </c>
      <c r="G438" s="7" t="s">
        <v>330</v>
      </c>
      <c r="H438" s="24" t="s">
        <v>109</v>
      </c>
      <c r="I438" s="32" t="s">
        <v>152</v>
      </c>
    </row>
    <row r="439" spans="1:9" x14ac:dyDescent="0.35">
      <c r="A439" s="19">
        <v>46073</v>
      </c>
      <c r="B439" s="20"/>
      <c r="C439" s="20"/>
      <c r="D439" s="20">
        <v>3000</v>
      </c>
      <c r="E439" s="234" t="s">
        <v>358</v>
      </c>
      <c r="F439" s="20">
        <f t="shared" si="7"/>
        <v>163602466</v>
      </c>
      <c r="G439" s="7" t="s">
        <v>330</v>
      </c>
      <c r="H439" s="24" t="s">
        <v>109</v>
      </c>
      <c r="I439" s="32" t="s">
        <v>152</v>
      </c>
    </row>
    <row r="440" spans="1:9" x14ac:dyDescent="0.35">
      <c r="A440" s="19">
        <v>46073</v>
      </c>
      <c r="B440" s="20"/>
      <c r="C440" s="20"/>
      <c r="D440" s="20">
        <v>100000</v>
      </c>
      <c r="E440" s="234" t="s">
        <v>358</v>
      </c>
      <c r="F440" s="20">
        <f t="shared" si="7"/>
        <v>163702466</v>
      </c>
      <c r="G440" s="7" t="s">
        <v>330</v>
      </c>
      <c r="H440" s="24" t="s">
        <v>109</v>
      </c>
      <c r="I440" s="32" t="s">
        <v>152</v>
      </c>
    </row>
    <row r="441" spans="1:9" x14ac:dyDescent="0.35">
      <c r="A441" s="19">
        <v>46073</v>
      </c>
      <c r="B441" s="20"/>
      <c r="C441" s="20"/>
      <c r="D441" s="20">
        <v>10000</v>
      </c>
      <c r="E441" s="234" t="s">
        <v>358</v>
      </c>
      <c r="F441" s="20">
        <f t="shared" si="7"/>
        <v>163712466</v>
      </c>
      <c r="G441" s="7" t="s">
        <v>330</v>
      </c>
      <c r="H441" s="24" t="s">
        <v>109</v>
      </c>
      <c r="I441" s="32" t="s">
        <v>152</v>
      </c>
    </row>
    <row r="442" spans="1:9" x14ac:dyDescent="0.35">
      <c r="A442" s="19">
        <v>46073</v>
      </c>
      <c r="B442" s="20"/>
      <c r="C442" s="20"/>
      <c r="D442" s="20">
        <v>3000</v>
      </c>
      <c r="E442" s="234" t="s">
        <v>358</v>
      </c>
      <c r="F442" s="20">
        <f t="shared" si="7"/>
        <v>163715466</v>
      </c>
      <c r="G442" s="7" t="s">
        <v>330</v>
      </c>
      <c r="H442" s="24" t="s">
        <v>109</v>
      </c>
      <c r="I442" s="32" t="s">
        <v>152</v>
      </c>
    </row>
    <row r="443" spans="1:9" x14ac:dyDescent="0.35">
      <c r="A443" s="19">
        <v>46073</v>
      </c>
      <c r="B443" s="20"/>
      <c r="C443" s="20"/>
      <c r="D443" s="20">
        <v>100000</v>
      </c>
      <c r="E443" s="234" t="s">
        <v>358</v>
      </c>
      <c r="F443" s="20">
        <f t="shared" si="7"/>
        <v>163815466</v>
      </c>
      <c r="G443" s="7" t="s">
        <v>330</v>
      </c>
      <c r="H443" s="24" t="s">
        <v>109</v>
      </c>
      <c r="I443" s="32" t="s">
        <v>152</v>
      </c>
    </row>
    <row r="444" spans="1:9" x14ac:dyDescent="0.35">
      <c r="A444" s="19">
        <v>46073</v>
      </c>
      <c r="B444" s="20"/>
      <c r="C444" s="20"/>
      <c r="D444" s="20">
        <v>25000</v>
      </c>
      <c r="E444" s="234" t="s">
        <v>358</v>
      </c>
      <c r="F444" s="20">
        <f t="shared" si="7"/>
        <v>163840466</v>
      </c>
      <c r="G444" s="7" t="s">
        <v>330</v>
      </c>
      <c r="H444" s="24" t="s">
        <v>109</v>
      </c>
      <c r="I444" s="32" t="s">
        <v>152</v>
      </c>
    </row>
    <row r="445" spans="1:9" x14ac:dyDescent="0.35">
      <c r="A445" s="19">
        <v>46073</v>
      </c>
      <c r="B445" s="20"/>
      <c r="C445" s="20"/>
      <c r="D445" s="20">
        <v>5000</v>
      </c>
      <c r="E445" s="234" t="s">
        <v>358</v>
      </c>
      <c r="F445" s="20">
        <f t="shared" si="7"/>
        <v>163845466</v>
      </c>
      <c r="G445" s="7" t="s">
        <v>330</v>
      </c>
      <c r="H445" s="24" t="s">
        <v>109</v>
      </c>
      <c r="I445" s="32" t="s">
        <v>152</v>
      </c>
    </row>
    <row r="446" spans="1:9" x14ac:dyDescent="0.35">
      <c r="A446" s="19">
        <v>46073</v>
      </c>
      <c r="B446" s="20"/>
      <c r="C446" s="20"/>
      <c r="D446" s="20">
        <v>20000</v>
      </c>
      <c r="E446" s="234" t="s">
        <v>358</v>
      </c>
      <c r="F446" s="20">
        <f t="shared" si="7"/>
        <v>163865466</v>
      </c>
      <c r="G446" s="7" t="s">
        <v>330</v>
      </c>
      <c r="H446" s="24" t="s">
        <v>109</v>
      </c>
      <c r="I446" s="32" t="s">
        <v>152</v>
      </c>
    </row>
    <row r="447" spans="1:9" x14ac:dyDescent="0.35">
      <c r="A447" s="19">
        <v>46073</v>
      </c>
      <c r="B447" s="20"/>
      <c r="C447" s="20"/>
      <c r="D447" s="20">
        <v>5000</v>
      </c>
      <c r="E447" s="234" t="s">
        <v>358</v>
      </c>
      <c r="F447" s="20">
        <f t="shared" si="7"/>
        <v>163870466</v>
      </c>
      <c r="G447" s="7" t="s">
        <v>330</v>
      </c>
      <c r="H447" s="24" t="s">
        <v>109</v>
      </c>
      <c r="I447" s="32" t="s">
        <v>152</v>
      </c>
    </row>
    <row r="448" spans="1:9" x14ac:dyDescent="0.35">
      <c r="A448" s="19">
        <v>46073</v>
      </c>
      <c r="B448" s="20"/>
      <c r="C448" s="20"/>
      <c r="D448" s="20">
        <v>2000</v>
      </c>
      <c r="E448" s="234" t="s">
        <v>358</v>
      </c>
      <c r="F448" s="20">
        <f t="shared" si="7"/>
        <v>163872466</v>
      </c>
      <c r="G448" s="7" t="s">
        <v>330</v>
      </c>
      <c r="H448" s="24" t="s">
        <v>109</v>
      </c>
      <c r="I448" s="32" t="s">
        <v>152</v>
      </c>
    </row>
    <row r="449" spans="1:9" x14ac:dyDescent="0.35">
      <c r="A449" s="19">
        <v>46073</v>
      </c>
      <c r="B449" s="20"/>
      <c r="C449" s="20"/>
      <c r="D449" s="20">
        <v>50000</v>
      </c>
      <c r="E449" s="234" t="s">
        <v>358</v>
      </c>
      <c r="F449" s="20">
        <f t="shared" si="7"/>
        <v>163922466</v>
      </c>
      <c r="G449" s="7" t="s">
        <v>330</v>
      </c>
      <c r="H449" s="24" t="s">
        <v>109</v>
      </c>
      <c r="I449" s="32" t="s">
        <v>152</v>
      </c>
    </row>
    <row r="450" spans="1:9" x14ac:dyDescent="0.35">
      <c r="A450" s="19">
        <v>46073</v>
      </c>
      <c r="B450" s="20"/>
      <c r="C450" s="20"/>
      <c r="D450" s="20">
        <v>50000</v>
      </c>
      <c r="E450" s="234" t="s">
        <v>358</v>
      </c>
      <c r="F450" s="20">
        <f t="shared" si="7"/>
        <v>163972466</v>
      </c>
      <c r="G450" s="7" t="s">
        <v>330</v>
      </c>
      <c r="H450" s="24" t="s">
        <v>109</v>
      </c>
      <c r="I450" s="32" t="s">
        <v>152</v>
      </c>
    </row>
    <row r="451" spans="1:9" x14ac:dyDescent="0.35">
      <c r="A451" s="19">
        <v>46073</v>
      </c>
      <c r="B451" s="20"/>
      <c r="C451" s="20"/>
      <c r="D451" s="20">
        <v>20000</v>
      </c>
      <c r="E451" s="234" t="s">
        <v>358</v>
      </c>
      <c r="F451" s="20">
        <f t="shared" si="7"/>
        <v>163992466</v>
      </c>
      <c r="G451" s="7" t="s">
        <v>330</v>
      </c>
      <c r="H451" s="24" t="s">
        <v>109</v>
      </c>
      <c r="I451" s="32" t="s">
        <v>152</v>
      </c>
    </row>
    <row r="452" spans="1:9" x14ac:dyDescent="0.35">
      <c r="A452" s="19">
        <v>46073</v>
      </c>
      <c r="B452" s="20"/>
      <c r="C452" s="20"/>
      <c r="D452" s="20">
        <v>2500</v>
      </c>
      <c r="E452" s="234" t="s">
        <v>358</v>
      </c>
      <c r="F452" s="20">
        <f t="shared" si="7"/>
        <v>163994966</v>
      </c>
      <c r="G452" s="7" t="s">
        <v>330</v>
      </c>
      <c r="H452" s="24" t="s">
        <v>109</v>
      </c>
      <c r="I452" s="32" t="s">
        <v>152</v>
      </c>
    </row>
    <row r="453" spans="1:9" x14ac:dyDescent="0.35">
      <c r="A453" s="19">
        <v>46073</v>
      </c>
      <c r="B453" s="20"/>
      <c r="C453" s="20"/>
      <c r="D453" s="20">
        <v>50000</v>
      </c>
      <c r="E453" s="234" t="s">
        <v>358</v>
      </c>
      <c r="F453" s="20">
        <f t="shared" si="7"/>
        <v>164044966</v>
      </c>
      <c r="G453" s="7" t="s">
        <v>330</v>
      </c>
      <c r="H453" s="24" t="s">
        <v>109</v>
      </c>
      <c r="I453" s="32" t="s">
        <v>152</v>
      </c>
    </row>
    <row r="454" spans="1:9" x14ac:dyDescent="0.35">
      <c r="A454" s="19">
        <v>46073</v>
      </c>
      <c r="B454" s="20"/>
      <c r="C454" s="20"/>
      <c r="D454" s="20">
        <v>10000</v>
      </c>
      <c r="E454" s="234" t="s">
        <v>358</v>
      </c>
      <c r="F454" s="20">
        <f t="shared" si="7"/>
        <v>164054966</v>
      </c>
      <c r="G454" s="7" t="s">
        <v>330</v>
      </c>
      <c r="H454" s="24" t="s">
        <v>109</v>
      </c>
      <c r="I454" s="32" t="s">
        <v>152</v>
      </c>
    </row>
    <row r="455" spans="1:9" x14ac:dyDescent="0.35">
      <c r="A455" s="19">
        <v>46073</v>
      </c>
      <c r="B455" s="20"/>
      <c r="C455" s="20"/>
      <c r="D455" s="20">
        <v>5000</v>
      </c>
      <c r="E455" s="234" t="s">
        <v>358</v>
      </c>
      <c r="F455" s="20">
        <f t="shared" si="7"/>
        <v>164059966</v>
      </c>
      <c r="G455" s="7" t="s">
        <v>330</v>
      </c>
      <c r="H455" s="24" t="s">
        <v>109</v>
      </c>
      <c r="I455" s="32" t="s">
        <v>152</v>
      </c>
    </row>
    <row r="456" spans="1:9" x14ac:dyDescent="0.35">
      <c r="A456" s="19">
        <v>46073</v>
      </c>
      <c r="B456" s="20"/>
      <c r="C456" s="20"/>
      <c r="D456" s="20">
        <v>5000</v>
      </c>
      <c r="E456" s="234" t="s">
        <v>358</v>
      </c>
      <c r="F456" s="20">
        <f t="shared" si="7"/>
        <v>164064966</v>
      </c>
      <c r="G456" s="7" t="s">
        <v>330</v>
      </c>
      <c r="H456" s="24" t="s">
        <v>109</v>
      </c>
      <c r="I456" s="32" t="s">
        <v>152</v>
      </c>
    </row>
    <row r="457" spans="1:9" x14ac:dyDescent="0.35">
      <c r="A457" s="19">
        <v>46073</v>
      </c>
      <c r="B457" s="20"/>
      <c r="C457" s="20"/>
      <c r="D457" s="20">
        <v>2000</v>
      </c>
      <c r="E457" s="234" t="s">
        <v>358</v>
      </c>
      <c r="F457" s="20">
        <f t="shared" si="7"/>
        <v>164066966</v>
      </c>
      <c r="G457" s="7" t="s">
        <v>330</v>
      </c>
      <c r="H457" s="24" t="s">
        <v>109</v>
      </c>
      <c r="I457" s="32" t="s">
        <v>152</v>
      </c>
    </row>
    <row r="458" spans="1:9" x14ac:dyDescent="0.35">
      <c r="A458" s="19">
        <v>46073</v>
      </c>
      <c r="B458" s="20"/>
      <c r="C458" s="20"/>
      <c r="D458" s="20">
        <v>14000</v>
      </c>
      <c r="E458" s="234" t="s">
        <v>358</v>
      </c>
      <c r="F458" s="20">
        <f t="shared" si="7"/>
        <v>164080966</v>
      </c>
      <c r="G458" s="7" t="s">
        <v>330</v>
      </c>
      <c r="H458" s="24" t="s">
        <v>109</v>
      </c>
      <c r="I458" s="32" t="s">
        <v>152</v>
      </c>
    </row>
    <row r="459" spans="1:9" x14ac:dyDescent="0.35">
      <c r="A459" s="19">
        <v>46073</v>
      </c>
      <c r="B459" s="20"/>
      <c r="C459" s="20"/>
      <c r="D459" s="20">
        <v>20000</v>
      </c>
      <c r="E459" s="234" t="s">
        <v>358</v>
      </c>
      <c r="F459" s="20">
        <f t="shared" si="7"/>
        <v>164100966</v>
      </c>
      <c r="G459" s="7" t="s">
        <v>330</v>
      </c>
      <c r="H459" s="24" t="s">
        <v>109</v>
      </c>
      <c r="I459" s="32" t="s">
        <v>152</v>
      </c>
    </row>
    <row r="460" spans="1:9" x14ac:dyDescent="0.35">
      <c r="A460" s="19">
        <v>46073</v>
      </c>
      <c r="B460" s="20"/>
      <c r="C460" s="20"/>
      <c r="D460" s="20">
        <v>4000</v>
      </c>
      <c r="E460" s="234" t="s">
        <v>358</v>
      </c>
      <c r="F460" s="20">
        <f t="shared" si="7"/>
        <v>164104966</v>
      </c>
      <c r="G460" s="7" t="s">
        <v>330</v>
      </c>
      <c r="H460" s="24" t="s">
        <v>109</v>
      </c>
      <c r="I460" s="32" t="s">
        <v>152</v>
      </c>
    </row>
    <row r="461" spans="1:9" x14ac:dyDescent="0.35">
      <c r="A461" s="19">
        <v>46073</v>
      </c>
      <c r="B461" s="20"/>
      <c r="C461" s="20"/>
      <c r="D461" s="20">
        <v>1011</v>
      </c>
      <c r="E461" s="234" t="s">
        <v>358</v>
      </c>
      <c r="F461" s="20">
        <f t="shared" si="7"/>
        <v>164105977</v>
      </c>
      <c r="G461" s="7" t="s">
        <v>330</v>
      </c>
      <c r="H461" s="24" t="s">
        <v>109</v>
      </c>
      <c r="I461" s="32" t="s">
        <v>152</v>
      </c>
    </row>
    <row r="462" spans="1:9" x14ac:dyDescent="0.35">
      <c r="A462" s="19">
        <v>46073</v>
      </c>
      <c r="B462" s="20"/>
      <c r="C462" s="20"/>
      <c r="D462" s="20">
        <v>100000</v>
      </c>
      <c r="E462" s="234" t="s">
        <v>358</v>
      </c>
      <c r="F462" s="20">
        <f t="shared" si="7"/>
        <v>164205977</v>
      </c>
      <c r="G462" s="7" t="s">
        <v>970</v>
      </c>
      <c r="H462" s="24" t="s">
        <v>109</v>
      </c>
      <c r="I462" s="32" t="s">
        <v>152</v>
      </c>
    </row>
    <row r="463" spans="1:9" x14ac:dyDescent="0.35">
      <c r="A463" s="19">
        <v>46073</v>
      </c>
      <c r="B463" s="20">
        <v>5317200</v>
      </c>
      <c r="C463" s="20"/>
      <c r="D463" s="20"/>
      <c r="E463" s="234" t="s">
        <v>358</v>
      </c>
      <c r="F463" s="20">
        <f t="shared" si="7"/>
        <v>158888777</v>
      </c>
      <c r="G463" s="7" t="s">
        <v>1154</v>
      </c>
      <c r="H463" s="24" t="s">
        <v>499</v>
      </c>
      <c r="I463" s="32" t="s">
        <v>152</v>
      </c>
    </row>
    <row r="464" spans="1:9" x14ac:dyDescent="0.35">
      <c r="A464" s="19">
        <v>46073</v>
      </c>
      <c r="B464" s="20">
        <v>2500</v>
      </c>
      <c r="C464" s="20"/>
      <c r="D464" s="20"/>
      <c r="E464" s="234" t="s">
        <v>358</v>
      </c>
      <c r="F464" s="20">
        <f t="shared" si="7"/>
        <v>158886277</v>
      </c>
      <c r="G464" s="7" t="s">
        <v>1154</v>
      </c>
      <c r="H464" s="24" t="s">
        <v>499</v>
      </c>
      <c r="I464" s="32" t="s">
        <v>152</v>
      </c>
    </row>
    <row r="465" spans="1:9" x14ac:dyDescent="0.35">
      <c r="A465" s="19">
        <v>46074</v>
      </c>
      <c r="B465" s="20"/>
      <c r="C465" s="20"/>
      <c r="D465" s="20">
        <v>10000</v>
      </c>
      <c r="E465" s="234" t="s">
        <v>358</v>
      </c>
      <c r="F465" s="20">
        <f t="shared" si="7"/>
        <v>158896277</v>
      </c>
      <c r="G465" s="7" t="s">
        <v>330</v>
      </c>
      <c r="H465" s="24" t="s">
        <v>109</v>
      </c>
      <c r="I465" s="32" t="s">
        <v>152</v>
      </c>
    </row>
    <row r="466" spans="1:9" x14ac:dyDescent="0.35">
      <c r="A466" s="19">
        <v>46074</v>
      </c>
      <c r="B466" s="20"/>
      <c r="C466" s="20"/>
      <c r="D466" s="20">
        <v>100000</v>
      </c>
      <c r="E466" s="234" t="s">
        <v>358</v>
      </c>
      <c r="F466" s="20">
        <f t="shared" si="7"/>
        <v>158996277</v>
      </c>
      <c r="G466" s="7" t="s">
        <v>330</v>
      </c>
      <c r="H466" s="24" t="s">
        <v>109</v>
      </c>
      <c r="I466" s="32" t="s">
        <v>152</v>
      </c>
    </row>
    <row r="467" spans="1:9" x14ac:dyDescent="0.35">
      <c r="A467" s="19">
        <v>46074</v>
      </c>
      <c r="B467" s="20"/>
      <c r="C467" s="20"/>
      <c r="D467" s="20">
        <v>2000</v>
      </c>
      <c r="E467" s="234" t="s">
        <v>358</v>
      </c>
      <c r="F467" s="20">
        <f t="shared" si="7"/>
        <v>158998277</v>
      </c>
      <c r="G467" s="7" t="s">
        <v>330</v>
      </c>
      <c r="H467" s="24" t="s">
        <v>109</v>
      </c>
      <c r="I467" s="32" t="s">
        <v>152</v>
      </c>
    </row>
    <row r="468" spans="1:9" x14ac:dyDescent="0.35">
      <c r="A468" s="19">
        <v>46074</v>
      </c>
      <c r="B468" s="20"/>
      <c r="C468" s="20"/>
      <c r="D468" s="20">
        <v>10000</v>
      </c>
      <c r="E468" s="234" t="s">
        <v>358</v>
      </c>
      <c r="F468" s="20">
        <f t="shared" si="7"/>
        <v>159008277</v>
      </c>
      <c r="G468" s="7" t="s">
        <v>330</v>
      </c>
      <c r="H468" s="24" t="s">
        <v>109</v>
      </c>
      <c r="I468" s="32" t="s">
        <v>152</v>
      </c>
    </row>
    <row r="469" spans="1:9" x14ac:dyDescent="0.35">
      <c r="A469" s="19">
        <v>46074</v>
      </c>
      <c r="B469" s="20"/>
      <c r="C469" s="20"/>
      <c r="D469" s="20">
        <v>10000</v>
      </c>
      <c r="E469" s="234" t="s">
        <v>358</v>
      </c>
      <c r="F469" s="20">
        <f t="shared" si="7"/>
        <v>159018277</v>
      </c>
      <c r="G469" s="7" t="s">
        <v>330</v>
      </c>
      <c r="H469" s="24" t="s">
        <v>109</v>
      </c>
      <c r="I469" s="32" t="s">
        <v>152</v>
      </c>
    </row>
    <row r="470" spans="1:9" x14ac:dyDescent="0.35">
      <c r="A470" s="19">
        <v>46074</v>
      </c>
      <c r="B470" s="20"/>
      <c r="C470" s="20"/>
      <c r="D470" s="20">
        <v>5000</v>
      </c>
      <c r="E470" s="234" t="s">
        <v>358</v>
      </c>
      <c r="F470" s="20">
        <f t="shared" si="7"/>
        <v>159023277</v>
      </c>
      <c r="G470" s="7" t="s">
        <v>330</v>
      </c>
      <c r="H470" s="24" t="s">
        <v>109</v>
      </c>
      <c r="I470" s="32" t="s">
        <v>152</v>
      </c>
    </row>
    <row r="471" spans="1:9" x14ac:dyDescent="0.35">
      <c r="A471" s="19">
        <v>46074</v>
      </c>
      <c r="B471" s="20"/>
      <c r="C471" s="20"/>
      <c r="D471" s="20">
        <v>50000</v>
      </c>
      <c r="E471" s="234" t="s">
        <v>358</v>
      </c>
      <c r="F471" s="20">
        <f t="shared" si="7"/>
        <v>159073277</v>
      </c>
      <c r="G471" s="7" t="s">
        <v>330</v>
      </c>
      <c r="H471" s="24" t="s">
        <v>109</v>
      </c>
      <c r="I471" s="32" t="s">
        <v>152</v>
      </c>
    </row>
    <row r="472" spans="1:9" x14ac:dyDescent="0.35">
      <c r="A472" s="19">
        <v>46074</v>
      </c>
      <c r="B472" s="20"/>
      <c r="C472" s="20"/>
      <c r="D472" s="20">
        <v>3000</v>
      </c>
      <c r="E472" s="234" t="s">
        <v>358</v>
      </c>
      <c r="F472" s="20">
        <f t="shared" si="7"/>
        <v>159076277</v>
      </c>
      <c r="G472" s="7" t="s">
        <v>330</v>
      </c>
      <c r="H472" s="24" t="s">
        <v>109</v>
      </c>
      <c r="I472" s="32" t="s">
        <v>152</v>
      </c>
    </row>
    <row r="473" spans="1:9" x14ac:dyDescent="0.35">
      <c r="A473" s="19">
        <v>46074</v>
      </c>
      <c r="B473" s="20"/>
      <c r="C473" s="20"/>
      <c r="D473" s="20">
        <v>25000</v>
      </c>
      <c r="E473" s="234" t="s">
        <v>358</v>
      </c>
      <c r="F473" s="20">
        <f t="shared" si="7"/>
        <v>159101277</v>
      </c>
      <c r="G473" s="7" t="s">
        <v>330</v>
      </c>
      <c r="H473" s="24" t="s">
        <v>109</v>
      </c>
      <c r="I473" s="32" t="s">
        <v>152</v>
      </c>
    </row>
    <row r="474" spans="1:9" x14ac:dyDescent="0.35">
      <c r="A474" s="19">
        <v>46074</v>
      </c>
      <c r="B474" s="20"/>
      <c r="C474" s="20"/>
      <c r="D474" s="20">
        <v>15000</v>
      </c>
      <c r="E474" s="234" t="s">
        <v>358</v>
      </c>
      <c r="F474" s="20">
        <f t="shared" si="7"/>
        <v>159116277</v>
      </c>
      <c r="G474" s="7" t="s">
        <v>330</v>
      </c>
      <c r="H474" s="24" t="s">
        <v>109</v>
      </c>
      <c r="I474" s="32" t="s">
        <v>152</v>
      </c>
    </row>
    <row r="475" spans="1:9" x14ac:dyDescent="0.35">
      <c r="A475" s="19">
        <v>46074</v>
      </c>
      <c r="B475" s="20"/>
      <c r="C475" s="20"/>
      <c r="D475" s="20">
        <v>5000</v>
      </c>
      <c r="E475" s="234" t="s">
        <v>358</v>
      </c>
      <c r="F475" s="20">
        <f t="shared" ref="F475:F538" si="8">+F474+D475-B475</f>
        <v>159121277</v>
      </c>
      <c r="G475" s="7" t="s">
        <v>330</v>
      </c>
      <c r="H475" s="24" t="s">
        <v>109</v>
      </c>
      <c r="I475" s="32" t="s">
        <v>152</v>
      </c>
    </row>
    <row r="476" spans="1:9" x14ac:dyDescent="0.35">
      <c r="A476" s="19">
        <v>46074</v>
      </c>
      <c r="B476" s="20"/>
      <c r="C476" s="20"/>
      <c r="D476" s="20">
        <v>10000</v>
      </c>
      <c r="E476" s="234" t="s">
        <v>358</v>
      </c>
      <c r="F476" s="20">
        <f t="shared" si="8"/>
        <v>159131277</v>
      </c>
      <c r="G476" s="7" t="s">
        <v>330</v>
      </c>
      <c r="H476" s="24" t="s">
        <v>109</v>
      </c>
      <c r="I476" s="32" t="s">
        <v>152</v>
      </c>
    </row>
    <row r="477" spans="1:9" x14ac:dyDescent="0.35">
      <c r="A477" s="19">
        <v>46074</v>
      </c>
      <c r="B477" s="20"/>
      <c r="C477" s="20"/>
      <c r="D477" s="20">
        <v>50000</v>
      </c>
      <c r="E477" s="234" t="s">
        <v>358</v>
      </c>
      <c r="F477" s="20">
        <f t="shared" si="8"/>
        <v>159181277</v>
      </c>
      <c r="G477" s="7" t="s">
        <v>330</v>
      </c>
      <c r="H477" s="24" t="s">
        <v>109</v>
      </c>
      <c r="I477" s="32" t="s">
        <v>152</v>
      </c>
    </row>
    <row r="478" spans="1:9" x14ac:dyDescent="0.35">
      <c r="A478" s="19">
        <v>46074</v>
      </c>
      <c r="B478" s="20"/>
      <c r="C478" s="20"/>
      <c r="D478" s="20">
        <v>20000</v>
      </c>
      <c r="E478" s="234" t="s">
        <v>358</v>
      </c>
      <c r="F478" s="20">
        <f t="shared" si="8"/>
        <v>159201277</v>
      </c>
      <c r="G478" s="7" t="s">
        <v>330</v>
      </c>
      <c r="H478" s="24" t="s">
        <v>109</v>
      </c>
      <c r="I478" s="32" t="s">
        <v>152</v>
      </c>
    </row>
    <row r="479" spans="1:9" x14ac:dyDescent="0.35">
      <c r="A479" s="19">
        <v>46074</v>
      </c>
      <c r="B479" s="20"/>
      <c r="C479" s="20"/>
      <c r="D479" s="20">
        <v>25000</v>
      </c>
      <c r="E479" s="234" t="s">
        <v>358</v>
      </c>
      <c r="F479" s="20">
        <f t="shared" si="8"/>
        <v>159226277</v>
      </c>
      <c r="G479" s="7" t="s">
        <v>330</v>
      </c>
      <c r="H479" s="24" t="s">
        <v>109</v>
      </c>
      <c r="I479" s="32" t="s">
        <v>152</v>
      </c>
    </row>
    <row r="480" spans="1:9" x14ac:dyDescent="0.35">
      <c r="A480" s="19">
        <v>46074</v>
      </c>
      <c r="B480" s="20"/>
      <c r="C480" s="20"/>
      <c r="D480" s="20">
        <v>50000</v>
      </c>
      <c r="E480" s="234" t="s">
        <v>358</v>
      </c>
      <c r="F480" s="20">
        <f t="shared" si="8"/>
        <v>159276277</v>
      </c>
      <c r="G480" s="7" t="s">
        <v>330</v>
      </c>
      <c r="H480" s="24" t="s">
        <v>109</v>
      </c>
      <c r="I480" s="32" t="s">
        <v>152</v>
      </c>
    </row>
    <row r="481" spans="1:9" x14ac:dyDescent="0.35">
      <c r="A481" s="19">
        <v>46074</v>
      </c>
      <c r="B481" s="20"/>
      <c r="C481" s="20"/>
      <c r="D481" s="20">
        <v>20000</v>
      </c>
      <c r="E481" s="234" t="s">
        <v>358</v>
      </c>
      <c r="F481" s="20">
        <f t="shared" si="8"/>
        <v>159296277</v>
      </c>
      <c r="G481" s="7" t="s">
        <v>330</v>
      </c>
      <c r="H481" s="24" t="s">
        <v>109</v>
      </c>
      <c r="I481" s="32" t="s">
        <v>152</v>
      </c>
    </row>
    <row r="482" spans="1:9" x14ac:dyDescent="0.35">
      <c r="A482" s="19">
        <v>46074</v>
      </c>
      <c r="B482" s="20"/>
      <c r="C482" s="20"/>
      <c r="D482" s="20">
        <v>20000</v>
      </c>
      <c r="E482" s="234" t="s">
        <v>358</v>
      </c>
      <c r="F482" s="20">
        <f t="shared" si="8"/>
        <v>159316277</v>
      </c>
      <c r="G482" s="7" t="s">
        <v>330</v>
      </c>
      <c r="H482" s="24" t="s">
        <v>109</v>
      </c>
      <c r="I482" s="32" t="s">
        <v>152</v>
      </c>
    </row>
    <row r="483" spans="1:9" x14ac:dyDescent="0.35">
      <c r="A483" s="19">
        <v>46074</v>
      </c>
      <c r="B483" s="20"/>
      <c r="C483" s="20"/>
      <c r="D483" s="20">
        <v>100000</v>
      </c>
      <c r="E483" s="234" t="s">
        <v>358</v>
      </c>
      <c r="F483" s="20">
        <f t="shared" si="8"/>
        <v>159416277</v>
      </c>
      <c r="G483" s="7" t="s">
        <v>330</v>
      </c>
      <c r="H483" s="24" t="s">
        <v>109</v>
      </c>
      <c r="I483" s="32" t="s">
        <v>152</v>
      </c>
    </row>
    <row r="484" spans="1:9" x14ac:dyDescent="0.35">
      <c r="A484" s="19">
        <v>46074</v>
      </c>
      <c r="B484" s="20"/>
      <c r="C484" s="20"/>
      <c r="D484" s="20">
        <v>50000</v>
      </c>
      <c r="E484" s="234" t="s">
        <v>358</v>
      </c>
      <c r="F484" s="20">
        <f t="shared" si="8"/>
        <v>159466277</v>
      </c>
      <c r="G484" s="7" t="s">
        <v>330</v>
      </c>
      <c r="H484" s="24" t="s">
        <v>109</v>
      </c>
      <c r="I484" s="32" t="s">
        <v>152</v>
      </c>
    </row>
    <row r="485" spans="1:9" x14ac:dyDescent="0.35">
      <c r="A485" s="19">
        <v>46074</v>
      </c>
      <c r="B485" s="20"/>
      <c r="C485" s="20"/>
      <c r="D485" s="20">
        <v>50000</v>
      </c>
      <c r="E485" s="234" t="s">
        <v>358</v>
      </c>
      <c r="F485" s="20">
        <f t="shared" si="8"/>
        <v>159516277</v>
      </c>
      <c r="G485" s="7" t="s">
        <v>330</v>
      </c>
      <c r="H485" s="24" t="s">
        <v>109</v>
      </c>
      <c r="I485" s="32" t="s">
        <v>152</v>
      </c>
    </row>
    <row r="486" spans="1:9" x14ac:dyDescent="0.35">
      <c r="A486" s="19">
        <v>46074</v>
      </c>
      <c r="B486" s="20"/>
      <c r="C486" s="20"/>
      <c r="D486" s="20">
        <v>50000</v>
      </c>
      <c r="E486" s="234" t="s">
        <v>358</v>
      </c>
      <c r="F486" s="20">
        <f t="shared" si="8"/>
        <v>159566277</v>
      </c>
      <c r="G486" s="7" t="s">
        <v>330</v>
      </c>
      <c r="H486" s="24" t="s">
        <v>109</v>
      </c>
      <c r="I486" s="32" t="s">
        <v>152</v>
      </c>
    </row>
    <row r="487" spans="1:9" x14ac:dyDescent="0.35">
      <c r="A487" s="19">
        <v>46074</v>
      </c>
      <c r="B487" s="20"/>
      <c r="C487" s="20"/>
      <c r="D487" s="20">
        <v>10000</v>
      </c>
      <c r="E487" s="234" t="s">
        <v>358</v>
      </c>
      <c r="F487" s="20">
        <f t="shared" si="8"/>
        <v>159576277</v>
      </c>
      <c r="G487" s="7" t="s">
        <v>330</v>
      </c>
      <c r="H487" s="24" t="s">
        <v>109</v>
      </c>
      <c r="I487" s="32" t="s">
        <v>152</v>
      </c>
    </row>
    <row r="488" spans="1:9" x14ac:dyDescent="0.35">
      <c r="A488" s="19">
        <v>46074</v>
      </c>
      <c r="B488" s="20"/>
      <c r="C488" s="20"/>
      <c r="D488" s="20">
        <v>50000</v>
      </c>
      <c r="E488" s="234" t="s">
        <v>358</v>
      </c>
      <c r="F488" s="20">
        <f t="shared" si="8"/>
        <v>159626277</v>
      </c>
      <c r="G488" s="7" t="s">
        <v>330</v>
      </c>
      <c r="H488" s="24" t="s">
        <v>109</v>
      </c>
      <c r="I488" s="32" t="s">
        <v>152</v>
      </c>
    </row>
    <row r="489" spans="1:9" x14ac:dyDescent="0.35">
      <c r="A489" s="19">
        <v>46074</v>
      </c>
      <c r="B489" s="20"/>
      <c r="C489" s="20"/>
      <c r="D489" s="20">
        <v>15000</v>
      </c>
      <c r="E489" s="234" t="s">
        <v>358</v>
      </c>
      <c r="F489" s="20">
        <f t="shared" si="8"/>
        <v>159641277</v>
      </c>
      <c r="G489" s="7" t="s">
        <v>330</v>
      </c>
      <c r="H489" s="24" t="s">
        <v>109</v>
      </c>
      <c r="I489" s="32" t="s">
        <v>152</v>
      </c>
    </row>
    <row r="490" spans="1:9" x14ac:dyDescent="0.35">
      <c r="A490" s="19">
        <v>46074</v>
      </c>
      <c r="B490" s="20"/>
      <c r="C490" s="20"/>
      <c r="D490" s="20">
        <v>50000</v>
      </c>
      <c r="E490" s="234" t="s">
        <v>358</v>
      </c>
      <c r="F490" s="20">
        <f t="shared" si="8"/>
        <v>159691277</v>
      </c>
      <c r="G490" s="7" t="s">
        <v>330</v>
      </c>
      <c r="H490" s="24" t="s">
        <v>109</v>
      </c>
      <c r="I490" s="32" t="s">
        <v>152</v>
      </c>
    </row>
    <row r="491" spans="1:9" x14ac:dyDescent="0.35">
      <c r="A491" s="19">
        <v>46074</v>
      </c>
      <c r="B491" s="20"/>
      <c r="C491" s="20"/>
      <c r="D491" s="20">
        <v>100000</v>
      </c>
      <c r="E491" s="234" t="s">
        <v>358</v>
      </c>
      <c r="F491" s="20">
        <f t="shared" si="8"/>
        <v>159791277</v>
      </c>
      <c r="G491" s="7" t="s">
        <v>330</v>
      </c>
      <c r="H491" s="24" t="s">
        <v>109</v>
      </c>
      <c r="I491" s="32" t="s">
        <v>152</v>
      </c>
    </row>
    <row r="492" spans="1:9" x14ac:dyDescent="0.35">
      <c r="A492" s="19">
        <v>46074</v>
      </c>
      <c r="B492" s="20"/>
      <c r="C492" s="20"/>
      <c r="D492" s="20">
        <v>20000</v>
      </c>
      <c r="E492" s="234" t="s">
        <v>358</v>
      </c>
      <c r="F492" s="20">
        <f t="shared" si="8"/>
        <v>159811277</v>
      </c>
      <c r="G492" s="7" t="s">
        <v>330</v>
      </c>
      <c r="H492" s="24" t="s">
        <v>109</v>
      </c>
      <c r="I492" s="32" t="s">
        <v>152</v>
      </c>
    </row>
    <row r="493" spans="1:9" x14ac:dyDescent="0.35">
      <c r="A493" s="19">
        <v>46074</v>
      </c>
      <c r="B493" s="20"/>
      <c r="C493" s="20"/>
      <c r="D493" s="20">
        <v>5000</v>
      </c>
      <c r="E493" s="234" t="s">
        <v>358</v>
      </c>
      <c r="F493" s="20">
        <f t="shared" si="8"/>
        <v>159816277</v>
      </c>
      <c r="G493" s="7" t="s">
        <v>330</v>
      </c>
      <c r="H493" s="24" t="s">
        <v>109</v>
      </c>
      <c r="I493" s="32" t="s">
        <v>152</v>
      </c>
    </row>
    <row r="494" spans="1:9" x14ac:dyDescent="0.35">
      <c r="A494" s="19">
        <v>46074</v>
      </c>
      <c r="B494" s="20"/>
      <c r="C494" s="20"/>
      <c r="D494" s="20">
        <v>50000</v>
      </c>
      <c r="E494" s="234" t="s">
        <v>358</v>
      </c>
      <c r="F494" s="20">
        <f t="shared" si="8"/>
        <v>159866277</v>
      </c>
      <c r="G494" s="7" t="s">
        <v>330</v>
      </c>
      <c r="H494" s="24" t="s">
        <v>109</v>
      </c>
      <c r="I494" s="32" t="s">
        <v>152</v>
      </c>
    </row>
    <row r="495" spans="1:9" x14ac:dyDescent="0.35">
      <c r="A495" s="19">
        <v>46074</v>
      </c>
      <c r="B495" s="20"/>
      <c r="C495" s="20"/>
      <c r="D495" s="20">
        <v>3000</v>
      </c>
      <c r="E495" s="234" t="s">
        <v>358</v>
      </c>
      <c r="F495" s="20">
        <f t="shared" si="8"/>
        <v>159869277</v>
      </c>
      <c r="G495" s="7" t="s">
        <v>330</v>
      </c>
      <c r="H495" s="24" t="s">
        <v>109</v>
      </c>
      <c r="I495" s="32" t="s">
        <v>152</v>
      </c>
    </row>
    <row r="496" spans="1:9" x14ac:dyDescent="0.35">
      <c r="A496" s="19">
        <v>46074</v>
      </c>
      <c r="B496" s="20"/>
      <c r="C496" s="20"/>
      <c r="D496" s="20">
        <v>5000</v>
      </c>
      <c r="E496" s="234" t="s">
        <v>358</v>
      </c>
      <c r="F496" s="20">
        <f t="shared" si="8"/>
        <v>159874277</v>
      </c>
      <c r="G496" s="7" t="s">
        <v>330</v>
      </c>
      <c r="H496" s="24" t="s">
        <v>109</v>
      </c>
      <c r="I496" s="32" t="s">
        <v>152</v>
      </c>
    </row>
    <row r="497" spans="1:9" x14ac:dyDescent="0.35">
      <c r="A497" s="19">
        <v>46074</v>
      </c>
      <c r="B497" s="20"/>
      <c r="C497" s="20"/>
      <c r="D497" s="20">
        <v>50000</v>
      </c>
      <c r="E497" s="234" t="s">
        <v>358</v>
      </c>
      <c r="F497" s="20">
        <f t="shared" si="8"/>
        <v>159924277</v>
      </c>
      <c r="G497" s="7" t="s">
        <v>330</v>
      </c>
      <c r="H497" s="24" t="s">
        <v>109</v>
      </c>
      <c r="I497" s="32" t="s">
        <v>152</v>
      </c>
    </row>
    <row r="498" spans="1:9" x14ac:dyDescent="0.35">
      <c r="A498" s="19">
        <v>46074</v>
      </c>
      <c r="B498" s="20"/>
      <c r="C498" s="20"/>
      <c r="D498" s="20">
        <v>10000</v>
      </c>
      <c r="E498" s="234" t="s">
        <v>358</v>
      </c>
      <c r="F498" s="20">
        <f t="shared" si="8"/>
        <v>159934277</v>
      </c>
      <c r="G498" s="7" t="s">
        <v>330</v>
      </c>
      <c r="H498" s="24" t="s">
        <v>109</v>
      </c>
      <c r="I498" s="32" t="s">
        <v>152</v>
      </c>
    </row>
    <row r="499" spans="1:9" x14ac:dyDescent="0.35">
      <c r="A499" s="19">
        <v>46074</v>
      </c>
      <c r="B499" s="20"/>
      <c r="C499" s="20"/>
      <c r="D499" s="20">
        <v>20000</v>
      </c>
      <c r="E499" s="234" t="s">
        <v>358</v>
      </c>
      <c r="F499" s="20">
        <f t="shared" si="8"/>
        <v>159954277</v>
      </c>
      <c r="G499" s="7" t="s">
        <v>330</v>
      </c>
      <c r="H499" s="24" t="s">
        <v>109</v>
      </c>
      <c r="I499" s="32" t="s">
        <v>152</v>
      </c>
    </row>
    <row r="500" spans="1:9" x14ac:dyDescent="0.35">
      <c r="A500" s="19">
        <v>46074</v>
      </c>
      <c r="B500" s="20"/>
      <c r="C500" s="20"/>
      <c r="D500" s="20">
        <v>3000</v>
      </c>
      <c r="E500" s="234" t="s">
        <v>358</v>
      </c>
      <c r="F500" s="20">
        <f t="shared" si="8"/>
        <v>159957277</v>
      </c>
      <c r="G500" s="7" t="s">
        <v>330</v>
      </c>
      <c r="H500" s="24" t="s">
        <v>109</v>
      </c>
      <c r="I500" s="32" t="s">
        <v>152</v>
      </c>
    </row>
    <row r="501" spans="1:9" x14ac:dyDescent="0.35">
      <c r="A501" s="19">
        <v>46074</v>
      </c>
      <c r="B501" s="20"/>
      <c r="C501" s="20"/>
      <c r="D501" s="20">
        <v>761500</v>
      </c>
      <c r="E501" s="234" t="s">
        <v>358</v>
      </c>
      <c r="F501" s="20">
        <f t="shared" si="8"/>
        <v>160718777</v>
      </c>
      <c r="G501" s="7" t="s">
        <v>763</v>
      </c>
      <c r="H501" s="24" t="s">
        <v>109</v>
      </c>
      <c r="I501" s="32" t="s">
        <v>152</v>
      </c>
    </row>
    <row r="502" spans="1:9" x14ac:dyDescent="0.35">
      <c r="A502" s="19">
        <v>46074</v>
      </c>
      <c r="B502" s="20">
        <v>2749000</v>
      </c>
      <c r="C502" s="20"/>
      <c r="D502" s="20"/>
      <c r="E502" s="234" t="s">
        <v>358</v>
      </c>
      <c r="F502" s="20">
        <f t="shared" si="8"/>
        <v>157969777</v>
      </c>
      <c r="G502" s="7" t="s">
        <v>1155</v>
      </c>
      <c r="H502" s="24" t="s">
        <v>499</v>
      </c>
      <c r="I502" s="32" t="s">
        <v>152</v>
      </c>
    </row>
    <row r="503" spans="1:9" x14ac:dyDescent="0.35">
      <c r="A503" s="19">
        <v>46074</v>
      </c>
      <c r="B503" s="20">
        <v>6500</v>
      </c>
      <c r="C503" s="20"/>
      <c r="D503" s="20"/>
      <c r="E503" s="234" t="s">
        <v>358</v>
      </c>
      <c r="F503" s="20">
        <f t="shared" si="8"/>
        <v>157963277</v>
      </c>
      <c r="G503" s="7" t="s">
        <v>1155</v>
      </c>
      <c r="H503" s="24" t="s">
        <v>499</v>
      </c>
      <c r="I503" s="32" t="s">
        <v>152</v>
      </c>
    </row>
    <row r="504" spans="1:9" x14ac:dyDescent="0.35">
      <c r="A504" s="19">
        <v>46074</v>
      </c>
      <c r="B504" s="20">
        <v>2000000</v>
      </c>
      <c r="C504" s="20"/>
      <c r="D504" s="20"/>
      <c r="E504" s="234" t="s">
        <v>358</v>
      </c>
      <c r="F504" s="20">
        <f t="shared" si="8"/>
        <v>155963277</v>
      </c>
      <c r="G504" s="7" t="s">
        <v>1156</v>
      </c>
      <c r="H504" s="24" t="s">
        <v>321</v>
      </c>
      <c r="I504" s="32" t="s">
        <v>152</v>
      </c>
    </row>
    <row r="505" spans="1:9" x14ac:dyDescent="0.35">
      <c r="A505" s="19">
        <v>46074</v>
      </c>
      <c r="B505" s="20">
        <v>6500</v>
      </c>
      <c r="C505" s="20"/>
      <c r="D505" s="20"/>
      <c r="E505" s="234" t="s">
        <v>358</v>
      </c>
      <c r="F505" s="20">
        <f t="shared" si="8"/>
        <v>155956777</v>
      </c>
      <c r="G505" s="7" t="s">
        <v>1156</v>
      </c>
      <c r="H505" s="24" t="s">
        <v>321</v>
      </c>
      <c r="I505" s="32" t="s">
        <v>152</v>
      </c>
    </row>
    <row r="506" spans="1:9" x14ac:dyDescent="0.35">
      <c r="A506" s="19">
        <v>46074</v>
      </c>
      <c r="B506" s="20"/>
      <c r="C506" s="20"/>
      <c r="D506" s="20">
        <v>10000</v>
      </c>
      <c r="E506" s="234" t="s">
        <v>358</v>
      </c>
      <c r="F506" s="20">
        <f t="shared" si="8"/>
        <v>155966777</v>
      </c>
      <c r="G506" s="7" t="s">
        <v>408</v>
      </c>
      <c r="H506" s="24" t="s">
        <v>109</v>
      </c>
      <c r="I506" s="32" t="s">
        <v>152</v>
      </c>
    </row>
    <row r="507" spans="1:9" x14ac:dyDescent="0.35">
      <c r="A507" s="19">
        <v>46075</v>
      </c>
      <c r="B507" s="20"/>
      <c r="C507" s="20"/>
      <c r="D507" s="20">
        <v>100000</v>
      </c>
      <c r="E507" s="234" t="s">
        <v>358</v>
      </c>
      <c r="F507" s="20">
        <f t="shared" si="8"/>
        <v>156066777</v>
      </c>
      <c r="G507" s="7" t="s">
        <v>330</v>
      </c>
      <c r="H507" s="24" t="s">
        <v>109</v>
      </c>
      <c r="I507" s="32" t="s">
        <v>152</v>
      </c>
    </row>
    <row r="508" spans="1:9" x14ac:dyDescent="0.35">
      <c r="A508" s="19">
        <v>46075</v>
      </c>
      <c r="B508" s="20"/>
      <c r="C508" s="20"/>
      <c r="D508" s="20">
        <v>100000</v>
      </c>
      <c r="E508" s="234" t="s">
        <v>358</v>
      </c>
      <c r="F508" s="20">
        <f t="shared" si="8"/>
        <v>156166777</v>
      </c>
      <c r="G508" s="7" t="s">
        <v>330</v>
      </c>
      <c r="H508" s="24" t="s">
        <v>109</v>
      </c>
      <c r="I508" s="32" t="s">
        <v>152</v>
      </c>
    </row>
    <row r="509" spans="1:9" x14ac:dyDescent="0.35">
      <c r="A509" s="19">
        <v>46075</v>
      </c>
      <c r="B509" s="20"/>
      <c r="C509" s="20"/>
      <c r="D509" s="20">
        <v>15000</v>
      </c>
      <c r="E509" s="234" t="s">
        <v>358</v>
      </c>
      <c r="F509" s="20">
        <f t="shared" si="8"/>
        <v>156181777</v>
      </c>
      <c r="G509" s="7" t="s">
        <v>330</v>
      </c>
      <c r="H509" s="24" t="s">
        <v>109</v>
      </c>
      <c r="I509" s="32" t="s">
        <v>152</v>
      </c>
    </row>
    <row r="510" spans="1:9" x14ac:dyDescent="0.35">
      <c r="A510" s="19">
        <v>46075</v>
      </c>
      <c r="B510" s="20"/>
      <c r="C510" s="20"/>
      <c r="D510" s="20">
        <v>20000</v>
      </c>
      <c r="E510" s="234" t="s">
        <v>358</v>
      </c>
      <c r="F510" s="20">
        <f t="shared" si="8"/>
        <v>156201777</v>
      </c>
      <c r="G510" s="7" t="s">
        <v>330</v>
      </c>
      <c r="H510" s="24" t="s">
        <v>109</v>
      </c>
      <c r="I510" s="32" t="s">
        <v>152</v>
      </c>
    </row>
    <row r="511" spans="1:9" x14ac:dyDescent="0.35">
      <c r="A511" s="19">
        <v>46075</v>
      </c>
      <c r="B511" s="20"/>
      <c r="C511" s="20"/>
      <c r="D511" s="20">
        <v>50000</v>
      </c>
      <c r="E511" s="234" t="s">
        <v>358</v>
      </c>
      <c r="F511" s="20">
        <f t="shared" si="8"/>
        <v>156251777</v>
      </c>
      <c r="G511" s="7" t="s">
        <v>330</v>
      </c>
      <c r="H511" s="24" t="s">
        <v>109</v>
      </c>
      <c r="I511" s="32" t="s">
        <v>152</v>
      </c>
    </row>
    <row r="512" spans="1:9" x14ac:dyDescent="0.35">
      <c r="A512" s="19">
        <v>46075</v>
      </c>
      <c r="B512" s="20"/>
      <c r="C512" s="20"/>
      <c r="D512" s="20">
        <v>5000</v>
      </c>
      <c r="E512" s="234" t="s">
        <v>358</v>
      </c>
      <c r="F512" s="20">
        <f t="shared" si="8"/>
        <v>156256777</v>
      </c>
      <c r="G512" s="7" t="s">
        <v>330</v>
      </c>
      <c r="H512" s="24" t="s">
        <v>109</v>
      </c>
      <c r="I512" s="32" t="s">
        <v>152</v>
      </c>
    </row>
    <row r="513" spans="1:9" x14ac:dyDescent="0.35">
      <c r="A513" s="19">
        <v>46075</v>
      </c>
      <c r="B513" s="20"/>
      <c r="C513" s="20"/>
      <c r="D513" s="20">
        <v>5000</v>
      </c>
      <c r="E513" s="234" t="s">
        <v>358</v>
      </c>
      <c r="F513" s="20">
        <f t="shared" si="8"/>
        <v>156261777</v>
      </c>
      <c r="G513" s="7" t="s">
        <v>330</v>
      </c>
      <c r="H513" s="24" t="s">
        <v>109</v>
      </c>
      <c r="I513" s="32" t="s">
        <v>152</v>
      </c>
    </row>
    <row r="514" spans="1:9" x14ac:dyDescent="0.35">
      <c r="A514" s="19">
        <v>46075</v>
      </c>
      <c r="B514" s="20"/>
      <c r="C514" s="20"/>
      <c r="D514" s="20">
        <v>50000</v>
      </c>
      <c r="E514" s="234" t="s">
        <v>358</v>
      </c>
      <c r="F514" s="20">
        <f t="shared" si="8"/>
        <v>156311777</v>
      </c>
      <c r="G514" s="7" t="s">
        <v>330</v>
      </c>
      <c r="H514" s="24" t="s">
        <v>109</v>
      </c>
      <c r="I514" s="32" t="s">
        <v>152</v>
      </c>
    </row>
    <row r="515" spans="1:9" x14ac:dyDescent="0.35">
      <c r="A515" s="19">
        <v>46075</v>
      </c>
      <c r="B515" s="20"/>
      <c r="C515" s="20"/>
      <c r="D515" s="20">
        <v>100000</v>
      </c>
      <c r="E515" s="234" t="s">
        <v>358</v>
      </c>
      <c r="F515" s="20">
        <f t="shared" si="8"/>
        <v>156411777</v>
      </c>
      <c r="G515" s="7" t="s">
        <v>330</v>
      </c>
      <c r="H515" s="24" t="s">
        <v>109</v>
      </c>
      <c r="I515" s="32" t="s">
        <v>152</v>
      </c>
    </row>
    <row r="516" spans="1:9" x14ac:dyDescent="0.35">
      <c r="A516" s="19">
        <v>46075</v>
      </c>
      <c r="B516" s="20"/>
      <c r="C516" s="20"/>
      <c r="D516" s="20">
        <v>50000</v>
      </c>
      <c r="E516" s="234" t="s">
        <v>358</v>
      </c>
      <c r="F516" s="20">
        <f t="shared" si="8"/>
        <v>156461777</v>
      </c>
      <c r="G516" s="7" t="s">
        <v>330</v>
      </c>
      <c r="H516" s="24" t="s">
        <v>109</v>
      </c>
      <c r="I516" s="32" t="s">
        <v>152</v>
      </c>
    </row>
    <row r="517" spans="1:9" x14ac:dyDescent="0.35">
      <c r="A517" s="19">
        <v>46075</v>
      </c>
      <c r="B517" s="20"/>
      <c r="C517" s="20"/>
      <c r="D517" s="20">
        <v>5000</v>
      </c>
      <c r="E517" s="234" t="s">
        <v>358</v>
      </c>
      <c r="F517" s="20">
        <f t="shared" si="8"/>
        <v>156466777</v>
      </c>
      <c r="G517" s="7" t="s">
        <v>330</v>
      </c>
      <c r="H517" s="24" t="s">
        <v>109</v>
      </c>
      <c r="I517" s="32" t="s">
        <v>152</v>
      </c>
    </row>
    <row r="518" spans="1:9" x14ac:dyDescent="0.35">
      <c r="A518" s="19">
        <v>46075</v>
      </c>
      <c r="B518" s="20"/>
      <c r="C518" s="20"/>
      <c r="D518" s="20">
        <v>50000</v>
      </c>
      <c r="E518" s="234" t="s">
        <v>358</v>
      </c>
      <c r="F518" s="20">
        <f t="shared" si="8"/>
        <v>156516777</v>
      </c>
      <c r="G518" s="7" t="s">
        <v>330</v>
      </c>
      <c r="H518" s="24" t="s">
        <v>109</v>
      </c>
      <c r="I518" s="32" t="s">
        <v>152</v>
      </c>
    </row>
    <row r="519" spans="1:9" x14ac:dyDescent="0.35">
      <c r="A519" s="19">
        <v>46075</v>
      </c>
      <c r="B519" s="20"/>
      <c r="C519" s="20"/>
      <c r="D519" s="20">
        <v>10000</v>
      </c>
      <c r="E519" s="234" t="s">
        <v>358</v>
      </c>
      <c r="F519" s="20">
        <f t="shared" si="8"/>
        <v>156526777</v>
      </c>
      <c r="G519" s="7" t="s">
        <v>330</v>
      </c>
      <c r="H519" s="24" t="s">
        <v>109</v>
      </c>
      <c r="I519" s="32" t="s">
        <v>152</v>
      </c>
    </row>
    <row r="520" spans="1:9" x14ac:dyDescent="0.35">
      <c r="A520" s="19">
        <v>46075</v>
      </c>
      <c r="B520" s="20"/>
      <c r="C520" s="20"/>
      <c r="D520" s="20">
        <v>100000</v>
      </c>
      <c r="E520" s="234" t="s">
        <v>358</v>
      </c>
      <c r="F520" s="20">
        <f t="shared" si="8"/>
        <v>156626777</v>
      </c>
      <c r="G520" s="7" t="s">
        <v>330</v>
      </c>
      <c r="H520" s="24" t="s">
        <v>109</v>
      </c>
      <c r="I520" s="32" t="s">
        <v>152</v>
      </c>
    </row>
    <row r="521" spans="1:9" x14ac:dyDescent="0.35">
      <c r="A521" s="19">
        <v>46075</v>
      </c>
      <c r="B521" s="20"/>
      <c r="C521" s="20"/>
      <c r="D521" s="20">
        <v>5000</v>
      </c>
      <c r="E521" s="234" t="s">
        <v>358</v>
      </c>
      <c r="F521" s="20">
        <f t="shared" si="8"/>
        <v>156631777</v>
      </c>
      <c r="G521" s="7" t="s">
        <v>330</v>
      </c>
      <c r="H521" s="24" t="s">
        <v>109</v>
      </c>
      <c r="I521" s="32" t="s">
        <v>152</v>
      </c>
    </row>
    <row r="522" spans="1:9" x14ac:dyDescent="0.35">
      <c r="A522" s="19">
        <v>46075</v>
      </c>
      <c r="B522" s="20"/>
      <c r="C522" s="20"/>
      <c r="D522" s="20">
        <v>20000</v>
      </c>
      <c r="E522" s="234" t="s">
        <v>358</v>
      </c>
      <c r="F522" s="20">
        <f t="shared" si="8"/>
        <v>156651777</v>
      </c>
      <c r="G522" s="7" t="s">
        <v>330</v>
      </c>
      <c r="H522" s="24" t="s">
        <v>109</v>
      </c>
      <c r="I522" s="32" t="s">
        <v>152</v>
      </c>
    </row>
    <row r="523" spans="1:9" x14ac:dyDescent="0.35">
      <c r="A523" s="19">
        <v>46075</v>
      </c>
      <c r="B523" s="20"/>
      <c r="C523" s="20"/>
      <c r="D523" s="20">
        <v>35000</v>
      </c>
      <c r="E523" s="234" t="s">
        <v>358</v>
      </c>
      <c r="F523" s="20">
        <f t="shared" si="8"/>
        <v>156686777</v>
      </c>
      <c r="G523" s="7" t="s">
        <v>330</v>
      </c>
      <c r="H523" s="24" t="s">
        <v>109</v>
      </c>
      <c r="I523" s="32" t="s">
        <v>152</v>
      </c>
    </row>
    <row r="524" spans="1:9" x14ac:dyDescent="0.35">
      <c r="A524" s="19">
        <v>46075</v>
      </c>
      <c r="B524" s="20"/>
      <c r="C524" s="20"/>
      <c r="D524" s="20">
        <v>50000</v>
      </c>
      <c r="E524" s="234" t="s">
        <v>358</v>
      </c>
      <c r="F524" s="20">
        <f t="shared" si="8"/>
        <v>156736777</v>
      </c>
      <c r="G524" s="7" t="s">
        <v>330</v>
      </c>
      <c r="H524" s="24" t="s">
        <v>109</v>
      </c>
      <c r="I524" s="32" t="s">
        <v>152</v>
      </c>
    </row>
    <row r="525" spans="1:9" x14ac:dyDescent="0.35">
      <c r="A525" s="19">
        <v>46075</v>
      </c>
      <c r="B525" s="20"/>
      <c r="C525" s="20"/>
      <c r="D525" s="20">
        <v>10000</v>
      </c>
      <c r="E525" s="234" t="s">
        <v>358</v>
      </c>
      <c r="F525" s="20">
        <f t="shared" si="8"/>
        <v>156746777</v>
      </c>
      <c r="G525" s="7" t="s">
        <v>330</v>
      </c>
      <c r="H525" s="24" t="s">
        <v>109</v>
      </c>
      <c r="I525" s="32" t="s">
        <v>152</v>
      </c>
    </row>
    <row r="526" spans="1:9" x14ac:dyDescent="0.35">
      <c r="A526" s="19">
        <v>46075</v>
      </c>
      <c r="B526" s="20"/>
      <c r="C526" s="20"/>
      <c r="D526" s="20">
        <v>3000</v>
      </c>
      <c r="E526" s="234" t="s">
        <v>358</v>
      </c>
      <c r="F526" s="20">
        <f t="shared" si="8"/>
        <v>156749777</v>
      </c>
      <c r="G526" s="7" t="s">
        <v>330</v>
      </c>
      <c r="H526" s="24" t="s">
        <v>109</v>
      </c>
      <c r="I526" s="32" t="s">
        <v>152</v>
      </c>
    </row>
    <row r="527" spans="1:9" x14ac:dyDescent="0.35">
      <c r="A527" s="19">
        <v>46075</v>
      </c>
      <c r="B527" s="20"/>
      <c r="C527" s="20"/>
      <c r="D527" s="20">
        <v>25000</v>
      </c>
      <c r="E527" s="234" t="s">
        <v>358</v>
      </c>
      <c r="F527" s="20">
        <f t="shared" si="8"/>
        <v>156774777</v>
      </c>
      <c r="G527" s="7" t="s">
        <v>330</v>
      </c>
      <c r="H527" s="24" t="s">
        <v>109</v>
      </c>
      <c r="I527" s="32" t="s">
        <v>152</v>
      </c>
    </row>
    <row r="528" spans="1:9" x14ac:dyDescent="0.35">
      <c r="A528" s="19">
        <v>46075</v>
      </c>
      <c r="B528" s="20"/>
      <c r="C528" s="20"/>
      <c r="D528" s="20">
        <v>50000</v>
      </c>
      <c r="E528" s="234" t="s">
        <v>358</v>
      </c>
      <c r="F528" s="20">
        <f t="shared" si="8"/>
        <v>156824777</v>
      </c>
      <c r="G528" s="7" t="s">
        <v>330</v>
      </c>
      <c r="H528" s="24" t="s">
        <v>109</v>
      </c>
      <c r="I528" s="32" t="s">
        <v>152</v>
      </c>
    </row>
    <row r="529" spans="1:9" x14ac:dyDescent="0.35">
      <c r="A529" s="19">
        <v>46075</v>
      </c>
      <c r="B529" s="20"/>
      <c r="C529" s="20"/>
      <c r="D529" s="20">
        <v>50000</v>
      </c>
      <c r="E529" s="234" t="s">
        <v>358</v>
      </c>
      <c r="F529" s="20">
        <f t="shared" si="8"/>
        <v>156874777</v>
      </c>
      <c r="G529" s="7" t="s">
        <v>330</v>
      </c>
      <c r="H529" s="24" t="s">
        <v>109</v>
      </c>
      <c r="I529" s="32" t="s">
        <v>152</v>
      </c>
    </row>
    <row r="530" spans="1:9" x14ac:dyDescent="0.35">
      <c r="A530" s="19">
        <v>46075</v>
      </c>
      <c r="B530" s="20"/>
      <c r="C530" s="20"/>
      <c r="D530" s="20">
        <v>5000</v>
      </c>
      <c r="E530" s="234" t="s">
        <v>358</v>
      </c>
      <c r="F530" s="20">
        <f t="shared" si="8"/>
        <v>156879777</v>
      </c>
      <c r="G530" s="7" t="s">
        <v>330</v>
      </c>
      <c r="H530" s="24" t="s">
        <v>109</v>
      </c>
      <c r="I530" s="32" t="s">
        <v>152</v>
      </c>
    </row>
    <row r="531" spans="1:9" x14ac:dyDescent="0.35">
      <c r="A531" s="19">
        <v>46075</v>
      </c>
      <c r="B531" s="20"/>
      <c r="C531" s="20"/>
      <c r="D531" s="20">
        <v>25000</v>
      </c>
      <c r="E531" s="234" t="s">
        <v>358</v>
      </c>
      <c r="F531" s="20">
        <f t="shared" si="8"/>
        <v>156904777</v>
      </c>
      <c r="G531" s="7" t="s">
        <v>330</v>
      </c>
      <c r="H531" s="24" t="s">
        <v>109</v>
      </c>
      <c r="I531" s="32" t="s">
        <v>152</v>
      </c>
    </row>
    <row r="532" spans="1:9" x14ac:dyDescent="0.35">
      <c r="A532" s="19">
        <v>46075</v>
      </c>
      <c r="B532" s="20"/>
      <c r="C532" s="20"/>
      <c r="D532" s="20">
        <v>15000</v>
      </c>
      <c r="E532" s="234" t="s">
        <v>358</v>
      </c>
      <c r="F532" s="20">
        <f t="shared" si="8"/>
        <v>156919777</v>
      </c>
      <c r="G532" s="7" t="s">
        <v>330</v>
      </c>
      <c r="H532" s="24" t="s">
        <v>109</v>
      </c>
      <c r="I532" s="32" t="s">
        <v>152</v>
      </c>
    </row>
    <row r="533" spans="1:9" x14ac:dyDescent="0.35">
      <c r="A533" s="19">
        <v>46075</v>
      </c>
      <c r="B533" s="20"/>
      <c r="C533" s="20"/>
      <c r="D533" s="20">
        <v>20000</v>
      </c>
      <c r="E533" s="234" t="s">
        <v>358</v>
      </c>
      <c r="F533" s="20">
        <f t="shared" si="8"/>
        <v>156939777</v>
      </c>
      <c r="G533" s="7" t="s">
        <v>330</v>
      </c>
      <c r="H533" s="24" t="s">
        <v>109</v>
      </c>
      <c r="I533" s="32" t="s">
        <v>152</v>
      </c>
    </row>
    <row r="534" spans="1:9" x14ac:dyDescent="0.35">
      <c r="A534" s="19">
        <v>46075</v>
      </c>
      <c r="B534" s="20"/>
      <c r="C534" s="20"/>
      <c r="D534" s="20">
        <v>100000</v>
      </c>
      <c r="E534" s="234" t="s">
        <v>358</v>
      </c>
      <c r="F534" s="20">
        <f t="shared" si="8"/>
        <v>157039777</v>
      </c>
      <c r="G534" s="7" t="s">
        <v>330</v>
      </c>
      <c r="H534" s="24" t="s">
        <v>109</v>
      </c>
      <c r="I534" s="32" t="s">
        <v>152</v>
      </c>
    </row>
    <row r="535" spans="1:9" x14ac:dyDescent="0.35">
      <c r="A535" s="19">
        <v>46075</v>
      </c>
      <c r="B535" s="20"/>
      <c r="C535" s="20"/>
      <c r="D535" s="20">
        <v>20000</v>
      </c>
      <c r="E535" s="234" t="s">
        <v>358</v>
      </c>
      <c r="F535" s="20">
        <f t="shared" si="8"/>
        <v>157059777</v>
      </c>
      <c r="G535" s="7" t="s">
        <v>330</v>
      </c>
      <c r="H535" s="24" t="s">
        <v>109</v>
      </c>
      <c r="I535" s="32" t="s">
        <v>152</v>
      </c>
    </row>
    <row r="536" spans="1:9" x14ac:dyDescent="0.35">
      <c r="A536" s="19">
        <v>46075</v>
      </c>
      <c r="B536" s="20"/>
      <c r="C536" s="20"/>
      <c r="D536" s="20">
        <v>2000</v>
      </c>
      <c r="E536" s="234" t="s">
        <v>358</v>
      </c>
      <c r="F536" s="20">
        <f t="shared" si="8"/>
        <v>157061777</v>
      </c>
      <c r="G536" s="7" t="s">
        <v>330</v>
      </c>
      <c r="H536" s="24" t="s">
        <v>109</v>
      </c>
      <c r="I536" s="32" t="s">
        <v>152</v>
      </c>
    </row>
    <row r="537" spans="1:9" x14ac:dyDescent="0.35">
      <c r="A537" s="19">
        <v>46075</v>
      </c>
      <c r="B537" s="20"/>
      <c r="C537" s="20"/>
      <c r="D537" s="20">
        <v>2500</v>
      </c>
      <c r="E537" s="234" t="s">
        <v>358</v>
      </c>
      <c r="F537" s="20">
        <f t="shared" si="8"/>
        <v>157064277</v>
      </c>
      <c r="G537" s="7" t="s">
        <v>330</v>
      </c>
      <c r="H537" s="24" t="s">
        <v>109</v>
      </c>
      <c r="I537" s="32" t="s">
        <v>152</v>
      </c>
    </row>
    <row r="538" spans="1:9" x14ac:dyDescent="0.35">
      <c r="A538" s="19">
        <v>46075</v>
      </c>
      <c r="B538" s="20"/>
      <c r="C538" s="20"/>
      <c r="D538" s="20">
        <v>50000</v>
      </c>
      <c r="E538" s="234" t="s">
        <v>358</v>
      </c>
      <c r="F538" s="20">
        <f t="shared" si="8"/>
        <v>157114277</v>
      </c>
      <c r="G538" s="7" t="s">
        <v>330</v>
      </c>
      <c r="H538" s="24" t="s">
        <v>109</v>
      </c>
      <c r="I538" s="32" t="s">
        <v>152</v>
      </c>
    </row>
    <row r="539" spans="1:9" x14ac:dyDescent="0.35">
      <c r="A539" s="19">
        <v>46075</v>
      </c>
      <c r="B539" s="20"/>
      <c r="C539" s="20"/>
      <c r="D539" s="20">
        <v>10000</v>
      </c>
      <c r="E539" s="234" t="s">
        <v>358</v>
      </c>
      <c r="F539" s="20">
        <f t="shared" ref="F539:F602" si="9">+F538+D539-B539</f>
        <v>157124277</v>
      </c>
      <c r="G539" s="7" t="s">
        <v>408</v>
      </c>
      <c r="H539" s="24" t="s">
        <v>109</v>
      </c>
      <c r="I539" s="32" t="s">
        <v>152</v>
      </c>
    </row>
    <row r="540" spans="1:9" x14ac:dyDescent="0.35">
      <c r="A540" s="19">
        <v>46076</v>
      </c>
      <c r="B540" s="20"/>
      <c r="C540" s="20"/>
      <c r="D540" s="20">
        <v>10000</v>
      </c>
      <c r="E540" s="234" t="s">
        <v>358</v>
      </c>
      <c r="F540" s="20">
        <f t="shared" si="9"/>
        <v>157134277</v>
      </c>
      <c r="G540" s="7" t="s">
        <v>330</v>
      </c>
      <c r="H540" s="24" t="s">
        <v>109</v>
      </c>
      <c r="I540" s="32" t="s">
        <v>152</v>
      </c>
    </row>
    <row r="541" spans="1:9" x14ac:dyDescent="0.35">
      <c r="A541" s="19">
        <v>46076</v>
      </c>
      <c r="B541" s="20"/>
      <c r="C541" s="20"/>
      <c r="D541" s="20">
        <v>20000</v>
      </c>
      <c r="E541" s="234" t="s">
        <v>358</v>
      </c>
      <c r="F541" s="20">
        <f t="shared" si="9"/>
        <v>157154277</v>
      </c>
      <c r="G541" s="7" t="s">
        <v>330</v>
      </c>
      <c r="H541" s="24" t="s">
        <v>109</v>
      </c>
      <c r="I541" s="32" t="s">
        <v>152</v>
      </c>
    </row>
    <row r="542" spans="1:9" x14ac:dyDescent="0.35">
      <c r="A542" s="19">
        <v>46076</v>
      </c>
      <c r="B542" s="20"/>
      <c r="C542" s="20"/>
      <c r="D542" s="20">
        <v>25000</v>
      </c>
      <c r="E542" s="234" t="s">
        <v>358</v>
      </c>
      <c r="F542" s="20">
        <f t="shared" si="9"/>
        <v>157179277</v>
      </c>
      <c r="G542" s="7" t="s">
        <v>330</v>
      </c>
      <c r="H542" s="24" t="s">
        <v>109</v>
      </c>
      <c r="I542" s="32" t="s">
        <v>152</v>
      </c>
    </row>
    <row r="543" spans="1:9" x14ac:dyDescent="0.35">
      <c r="A543" s="19">
        <v>46076</v>
      </c>
      <c r="B543" s="20"/>
      <c r="C543" s="20"/>
      <c r="D543" s="20">
        <v>100000</v>
      </c>
      <c r="E543" s="234" t="s">
        <v>358</v>
      </c>
      <c r="F543" s="20">
        <f t="shared" si="9"/>
        <v>157279277</v>
      </c>
      <c r="G543" s="7" t="s">
        <v>330</v>
      </c>
      <c r="H543" s="24" t="s">
        <v>109</v>
      </c>
      <c r="I543" s="32" t="s">
        <v>152</v>
      </c>
    </row>
    <row r="544" spans="1:9" x14ac:dyDescent="0.35">
      <c r="A544" s="19">
        <v>46076</v>
      </c>
      <c r="B544" s="20"/>
      <c r="C544" s="20"/>
      <c r="D544" s="20">
        <v>50000</v>
      </c>
      <c r="E544" s="234" t="s">
        <v>358</v>
      </c>
      <c r="F544" s="20">
        <f t="shared" si="9"/>
        <v>157329277</v>
      </c>
      <c r="G544" s="7" t="s">
        <v>330</v>
      </c>
      <c r="H544" s="24" t="s">
        <v>109</v>
      </c>
      <c r="I544" s="32" t="s">
        <v>152</v>
      </c>
    </row>
    <row r="545" spans="1:9" x14ac:dyDescent="0.35">
      <c r="A545" s="19">
        <v>46076</v>
      </c>
      <c r="B545" s="20"/>
      <c r="C545" s="20"/>
      <c r="D545" s="20">
        <v>50000</v>
      </c>
      <c r="E545" s="234" t="s">
        <v>358</v>
      </c>
      <c r="F545" s="20">
        <f t="shared" si="9"/>
        <v>157379277</v>
      </c>
      <c r="G545" s="7" t="s">
        <v>330</v>
      </c>
      <c r="H545" s="24" t="s">
        <v>109</v>
      </c>
      <c r="I545" s="32" t="s">
        <v>152</v>
      </c>
    </row>
    <row r="546" spans="1:9" x14ac:dyDescent="0.35">
      <c r="A546" s="19">
        <v>46076</v>
      </c>
      <c r="B546" s="20"/>
      <c r="C546" s="20"/>
      <c r="D546" s="20">
        <v>10000</v>
      </c>
      <c r="E546" s="234" t="s">
        <v>358</v>
      </c>
      <c r="F546" s="20">
        <f t="shared" si="9"/>
        <v>157389277</v>
      </c>
      <c r="G546" s="7" t="s">
        <v>330</v>
      </c>
      <c r="H546" s="24" t="s">
        <v>109</v>
      </c>
      <c r="I546" s="32" t="s">
        <v>152</v>
      </c>
    </row>
    <row r="547" spans="1:9" x14ac:dyDescent="0.35">
      <c r="A547" s="19">
        <v>46076</v>
      </c>
      <c r="B547" s="20"/>
      <c r="C547" s="20"/>
      <c r="D547" s="20">
        <v>50000</v>
      </c>
      <c r="E547" s="234" t="s">
        <v>358</v>
      </c>
      <c r="F547" s="20">
        <f t="shared" si="9"/>
        <v>157439277</v>
      </c>
      <c r="G547" s="7" t="s">
        <v>330</v>
      </c>
      <c r="H547" s="24" t="s">
        <v>109</v>
      </c>
      <c r="I547" s="32" t="s">
        <v>152</v>
      </c>
    </row>
    <row r="548" spans="1:9" x14ac:dyDescent="0.35">
      <c r="A548" s="19">
        <v>46076</v>
      </c>
      <c r="B548" s="20"/>
      <c r="C548" s="20"/>
      <c r="D548" s="20">
        <v>20000</v>
      </c>
      <c r="E548" s="234" t="s">
        <v>358</v>
      </c>
      <c r="F548" s="20">
        <f t="shared" si="9"/>
        <v>157459277</v>
      </c>
      <c r="G548" s="7" t="s">
        <v>330</v>
      </c>
      <c r="H548" s="24" t="s">
        <v>109</v>
      </c>
      <c r="I548" s="32" t="s">
        <v>152</v>
      </c>
    </row>
    <row r="549" spans="1:9" x14ac:dyDescent="0.35">
      <c r="A549" s="19">
        <v>46076</v>
      </c>
      <c r="B549" s="20"/>
      <c r="C549" s="20"/>
      <c r="D549" s="20">
        <v>15000</v>
      </c>
      <c r="E549" s="234" t="s">
        <v>358</v>
      </c>
      <c r="F549" s="20">
        <f t="shared" si="9"/>
        <v>157474277</v>
      </c>
      <c r="G549" s="7" t="s">
        <v>330</v>
      </c>
      <c r="H549" s="24" t="s">
        <v>109</v>
      </c>
      <c r="I549" s="32" t="s">
        <v>152</v>
      </c>
    </row>
    <row r="550" spans="1:9" x14ac:dyDescent="0.35">
      <c r="A550" s="19">
        <v>46076</v>
      </c>
      <c r="B550" s="20"/>
      <c r="C550" s="20"/>
      <c r="D550" s="20">
        <v>5000</v>
      </c>
      <c r="E550" s="234" t="s">
        <v>358</v>
      </c>
      <c r="F550" s="20">
        <f t="shared" si="9"/>
        <v>157479277</v>
      </c>
      <c r="G550" s="7" t="s">
        <v>330</v>
      </c>
      <c r="H550" s="24" t="s">
        <v>109</v>
      </c>
      <c r="I550" s="32" t="s">
        <v>152</v>
      </c>
    </row>
    <row r="551" spans="1:9" x14ac:dyDescent="0.35">
      <c r="A551" s="19">
        <v>46076</v>
      </c>
      <c r="B551" s="20"/>
      <c r="C551" s="20"/>
      <c r="D551" s="20">
        <v>20000</v>
      </c>
      <c r="E551" s="234" t="s">
        <v>358</v>
      </c>
      <c r="F551" s="20">
        <f t="shared" si="9"/>
        <v>157499277</v>
      </c>
      <c r="G551" s="7" t="s">
        <v>330</v>
      </c>
      <c r="H551" s="24" t="s">
        <v>109</v>
      </c>
      <c r="I551" s="32" t="s">
        <v>152</v>
      </c>
    </row>
    <row r="552" spans="1:9" x14ac:dyDescent="0.35">
      <c r="A552" s="19">
        <v>46076</v>
      </c>
      <c r="B552" s="20"/>
      <c r="C552" s="20"/>
      <c r="D552" s="20">
        <v>5000</v>
      </c>
      <c r="E552" s="234" t="s">
        <v>358</v>
      </c>
      <c r="F552" s="20">
        <f t="shared" si="9"/>
        <v>157504277</v>
      </c>
      <c r="G552" s="7" t="s">
        <v>330</v>
      </c>
      <c r="H552" s="24" t="s">
        <v>109</v>
      </c>
      <c r="I552" s="32" t="s">
        <v>152</v>
      </c>
    </row>
    <row r="553" spans="1:9" x14ac:dyDescent="0.35">
      <c r="A553" s="19">
        <v>46076</v>
      </c>
      <c r="B553" s="20"/>
      <c r="C553" s="20"/>
      <c r="D553" s="20">
        <v>5000</v>
      </c>
      <c r="E553" s="234" t="s">
        <v>358</v>
      </c>
      <c r="F553" s="20">
        <f t="shared" si="9"/>
        <v>157509277</v>
      </c>
      <c r="G553" s="7" t="s">
        <v>330</v>
      </c>
      <c r="H553" s="24" t="s">
        <v>109</v>
      </c>
      <c r="I553" s="32" t="s">
        <v>152</v>
      </c>
    </row>
    <row r="554" spans="1:9" x14ac:dyDescent="0.35">
      <c r="A554" s="19">
        <v>46076</v>
      </c>
      <c r="B554" s="20"/>
      <c r="C554" s="20"/>
      <c r="D554" s="20">
        <v>15000</v>
      </c>
      <c r="E554" s="234" t="s">
        <v>358</v>
      </c>
      <c r="F554" s="20">
        <f t="shared" si="9"/>
        <v>157524277</v>
      </c>
      <c r="G554" s="7" t="s">
        <v>330</v>
      </c>
      <c r="H554" s="24" t="s">
        <v>109</v>
      </c>
      <c r="I554" s="32" t="s">
        <v>152</v>
      </c>
    </row>
    <row r="555" spans="1:9" x14ac:dyDescent="0.35">
      <c r="A555" s="19">
        <v>46076</v>
      </c>
      <c r="B555" s="20"/>
      <c r="C555" s="20"/>
      <c r="D555" s="20">
        <v>10000</v>
      </c>
      <c r="E555" s="234" t="s">
        <v>358</v>
      </c>
      <c r="F555" s="20">
        <f t="shared" si="9"/>
        <v>157534277</v>
      </c>
      <c r="G555" s="7" t="s">
        <v>330</v>
      </c>
      <c r="H555" s="24" t="s">
        <v>109</v>
      </c>
      <c r="I555" s="32" t="s">
        <v>152</v>
      </c>
    </row>
    <row r="556" spans="1:9" x14ac:dyDescent="0.35">
      <c r="A556" s="19">
        <v>46076</v>
      </c>
      <c r="B556" s="20"/>
      <c r="C556" s="20"/>
      <c r="D556" s="20">
        <v>2502</v>
      </c>
      <c r="E556" s="234" t="s">
        <v>358</v>
      </c>
      <c r="F556" s="20">
        <f t="shared" si="9"/>
        <v>157536779</v>
      </c>
      <c r="G556" s="7" t="s">
        <v>330</v>
      </c>
      <c r="H556" s="24" t="s">
        <v>109</v>
      </c>
      <c r="I556" s="32" t="s">
        <v>152</v>
      </c>
    </row>
    <row r="557" spans="1:9" x14ac:dyDescent="0.35">
      <c r="A557" s="19">
        <v>46076</v>
      </c>
      <c r="B557" s="20"/>
      <c r="C557" s="20"/>
      <c r="D557" s="20">
        <v>50000</v>
      </c>
      <c r="E557" s="234" t="s">
        <v>358</v>
      </c>
      <c r="F557" s="20">
        <f t="shared" si="9"/>
        <v>157586779</v>
      </c>
      <c r="G557" s="7" t="s">
        <v>330</v>
      </c>
      <c r="H557" s="24" t="s">
        <v>109</v>
      </c>
      <c r="I557" s="32" t="s">
        <v>152</v>
      </c>
    </row>
    <row r="558" spans="1:9" x14ac:dyDescent="0.35">
      <c r="A558" s="19">
        <v>46076</v>
      </c>
      <c r="B558" s="20"/>
      <c r="C558" s="20"/>
      <c r="D558" s="20">
        <v>10000</v>
      </c>
      <c r="E558" s="234" t="s">
        <v>358</v>
      </c>
      <c r="F558" s="20">
        <f t="shared" si="9"/>
        <v>157596779</v>
      </c>
      <c r="G558" s="7" t="s">
        <v>330</v>
      </c>
      <c r="H558" s="24" t="s">
        <v>109</v>
      </c>
      <c r="I558" s="32" t="s">
        <v>152</v>
      </c>
    </row>
    <row r="559" spans="1:9" x14ac:dyDescent="0.35">
      <c r="A559" s="19">
        <v>46076</v>
      </c>
      <c r="B559" s="20"/>
      <c r="C559" s="20"/>
      <c r="D559" s="20">
        <v>10000</v>
      </c>
      <c r="E559" s="234" t="s">
        <v>358</v>
      </c>
      <c r="F559" s="20">
        <f t="shared" si="9"/>
        <v>157606779</v>
      </c>
      <c r="G559" s="7" t="s">
        <v>330</v>
      </c>
      <c r="H559" s="24" t="s">
        <v>109</v>
      </c>
      <c r="I559" s="32" t="s">
        <v>152</v>
      </c>
    </row>
    <row r="560" spans="1:9" x14ac:dyDescent="0.35">
      <c r="A560" s="19">
        <v>46076</v>
      </c>
      <c r="B560" s="20"/>
      <c r="C560" s="20"/>
      <c r="D560" s="20">
        <v>50000</v>
      </c>
      <c r="E560" s="234" t="s">
        <v>358</v>
      </c>
      <c r="F560" s="20">
        <f t="shared" si="9"/>
        <v>157656779</v>
      </c>
      <c r="G560" s="7" t="s">
        <v>330</v>
      </c>
      <c r="H560" s="24" t="s">
        <v>109</v>
      </c>
      <c r="I560" s="32" t="s">
        <v>152</v>
      </c>
    </row>
    <row r="561" spans="1:9" x14ac:dyDescent="0.35">
      <c r="A561" s="19">
        <v>46076</v>
      </c>
      <c r="B561" s="20"/>
      <c r="C561" s="20"/>
      <c r="D561" s="20">
        <v>15000</v>
      </c>
      <c r="E561" s="234" t="s">
        <v>358</v>
      </c>
      <c r="F561" s="20">
        <f t="shared" si="9"/>
        <v>157671779</v>
      </c>
      <c r="G561" s="7" t="s">
        <v>330</v>
      </c>
      <c r="H561" s="24" t="s">
        <v>109</v>
      </c>
      <c r="I561" s="32" t="s">
        <v>152</v>
      </c>
    </row>
    <row r="562" spans="1:9" x14ac:dyDescent="0.35">
      <c r="A562" s="19">
        <v>46076</v>
      </c>
      <c r="B562" s="20"/>
      <c r="C562" s="20"/>
      <c r="D562" s="20">
        <v>2000</v>
      </c>
      <c r="E562" s="234" t="s">
        <v>358</v>
      </c>
      <c r="F562" s="20">
        <f t="shared" si="9"/>
        <v>157673779</v>
      </c>
      <c r="G562" s="7" t="s">
        <v>330</v>
      </c>
      <c r="H562" s="24" t="s">
        <v>109</v>
      </c>
      <c r="I562" s="32" t="s">
        <v>152</v>
      </c>
    </row>
    <row r="563" spans="1:9" x14ac:dyDescent="0.35">
      <c r="A563" s="19">
        <v>46076</v>
      </c>
      <c r="B563" s="20"/>
      <c r="C563" s="20"/>
      <c r="D563" s="20">
        <v>20000</v>
      </c>
      <c r="E563" s="234" t="s">
        <v>358</v>
      </c>
      <c r="F563" s="20">
        <f t="shared" si="9"/>
        <v>157693779</v>
      </c>
      <c r="G563" s="7" t="s">
        <v>330</v>
      </c>
      <c r="H563" s="24" t="s">
        <v>109</v>
      </c>
      <c r="I563" s="32" t="s">
        <v>152</v>
      </c>
    </row>
    <row r="564" spans="1:9" x14ac:dyDescent="0.35">
      <c r="A564" s="19">
        <v>46076</v>
      </c>
      <c r="B564" s="20"/>
      <c r="C564" s="20"/>
      <c r="D564" s="20">
        <v>10000</v>
      </c>
      <c r="E564" s="234" t="s">
        <v>358</v>
      </c>
      <c r="F564" s="20">
        <f t="shared" si="9"/>
        <v>157703779</v>
      </c>
      <c r="G564" s="7" t="s">
        <v>330</v>
      </c>
      <c r="H564" s="24" t="s">
        <v>109</v>
      </c>
      <c r="I564" s="32" t="s">
        <v>152</v>
      </c>
    </row>
    <row r="565" spans="1:9" x14ac:dyDescent="0.35">
      <c r="A565" s="19">
        <v>46076</v>
      </c>
      <c r="B565" s="20"/>
      <c r="C565" s="20"/>
      <c r="D565" s="20">
        <v>35000</v>
      </c>
      <c r="E565" s="234" t="s">
        <v>358</v>
      </c>
      <c r="F565" s="20">
        <f t="shared" si="9"/>
        <v>157738779</v>
      </c>
      <c r="G565" s="7" t="s">
        <v>330</v>
      </c>
      <c r="H565" s="24" t="s">
        <v>109</v>
      </c>
      <c r="I565" s="32" t="s">
        <v>152</v>
      </c>
    </row>
    <row r="566" spans="1:9" x14ac:dyDescent="0.35">
      <c r="A566" s="19">
        <v>46077</v>
      </c>
      <c r="B566" s="20"/>
      <c r="C566" s="20"/>
      <c r="D566" s="20">
        <v>10000</v>
      </c>
      <c r="E566" s="234" t="s">
        <v>358</v>
      </c>
      <c r="F566" s="20">
        <f t="shared" si="9"/>
        <v>157748779</v>
      </c>
      <c r="G566" s="7" t="s">
        <v>330</v>
      </c>
      <c r="H566" s="24" t="s">
        <v>109</v>
      </c>
      <c r="I566" s="32" t="s">
        <v>152</v>
      </c>
    </row>
    <row r="567" spans="1:9" x14ac:dyDescent="0.35">
      <c r="A567" s="19">
        <v>46077</v>
      </c>
      <c r="B567" s="20"/>
      <c r="C567" s="20"/>
      <c r="D567" s="20">
        <v>20000</v>
      </c>
      <c r="E567" s="234" t="s">
        <v>358</v>
      </c>
      <c r="F567" s="20">
        <f t="shared" si="9"/>
        <v>157768779</v>
      </c>
      <c r="G567" s="7" t="s">
        <v>330</v>
      </c>
      <c r="H567" s="24" t="s">
        <v>109</v>
      </c>
      <c r="I567" s="32" t="s">
        <v>152</v>
      </c>
    </row>
    <row r="568" spans="1:9" x14ac:dyDescent="0.35">
      <c r="A568" s="19">
        <v>46077</v>
      </c>
      <c r="B568" s="20"/>
      <c r="C568" s="20"/>
      <c r="D568" s="20">
        <v>10000</v>
      </c>
      <c r="E568" s="234" t="s">
        <v>358</v>
      </c>
      <c r="F568" s="20">
        <f t="shared" si="9"/>
        <v>157778779</v>
      </c>
      <c r="G568" s="7" t="s">
        <v>330</v>
      </c>
      <c r="H568" s="24" t="s">
        <v>109</v>
      </c>
      <c r="I568" s="32" t="s">
        <v>152</v>
      </c>
    </row>
    <row r="569" spans="1:9" x14ac:dyDescent="0.35">
      <c r="A569" s="19">
        <v>46077</v>
      </c>
      <c r="B569" s="20"/>
      <c r="C569" s="20"/>
      <c r="D569" s="20">
        <v>20000</v>
      </c>
      <c r="E569" s="234" t="s">
        <v>358</v>
      </c>
      <c r="F569" s="20">
        <f t="shared" si="9"/>
        <v>157798779</v>
      </c>
      <c r="G569" s="7" t="s">
        <v>330</v>
      </c>
      <c r="H569" s="24" t="s">
        <v>109</v>
      </c>
      <c r="I569" s="32" t="s">
        <v>152</v>
      </c>
    </row>
    <row r="570" spans="1:9" x14ac:dyDescent="0.35">
      <c r="A570" s="19">
        <v>46077</v>
      </c>
      <c r="B570" s="20"/>
      <c r="C570" s="20"/>
      <c r="D570" s="20">
        <v>5000</v>
      </c>
      <c r="E570" s="234" t="s">
        <v>358</v>
      </c>
      <c r="F570" s="20">
        <f t="shared" si="9"/>
        <v>157803779</v>
      </c>
      <c r="G570" s="7" t="s">
        <v>330</v>
      </c>
      <c r="H570" s="24" t="s">
        <v>109</v>
      </c>
      <c r="I570" s="32" t="s">
        <v>152</v>
      </c>
    </row>
    <row r="571" spans="1:9" x14ac:dyDescent="0.35">
      <c r="A571" s="19">
        <v>46077</v>
      </c>
      <c r="B571" s="20"/>
      <c r="C571" s="20"/>
      <c r="D571" s="20">
        <v>50000</v>
      </c>
      <c r="E571" s="234" t="s">
        <v>358</v>
      </c>
      <c r="F571" s="20">
        <f t="shared" si="9"/>
        <v>157853779</v>
      </c>
      <c r="G571" s="7" t="s">
        <v>330</v>
      </c>
      <c r="H571" s="24" t="s">
        <v>109</v>
      </c>
      <c r="I571" s="32" t="s">
        <v>152</v>
      </c>
    </row>
    <row r="572" spans="1:9" x14ac:dyDescent="0.35">
      <c r="A572" s="19">
        <v>46077</v>
      </c>
      <c r="B572" s="20"/>
      <c r="C572" s="20"/>
      <c r="D572" s="20">
        <v>10000</v>
      </c>
      <c r="E572" s="234" t="s">
        <v>358</v>
      </c>
      <c r="F572" s="20">
        <f t="shared" si="9"/>
        <v>157863779</v>
      </c>
      <c r="G572" s="7" t="s">
        <v>330</v>
      </c>
      <c r="H572" s="24" t="s">
        <v>109</v>
      </c>
      <c r="I572" s="32" t="s">
        <v>152</v>
      </c>
    </row>
    <row r="573" spans="1:9" x14ac:dyDescent="0.35">
      <c r="A573" s="19">
        <v>46077</v>
      </c>
      <c r="B573" s="20"/>
      <c r="C573" s="20"/>
      <c r="D573" s="20">
        <v>20000</v>
      </c>
      <c r="E573" s="234" t="s">
        <v>358</v>
      </c>
      <c r="F573" s="20">
        <f t="shared" si="9"/>
        <v>157883779</v>
      </c>
      <c r="G573" s="7" t="s">
        <v>330</v>
      </c>
      <c r="H573" s="24" t="s">
        <v>109</v>
      </c>
      <c r="I573" s="32" t="s">
        <v>152</v>
      </c>
    </row>
    <row r="574" spans="1:9" x14ac:dyDescent="0.35">
      <c r="A574" s="19">
        <v>46077</v>
      </c>
      <c r="B574" s="20"/>
      <c r="C574" s="20"/>
      <c r="D574" s="20">
        <v>50000</v>
      </c>
      <c r="E574" s="234" t="s">
        <v>358</v>
      </c>
      <c r="F574" s="20">
        <f t="shared" si="9"/>
        <v>157933779</v>
      </c>
      <c r="G574" s="7" t="s">
        <v>330</v>
      </c>
      <c r="H574" s="24" t="s">
        <v>109</v>
      </c>
      <c r="I574" s="32" t="s">
        <v>152</v>
      </c>
    </row>
    <row r="575" spans="1:9" x14ac:dyDescent="0.35">
      <c r="A575" s="19">
        <v>46077</v>
      </c>
      <c r="B575" s="20"/>
      <c r="C575" s="20"/>
      <c r="D575" s="20">
        <v>25000</v>
      </c>
      <c r="E575" s="234" t="s">
        <v>358</v>
      </c>
      <c r="F575" s="20">
        <f t="shared" si="9"/>
        <v>157958779</v>
      </c>
      <c r="G575" s="7" t="s">
        <v>330</v>
      </c>
      <c r="H575" s="24" t="s">
        <v>109</v>
      </c>
      <c r="I575" s="32" t="s">
        <v>152</v>
      </c>
    </row>
    <row r="576" spans="1:9" x14ac:dyDescent="0.35">
      <c r="A576" s="19">
        <v>46077</v>
      </c>
      <c r="B576" s="20"/>
      <c r="C576" s="20"/>
      <c r="D576" s="20">
        <v>10000</v>
      </c>
      <c r="E576" s="234" t="s">
        <v>358</v>
      </c>
      <c r="F576" s="20">
        <f t="shared" si="9"/>
        <v>157968779</v>
      </c>
      <c r="G576" s="7" t="s">
        <v>330</v>
      </c>
      <c r="H576" s="24" t="s">
        <v>109</v>
      </c>
      <c r="I576" s="32" t="s">
        <v>152</v>
      </c>
    </row>
    <row r="577" spans="1:9" x14ac:dyDescent="0.35">
      <c r="A577" s="19">
        <v>46077</v>
      </c>
      <c r="B577" s="20"/>
      <c r="C577" s="20"/>
      <c r="D577" s="20">
        <v>50000</v>
      </c>
      <c r="E577" s="234" t="s">
        <v>358</v>
      </c>
      <c r="F577" s="20">
        <f t="shared" si="9"/>
        <v>158018779</v>
      </c>
      <c r="G577" s="7" t="s">
        <v>330</v>
      </c>
      <c r="H577" s="24" t="s">
        <v>109</v>
      </c>
      <c r="I577" s="32" t="s">
        <v>152</v>
      </c>
    </row>
    <row r="578" spans="1:9" x14ac:dyDescent="0.35">
      <c r="A578" s="19">
        <v>46077</v>
      </c>
      <c r="B578" s="20"/>
      <c r="C578" s="20"/>
      <c r="D578" s="20">
        <v>50000</v>
      </c>
      <c r="E578" s="234" t="s">
        <v>358</v>
      </c>
      <c r="F578" s="20">
        <f t="shared" si="9"/>
        <v>158068779</v>
      </c>
      <c r="G578" s="7" t="s">
        <v>330</v>
      </c>
      <c r="H578" s="24" t="s">
        <v>109</v>
      </c>
      <c r="I578" s="32" t="s">
        <v>152</v>
      </c>
    </row>
    <row r="579" spans="1:9" x14ac:dyDescent="0.35">
      <c r="A579" s="19">
        <v>46077</v>
      </c>
      <c r="B579" s="20"/>
      <c r="C579" s="20"/>
      <c r="D579" s="20">
        <v>10000</v>
      </c>
      <c r="E579" s="234" t="s">
        <v>358</v>
      </c>
      <c r="F579" s="20">
        <f t="shared" si="9"/>
        <v>158078779</v>
      </c>
      <c r="G579" s="7" t="s">
        <v>330</v>
      </c>
      <c r="H579" s="24" t="s">
        <v>109</v>
      </c>
      <c r="I579" s="32" t="s">
        <v>152</v>
      </c>
    </row>
    <row r="580" spans="1:9" x14ac:dyDescent="0.35">
      <c r="A580" s="19">
        <v>46077</v>
      </c>
      <c r="B580" s="20"/>
      <c r="C580" s="20"/>
      <c r="D580" s="20">
        <v>50000</v>
      </c>
      <c r="E580" s="234" t="s">
        <v>358</v>
      </c>
      <c r="F580" s="20">
        <f t="shared" si="9"/>
        <v>158128779</v>
      </c>
      <c r="G580" s="7" t="s">
        <v>330</v>
      </c>
      <c r="H580" s="24" t="s">
        <v>109</v>
      </c>
      <c r="I580" s="32" t="s">
        <v>152</v>
      </c>
    </row>
    <row r="581" spans="1:9" x14ac:dyDescent="0.35">
      <c r="A581" s="19">
        <v>46077</v>
      </c>
      <c r="B581" s="20"/>
      <c r="C581" s="20"/>
      <c r="D581" s="20">
        <v>1011</v>
      </c>
      <c r="E581" s="234" t="s">
        <v>358</v>
      </c>
      <c r="F581" s="20">
        <f t="shared" si="9"/>
        <v>158129790</v>
      </c>
      <c r="G581" s="7" t="s">
        <v>330</v>
      </c>
      <c r="H581" s="24" t="s">
        <v>109</v>
      </c>
      <c r="I581" s="32" t="s">
        <v>152</v>
      </c>
    </row>
    <row r="582" spans="1:9" x14ac:dyDescent="0.35">
      <c r="A582" s="19">
        <v>46077</v>
      </c>
      <c r="B582" s="20"/>
      <c r="C582" s="20"/>
      <c r="D582" s="20">
        <v>50000</v>
      </c>
      <c r="E582" s="234" t="s">
        <v>358</v>
      </c>
      <c r="F582" s="20">
        <f t="shared" si="9"/>
        <v>158179790</v>
      </c>
      <c r="G582" s="7" t="s">
        <v>330</v>
      </c>
      <c r="H582" s="24" t="s">
        <v>109</v>
      </c>
      <c r="I582" s="32" t="s">
        <v>152</v>
      </c>
    </row>
    <row r="583" spans="1:9" x14ac:dyDescent="0.35">
      <c r="A583" s="19">
        <v>46077</v>
      </c>
      <c r="B583" s="20"/>
      <c r="C583" s="20"/>
      <c r="D583" s="20">
        <v>50000</v>
      </c>
      <c r="E583" s="234" t="s">
        <v>358</v>
      </c>
      <c r="F583" s="20">
        <f t="shared" si="9"/>
        <v>158229790</v>
      </c>
      <c r="G583" s="7" t="s">
        <v>330</v>
      </c>
      <c r="H583" s="24" t="s">
        <v>109</v>
      </c>
      <c r="I583" s="32" t="s">
        <v>152</v>
      </c>
    </row>
    <row r="584" spans="1:9" x14ac:dyDescent="0.35">
      <c r="A584" s="19">
        <v>46077</v>
      </c>
      <c r="B584" s="20"/>
      <c r="C584" s="20"/>
      <c r="D584" s="20">
        <v>5000</v>
      </c>
      <c r="E584" s="234" t="s">
        <v>358</v>
      </c>
      <c r="F584" s="20">
        <f t="shared" si="9"/>
        <v>158234790</v>
      </c>
      <c r="G584" s="7" t="s">
        <v>330</v>
      </c>
      <c r="H584" s="24" t="s">
        <v>109</v>
      </c>
      <c r="I584" s="32" t="s">
        <v>152</v>
      </c>
    </row>
    <row r="585" spans="1:9" x14ac:dyDescent="0.35">
      <c r="A585" s="19">
        <v>46077</v>
      </c>
      <c r="B585" s="20"/>
      <c r="C585" s="20"/>
      <c r="D585" s="20">
        <v>15000</v>
      </c>
      <c r="E585" s="234" t="s">
        <v>358</v>
      </c>
      <c r="F585" s="20">
        <f t="shared" si="9"/>
        <v>158249790</v>
      </c>
      <c r="G585" s="7" t="s">
        <v>330</v>
      </c>
      <c r="H585" s="24" t="s">
        <v>109</v>
      </c>
      <c r="I585" s="32" t="s">
        <v>152</v>
      </c>
    </row>
    <row r="586" spans="1:9" x14ac:dyDescent="0.35">
      <c r="A586" s="19">
        <v>46077</v>
      </c>
      <c r="B586" s="20"/>
      <c r="C586" s="20"/>
      <c r="D586" s="20">
        <v>10000</v>
      </c>
      <c r="E586" s="234" t="s">
        <v>358</v>
      </c>
      <c r="F586" s="20">
        <f t="shared" si="9"/>
        <v>158259790</v>
      </c>
      <c r="G586" s="7" t="s">
        <v>330</v>
      </c>
      <c r="H586" s="24" t="s">
        <v>109</v>
      </c>
      <c r="I586" s="32" t="s">
        <v>152</v>
      </c>
    </row>
    <row r="587" spans="1:9" x14ac:dyDescent="0.35">
      <c r="A587" s="19">
        <v>46077</v>
      </c>
      <c r="B587" s="20"/>
      <c r="C587" s="20"/>
      <c r="D587" s="20">
        <v>50000</v>
      </c>
      <c r="E587" s="234" t="s">
        <v>358</v>
      </c>
      <c r="F587" s="20">
        <f t="shared" si="9"/>
        <v>158309790</v>
      </c>
      <c r="G587" s="7" t="s">
        <v>330</v>
      </c>
      <c r="H587" s="24" t="s">
        <v>109</v>
      </c>
      <c r="I587" s="32" t="s">
        <v>152</v>
      </c>
    </row>
    <row r="588" spans="1:9" x14ac:dyDescent="0.35">
      <c r="A588" s="19">
        <v>46077</v>
      </c>
      <c r="B588" s="20"/>
      <c r="C588" s="20"/>
      <c r="D588" s="20">
        <v>5000</v>
      </c>
      <c r="E588" s="234" t="s">
        <v>358</v>
      </c>
      <c r="F588" s="20">
        <f t="shared" si="9"/>
        <v>158314790</v>
      </c>
      <c r="G588" s="7" t="s">
        <v>330</v>
      </c>
      <c r="H588" s="24" t="s">
        <v>109</v>
      </c>
      <c r="I588" s="32" t="s">
        <v>152</v>
      </c>
    </row>
    <row r="589" spans="1:9" x14ac:dyDescent="0.35">
      <c r="A589" s="19">
        <v>46077</v>
      </c>
      <c r="B589" s="20"/>
      <c r="C589" s="20"/>
      <c r="D589" s="20">
        <v>30000</v>
      </c>
      <c r="E589" s="234" t="s">
        <v>358</v>
      </c>
      <c r="F589" s="20">
        <f t="shared" si="9"/>
        <v>158344790</v>
      </c>
      <c r="G589" s="7" t="s">
        <v>330</v>
      </c>
      <c r="H589" s="24" t="s">
        <v>109</v>
      </c>
      <c r="I589" s="32" t="s">
        <v>152</v>
      </c>
    </row>
    <row r="590" spans="1:9" x14ac:dyDescent="0.35">
      <c r="A590" s="19">
        <v>46077</v>
      </c>
      <c r="B590" s="20"/>
      <c r="C590" s="20"/>
      <c r="D590" s="20">
        <v>2500</v>
      </c>
      <c r="E590" s="234" t="s">
        <v>358</v>
      </c>
      <c r="F590" s="20">
        <f t="shared" si="9"/>
        <v>158347290</v>
      </c>
      <c r="G590" s="7" t="s">
        <v>330</v>
      </c>
      <c r="H590" s="24" t="s">
        <v>109</v>
      </c>
      <c r="I590" s="32" t="s">
        <v>152</v>
      </c>
    </row>
    <row r="591" spans="1:9" x14ac:dyDescent="0.35">
      <c r="A591" s="19">
        <v>46077</v>
      </c>
      <c r="B591" s="20"/>
      <c r="C591" s="20"/>
      <c r="D591" s="20">
        <v>17000</v>
      </c>
      <c r="E591" s="234" t="s">
        <v>358</v>
      </c>
      <c r="F591" s="20">
        <f t="shared" si="9"/>
        <v>158364290</v>
      </c>
      <c r="G591" s="7" t="s">
        <v>330</v>
      </c>
      <c r="H591" s="24" t="s">
        <v>109</v>
      </c>
      <c r="I591" s="32" t="s">
        <v>152</v>
      </c>
    </row>
    <row r="592" spans="1:9" x14ac:dyDescent="0.35">
      <c r="A592" s="19">
        <v>46077</v>
      </c>
      <c r="B592" s="20"/>
      <c r="C592" s="20"/>
      <c r="D592" s="20">
        <f>3628000-850000</f>
        <v>2778000</v>
      </c>
      <c r="E592" s="234" t="s">
        <v>358</v>
      </c>
      <c r="F592" s="20">
        <f t="shared" si="9"/>
        <v>161142290</v>
      </c>
      <c r="G592" s="7"/>
      <c r="H592" s="24" t="s">
        <v>107</v>
      </c>
      <c r="I592" s="32" t="s">
        <v>152</v>
      </c>
    </row>
    <row r="593" spans="1:9" x14ac:dyDescent="0.35">
      <c r="A593" s="19">
        <v>46077</v>
      </c>
      <c r="B593" s="20"/>
      <c r="C593" s="20"/>
      <c r="D593" s="20">
        <v>805000</v>
      </c>
      <c r="E593" s="234" t="s">
        <v>358</v>
      </c>
      <c r="F593" s="20">
        <f t="shared" si="9"/>
        <v>161947290</v>
      </c>
      <c r="G593" s="7"/>
      <c r="H593" s="24" t="s">
        <v>109</v>
      </c>
      <c r="I593" s="32" t="s">
        <v>152</v>
      </c>
    </row>
    <row r="594" spans="1:9" x14ac:dyDescent="0.35">
      <c r="A594" s="19">
        <v>46077</v>
      </c>
      <c r="B594" s="20"/>
      <c r="C594" s="20"/>
      <c r="D594" s="20">
        <v>4628000</v>
      </c>
      <c r="E594" s="234" t="s">
        <v>358</v>
      </c>
      <c r="F594" s="20">
        <f t="shared" si="9"/>
        <v>166575290</v>
      </c>
      <c r="G594" s="7"/>
      <c r="H594" s="24" t="s">
        <v>377</v>
      </c>
      <c r="I594" s="32" t="s">
        <v>152</v>
      </c>
    </row>
    <row r="595" spans="1:9" x14ac:dyDescent="0.35">
      <c r="A595" s="19"/>
      <c r="B595" s="20"/>
      <c r="C595" s="20">
        <v>8211000</v>
      </c>
      <c r="D595" s="20"/>
      <c r="E595" s="234"/>
      <c r="F595" s="20">
        <f t="shared" si="9"/>
        <v>166575290</v>
      </c>
      <c r="G595" s="7" t="s">
        <v>967</v>
      </c>
      <c r="H595" s="24"/>
      <c r="I595" s="32"/>
    </row>
    <row r="596" spans="1:9" x14ac:dyDescent="0.35">
      <c r="A596" s="19">
        <v>46077</v>
      </c>
      <c r="B596" s="20"/>
      <c r="C596" s="20"/>
      <c r="D596" s="20">
        <v>20000</v>
      </c>
      <c r="E596" s="234" t="s">
        <v>358</v>
      </c>
      <c r="F596" s="20">
        <f t="shared" si="9"/>
        <v>166595290</v>
      </c>
      <c r="G596" s="7" t="s">
        <v>330</v>
      </c>
      <c r="H596" s="24" t="s">
        <v>109</v>
      </c>
      <c r="I596" s="32" t="s">
        <v>152</v>
      </c>
    </row>
    <row r="597" spans="1:9" x14ac:dyDescent="0.35">
      <c r="A597" s="19">
        <v>46078</v>
      </c>
      <c r="B597" s="20"/>
      <c r="C597" s="20"/>
      <c r="D597" s="20">
        <v>100000</v>
      </c>
      <c r="E597" s="234" t="s">
        <v>358</v>
      </c>
      <c r="F597" s="20">
        <f t="shared" si="9"/>
        <v>166695290</v>
      </c>
      <c r="G597" s="7" t="s">
        <v>330</v>
      </c>
      <c r="H597" s="24" t="s">
        <v>109</v>
      </c>
      <c r="I597" s="32" t="s">
        <v>152</v>
      </c>
    </row>
    <row r="598" spans="1:9" x14ac:dyDescent="0.35">
      <c r="A598" s="19">
        <v>46078</v>
      </c>
      <c r="B598" s="20"/>
      <c r="C598" s="20"/>
      <c r="D598" s="20">
        <v>15000</v>
      </c>
      <c r="E598" s="234" t="s">
        <v>358</v>
      </c>
      <c r="F598" s="20">
        <f t="shared" si="9"/>
        <v>166710290</v>
      </c>
      <c r="G598" s="7" t="s">
        <v>330</v>
      </c>
      <c r="H598" s="24" t="s">
        <v>109</v>
      </c>
      <c r="I598" s="32" t="s">
        <v>152</v>
      </c>
    </row>
    <row r="599" spans="1:9" x14ac:dyDescent="0.35">
      <c r="A599" s="19">
        <v>46078</v>
      </c>
      <c r="B599" s="20"/>
      <c r="C599" s="20"/>
      <c r="D599" s="20">
        <v>20000</v>
      </c>
      <c r="E599" s="234" t="s">
        <v>358</v>
      </c>
      <c r="F599" s="20">
        <f t="shared" si="9"/>
        <v>166730290</v>
      </c>
      <c r="G599" s="7" t="s">
        <v>330</v>
      </c>
      <c r="H599" s="24" t="s">
        <v>109</v>
      </c>
      <c r="I599" s="32" t="s">
        <v>152</v>
      </c>
    </row>
    <row r="600" spans="1:9" x14ac:dyDescent="0.35">
      <c r="A600" s="19">
        <v>46078</v>
      </c>
      <c r="B600" s="20"/>
      <c r="C600" s="20"/>
      <c r="D600" s="20">
        <v>20000</v>
      </c>
      <c r="E600" s="234" t="s">
        <v>358</v>
      </c>
      <c r="F600" s="20">
        <f t="shared" si="9"/>
        <v>166750290</v>
      </c>
      <c r="G600" s="7" t="s">
        <v>330</v>
      </c>
      <c r="H600" s="24" t="s">
        <v>109</v>
      </c>
      <c r="I600" s="32" t="s">
        <v>152</v>
      </c>
    </row>
    <row r="601" spans="1:9" x14ac:dyDescent="0.35">
      <c r="A601" s="19">
        <v>46078</v>
      </c>
      <c r="B601" s="20"/>
      <c r="C601" s="20"/>
      <c r="D601" s="20">
        <v>5000</v>
      </c>
      <c r="E601" s="234" t="s">
        <v>358</v>
      </c>
      <c r="F601" s="20">
        <f t="shared" si="9"/>
        <v>166755290</v>
      </c>
      <c r="G601" s="7" t="s">
        <v>330</v>
      </c>
      <c r="H601" s="24" t="s">
        <v>109</v>
      </c>
      <c r="I601" s="32" t="s">
        <v>152</v>
      </c>
    </row>
    <row r="602" spans="1:9" x14ac:dyDescent="0.35">
      <c r="A602" s="19">
        <v>46078</v>
      </c>
      <c r="B602" s="20"/>
      <c r="C602" s="20"/>
      <c r="D602" s="20">
        <v>50000</v>
      </c>
      <c r="E602" s="234" t="s">
        <v>358</v>
      </c>
      <c r="F602" s="20">
        <f t="shared" si="9"/>
        <v>166805290</v>
      </c>
      <c r="G602" s="7" t="s">
        <v>330</v>
      </c>
      <c r="H602" s="24" t="s">
        <v>109</v>
      </c>
      <c r="I602" s="32" t="s">
        <v>152</v>
      </c>
    </row>
    <row r="603" spans="1:9" x14ac:dyDescent="0.35">
      <c r="A603" s="19">
        <v>46078</v>
      </c>
      <c r="B603" s="20"/>
      <c r="C603" s="20"/>
      <c r="D603" s="20">
        <v>25000</v>
      </c>
      <c r="E603" s="234" t="s">
        <v>358</v>
      </c>
      <c r="F603" s="20">
        <f t="shared" ref="F603:F666" si="10">+F602+D603-B603</f>
        <v>166830290</v>
      </c>
      <c r="G603" s="7" t="s">
        <v>330</v>
      </c>
      <c r="H603" s="24" t="s">
        <v>109</v>
      </c>
      <c r="I603" s="32" t="s">
        <v>152</v>
      </c>
    </row>
    <row r="604" spans="1:9" x14ac:dyDescent="0.35">
      <c r="A604" s="19">
        <v>46078</v>
      </c>
      <c r="B604" s="20"/>
      <c r="C604" s="20"/>
      <c r="D604" s="20">
        <v>50000</v>
      </c>
      <c r="E604" s="234" t="s">
        <v>358</v>
      </c>
      <c r="F604" s="20">
        <f t="shared" si="10"/>
        <v>166880290</v>
      </c>
      <c r="G604" s="7" t="s">
        <v>330</v>
      </c>
      <c r="H604" s="24" t="s">
        <v>109</v>
      </c>
      <c r="I604" s="32" t="s">
        <v>152</v>
      </c>
    </row>
    <row r="605" spans="1:9" x14ac:dyDescent="0.35">
      <c r="A605" s="19">
        <v>46078</v>
      </c>
      <c r="B605" s="20"/>
      <c r="C605" s="20"/>
      <c r="D605" s="20">
        <v>50000</v>
      </c>
      <c r="E605" s="234" t="s">
        <v>358</v>
      </c>
      <c r="F605" s="20">
        <f t="shared" si="10"/>
        <v>166930290</v>
      </c>
      <c r="G605" s="7" t="s">
        <v>330</v>
      </c>
      <c r="H605" s="24" t="s">
        <v>109</v>
      </c>
      <c r="I605" s="32" t="s">
        <v>152</v>
      </c>
    </row>
    <row r="606" spans="1:9" x14ac:dyDescent="0.35">
      <c r="A606" s="19">
        <v>46078</v>
      </c>
      <c r="B606" s="20"/>
      <c r="C606" s="20"/>
      <c r="D606" s="20">
        <v>10000</v>
      </c>
      <c r="E606" s="234" t="s">
        <v>358</v>
      </c>
      <c r="F606" s="20">
        <f t="shared" si="10"/>
        <v>166940290</v>
      </c>
      <c r="G606" s="7" t="s">
        <v>330</v>
      </c>
      <c r="H606" s="24" t="s">
        <v>109</v>
      </c>
      <c r="I606" s="32" t="s">
        <v>152</v>
      </c>
    </row>
    <row r="607" spans="1:9" x14ac:dyDescent="0.35">
      <c r="A607" s="19">
        <v>46078</v>
      </c>
      <c r="B607" s="20"/>
      <c r="C607" s="20"/>
      <c r="D607" s="20">
        <v>25000</v>
      </c>
      <c r="E607" s="234" t="s">
        <v>358</v>
      </c>
      <c r="F607" s="20">
        <f t="shared" si="10"/>
        <v>166965290</v>
      </c>
      <c r="G607" s="7" t="s">
        <v>330</v>
      </c>
      <c r="H607" s="24" t="s">
        <v>109</v>
      </c>
      <c r="I607" s="32" t="s">
        <v>152</v>
      </c>
    </row>
    <row r="608" spans="1:9" x14ac:dyDescent="0.35">
      <c r="A608" s="19">
        <v>46078</v>
      </c>
      <c r="B608" s="20"/>
      <c r="C608" s="20"/>
      <c r="D608" s="20">
        <v>25000</v>
      </c>
      <c r="E608" s="234" t="s">
        <v>358</v>
      </c>
      <c r="F608" s="20">
        <f t="shared" si="10"/>
        <v>166990290</v>
      </c>
      <c r="G608" s="7" t="s">
        <v>330</v>
      </c>
      <c r="H608" s="24" t="s">
        <v>109</v>
      </c>
      <c r="I608" s="32" t="s">
        <v>152</v>
      </c>
    </row>
    <row r="609" spans="1:9" x14ac:dyDescent="0.35">
      <c r="A609" s="19">
        <v>46078</v>
      </c>
      <c r="B609" s="20"/>
      <c r="C609" s="20"/>
      <c r="D609" s="20">
        <v>15000</v>
      </c>
      <c r="E609" s="234" t="s">
        <v>358</v>
      </c>
      <c r="F609" s="20">
        <f t="shared" si="10"/>
        <v>167005290</v>
      </c>
      <c r="G609" s="7" t="s">
        <v>330</v>
      </c>
      <c r="H609" s="24" t="s">
        <v>109</v>
      </c>
      <c r="I609" s="32" t="s">
        <v>152</v>
      </c>
    </row>
    <row r="610" spans="1:9" x14ac:dyDescent="0.35">
      <c r="A610" s="19">
        <v>46078</v>
      </c>
      <c r="B610" s="20"/>
      <c r="C610" s="20"/>
      <c r="D610" s="20">
        <v>100000</v>
      </c>
      <c r="E610" s="234" t="s">
        <v>358</v>
      </c>
      <c r="F610" s="20">
        <f t="shared" si="10"/>
        <v>167105290</v>
      </c>
      <c r="G610" s="7" t="s">
        <v>330</v>
      </c>
      <c r="H610" s="24" t="s">
        <v>109</v>
      </c>
      <c r="I610" s="32" t="s">
        <v>152</v>
      </c>
    </row>
    <row r="611" spans="1:9" x14ac:dyDescent="0.35">
      <c r="A611" s="19">
        <v>46078</v>
      </c>
      <c r="B611" s="20"/>
      <c r="C611" s="20"/>
      <c r="D611" s="20">
        <v>10000</v>
      </c>
      <c r="E611" s="234" t="s">
        <v>358</v>
      </c>
      <c r="F611" s="20">
        <f t="shared" si="10"/>
        <v>167115290</v>
      </c>
      <c r="G611" s="7" t="s">
        <v>330</v>
      </c>
      <c r="H611" s="24" t="s">
        <v>109</v>
      </c>
      <c r="I611" s="32" t="s">
        <v>152</v>
      </c>
    </row>
    <row r="612" spans="1:9" x14ac:dyDescent="0.35">
      <c r="A612" s="19">
        <v>46078</v>
      </c>
      <c r="B612" s="20"/>
      <c r="C612" s="20"/>
      <c r="D612" s="20">
        <v>25000</v>
      </c>
      <c r="E612" s="234" t="s">
        <v>358</v>
      </c>
      <c r="F612" s="20">
        <f t="shared" si="10"/>
        <v>167140290</v>
      </c>
      <c r="G612" s="7" t="s">
        <v>330</v>
      </c>
      <c r="H612" s="24" t="s">
        <v>109</v>
      </c>
      <c r="I612" s="32" t="s">
        <v>152</v>
      </c>
    </row>
    <row r="613" spans="1:9" x14ac:dyDescent="0.35">
      <c r="A613" s="19">
        <v>46078</v>
      </c>
      <c r="B613" s="20"/>
      <c r="C613" s="20"/>
      <c r="D613" s="20">
        <v>15000</v>
      </c>
      <c r="E613" s="234" t="s">
        <v>358</v>
      </c>
      <c r="F613" s="20">
        <f t="shared" si="10"/>
        <v>167155290</v>
      </c>
      <c r="G613" s="7" t="s">
        <v>330</v>
      </c>
      <c r="H613" s="24" t="s">
        <v>109</v>
      </c>
      <c r="I613" s="32" t="s">
        <v>152</v>
      </c>
    </row>
    <row r="614" spans="1:9" x14ac:dyDescent="0.35">
      <c r="A614" s="19">
        <v>46078</v>
      </c>
      <c r="B614" s="20"/>
      <c r="C614" s="20"/>
      <c r="D614" s="20">
        <v>10000</v>
      </c>
      <c r="E614" s="234" t="s">
        <v>358</v>
      </c>
      <c r="F614" s="20">
        <f t="shared" si="10"/>
        <v>167165290</v>
      </c>
      <c r="G614" s="7" t="s">
        <v>330</v>
      </c>
      <c r="H614" s="24" t="s">
        <v>109</v>
      </c>
      <c r="I614" s="32" t="s">
        <v>152</v>
      </c>
    </row>
    <row r="615" spans="1:9" x14ac:dyDescent="0.35">
      <c r="A615" s="19">
        <v>46078</v>
      </c>
      <c r="B615" s="20"/>
      <c r="C615" s="20"/>
      <c r="D615" s="20">
        <v>100000</v>
      </c>
      <c r="E615" s="234" t="s">
        <v>358</v>
      </c>
      <c r="F615" s="20">
        <f t="shared" si="10"/>
        <v>167265290</v>
      </c>
      <c r="G615" s="7" t="s">
        <v>330</v>
      </c>
      <c r="H615" s="24" t="s">
        <v>109</v>
      </c>
      <c r="I615" s="32" t="s">
        <v>152</v>
      </c>
    </row>
    <row r="616" spans="1:9" x14ac:dyDescent="0.35">
      <c r="A616" s="19">
        <v>46078</v>
      </c>
      <c r="B616" s="20"/>
      <c r="C616" s="20"/>
      <c r="D616" s="20">
        <v>5000</v>
      </c>
      <c r="E616" s="234" t="s">
        <v>358</v>
      </c>
      <c r="F616" s="20">
        <f t="shared" si="10"/>
        <v>167270290</v>
      </c>
      <c r="G616" s="7" t="s">
        <v>330</v>
      </c>
      <c r="H616" s="24" t="s">
        <v>109</v>
      </c>
      <c r="I616" s="32" t="s">
        <v>152</v>
      </c>
    </row>
    <row r="617" spans="1:9" x14ac:dyDescent="0.35">
      <c r="A617" s="19">
        <v>46078</v>
      </c>
      <c r="B617" s="20"/>
      <c r="C617" s="20"/>
      <c r="D617" s="20">
        <v>20000</v>
      </c>
      <c r="E617" s="234" t="s">
        <v>358</v>
      </c>
      <c r="F617" s="20">
        <f t="shared" si="10"/>
        <v>167290290</v>
      </c>
      <c r="G617" s="7" t="s">
        <v>330</v>
      </c>
      <c r="H617" s="24" t="s">
        <v>109</v>
      </c>
      <c r="I617" s="32" t="s">
        <v>152</v>
      </c>
    </row>
    <row r="618" spans="1:9" x14ac:dyDescent="0.35">
      <c r="A618" s="19">
        <v>46078</v>
      </c>
      <c r="B618" s="20"/>
      <c r="C618" s="20"/>
      <c r="D618" s="20">
        <v>10000</v>
      </c>
      <c r="E618" s="234" t="s">
        <v>358</v>
      </c>
      <c r="F618" s="20">
        <f t="shared" si="10"/>
        <v>167300290</v>
      </c>
      <c r="G618" s="7" t="s">
        <v>330</v>
      </c>
      <c r="H618" s="24" t="s">
        <v>109</v>
      </c>
      <c r="I618" s="32" t="s">
        <v>152</v>
      </c>
    </row>
    <row r="619" spans="1:9" x14ac:dyDescent="0.35">
      <c r="A619" s="19">
        <v>46078</v>
      </c>
      <c r="B619" s="20"/>
      <c r="C619" s="20"/>
      <c r="D619" s="20">
        <v>2500</v>
      </c>
      <c r="E619" s="234" t="s">
        <v>358</v>
      </c>
      <c r="F619" s="20">
        <f t="shared" si="10"/>
        <v>167302790</v>
      </c>
      <c r="G619" s="7" t="s">
        <v>330</v>
      </c>
      <c r="H619" s="24" t="s">
        <v>109</v>
      </c>
      <c r="I619" s="32" t="s">
        <v>152</v>
      </c>
    </row>
    <row r="620" spans="1:9" x14ac:dyDescent="0.35">
      <c r="A620" s="19">
        <v>46078</v>
      </c>
      <c r="B620" s="20"/>
      <c r="C620" s="20"/>
      <c r="D620" s="20">
        <v>50000</v>
      </c>
      <c r="E620" s="234" t="s">
        <v>358</v>
      </c>
      <c r="F620" s="20">
        <f t="shared" si="10"/>
        <v>167352790</v>
      </c>
      <c r="G620" s="7" t="s">
        <v>330</v>
      </c>
      <c r="H620" s="24" t="s">
        <v>109</v>
      </c>
      <c r="I620" s="32" t="s">
        <v>152</v>
      </c>
    </row>
    <row r="621" spans="1:9" x14ac:dyDescent="0.35">
      <c r="A621" s="19">
        <v>46078</v>
      </c>
      <c r="B621" s="20"/>
      <c r="C621" s="20"/>
      <c r="D621" s="20">
        <v>20000</v>
      </c>
      <c r="E621" s="234" t="s">
        <v>358</v>
      </c>
      <c r="F621" s="20">
        <f t="shared" si="10"/>
        <v>167372790</v>
      </c>
      <c r="G621" s="7" t="s">
        <v>330</v>
      </c>
      <c r="H621" s="24" t="s">
        <v>109</v>
      </c>
      <c r="I621" s="32" t="s">
        <v>152</v>
      </c>
    </row>
    <row r="622" spans="1:9" x14ac:dyDescent="0.35">
      <c r="A622" s="19">
        <v>46078</v>
      </c>
      <c r="B622" s="20"/>
      <c r="C622" s="20"/>
      <c r="D622" s="20">
        <v>10000</v>
      </c>
      <c r="E622" s="234" t="s">
        <v>358</v>
      </c>
      <c r="F622" s="20">
        <f t="shared" si="10"/>
        <v>167382790</v>
      </c>
      <c r="G622" s="7" t="s">
        <v>330</v>
      </c>
      <c r="H622" s="24" t="s">
        <v>109</v>
      </c>
      <c r="I622" s="32" t="s">
        <v>152</v>
      </c>
    </row>
    <row r="623" spans="1:9" x14ac:dyDescent="0.35">
      <c r="A623" s="19">
        <v>46078</v>
      </c>
      <c r="B623" s="20">
        <v>10000000</v>
      </c>
      <c r="C623" s="20"/>
      <c r="D623" s="20"/>
      <c r="E623" s="234" t="s">
        <v>358</v>
      </c>
      <c r="F623" s="20">
        <f t="shared" si="10"/>
        <v>157382790</v>
      </c>
      <c r="G623" s="7" t="s">
        <v>1160</v>
      </c>
      <c r="H623" s="24" t="s">
        <v>1159</v>
      </c>
      <c r="I623" s="32" t="s">
        <v>152</v>
      </c>
    </row>
    <row r="624" spans="1:9" x14ac:dyDescent="0.35">
      <c r="A624" s="19">
        <v>46078</v>
      </c>
      <c r="B624" s="20">
        <v>2500</v>
      </c>
      <c r="C624" s="20"/>
      <c r="D624" s="20"/>
      <c r="E624" s="234" t="s">
        <v>358</v>
      </c>
      <c r="F624" s="20">
        <f t="shared" si="10"/>
        <v>157380290</v>
      </c>
      <c r="G624" s="7" t="s">
        <v>1161</v>
      </c>
      <c r="H624" s="24" t="s">
        <v>320</v>
      </c>
      <c r="I624" s="32" t="s">
        <v>152</v>
      </c>
    </row>
    <row r="625" spans="1:9" x14ac:dyDescent="0.35">
      <c r="A625" s="19">
        <v>46079</v>
      </c>
      <c r="B625" s="20"/>
      <c r="C625" s="20"/>
      <c r="D625" s="20">
        <v>50000</v>
      </c>
      <c r="E625" s="234" t="s">
        <v>358</v>
      </c>
      <c r="F625" s="20">
        <f t="shared" si="10"/>
        <v>157430290</v>
      </c>
      <c r="G625" s="7" t="s">
        <v>330</v>
      </c>
      <c r="H625" s="24" t="s">
        <v>109</v>
      </c>
      <c r="I625" s="32" t="s">
        <v>152</v>
      </c>
    </row>
    <row r="626" spans="1:9" x14ac:dyDescent="0.35">
      <c r="A626" s="19">
        <v>46079</v>
      </c>
      <c r="B626" s="20"/>
      <c r="C626" s="20"/>
      <c r="D626" s="20">
        <v>10000</v>
      </c>
      <c r="E626" s="234" t="s">
        <v>358</v>
      </c>
      <c r="F626" s="20">
        <f t="shared" si="10"/>
        <v>157440290</v>
      </c>
      <c r="G626" s="7" t="s">
        <v>330</v>
      </c>
      <c r="H626" s="24" t="s">
        <v>109</v>
      </c>
      <c r="I626" s="32" t="s">
        <v>152</v>
      </c>
    </row>
    <row r="627" spans="1:9" x14ac:dyDescent="0.35">
      <c r="A627" s="19">
        <v>46079</v>
      </c>
      <c r="B627" s="20"/>
      <c r="C627" s="20"/>
      <c r="D627" s="20">
        <v>50000</v>
      </c>
      <c r="E627" s="234" t="s">
        <v>358</v>
      </c>
      <c r="F627" s="20">
        <f t="shared" si="10"/>
        <v>157490290</v>
      </c>
      <c r="G627" s="7" t="s">
        <v>330</v>
      </c>
      <c r="H627" s="24" t="s">
        <v>109</v>
      </c>
      <c r="I627" s="32" t="s">
        <v>152</v>
      </c>
    </row>
    <row r="628" spans="1:9" x14ac:dyDescent="0.35">
      <c r="A628" s="19">
        <v>46079</v>
      </c>
      <c r="B628" s="20"/>
      <c r="C628" s="20"/>
      <c r="D628" s="20">
        <v>30000</v>
      </c>
      <c r="E628" s="234" t="s">
        <v>358</v>
      </c>
      <c r="F628" s="20">
        <f t="shared" si="10"/>
        <v>157520290</v>
      </c>
      <c r="G628" s="7" t="s">
        <v>330</v>
      </c>
      <c r="H628" s="24" t="s">
        <v>109</v>
      </c>
      <c r="I628" s="32" t="s">
        <v>152</v>
      </c>
    </row>
    <row r="629" spans="1:9" x14ac:dyDescent="0.35">
      <c r="A629" s="19">
        <v>46079</v>
      </c>
      <c r="B629" s="20"/>
      <c r="C629" s="20"/>
      <c r="D629" s="20">
        <v>100000</v>
      </c>
      <c r="E629" s="234" t="s">
        <v>358</v>
      </c>
      <c r="F629" s="20">
        <f t="shared" si="10"/>
        <v>157620290</v>
      </c>
      <c r="G629" s="7" t="s">
        <v>330</v>
      </c>
      <c r="H629" s="24" t="s">
        <v>109</v>
      </c>
      <c r="I629" s="32" t="s">
        <v>152</v>
      </c>
    </row>
    <row r="630" spans="1:9" x14ac:dyDescent="0.35">
      <c r="A630" s="19">
        <v>46079</v>
      </c>
      <c r="B630" s="20"/>
      <c r="C630" s="20"/>
      <c r="D630" s="20">
        <v>5000</v>
      </c>
      <c r="E630" s="234" t="s">
        <v>358</v>
      </c>
      <c r="F630" s="20">
        <f t="shared" si="10"/>
        <v>157625290</v>
      </c>
      <c r="G630" s="7" t="s">
        <v>330</v>
      </c>
      <c r="H630" s="24" t="s">
        <v>109</v>
      </c>
      <c r="I630" s="32" t="s">
        <v>152</v>
      </c>
    </row>
    <row r="631" spans="1:9" x14ac:dyDescent="0.35">
      <c r="A631" s="19">
        <v>46079</v>
      </c>
      <c r="B631" s="20"/>
      <c r="C631" s="20"/>
      <c r="D631" s="20">
        <v>6000</v>
      </c>
      <c r="E631" s="234" t="s">
        <v>358</v>
      </c>
      <c r="F631" s="20">
        <f t="shared" si="10"/>
        <v>157631290</v>
      </c>
      <c r="G631" s="7" t="s">
        <v>330</v>
      </c>
      <c r="H631" s="24" t="s">
        <v>109</v>
      </c>
      <c r="I631" s="32" t="s">
        <v>152</v>
      </c>
    </row>
    <row r="632" spans="1:9" x14ac:dyDescent="0.35">
      <c r="A632" s="19">
        <v>46079</v>
      </c>
      <c r="B632" s="20"/>
      <c r="C632" s="20"/>
      <c r="D632" s="20">
        <v>50000</v>
      </c>
      <c r="E632" s="234" t="s">
        <v>358</v>
      </c>
      <c r="F632" s="20">
        <f t="shared" si="10"/>
        <v>157681290</v>
      </c>
      <c r="G632" s="7" t="s">
        <v>330</v>
      </c>
      <c r="H632" s="24" t="s">
        <v>109</v>
      </c>
      <c r="I632" s="32" t="s">
        <v>152</v>
      </c>
    </row>
    <row r="633" spans="1:9" x14ac:dyDescent="0.35">
      <c r="A633" s="19">
        <v>46079</v>
      </c>
      <c r="B633" s="20"/>
      <c r="C633" s="20"/>
      <c r="D633" s="20">
        <v>20000</v>
      </c>
      <c r="E633" s="234" t="s">
        <v>358</v>
      </c>
      <c r="F633" s="20">
        <f t="shared" si="10"/>
        <v>157701290</v>
      </c>
      <c r="G633" s="7" t="s">
        <v>330</v>
      </c>
      <c r="H633" s="24" t="s">
        <v>109</v>
      </c>
      <c r="I633" s="32" t="s">
        <v>152</v>
      </c>
    </row>
    <row r="634" spans="1:9" x14ac:dyDescent="0.35">
      <c r="A634" s="19">
        <v>46079</v>
      </c>
      <c r="B634" s="20"/>
      <c r="C634" s="20"/>
      <c r="D634" s="20">
        <v>5000</v>
      </c>
      <c r="E634" s="234" t="s">
        <v>358</v>
      </c>
      <c r="F634" s="20">
        <f t="shared" si="10"/>
        <v>157706290</v>
      </c>
      <c r="G634" s="7" t="s">
        <v>330</v>
      </c>
      <c r="H634" s="24" t="s">
        <v>109</v>
      </c>
      <c r="I634" s="32" t="s">
        <v>152</v>
      </c>
    </row>
    <row r="635" spans="1:9" x14ac:dyDescent="0.35">
      <c r="A635" s="19">
        <v>46079</v>
      </c>
      <c r="B635" s="20"/>
      <c r="C635" s="20"/>
      <c r="D635" s="20">
        <v>10000</v>
      </c>
      <c r="E635" s="234" t="s">
        <v>358</v>
      </c>
      <c r="F635" s="20">
        <f t="shared" si="10"/>
        <v>157716290</v>
      </c>
      <c r="G635" s="7" t="s">
        <v>330</v>
      </c>
      <c r="H635" s="24" t="s">
        <v>109</v>
      </c>
      <c r="I635" s="32" t="s">
        <v>152</v>
      </c>
    </row>
    <row r="636" spans="1:9" x14ac:dyDescent="0.35">
      <c r="A636" s="19">
        <v>46079</v>
      </c>
      <c r="B636" s="20"/>
      <c r="C636" s="20"/>
      <c r="D636" s="20">
        <v>50000</v>
      </c>
      <c r="E636" s="234" t="s">
        <v>358</v>
      </c>
      <c r="F636" s="20">
        <f t="shared" si="10"/>
        <v>157766290</v>
      </c>
      <c r="G636" s="7" t="s">
        <v>330</v>
      </c>
      <c r="H636" s="24" t="s">
        <v>109</v>
      </c>
      <c r="I636" s="32" t="s">
        <v>152</v>
      </c>
    </row>
    <row r="637" spans="1:9" x14ac:dyDescent="0.35">
      <c r="A637" s="19">
        <v>46079</v>
      </c>
      <c r="B637" s="20"/>
      <c r="C637" s="20"/>
      <c r="D637" s="20">
        <v>20000</v>
      </c>
      <c r="E637" s="234" t="s">
        <v>358</v>
      </c>
      <c r="F637" s="20">
        <f t="shared" si="10"/>
        <v>157786290</v>
      </c>
      <c r="G637" s="7" t="s">
        <v>330</v>
      </c>
      <c r="H637" s="24" t="s">
        <v>109</v>
      </c>
      <c r="I637" s="32" t="s">
        <v>152</v>
      </c>
    </row>
    <row r="638" spans="1:9" x14ac:dyDescent="0.35">
      <c r="A638" s="19">
        <v>46079</v>
      </c>
      <c r="B638" s="20"/>
      <c r="C638" s="20"/>
      <c r="D638" s="20">
        <v>50000</v>
      </c>
      <c r="E638" s="234" t="s">
        <v>358</v>
      </c>
      <c r="F638" s="20">
        <f t="shared" si="10"/>
        <v>157836290</v>
      </c>
      <c r="G638" s="7" t="s">
        <v>330</v>
      </c>
      <c r="H638" s="24" t="s">
        <v>109</v>
      </c>
      <c r="I638" s="32" t="s">
        <v>152</v>
      </c>
    </row>
    <row r="639" spans="1:9" x14ac:dyDescent="0.35">
      <c r="A639" s="19">
        <v>46079</v>
      </c>
      <c r="B639" s="20"/>
      <c r="C639" s="20"/>
      <c r="D639" s="20">
        <v>50000</v>
      </c>
      <c r="E639" s="234" t="s">
        <v>358</v>
      </c>
      <c r="F639" s="20">
        <f t="shared" si="10"/>
        <v>157886290</v>
      </c>
      <c r="G639" s="7" t="s">
        <v>330</v>
      </c>
      <c r="H639" s="24" t="s">
        <v>109</v>
      </c>
      <c r="I639" s="32" t="s">
        <v>152</v>
      </c>
    </row>
    <row r="640" spans="1:9" x14ac:dyDescent="0.35">
      <c r="A640" s="19">
        <v>46079</v>
      </c>
      <c r="B640" s="20"/>
      <c r="C640" s="20"/>
      <c r="D640" s="20">
        <v>2500</v>
      </c>
      <c r="E640" s="234" t="s">
        <v>358</v>
      </c>
      <c r="F640" s="20">
        <f t="shared" si="10"/>
        <v>157888790</v>
      </c>
      <c r="G640" s="7" t="s">
        <v>330</v>
      </c>
      <c r="H640" s="24" t="s">
        <v>109</v>
      </c>
      <c r="I640" s="32" t="s">
        <v>152</v>
      </c>
    </row>
    <row r="641" spans="1:9" x14ac:dyDescent="0.35">
      <c r="A641" s="19">
        <v>46079</v>
      </c>
      <c r="B641" s="20"/>
      <c r="C641" s="20"/>
      <c r="D641" s="20">
        <v>10000</v>
      </c>
      <c r="E641" s="234" t="s">
        <v>358</v>
      </c>
      <c r="F641" s="20">
        <f t="shared" si="10"/>
        <v>157898790</v>
      </c>
      <c r="G641" s="7" t="s">
        <v>330</v>
      </c>
      <c r="H641" s="24" t="s">
        <v>109</v>
      </c>
      <c r="I641" s="32" t="s">
        <v>152</v>
      </c>
    </row>
    <row r="642" spans="1:9" x14ac:dyDescent="0.35">
      <c r="A642" s="19">
        <v>46079</v>
      </c>
      <c r="B642" s="20"/>
      <c r="C642" s="20"/>
      <c r="D642" s="20">
        <v>200000</v>
      </c>
      <c r="E642" s="234" t="s">
        <v>358</v>
      </c>
      <c r="F642" s="20">
        <f t="shared" si="10"/>
        <v>158098790</v>
      </c>
      <c r="G642" s="7" t="s">
        <v>1162</v>
      </c>
      <c r="H642" s="24" t="s">
        <v>140</v>
      </c>
      <c r="I642" s="32" t="s">
        <v>152</v>
      </c>
    </row>
    <row r="643" spans="1:9" x14ac:dyDescent="0.35">
      <c r="A643" s="19">
        <v>46079</v>
      </c>
      <c r="B643" s="20"/>
      <c r="C643" s="20"/>
      <c r="D643" s="20">
        <v>20000</v>
      </c>
      <c r="E643" s="234" t="s">
        <v>358</v>
      </c>
      <c r="F643" s="20">
        <f t="shared" si="10"/>
        <v>158118790</v>
      </c>
      <c r="G643" s="7" t="s">
        <v>330</v>
      </c>
      <c r="H643" s="24" t="s">
        <v>109</v>
      </c>
      <c r="I643" s="32" t="s">
        <v>152</v>
      </c>
    </row>
    <row r="644" spans="1:9" x14ac:dyDescent="0.35">
      <c r="A644" s="19">
        <v>46079</v>
      </c>
      <c r="B644" s="20">
        <v>750000</v>
      </c>
      <c r="C644" s="20"/>
      <c r="D644" s="20"/>
      <c r="E644" s="234" t="s">
        <v>358</v>
      </c>
      <c r="F644" s="20">
        <f t="shared" si="10"/>
        <v>157368790</v>
      </c>
      <c r="G644" s="7" t="s">
        <v>1163</v>
      </c>
      <c r="H644" s="24" t="s">
        <v>1158</v>
      </c>
      <c r="I644" s="32" t="s">
        <v>152</v>
      </c>
    </row>
    <row r="645" spans="1:9" x14ac:dyDescent="0.35">
      <c r="A645" s="19">
        <v>46079</v>
      </c>
      <c r="B645" s="20">
        <v>6500</v>
      </c>
      <c r="C645" s="20"/>
      <c r="D645" s="20"/>
      <c r="E645" s="234" t="s">
        <v>358</v>
      </c>
      <c r="F645" s="20">
        <f t="shared" si="10"/>
        <v>157362290</v>
      </c>
      <c r="G645" s="7" t="s">
        <v>1161</v>
      </c>
      <c r="H645" s="24" t="s">
        <v>320</v>
      </c>
      <c r="I645" s="32" t="s">
        <v>152</v>
      </c>
    </row>
    <row r="646" spans="1:9" x14ac:dyDescent="0.35">
      <c r="A646" s="19">
        <v>46080</v>
      </c>
      <c r="B646" s="20"/>
      <c r="C646" s="20"/>
      <c r="D646" s="20">
        <v>1500000</v>
      </c>
      <c r="E646" s="234" t="s">
        <v>358</v>
      </c>
      <c r="F646" s="20">
        <f t="shared" si="10"/>
        <v>158862290</v>
      </c>
      <c r="G646" s="7" t="s">
        <v>561</v>
      </c>
      <c r="H646" s="24" t="s">
        <v>109</v>
      </c>
      <c r="I646" s="32" t="s">
        <v>152</v>
      </c>
    </row>
    <row r="647" spans="1:9" x14ac:dyDescent="0.35">
      <c r="A647" s="19">
        <v>46080</v>
      </c>
      <c r="B647" s="20"/>
      <c r="C647" s="20"/>
      <c r="D647" s="20">
        <v>25000</v>
      </c>
      <c r="E647" s="234" t="s">
        <v>358</v>
      </c>
      <c r="F647" s="20">
        <f t="shared" si="10"/>
        <v>158887290</v>
      </c>
      <c r="G647" s="7" t="s">
        <v>330</v>
      </c>
      <c r="H647" s="24" t="s">
        <v>109</v>
      </c>
      <c r="I647" s="32" t="s">
        <v>152</v>
      </c>
    </row>
    <row r="648" spans="1:9" x14ac:dyDescent="0.35">
      <c r="A648" s="19">
        <v>46080</v>
      </c>
      <c r="B648" s="20"/>
      <c r="C648" s="20"/>
      <c r="D648" s="20">
        <v>100000</v>
      </c>
      <c r="E648" s="234" t="s">
        <v>358</v>
      </c>
      <c r="F648" s="20">
        <f t="shared" si="10"/>
        <v>158987290</v>
      </c>
      <c r="G648" s="7" t="s">
        <v>330</v>
      </c>
      <c r="H648" s="24" t="s">
        <v>109</v>
      </c>
      <c r="I648" s="32" t="s">
        <v>152</v>
      </c>
    </row>
    <row r="649" spans="1:9" x14ac:dyDescent="0.35">
      <c r="A649" s="19">
        <v>46080</v>
      </c>
      <c r="B649" s="20"/>
      <c r="C649" s="20"/>
      <c r="D649" s="20">
        <v>50000</v>
      </c>
      <c r="E649" s="234" t="s">
        <v>358</v>
      </c>
      <c r="F649" s="20">
        <f t="shared" si="10"/>
        <v>159037290</v>
      </c>
      <c r="G649" s="7" t="s">
        <v>330</v>
      </c>
      <c r="H649" s="24" t="s">
        <v>109</v>
      </c>
      <c r="I649" s="32" t="s">
        <v>152</v>
      </c>
    </row>
    <row r="650" spans="1:9" x14ac:dyDescent="0.35">
      <c r="A650" s="19">
        <v>46080</v>
      </c>
      <c r="B650" s="20"/>
      <c r="C650" s="20"/>
      <c r="D650" s="20">
        <v>15000</v>
      </c>
      <c r="E650" s="234" t="s">
        <v>358</v>
      </c>
      <c r="F650" s="20">
        <f t="shared" si="10"/>
        <v>159052290</v>
      </c>
      <c r="G650" s="7" t="s">
        <v>330</v>
      </c>
      <c r="H650" s="24" t="s">
        <v>109</v>
      </c>
      <c r="I650" s="32" t="s">
        <v>152</v>
      </c>
    </row>
    <row r="651" spans="1:9" x14ac:dyDescent="0.35">
      <c r="A651" s="19">
        <v>46080</v>
      </c>
      <c r="B651" s="20"/>
      <c r="C651" s="20"/>
      <c r="D651" s="20">
        <v>50000</v>
      </c>
      <c r="E651" s="234" t="s">
        <v>358</v>
      </c>
      <c r="F651" s="20">
        <f t="shared" si="10"/>
        <v>159102290</v>
      </c>
      <c r="G651" s="7" t="s">
        <v>330</v>
      </c>
      <c r="H651" s="24" t="s">
        <v>109</v>
      </c>
      <c r="I651" s="32" t="s">
        <v>152</v>
      </c>
    </row>
    <row r="652" spans="1:9" x14ac:dyDescent="0.35">
      <c r="A652" s="19">
        <v>46080</v>
      </c>
      <c r="B652" s="20"/>
      <c r="C652" s="20"/>
      <c r="D652" s="20">
        <v>50000</v>
      </c>
      <c r="E652" s="234" t="s">
        <v>358</v>
      </c>
      <c r="F652" s="20">
        <f t="shared" si="10"/>
        <v>159152290</v>
      </c>
      <c r="G652" s="7" t="s">
        <v>330</v>
      </c>
      <c r="H652" s="24" t="s">
        <v>109</v>
      </c>
      <c r="I652" s="32" t="s">
        <v>152</v>
      </c>
    </row>
    <row r="653" spans="1:9" x14ac:dyDescent="0.35">
      <c r="A653" s="19">
        <v>46080</v>
      </c>
      <c r="B653" s="20"/>
      <c r="C653" s="20"/>
      <c r="D653" s="20">
        <v>10000</v>
      </c>
      <c r="E653" s="234" t="s">
        <v>358</v>
      </c>
      <c r="F653" s="20">
        <f t="shared" si="10"/>
        <v>159162290</v>
      </c>
      <c r="G653" s="7" t="s">
        <v>330</v>
      </c>
      <c r="H653" s="24" t="s">
        <v>109</v>
      </c>
      <c r="I653" s="32" t="s">
        <v>152</v>
      </c>
    </row>
    <row r="654" spans="1:9" x14ac:dyDescent="0.35">
      <c r="A654" s="19">
        <v>46080</v>
      </c>
      <c r="B654" s="20"/>
      <c r="C654" s="20"/>
      <c r="D654" s="20">
        <v>50000</v>
      </c>
      <c r="E654" s="234" t="s">
        <v>358</v>
      </c>
      <c r="F654" s="20">
        <f t="shared" si="10"/>
        <v>159212290</v>
      </c>
      <c r="G654" s="7" t="s">
        <v>330</v>
      </c>
      <c r="H654" s="24" t="s">
        <v>109</v>
      </c>
      <c r="I654" s="32" t="s">
        <v>152</v>
      </c>
    </row>
    <row r="655" spans="1:9" x14ac:dyDescent="0.35">
      <c r="A655" s="19">
        <v>46080</v>
      </c>
      <c r="B655" s="20"/>
      <c r="C655" s="20"/>
      <c r="D655" s="20">
        <v>20000</v>
      </c>
      <c r="E655" s="234" t="s">
        <v>358</v>
      </c>
      <c r="F655" s="20">
        <f t="shared" si="10"/>
        <v>159232290</v>
      </c>
      <c r="G655" s="7" t="s">
        <v>330</v>
      </c>
      <c r="H655" s="24" t="s">
        <v>109</v>
      </c>
      <c r="I655" s="32" t="s">
        <v>152</v>
      </c>
    </row>
    <row r="656" spans="1:9" x14ac:dyDescent="0.35">
      <c r="A656" s="19">
        <v>46080</v>
      </c>
      <c r="B656" s="20"/>
      <c r="C656" s="20"/>
      <c r="D656" s="20">
        <v>10000</v>
      </c>
      <c r="E656" s="234" t="s">
        <v>358</v>
      </c>
      <c r="F656" s="20">
        <f t="shared" si="10"/>
        <v>159242290</v>
      </c>
      <c r="G656" s="7" t="s">
        <v>330</v>
      </c>
      <c r="H656" s="24" t="s">
        <v>109</v>
      </c>
      <c r="I656" s="32" t="s">
        <v>152</v>
      </c>
    </row>
    <row r="657" spans="1:9" x14ac:dyDescent="0.35">
      <c r="A657" s="19">
        <v>46080</v>
      </c>
      <c r="B657" s="20"/>
      <c r="C657" s="20"/>
      <c r="D657" s="20">
        <v>3000</v>
      </c>
      <c r="E657" s="234" t="s">
        <v>358</v>
      </c>
      <c r="F657" s="20">
        <f t="shared" si="10"/>
        <v>159245290</v>
      </c>
      <c r="G657" s="7" t="s">
        <v>330</v>
      </c>
      <c r="H657" s="24" t="s">
        <v>109</v>
      </c>
      <c r="I657" s="32" t="s">
        <v>152</v>
      </c>
    </row>
    <row r="658" spans="1:9" x14ac:dyDescent="0.35">
      <c r="A658" s="19">
        <v>46080</v>
      </c>
      <c r="B658" s="20"/>
      <c r="C658" s="20"/>
      <c r="D658" s="20">
        <v>15000</v>
      </c>
      <c r="E658" s="234" t="s">
        <v>358</v>
      </c>
      <c r="F658" s="20">
        <f t="shared" si="10"/>
        <v>159260290</v>
      </c>
      <c r="G658" s="7" t="s">
        <v>330</v>
      </c>
      <c r="H658" s="24" t="s">
        <v>109</v>
      </c>
      <c r="I658" s="32" t="s">
        <v>152</v>
      </c>
    </row>
    <row r="659" spans="1:9" x14ac:dyDescent="0.35">
      <c r="A659" s="19">
        <v>46080</v>
      </c>
      <c r="B659" s="20"/>
      <c r="C659" s="20"/>
      <c r="D659" s="20">
        <v>20000</v>
      </c>
      <c r="E659" s="234" t="s">
        <v>358</v>
      </c>
      <c r="F659" s="20">
        <f t="shared" si="10"/>
        <v>159280290</v>
      </c>
      <c r="G659" s="7" t="s">
        <v>330</v>
      </c>
      <c r="H659" s="24" t="s">
        <v>109</v>
      </c>
      <c r="I659" s="32" t="s">
        <v>152</v>
      </c>
    </row>
    <row r="660" spans="1:9" x14ac:dyDescent="0.35">
      <c r="A660" s="19">
        <v>46080</v>
      </c>
      <c r="B660" s="20"/>
      <c r="C660" s="20"/>
      <c r="D660" s="20">
        <v>2000</v>
      </c>
      <c r="E660" s="234" t="s">
        <v>358</v>
      </c>
      <c r="F660" s="20">
        <f t="shared" si="10"/>
        <v>159282290</v>
      </c>
      <c r="G660" s="7" t="s">
        <v>330</v>
      </c>
      <c r="H660" s="24" t="s">
        <v>109</v>
      </c>
      <c r="I660" s="32" t="s">
        <v>152</v>
      </c>
    </row>
    <row r="661" spans="1:9" x14ac:dyDescent="0.35">
      <c r="A661" s="19">
        <v>46080</v>
      </c>
      <c r="B661" s="20"/>
      <c r="C661" s="20"/>
      <c r="D661" s="20">
        <v>5000</v>
      </c>
      <c r="E661" s="234" t="s">
        <v>358</v>
      </c>
      <c r="F661" s="20">
        <f t="shared" si="10"/>
        <v>159287290</v>
      </c>
      <c r="G661" s="7" t="s">
        <v>330</v>
      </c>
      <c r="H661" s="24" t="s">
        <v>109</v>
      </c>
      <c r="I661" s="32" t="s">
        <v>152</v>
      </c>
    </row>
    <row r="662" spans="1:9" x14ac:dyDescent="0.35">
      <c r="A662" s="19">
        <v>46080</v>
      </c>
      <c r="B662" s="20"/>
      <c r="C662" s="20"/>
      <c r="D662" s="20">
        <v>50000</v>
      </c>
      <c r="E662" s="234" t="s">
        <v>358</v>
      </c>
      <c r="F662" s="20">
        <f t="shared" si="10"/>
        <v>159337290</v>
      </c>
      <c r="G662" s="7" t="s">
        <v>330</v>
      </c>
      <c r="H662" s="24" t="s">
        <v>109</v>
      </c>
      <c r="I662" s="32" t="s">
        <v>152</v>
      </c>
    </row>
    <row r="663" spans="1:9" x14ac:dyDescent="0.35">
      <c r="A663" s="19">
        <v>46080</v>
      </c>
      <c r="B663" s="20"/>
      <c r="C663" s="20"/>
      <c r="D663" s="20">
        <v>50000</v>
      </c>
      <c r="E663" s="234" t="s">
        <v>358</v>
      </c>
      <c r="F663" s="20">
        <f t="shared" si="10"/>
        <v>159387290</v>
      </c>
      <c r="G663" s="7" t="s">
        <v>330</v>
      </c>
      <c r="H663" s="24" t="s">
        <v>109</v>
      </c>
      <c r="I663" s="32" t="s">
        <v>152</v>
      </c>
    </row>
    <row r="664" spans="1:9" x14ac:dyDescent="0.35">
      <c r="A664" s="19">
        <v>46080</v>
      </c>
      <c r="B664" s="20"/>
      <c r="C664" s="20"/>
      <c r="D664" s="20">
        <v>2500</v>
      </c>
      <c r="E664" s="234" t="s">
        <v>358</v>
      </c>
      <c r="F664" s="20">
        <f t="shared" si="10"/>
        <v>159389790</v>
      </c>
      <c r="G664" s="7" t="s">
        <v>330</v>
      </c>
      <c r="H664" s="24" t="s">
        <v>109</v>
      </c>
      <c r="I664" s="32" t="s">
        <v>152</v>
      </c>
    </row>
    <row r="665" spans="1:9" x14ac:dyDescent="0.35">
      <c r="A665" s="19">
        <v>46080</v>
      </c>
      <c r="B665" s="20"/>
      <c r="C665" s="20"/>
      <c r="D665" s="20">
        <v>1011</v>
      </c>
      <c r="E665" s="234" t="s">
        <v>358</v>
      </c>
      <c r="F665" s="20">
        <f t="shared" si="10"/>
        <v>159390801</v>
      </c>
      <c r="G665" s="7" t="s">
        <v>330</v>
      </c>
      <c r="H665" s="24" t="s">
        <v>109</v>
      </c>
      <c r="I665" s="32" t="s">
        <v>152</v>
      </c>
    </row>
    <row r="666" spans="1:9" x14ac:dyDescent="0.35">
      <c r="A666" s="19">
        <v>46080</v>
      </c>
      <c r="B666" s="20"/>
      <c r="C666" s="20"/>
      <c r="D666" s="20">
        <v>20000</v>
      </c>
      <c r="E666" s="234" t="s">
        <v>358</v>
      </c>
      <c r="F666" s="20">
        <f t="shared" si="10"/>
        <v>159410801</v>
      </c>
      <c r="G666" s="7" t="s">
        <v>330</v>
      </c>
      <c r="H666" s="24" t="s">
        <v>109</v>
      </c>
      <c r="I666" s="32" t="s">
        <v>152</v>
      </c>
    </row>
    <row r="667" spans="1:9" x14ac:dyDescent="0.35">
      <c r="A667" s="19">
        <v>46080</v>
      </c>
      <c r="B667" s="20">
        <v>2700000</v>
      </c>
      <c r="C667" s="20"/>
      <c r="D667" s="20"/>
      <c r="E667" s="234" t="s">
        <v>358</v>
      </c>
      <c r="F667" s="20">
        <f t="shared" ref="F667:F730" si="11">+F666+D667-B667</f>
        <v>156710801</v>
      </c>
      <c r="G667" s="7" t="s">
        <v>1171</v>
      </c>
      <c r="H667" s="24" t="s">
        <v>201</v>
      </c>
      <c r="I667" s="32" t="s">
        <v>152</v>
      </c>
    </row>
    <row r="668" spans="1:9" x14ac:dyDescent="0.35">
      <c r="A668" s="19">
        <v>46080</v>
      </c>
      <c r="B668" s="20">
        <v>6500</v>
      </c>
      <c r="C668" s="20"/>
      <c r="D668" s="20"/>
      <c r="E668" s="234" t="s">
        <v>358</v>
      </c>
      <c r="F668" s="20">
        <f t="shared" si="11"/>
        <v>156704301</v>
      </c>
      <c r="G668" s="7" t="s">
        <v>1171</v>
      </c>
      <c r="H668" s="24" t="s">
        <v>201</v>
      </c>
      <c r="I668" s="32" t="s">
        <v>152</v>
      </c>
    </row>
    <row r="669" spans="1:9" x14ac:dyDescent="0.35">
      <c r="A669" s="19">
        <v>46080</v>
      </c>
      <c r="B669" s="20">
        <v>1000000</v>
      </c>
      <c r="C669" s="20"/>
      <c r="D669" s="20"/>
      <c r="E669" s="234" t="s">
        <v>358</v>
      </c>
      <c r="F669" s="20">
        <f t="shared" si="11"/>
        <v>155704301</v>
      </c>
      <c r="G669" s="7" t="s">
        <v>1172</v>
      </c>
      <c r="H669" s="24" t="s">
        <v>325</v>
      </c>
      <c r="I669" s="32" t="s">
        <v>152</v>
      </c>
    </row>
    <row r="670" spans="1:9" x14ac:dyDescent="0.35">
      <c r="A670" s="19">
        <v>46080</v>
      </c>
      <c r="B670" s="20">
        <v>6500</v>
      </c>
      <c r="C670" s="20"/>
      <c r="D670" s="20"/>
      <c r="E670" s="234" t="s">
        <v>358</v>
      </c>
      <c r="F670" s="20">
        <f t="shared" si="11"/>
        <v>155697801</v>
      </c>
      <c r="G670" s="7" t="s">
        <v>1172</v>
      </c>
      <c r="H670" s="24" t="s">
        <v>325</v>
      </c>
      <c r="I670" s="32" t="s">
        <v>152</v>
      </c>
    </row>
    <row r="671" spans="1:9" x14ac:dyDescent="0.35">
      <c r="A671" s="19">
        <v>46080</v>
      </c>
      <c r="B671" s="20">
        <v>2500000</v>
      </c>
      <c r="C671" s="20"/>
      <c r="D671" s="20"/>
      <c r="E671" s="234" t="s">
        <v>358</v>
      </c>
      <c r="F671" s="20">
        <f t="shared" si="11"/>
        <v>153197801</v>
      </c>
      <c r="G671" s="7" t="s">
        <v>1173</v>
      </c>
      <c r="H671" s="24" t="s">
        <v>325</v>
      </c>
      <c r="I671" s="32" t="s">
        <v>152</v>
      </c>
    </row>
    <row r="672" spans="1:9" x14ac:dyDescent="0.35">
      <c r="A672" s="19">
        <v>46080</v>
      </c>
      <c r="B672" s="20">
        <v>6500</v>
      </c>
      <c r="C672" s="20"/>
      <c r="D672" s="20"/>
      <c r="E672" s="234" t="s">
        <v>358</v>
      </c>
      <c r="F672" s="20">
        <f t="shared" si="11"/>
        <v>153191301</v>
      </c>
      <c r="G672" s="7" t="s">
        <v>1173</v>
      </c>
      <c r="H672" s="24" t="s">
        <v>325</v>
      </c>
      <c r="I672" s="32" t="s">
        <v>152</v>
      </c>
    </row>
    <row r="673" spans="1:9" x14ac:dyDescent="0.35">
      <c r="A673" s="19">
        <v>46080</v>
      </c>
      <c r="B673" s="20">
        <v>4000000</v>
      </c>
      <c r="C673" s="20"/>
      <c r="D673" s="20"/>
      <c r="E673" s="234" t="s">
        <v>358</v>
      </c>
      <c r="F673" s="20">
        <f t="shared" si="11"/>
        <v>149191301</v>
      </c>
      <c r="G673" s="7" t="s">
        <v>1174</v>
      </c>
      <c r="H673" s="24" t="s">
        <v>201</v>
      </c>
      <c r="I673" s="32" t="s">
        <v>152</v>
      </c>
    </row>
    <row r="674" spans="1:9" x14ac:dyDescent="0.35">
      <c r="A674" s="19">
        <v>46080</v>
      </c>
      <c r="B674" s="20">
        <v>6500</v>
      </c>
      <c r="C674" s="20"/>
      <c r="D674" s="20"/>
      <c r="E674" s="234" t="s">
        <v>358</v>
      </c>
      <c r="F674" s="20">
        <f t="shared" si="11"/>
        <v>149184801</v>
      </c>
      <c r="G674" s="7" t="s">
        <v>1174</v>
      </c>
      <c r="H674" s="24" t="s">
        <v>201</v>
      </c>
      <c r="I674" s="32" t="s">
        <v>152</v>
      </c>
    </row>
    <row r="675" spans="1:9" x14ac:dyDescent="0.35">
      <c r="A675" s="19">
        <v>46080</v>
      </c>
      <c r="B675" s="20">
        <v>2250000</v>
      </c>
      <c r="C675" s="20"/>
      <c r="D675" s="20"/>
      <c r="E675" s="234" t="s">
        <v>358</v>
      </c>
      <c r="F675" s="20">
        <f t="shared" si="11"/>
        <v>146934801</v>
      </c>
      <c r="G675" s="7" t="s">
        <v>1175</v>
      </c>
      <c r="H675" s="24" t="s">
        <v>325</v>
      </c>
      <c r="I675" s="32" t="s">
        <v>152</v>
      </c>
    </row>
    <row r="676" spans="1:9" x14ac:dyDescent="0.35">
      <c r="A676" s="19">
        <v>46080</v>
      </c>
      <c r="B676" s="20">
        <v>6500</v>
      </c>
      <c r="C676" s="20"/>
      <c r="D676" s="20"/>
      <c r="E676" s="234" t="s">
        <v>358</v>
      </c>
      <c r="F676" s="20">
        <f t="shared" si="11"/>
        <v>146928301</v>
      </c>
      <c r="G676" s="7" t="s">
        <v>1175</v>
      </c>
      <c r="H676" s="24" t="s">
        <v>325</v>
      </c>
      <c r="I676" s="32" t="s">
        <v>152</v>
      </c>
    </row>
    <row r="677" spans="1:9" x14ac:dyDescent="0.35">
      <c r="A677" s="19">
        <v>46080</v>
      </c>
      <c r="B677" s="20">
        <v>3500000</v>
      </c>
      <c r="C677" s="20"/>
      <c r="D677" s="20"/>
      <c r="E677" s="234" t="s">
        <v>358</v>
      </c>
      <c r="F677" s="20">
        <f t="shared" si="11"/>
        <v>143428301</v>
      </c>
      <c r="G677" s="7" t="s">
        <v>1176</v>
      </c>
      <c r="H677" s="24" t="s">
        <v>325</v>
      </c>
      <c r="I677" s="32" t="s">
        <v>152</v>
      </c>
    </row>
    <row r="678" spans="1:9" x14ac:dyDescent="0.35">
      <c r="A678" s="19">
        <v>46080</v>
      </c>
      <c r="B678" s="20">
        <v>6500</v>
      </c>
      <c r="C678" s="20"/>
      <c r="D678" s="20"/>
      <c r="E678" s="234" t="s">
        <v>358</v>
      </c>
      <c r="F678" s="20">
        <f t="shared" si="11"/>
        <v>143421801</v>
      </c>
      <c r="G678" s="7" t="s">
        <v>1176</v>
      </c>
      <c r="H678" s="24" t="s">
        <v>325</v>
      </c>
      <c r="I678" s="32" t="s">
        <v>152</v>
      </c>
    </row>
    <row r="679" spans="1:9" x14ac:dyDescent="0.35">
      <c r="A679" s="19">
        <v>46080</v>
      </c>
      <c r="B679" s="20">
        <v>2500000</v>
      </c>
      <c r="C679" s="20"/>
      <c r="D679" s="20"/>
      <c r="E679" s="234" t="s">
        <v>358</v>
      </c>
      <c r="F679" s="20">
        <f t="shared" si="11"/>
        <v>140921801</v>
      </c>
      <c r="G679" s="7" t="s">
        <v>1177</v>
      </c>
      <c r="H679" s="24" t="s">
        <v>201</v>
      </c>
      <c r="I679" s="32" t="s">
        <v>152</v>
      </c>
    </row>
    <row r="680" spans="1:9" x14ac:dyDescent="0.35">
      <c r="A680" s="19">
        <v>46080</v>
      </c>
      <c r="B680" s="20">
        <v>6500</v>
      </c>
      <c r="C680" s="20"/>
      <c r="D680" s="20"/>
      <c r="E680" s="234" t="s">
        <v>358</v>
      </c>
      <c r="F680" s="20">
        <f t="shared" si="11"/>
        <v>140915301</v>
      </c>
      <c r="G680" s="7" t="s">
        <v>1177</v>
      </c>
      <c r="H680" s="24" t="s">
        <v>201</v>
      </c>
      <c r="I680" s="32" t="s">
        <v>152</v>
      </c>
    </row>
    <row r="681" spans="1:9" x14ac:dyDescent="0.35">
      <c r="A681" s="19">
        <v>46080</v>
      </c>
      <c r="B681" s="20">
        <v>2000000</v>
      </c>
      <c r="C681" s="20"/>
      <c r="D681" s="20"/>
      <c r="E681" s="234" t="s">
        <v>358</v>
      </c>
      <c r="F681" s="20">
        <f t="shared" si="11"/>
        <v>138915301</v>
      </c>
      <c r="G681" s="7" t="s">
        <v>1178</v>
      </c>
      <c r="H681" s="24" t="s">
        <v>323</v>
      </c>
      <c r="I681" s="32" t="s">
        <v>152</v>
      </c>
    </row>
    <row r="682" spans="1:9" x14ac:dyDescent="0.35">
      <c r="A682" s="19">
        <v>46080</v>
      </c>
      <c r="B682" s="20">
        <v>6500</v>
      </c>
      <c r="C682" s="20"/>
      <c r="D682" s="20"/>
      <c r="E682" s="234" t="s">
        <v>358</v>
      </c>
      <c r="F682" s="20">
        <f t="shared" si="11"/>
        <v>138908801</v>
      </c>
      <c r="G682" s="7" t="s">
        <v>1178</v>
      </c>
      <c r="H682" s="24" t="s">
        <v>323</v>
      </c>
      <c r="I682" s="32" t="s">
        <v>152</v>
      </c>
    </row>
    <row r="683" spans="1:9" x14ac:dyDescent="0.35">
      <c r="A683" s="19">
        <v>46080</v>
      </c>
      <c r="B683" s="20">
        <v>550000</v>
      </c>
      <c r="C683" s="20"/>
      <c r="D683" s="20"/>
      <c r="E683" s="234" t="s">
        <v>358</v>
      </c>
      <c r="F683" s="20">
        <f t="shared" si="11"/>
        <v>138358801</v>
      </c>
      <c r="G683" s="7" t="s">
        <v>1179</v>
      </c>
      <c r="H683" s="24" t="s">
        <v>325</v>
      </c>
      <c r="I683" s="32" t="s">
        <v>152</v>
      </c>
    </row>
    <row r="684" spans="1:9" x14ac:dyDescent="0.35">
      <c r="A684" s="19">
        <v>46080</v>
      </c>
      <c r="B684" s="20">
        <v>6500</v>
      </c>
      <c r="C684" s="20"/>
      <c r="D684" s="20"/>
      <c r="E684" s="234" t="s">
        <v>358</v>
      </c>
      <c r="F684" s="20">
        <f t="shared" si="11"/>
        <v>138352301</v>
      </c>
      <c r="G684" s="7" t="s">
        <v>1179</v>
      </c>
      <c r="H684" s="24" t="s">
        <v>325</v>
      </c>
      <c r="I684" s="32" t="s">
        <v>152</v>
      </c>
    </row>
    <row r="685" spans="1:9" x14ac:dyDescent="0.35">
      <c r="A685" s="19">
        <v>46080</v>
      </c>
      <c r="B685" s="20">
        <v>2750000</v>
      </c>
      <c r="C685" s="20"/>
      <c r="D685" s="20"/>
      <c r="E685" s="234" t="s">
        <v>358</v>
      </c>
      <c r="F685" s="20">
        <f t="shared" si="11"/>
        <v>135602301</v>
      </c>
      <c r="G685" s="7" t="s">
        <v>181</v>
      </c>
      <c r="H685" s="24" t="s">
        <v>325</v>
      </c>
      <c r="I685" s="32" t="s">
        <v>152</v>
      </c>
    </row>
    <row r="686" spans="1:9" x14ac:dyDescent="0.35">
      <c r="A686" s="19">
        <v>46080</v>
      </c>
      <c r="B686" s="20"/>
      <c r="C686" s="20"/>
      <c r="D686" s="20">
        <v>5000000</v>
      </c>
      <c r="E686" s="234" t="s">
        <v>358</v>
      </c>
      <c r="F686" s="20">
        <f t="shared" si="11"/>
        <v>140602301</v>
      </c>
      <c r="G686" s="7" t="s">
        <v>1180</v>
      </c>
      <c r="H686" s="24" t="s">
        <v>109</v>
      </c>
      <c r="I686" s="32" t="s">
        <v>152</v>
      </c>
    </row>
    <row r="687" spans="1:9" x14ac:dyDescent="0.35">
      <c r="A687" s="19">
        <v>46081</v>
      </c>
      <c r="B687" s="20"/>
      <c r="C687" s="20"/>
      <c r="D687" s="20">
        <v>14000</v>
      </c>
      <c r="E687" s="234" t="s">
        <v>358</v>
      </c>
      <c r="F687" s="20">
        <f t="shared" si="11"/>
        <v>140616301</v>
      </c>
      <c r="G687" s="7" t="s">
        <v>330</v>
      </c>
      <c r="H687" s="24" t="s">
        <v>109</v>
      </c>
      <c r="I687" s="32" t="s">
        <v>152</v>
      </c>
    </row>
    <row r="688" spans="1:9" x14ac:dyDescent="0.35">
      <c r="A688" s="19">
        <v>46081</v>
      </c>
      <c r="B688" s="20"/>
      <c r="C688" s="20"/>
      <c r="D688" s="20">
        <v>20000</v>
      </c>
      <c r="E688" s="234" t="s">
        <v>358</v>
      </c>
      <c r="F688" s="20">
        <f t="shared" si="11"/>
        <v>140636301</v>
      </c>
      <c r="G688" s="7" t="s">
        <v>330</v>
      </c>
      <c r="H688" s="24" t="s">
        <v>109</v>
      </c>
      <c r="I688" s="32" t="s">
        <v>152</v>
      </c>
    </row>
    <row r="689" spans="1:9" x14ac:dyDescent="0.35">
      <c r="A689" s="19">
        <v>46081</v>
      </c>
      <c r="B689" s="20"/>
      <c r="C689" s="20"/>
      <c r="D689" s="20">
        <v>50000</v>
      </c>
      <c r="E689" s="234" t="s">
        <v>358</v>
      </c>
      <c r="F689" s="20">
        <f t="shared" si="11"/>
        <v>140686301</v>
      </c>
      <c r="G689" s="7" t="s">
        <v>330</v>
      </c>
      <c r="H689" s="24" t="s">
        <v>109</v>
      </c>
      <c r="I689" s="32" t="s">
        <v>152</v>
      </c>
    </row>
    <row r="690" spans="1:9" x14ac:dyDescent="0.35">
      <c r="A690" s="19">
        <v>46081</v>
      </c>
      <c r="B690" s="20"/>
      <c r="C690" s="20"/>
      <c r="D690" s="20">
        <v>100000</v>
      </c>
      <c r="E690" s="234" t="s">
        <v>358</v>
      </c>
      <c r="F690" s="20">
        <f t="shared" si="11"/>
        <v>140786301</v>
      </c>
      <c r="G690" s="7" t="s">
        <v>330</v>
      </c>
      <c r="H690" s="24" t="s">
        <v>109</v>
      </c>
      <c r="I690" s="32" t="s">
        <v>152</v>
      </c>
    </row>
    <row r="691" spans="1:9" x14ac:dyDescent="0.35">
      <c r="A691" s="19">
        <v>46081</v>
      </c>
      <c r="B691" s="20"/>
      <c r="C691" s="20"/>
      <c r="D691" s="20">
        <v>50000</v>
      </c>
      <c r="E691" s="234" t="s">
        <v>358</v>
      </c>
      <c r="F691" s="20">
        <f t="shared" si="11"/>
        <v>140836301</v>
      </c>
      <c r="G691" s="7" t="s">
        <v>330</v>
      </c>
      <c r="H691" s="24" t="s">
        <v>109</v>
      </c>
      <c r="I691" s="32" t="s">
        <v>152</v>
      </c>
    </row>
    <row r="692" spans="1:9" x14ac:dyDescent="0.35">
      <c r="A692" s="19">
        <v>46081</v>
      </c>
      <c r="B692" s="20"/>
      <c r="C692" s="20"/>
      <c r="D692" s="20">
        <v>50000</v>
      </c>
      <c r="E692" s="234" t="s">
        <v>358</v>
      </c>
      <c r="F692" s="20">
        <f t="shared" si="11"/>
        <v>140886301</v>
      </c>
      <c r="G692" s="7" t="s">
        <v>330</v>
      </c>
      <c r="H692" s="24" t="s">
        <v>109</v>
      </c>
      <c r="I692" s="32" t="s">
        <v>152</v>
      </c>
    </row>
    <row r="693" spans="1:9" x14ac:dyDescent="0.35">
      <c r="A693" s="19">
        <v>46081</v>
      </c>
      <c r="B693" s="20"/>
      <c r="C693" s="20"/>
      <c r="D693" s="20">
        <v>50000</v>
      </c>
      <c r="E693" s="234" t="s">
        <v>358</v>
      </c>
      <c r="F693" s="20">
        <f t="shared" si="11"/>
        <v>140936301</v>
      </c>
      <c r="G693" s="7" t="s">
        <v>330</v>
      </c>
      <c r="H693" s="24" t="s">
        <v>109</v>
      </c>
      <c r="I693" s="32" t="s">
        <v>152</v>
      </c>
    </row>
    <row r="694" spans="1:9" x14ac:dyDescent="0.35">
      <c r="A694" s="19">
        <v>46081</v>
      </c>
      <c r="B694" s="20"/>
      <c r="C694" s="20"/>
      <c r="D694" s="20">
        <v>50000</v>
      </c>
      <c r="E694" s="234" t="s">
        <v>358</v>
      </c>
      <c r="F694" s="20">
        <f t="shared" si="11"/>
        <v>140986301</v>
      </c>
      <c r="G694" s="7" t="s">
        <v>330</v>
      </c>
      <c r="H694" s="24" t="s">
        <v>109</v>
      </c>
      <c r="I694" s="32" t="s">
        <v>152</v>
      </c>
    </row>
    <row r="695" spans="1:9" x14ac:dyDescent="0.35">
      <c r="A695" s="19">
        <v>46081</v>
      </c>
      <c r="B695" s="20"/>
      <c r="C695" s="20"/>
      <c r="D695" s="20">
        <v>15000</v>
      </c>
      <c r="E695" s="234" t="s">
        <v>358</v>
      </c>
      <c r="F695" s="20">
        <f t="shared" si="11"/>
        <v>141001301</v>
      </c>
      <c r="G695" s="7" t="s">
        <v>330</v>
      </c>
      <c r="H695" s="24" t="s">
        <v>109</v>
      </c>
      <c r="I695" s="32" t="s">
        <v>152</v>
      </c>
    </row>
    <row r="696" spans="1:9" x14ac:dyDescent="0.35">
      <c r="A696" s="19">
        <v>46081</v>
      </c>
      <c r="B696" s="20"/>
      <c r="C696" s="20"/>
      <c r="D696" s="20">
        <v>5000</v>
      </c>
      <c r="E696" s="234" t="s">
        <v>358</v>
      </c>
      <c r="F696" s="20">
        <f t="shared" si="11"/>
        <v>141006301</v>
      </c>
      <c r="G696" s="7" t="s">
        <v>330</v>
      </c>
      <c r="H696" s="24" t="s">
        <v>109</v>
      </c>
      <c r="I696" s="32" t="s">
        <v>152</v>
      </c>
    </row>
    <row r="697" spans="1:9" x14ac:dyDescent="0.35">
      <c r="A697" s="19">
        <v>46081</v>
      </c>
      <c r="B697" s="20"/>
      <c r="C697" s="20"/>
      <c r="D697" s="20">
        <v>50000</v>
      </c>
      <c r="E697" s="234" t="s">
        <v>358</v>
      </c>
      <c r="F697" s="20">
        <f t="shared" si="11"/>
        <v>141056301</v>
      </c>
      <c r="G697" s="7" t="s">
        <v>330</v>
      </c>
      <c r="H697" s="24" t="s">
        <v>109</v>
      </c>
      <c r="I697" s="32" t="s">
        <v>152</v>
      </c>
    </row>
    <row r="698" spans="1:9" x14ac:dyDescent="0.35">
      <c r="A698" s="19">
        <v>46081</v>
      </c>
      <c r="B698" s="20"/>
      <c r="C698" s="20"/>
      <c r="D698" s="20">
        <v>50000</v>
      </c>
      <c r="E698" s="234" t="s">
        <v>358</v>
      </c>
      <c r="F698" s="20">
        <f t="shared" si="11"/>
        <v>141106301</v>
      </c>
      <c r="G698" s="7" t="s">
        <v>330</v>
      </c>
      <c r="H698" s="24" t="s">
        <v>109</v>
      </c>
      <c r="I698" s="32" t="s">
        <v>152</v>
      </c>
    </row>
    <row r="699" spans="1:9" x14ac:dyDescent="0.35">
      <c r="A699" s="19">
        <v>46081</v>
      </c>
      <c r="B699" s="20"/>
      <c r="C699" s="20"/>
      <c r="D699" s="20">
        <v>20000</v>
      </c>
      <c r="E699" s="234" t="s">
        <v>358</v>
      </c>
      <c r="F699" s="20">
        <f t="shared" si="11"/>
        <v>141126301</v>
      </c>
      <c r="G699" s="7" t="s">
        <v>330</v>
      </c>
      <c r="H699" s="24" t="s">
        <v>109</v>
      </c>
      <c r="I699" s="32" t="s">
        <v>152</v>
      </c>
    </row>
    <row r="700" spans="1:9" x14ac:dyDescent="0.35">
      <c r="A700" s="19">
        <v>46081</v>
      </c>
      <c r="B700" s="20"/>
      <c r="C700" s="20"/>
      <c r="D700" s="20">
        <v>10000</v>
      </c>
      <c r="E700" s="234" t="s">
        <v>358</v>
      </c>
      <c r="F700" s="20">
        <f t="shared" si="11"/>
        <v>141136301</v>
      </c>
      <c r="G700" s="7" t="s">
        <v>330</v>
      </c>
      <c r="H700" s="24" t="s">
        <v>109</v>
      </c>
      <c r="I700" s="32" t="s">
        <v>152</v>
      </c>
    </row>
    <row r="701" spans="1:9" x14ac:dyDescent="0.35">
      <c r="A701" s="19">
        <v>46081</v>
      </c>
      <c r="B701" s="20"/>
      <c r="C701" s="20"/>
      <c r="D701" s="20">
        <v>25000</v>
      </c>
      <c r="E701" s="234" t="s">
        <v>358</v>
      </c>
      <c r="F701" s="20">
        <f t="shared" si="11"/>
        <v>141161301</v>
      </c>
      <c r="G701" s="7" t="s">
        <v>330</v>
      </c>
      <c r="H701" s="24" t="s">
        <v>109</v>
      </c>
      <c r="I701" s="32" t="s">
        <v>152</v>
      </c>
    </row>
    <row r="702" spans="1:9" x14ac:dyDescent="0.35">
      <c r="A702" s="19">
        <v>46081</v>
      </c>
      <c r="B702" s="20"/>
      <c r="C702" s="20"/>
      <c r="D702" s="20">
        <v>50000</v>
      </c>
      <c r="E702" s="234" t="s">
        <v>358</v>
      </c>
      <c r="F702" s="20">
        <f t="shared" si="11"/>
        <v>141211301</v>
      </c>
      <c r="G702" s="7" t="s">
        <v>330</v>
      </c>
      <c r="H702" s="24" t="s">
        <v>109</v>
      </c>
      <c r="I702" s="32" t="s">
        <v>152</v>
      </c>
    </row>
    <row r="703" spans="1:9" x14ac:dyDescent="0.35">
      <c r="A703" s="19">
        <v>46081</v>
      </c>
      <c r="B703" s="20"/>
      <c r="C703" s="20"/>
      <c r="D703" s="20">
        <v>1000000</v>
      </c>
      <c r="E703" s="234" t="s">
        <v>358</v>
      </c>
      <c r="F703" s="20">
        <f t="shared" si="11"/>
        <v>142211301</v>
      </c>
      <c r="G703" s="7" t="s">
        <v>330</v>
      </c>
      <c r="H703" s="24" t="s">
        <v>109</v>
      </c>
      <c r="I703" s="32" t="s">
        <v>152</v>
      </c>
    </row>
    <row r="704" spans="1:9" x14ac:dyDescent="0.35">
      <c r="A704" s="19">
        <v>46081</v>
      </c>
      <c r="B704" s="20"/>
      <c r="C704" s="20"/>
      <c r="D704" s="20">
        <v>5000</v>
      </c>
      <c r="E704" s="234" t="s">
        <v>358</v>
      </c>
      <c r="F704" s="20">
        <f t="shared" si="11"/>
        <v>142216301</v>
      </c>
      <c r="G704" s="7" t="s">
        <v>330</v>
      </c>
      <c r="H704" s="24" t="s">
        <v>109</v>
      </c>
      <c r="I704" s="32" t="s">
        <v>152</v>
      </c>
    </row>
    <row r="705" spans="1:9" x14ac:dyDescent="0.35">
      <c r="A705" s="19">
        <v>46081</v>
      </c>
      <c r="B705" s="20"/>
      <c r="C705" s="20"/>
      <c r="D705" s="20">
        <v>25000</v>
      </c>
      <c r="E705" s="234" t="s">
        <v>358</v>
      </c>
      <c r="F705" s="20">
        <f t="shared" si="11"/>
        <v>142241301</v>
      </c>
      <c r="G705" s="7" t="s">
        <v>330</v>
      </c>
      <c r="H705" s="24" t="s">
        <v>109</v>
      </c>
      <c r="I705" s="32" t="s">
        <v>152</v>
      </c>
    </row>
    <row r="706" spans="1:9" x14ac:dyDescent="0.35">
      <c r="A706" s="19">
        <v>46081</v>
      </c>
      <c r="B706" s="20"/>
      <c r="C706" s="20"/>
      <c r="D706" s="20">
        <v>50000</v>
      </c>
      <c r="E706" s="234" t="s">
        <v>358</v>
      </c>
      <c r="F706" s="20">
        <f t="shared" si="11"/>
        <v>142291301</v>
      </c>
      <c r="G706" s="7" t="s">
        <v>330</v>
      </c>
      <c r="H706" s="24" t="s">
        <v>109</v>
      </c>
      <c r="I706" s="32" t="s">
        <v>152</v>
      </c>
    </row>
    <row r="707" spans="1:9" x14ac:dyDescent="0.35">
      <c r="A707" s="19">
        <v>46081</v>
      </c>
      <c r="B707" s="20"/>
      <c r="C707" s="20"/>
      <c r="D707" s="20">
        <v>100000</v>
      </c>
      <c r="E707" s="234" t="s">
        <v>358</v>
      </c>
      <c r="F707" s="20">
        <f t="shared" si="11"/>
        <v>142391301</v>
      </c>
      <c r="G707" s="7" t="s">
        <v>330</v>
      </c>
      <c r="H707" s="24" t="s">
        <v>109</v>
      </c>
      <c r="I707" s="32" t="s">
        <v>152</v>
      </c>
    </row>
    <row r="708" spans="1:9" x14ac:dyDescent="0.35">
      <c r="A708" s="19">
        <v>46081</v>
      </c>
      <c r="B708" s="20"/>
      <c r="C708" s="20"/>
      <c r="D708" s="20">
        <v>50000</v>
      </c>
      <c r="E708" s="234" t="s">
        <v>358</v>
      </c>
      <c r="F708" s="20">
        <f t="shared" si="11"/>
        <v>142441301</v>
      </c>
      <c r="G708" s="7" t="s">
        <v>330</v>
      </c>
      <c r="H708" s="24" t="s">
        <v>109</v>
      </c>
      <c r="I708" s="32" t="s">
        <v>152</v>
      </c>
    </row>
    <row r="709" spans="1:9" x14ac:dyDescent="0.35">
      <c r="A709" s="19">
        <v>46081</v>
      </c>
      <c r="B709" s="20"/>
      <c r="C709" s="20"/>
      <c r="D709" s="20">
        <v>2000</v>
      </c>
      <c r="E709" s="234" t="s">
        <v>358</v>
      </c>
      <c r="F709" s="20">
        <f t="shared" si="11"/>
        <v>142443301</v>
      </c>
      <c r="G709" s="7" t="s">
        <v>330</v>
      </c>
      <c r="H709" s="24" t="s">
        <v>109</v>
      </c>
      <c r="I709" s="32" t="s">
        <v>152</v>
      </c>
    </row>
    <row r="710" spans="1:9" x14ac:dyDescent="0.35">
      <c r="A710" s="19">
        <v>46081</v>
      </c>
      <c r="B710" s="20"/>
      <c r="C710" s="20"/>
      <c r="D710" s="20">
        <v>50000</v>
      </c>
      <c r="E710" s="234" t="s">
        <v>358</v>
      </c>
      <c r="F710" s="20">
        <f t="shared" si="11"/>
        <v>142493301</v>
      </c>
      <c r="G710" s="7" t="s">
        <v>330</v>
      </c>
      <c r="H710" s="24" t="s">
        <v>109</v>
      </c>
      <c r="I710" s="32" t="s">
        <v>152</v>
      </c>
    </row>
    <row r="711" spans="1:9" x14ac:dyDescent="0.35">
      <c r="A711" s="19">
        <v>46081</v>
      </c>
      <c r="B711" s="20"/>
      <c r="C711" s="20"/>
      <c r="D711" s="20">
        <v>10000</v>
      </c>
      <c r="E711" s="234" t="s">
        <v>358</v>
      </c>
      <c r="F711" s="20">
        <f t="shared" si="11"/>
        <v>142503301</v>
      </c>
      <c r="G711" s="7" t="s">
        <v>330</v>
      </c>
      <c r="H711" s="24" t="s">
        <v>109</v>
      </c>
      <c r="I711" s="32" t="s">
        <v>152</v>
      </c>
    </row>
    <row r="712" spans="1:9" x14ac:dyDescent="0.35">
      <c r="A712" s="19">
        <v>46081</v>
      </c>
      <c r="B712" s="20"/>
      <c r="C712" s="20"/>
      <c r="D712" s="20">
        <v>3920</v>
      </c>
      <c r="E712" s="234" t="s">
        <v>358</v>
      </c>
      <c r="F712" s="20">
        <f t="shared" si="11"/>
        <v>142507221</v>
      </c>
      <c r="G712" s="7" t="s">
        <v>330</v>
      </c>
      <c r="H712" s="24" t="s">
        <v>109</v>
      </c>
      <c r="I712" s="32" t="s">
        <v>152</v>
      </c>
    </row>
    <row r="713" spans="1:9" x14ac:dyDescent="0.35">
      <c r="A713" s="19">
        <v>46081</v>
      </c>
      <c r="B713" s="20"/>
      <c r="C713" s="20"/>
      <c r="D713" s="20">
        <v>1011</v>
      </c>
      <c r="E713" s="234" t="s">
        <v>358</v>
      </c>
      <c r="F713" s="20">
        <f t="shared" si="11"/>
        <v>142508232</v>
      </c>
      <c r="G713" s="7" t="s">
        <v>330</v>
      </c>
      <c r="H713" s="24" t="s">
        <v>109</v>
      </c>
      <c r="I713" s="32" t="s">
        <v>152</v>
      </c>
    </row>
    <row r="714" spans="1:9" x14ac:dyDescent="0.35">
      <c r="A714" s="19">
        <v>46081</v>
      </c>
      <c r="B714" s="20"/>
      <c r="C714" s="20"/>
      <c r="D714" s="20">
        <v>100000</v>
      </c>
      <c r="E714" s="234" t="s">
        <v>358</v>
      </c>
      <c r="F714" s="20">
        <f t="shared" si="11"/>
        <v>142608232</v>
      </c>
      <c r="G714" s="7" t="s">
        <v>330</v>
      </c>
      <c r="H714" s="24" t="s">
        <v>109</v>
      </c>
      <c r="I714" s="32" t="s">
        <v>152</v>
      </c>
    </row>
    <row r="715" spans="1:9" x14ac:dyDescent="0.35">
      <c r="A715" s="19">
        <v>46081</v>
      </c>
      <c r="B715" s="20"/>
      <c r="C715" s="20"/>
      <c r="D715" s="20">
        <v>20000</v>
      </c>
      <c r="E715" s="234" t="s">
        <v>358</v>
      </c>
      <c r="F715" s="20">
        <f t="shared" si="11"/>
        <v>142628232</v>
      </c>
      <c r="G715" s="7" t="s">
        <v>330</v>
      </c>
      <c r="H715" s="24" t="s">
        <v>109</v>
      </c>
      <c r="I715" s="32" t="s">
        <v>152</v>
      </c>
    </row>
    <row r="716" spans="1:9" x14ac:dyDescent="0.35">
      <c r="A716" s="19">
        <v>46082</v>
      </c>
      <c r="B716" s="20"/>
      <c r="C716" s="20"/>
      <c r="D716" s="20">
        <v>100000</v>
      </c>
      <c r="E716" s="234" t="s">
        <v>1184</v>
      </c>
      <c r="F716" s="20">
        <f t="shared" si="11"/>
        <v>142728232</v>
      </c>
      <c r="G716" s="7" t="s">
        <v>330</v>
      </c>
      <c r="H716" s="24" t="s">
        <v>109</v>
      </c>
      <c r="I716" s="32" t="s">
        <v>152</v>
      </c>
    </row>
    <row r="717" spans="1:9" x14ac:dyDescent="0.35">
      <c r="A717" s="19">
        <v>46082</v>
      </c>
      <c r="B717" s="20"/>
      <c r="C717" s="20"/>
      <c r="D717" s="20">
        <v>20000</v>
      </c>
      <c r="E717" s="234" t="s">
        <v>1184</v>
      </c>
      <c r="F717" s="20">
        <f t="shared" si="11"/>
        <v>142748232</v>
      </c>
      <c r="G717" s="7" t="s">
        <v>330</v>
      </c>
      <c r="H717" s="24" t="s">
        <v>109</v>
      </c>
      <c r="I717" s="32" t="s">
        <v>152</v>
      </c>
    </row>
    <row r="718" spans="1:9" x14ac:dyDescent="0.35">
      <c r="A718" s="19">
        <v>46082</v>
      </c>
      <c r="B718" s="20"/>
      <c r="C718" s="20"/>
      <c r="D718" s="20">
        <v>50000</v>
      </c>
      <c r="E718" s="234" t="s">
        <v>1184</v>
      </c>
      <c r="F718" s="20">
        <f t="shared" si="11"/>
        <v>142798232</v>
      </c>
      <c r="G718" s="7" t="s">
        <v>330</v>
      </c>
      <c r="H718" s="24" t="s">
        <v>109</v>
      </c>
      <c r="I718" s="32" t="s">
        <v>152</v>
      </c>
    </row>
    <row r="719" spans="1:9" x14ac:dyDescent="0.35">
      <c r="A719" s="19">
        <v>46082</v>
      </c>
      <c r="B719" s="20"/>
      <c r="C719" s="20"/>
      <c r="D719" s="20">
        <v>100000</v>
      </c>
      <c r="E719" s="234" t="s">
        <v>1184</v>
      </c>
      <c r="F719" s="20">
        <f t="shared" si="11"/>
        <v>142898232</v>
      </c>
      <c r="G719" s="7" t="s">
        <v>330</v>
      </c>
      <c r="H719" s="24" t="s">
        <v>109</v>
      </c>
      <c r="I719" s="32" t="s">
        <v>152</v>
      </c>
    </row>
    <row r="720" spans="1:9" x14ac:dyDescent="0.35">
      <c r="A720" s="19">
        <v>46082</v>
      </c>
      <c r="B720" s="20"/>
      <c r="C720" s="20"/>
      <c r="D720" s="20">
        <v>5000</v>
      </c>
      <c r="E720" s="234" t="s">
        <v>1184</v>
      </c>
      <c r="F720" s="20">
        <f t="shared" si="11"/>
        <v>142903232</v>
      </c>
      <c r="G720" s="7" t="s">
        <v>330</v>
      </c>
      <c r="H720" s="24" t="s">
        <v>109</v>
      </c>
      <c r="I720" s="32" t="s">
        <v>152</v>
      </c>
    </row>
    <row r="721" spans="1:9" x14ac:dyDescent="0.35">
      <c r="A721" s="19">
        <v>46082</v>
      </c>
      <c r="B721" s="20"/>
      <c r="C721" s="20"/>
      <c r="D721" s="20">
        <v>100000</v>
      </c>
      <c r="E721" s="234" t="s">
        <v>1184</v>
      </c>
      <c r="F721" s="20">
        <f t="shared" si="11"/>
        <v>143003232</v>
      </c>
      <c r="G721" s="7" t="s">
        <v>330</v>
      </c>
      <c r="H721" s="24" t="s">
        <v>109</v>
      </c>
      <c r="I721" s="32" t="s">
        <v>152</v>
      </c>
    </row>
    <row r="722" spans="1:9" x14ac:dyDescent="0.35">
      <c r="A722" s="19">
        <v>46082</v>
      </c>
      <c r="B722" s="20"/>
      <c r="C722" s="20"/>
      <c r="D722" s="20">
        <v>10000</v>
      </c>
      <c r="E722" s="234" t="s">
        <v>1184</v>
      </c>
      <c r="F722" s="20">
        <f t="shared" si="11"/>
        <v>143013232</v>
      </c>
      <c r="G722" s="7" t="s">
        <v>330</v>
      </c>
      <c r="H722" s="24" t="s">
        <v>109</v>
      </c>
      <c r="I722" s="32" t="s">
        <v>152</v>
      </c>
    </row>
    <row r="723" spans="1:9" x14ac:dyDescent="0.35">
      <c r="A723" s="19">
        <v>46082</v>
      </c>
      <c r="B723" s="20"/>
      <c r="C723" s="20"/>
      <c r="D723" s="20">
        <v>2600</v>
      </c>
      <c r="E723" s="234" t="s">
        <v>1184</v>
      </c>
      <c r="F723" s="20">
        <f t="shared" si="11"/>
        <v>143015832</v>
      </c>
      <c r="G723" s="7" t="s">
        <v>330</v>
      </c>
      <c r="H723" s="24" t="s">
        <v>109</v>
      </c>
      <c r="I723" s="32" t="s">
        <v>152</v>
      </c>
    </row>
    <row r="724" spans="1:9" x14ac:dyDescent="0.35">
      <c r="A724" s="19">
        <v>46082</v>
      </c>
      <c r="B724" s="20"/>
      <c r="C724" s="20"/>
      <c r="D724" s="20">
        <v>50000</v>
      </c>
      <c r="E724" s="234" t="s">
        <v>1184</v>
      </c>
      <c r="F724" s="20">
        <f t="shared" si="11"/>
        <v>143065832</v>
      </c>
      <c r="G724" s="7" t="s">
        <v>330</v>
      </c>
      <c r="H724" s="24" t="s">
        <v>109</v>
      </c>
      <c r="I724" s="32" t="s">
        <v>152</v>
      </c>
    </row>
    <row r="725" spans="1:9" x14ac:dyDescent="0.35">
      <c r="A725" s="19">
        <v>46082</v>
      </c>
      <c r="B725" s="20"/>
      <c r="C725" s="20"/>
      <c r="D725" s="20">
        <v>5000</v>
      </c>
      <c r="E725" s="234" t="s">
        <v>1184</v>
      </c>
      <c r="F725" s="20">
        <f t="shared" si="11"/>
        <v>143070832</v>
      </c>
      <c r="G725" s="7" t="s">
        <v>330</v>
      </c>
      <c r="H725" s="24" t="s">
        <v>109</v>
      </c>
      <c r="I725" s="32" t="s">
        <v>152</v>
      </c>
    </row>
    <row r="726" spans="1:9" x14ac:dyDescent="0.35">
      <c r="A726" s="19">
        <v>46082</v>
      </c>
      <c r="B726" s="20"/>
      <c r="C726" s="20"/>
      <c r="D726" s="20">
        <v>14000</v>
      </c>
      <c r="E726" s="234" t="s">
        <v>1184</v>
      </c>
      <c r="F726" s="20">
        <f t="shared" si="11"/>
        <v>143084832</v>
      </c>
      <c r="G726" s="7" t="s">
        <v>330</v>
      </c>
      <c r="H726" s="24" t="s">
        <v>109</v>
      </c>
      <c r="I726" s="32" t="s">
        <v>152</v>
      </c>
    </row>
    <row r="727" spans="1:9" x14ac:dyDescent="0.35">
      <c r="A727" s="19">
        <v>46082</v>
      </c>
      <c r="B727" s="20"/>
      <c r="C727" s="20"/>
      <c r="D727" s="20">
        <v>35000</v>
      </c>
      <c r="E727" s="234" t="s">
        <v>1184</v>
      </c>
      <c r="F727" s="20">
        <f t="shared" si="11"/>
        <v>143119832</v>
      </c>
      <c r="G727" s="7" t="s">
        <v>330</v>
      </c>
      <c r="H727" s="24" t="s">
        <v>109</v>
      </c>
      <c r="I727" s="32" t="s">
        <v>152</v>
      </c>
    </row>
    <row r="728" spans="1:9" x14ac:dyDescent="0.35">
      <c r="A728" s="19">
        <v>46082</v>
      </c>
      <c r="B728" s="20"/>
      <c r="C728" s="20"/>
      <c r="D728" s="20">
        <v>20000</v>
      </c>
      <c r="E728" s="234" t="s">
        <v>1184</v>
      </c>
      <c r="F728" s="20">
        <f t="shared" si="11"/>
        <v>143139832</v>
      </c>
      <c r="G728" s="7" t="s">
        <v>330</v>
      </c>
      <c r="H728" s="24" t="s">
        <v>109</v>
      </c>
      <c r="I728" s="32" t="s">
        <v>152</v>
      </c>
    </row>
    <row r="729" spans="1:9" x14ac:dyDescent="0.35">
      <c r="A729" s="19">
        <v>46082</v>
      </c>
      <c r="B729" s="20"/>
      <c r="C729" s="20"/>
      <c r="D729" s="20">
        <v>500000</v>
      </c>
      <c r="E729" s="234" t="s">
        <v>1184</v>
      </c>
      <c r="F729" s="20">
        <f t="shared" si="11"/>
        <v>143639832</v>
      </c>
      <c r="G729" s="7" t="s">
        <v>330</v>
      </c>
      <c r="H729" s="24" t="s">
        <v>109</v>
      </c>
      <c r="I729" s="32" t="s">
        <v>152</v>
      </c>
    </row>
    <row r="730" spans="1:9" x14ac:dyDescent="0.35">
      <c r="A730" s="19">
        <v>46082</v>
      </c>
      <c r="B730" s="20"/>
      <c r="C730" s="20"/>
      <c r="D730" s="20">
        <v>50000</v>
      </c>
      <c r="E730" s="234" t="s">
        <v>1184</v>
      </c>
      <c r="F730" s="20">
        <f t="shared" si="11"/>
        <v>143689832</v>
      </c>
      <c r="G730" s="7" t="s">
        <v>330</v>
      </c>
      <c r="H730" s="24" t="s">
        <v>109</v>
      </c>
      <c r="I730" s="32" t="s">
        <v>152</v>
      </c>
    </row>
    <row r="731" spans="1:9" x14ac:dyDescent="0.35">
      <c r="A731" s="19">
        <v>46082</v>
      </c>
      <c r="B731" s="20"/>
      <c r="C731" s="20"/>
      <c r="D731" s="20">
        <v>25000</v>
      </c>
      <c r="E731" s="234" t="s">
        <v>1184</v>
      </c>
      <c r="F731" s="20">
        <f t="shared" ref="F731:F794" si="12">+F730+D731-B731</f>
        <v>143714832</v>
      </c>
      <c r="G731" s="7" t="s">
        <v>330</v>
      </c>
      <c r="H731" s="24" t="s">
        <v>109</v>
      </c>
      <c r="I731" s="32" t="s">
        <v>152</v>
      </c>
    </row>
    <row r="732" spans="1:9" x14ac:dyDescent="0.35">
      <c r="A732" s="19">
        <v>46082</v>
      </c>
      <c r="B732" s="20"/>
      <c r="C732" s="20"/>
      <c r="D732" s="20">
        <v>20000</v>
      </c>
      <c r="E732" s="234" t="s">
        <v>1184</v>
      </c>
      <c r="F732" s="20">
        <f t="shared" si="12"/>
        <v>143734832</v>
      </c>
      <c r="G732" s="7" t="s">
        <v>330</v>
      </c>
      <c r="H732" s="24" t="s">
        <v>109</v>
      </c>
      <c r="I732" s="32" t="s">
        <v>152</v>
      </c>
    </row>
    <row r="733" spans="1:9" x14ac:dyDescent="0.35">
      <c r="A733" s="19">
        <v>46082</v>
      </c>
      <c r="B733" s="20"/>
      <c r="C733" s="20"/>
      <c r="D733" s="20">
        <v>10000</v>
      </c>
      <c r="E733" s="234" t="s">
        <v>1184</v>
      </c>
      <c r="F733" s="20">
        <f t="shared" si="12"/>
        <v>143744832</v>
      </c>
      <c r="G733" s="7" t="s">
        <v>330</v>
      </c>
      <c r="H733" s="24" t="s">
        <v>109</v>
      </c>
      <c r="I733" s="32" t="s">
        <v>152</v>
      </c>
    </row>
    <row r="734" spans="1:9" x14ac:dyDescent="0.35">
      <c r="A734" s="19">
        <v>46082</v>
      </c>
      <c r="B734" s="20"/>
      <c r="C734" s="20"/>
      <c r="D734" s="20">
        <v>50000</v>
      </c>
      <c r="E734" s="234" t="s">
        <v>1184</v>
      </c>
      <c r="F734" s="20">
        <f t="shared" si="12"/>
        <v>143794832</v>
      </c>
      <c r="G734" s="7" t="s">
        <v>330</v>
      </c>
      <c r="H734" s="24" t="s">
        <v>109</v>
      </c>
      <c r="I734" s="32" t="s">
        <v>152</v>
      </c>
    </row>
    <row r="735" spans="1:9" x14ac:dyDescent="0.35">
      <c r="A735" s="19">
        <v>46082</v>
      </c>
      <c r="B735" s="20"/>
      <c r="C735" s="20"/>
      <c r="D735" s="20">
        <v>50000</v>
      </c>
      <c r="E735" s="234" t="s">
        <v>1184</v>
      </c>
      <c r="F735" s="20">
        <f t="shared" si="12"/>
        <v>143844832</v>
      </c>
      <c r="G735" s="7" t="s">
        <v>330</v>
      </c>
      <c r="H735" s="24" t="s">
        <v>109</v>
      </c>
      <c r="I735" s="32" t="s">
        <v>152</v>
      </c>
    </row>
    <row r="736" spans="1:9" x14ac:dyDescent="0.35">
      <c r="A736" s="19">
        <v>46082</v>
      </c>
      <c r="B736" s="20"/>
      <c r="C736" s="20"/>
      <c r="D736" s="20">
        <v>10000</v>
      </c>
      <c r="E736" s="234" t="s">
        <v>1184</v>
      </c>
      <c r="F736" s="20">
        <f t="shared" si="12"/>
        <v>143854832</v>
      </c>
      <c r="G736" s="7" t="s">
        <v>330</v>
      </c>
      <c r="H736" s="24" t="s">
        <v>109</v>
      </c>
      <c r="I736" s="32" t="s">
        <v>152</v>
      </c>
    </row>
    <row r="737" spans="1:9" x14ac:dyDescent="0.35">
      <c r="A737" s="19">
        <v>46082</v>
      </c>
      <c r="B737" s="20"/>
      <c r="C737" s="20"/>
      <c r="D737" s="20">
        <v>10000</v>
      </c>
      <c r="E737" s="234" t="s">
        <v>1184</v>
      </c>
      <c r="F737" s="20">
        <f t="shared" si="12"/>
        <v>143864832</v>
      </c>
      <c r="G737" s="7" t="s">
        <v>330</v>
      </c>
      <c r="H737" s="24" t="s">
        <v>109</v>
      </c>
      <c r="I737" s="32" t="s">
        <v>152</v>
      </c>
    </row>
    <row r="738" spans="1:9" x14ac:dyDescent="0.35">
      <c r="A738" s="19">
        <v>46082</v>
      </c>
      <c r="B738" s="20"/>
      <c r="C738" s="20"/>
      <c r="D738" s="20">
        <v>50000</v>
      </c>
      <c r="E738" s="234" t="s">
        <v>1184</v>
      </c>
      <c r="F738" s="20">
        <f t="shared" si="12"/>
        <v>143914832</v>
      </c>
      <c r="G738" s="7" t="s">
        <v>330</v>
      </c>
      <c r="H738" s="24" t="s">
        <v>109</v>
      </c>
      <c r="I738" s="32" t="s">
        <v>152</v>
      </c>
    </row>
    <row r="739" spans="1:9" x14ac:dyDescent="0.35">
      <c r="A739" s="19">
        <v>46082</v>
      </c>
      <c r="B739" s="20"/>
      <c r="C739" s="20"/>
      <c r="D739" s="20">
        <v>10000</v>
      </c>
      <c r="E739" s="234" t="s">
        <v>1184</v>
      </c>
      <c r="F739" s="20">
        <f t="shared" si="12"/>
        <v>143924832</v>
      </c>
      <c r="G739" s="7" t="s">
        <v>330</v>
      </c>
      <c r="H739" s="24" t="s">
        <v>109</v>
      </c>
      <c r="I739" s="32" t="s">
        <v>152</v>
      </c>
    </row>
    <row r="740" spans="1:9" x14ac:dyDescent="0.35">
      <c r="A740" s="19">
        <v>46082</v>
      </c>
      <c r="B740" s="20"/>
      <c r="C740" s="20"/>
      <c r="D740" s="20">
        <v>2000</v>
      </c>
      <c r="E740" s="234" t="s">
        <v>1184</v>
      </c>
      <c r="F740" s="20">
        <f t="shared" si="12"/>
        <v>143926832</v>
      </c>
      <c r="G740" s="7" t="s">
        <v>330</v>
      </c>
      <c r="H740" s="24" t="s">
        <v>109</v>
      </c>
      <c r="I740" s="32" t="s">
        <v>152</v>
      </c>
    </row>
    <row r="741" spans="1:9" x14ac:dyDescent="0.35">
      <c r="A741" s="19">
        <v>46082</v>
      </c>
      <c r="B741" s="20"/>
      <c r="C741" s="20"/>
      <c r="D741" s="20">
        <v>200000</v>
      </c>
      <c r="E741" s="234" t="s">
        <v>1184</v>
      </c>
      <c r="F741" s="20">
        <f t="shared" si="12"/>
        <v>144126832</v>
      </c>
      <c r="G741" s="7" t="s">
        <v>866</v>
      </c>
      <c r="H741" s="24" t="s">
        <v>109</v>
      </c>
      <c r="I741" s="32" t="s">
        <v>152</v>
      </c>
    </row>
    <row r="742" spans="1:9" x14ac:dyDescent="0.35">
      <c r="A742" s="19">
        <v>46082</v>
      </c>
      <c r="B742" s="20"/>
      <c r="C742" s="20"/>
      <c r="D742" s="20">
        <v>15000000</v>
      </c>
      <c r="E742" s="234" t="s">
        <v>1184</v>
      </c>
      <c r="F742" s="20">
        <f t="shared" si="12"/>
        <v>159126832</v>
      </c>
      <c r="G742" s="7" t="s">
        <v>1181</v>
      </c>
      <c r="H742" s="24" t="s">
        <v>105</v>
      </c>
      <c r="I742" s="32" t="s">
        <v>152</v>
      </c>
    </row>
    <row r="743" spans="1:9" x14ac:dyDescent="0.35">
      <c r="A743" s="19">
        <v>46082</v>
      </c>
      <c r="B743" s="20"/>
      <c r="C743" s="20"/>
      <c r="D743" s="20">
        <v>350000</v>
      </c>
      <c r="E743" s="234" t="s">
        <v>1184</v>
      </c>
      <c r="F743" s="20">
        <f t="shared" si="12"/>
        <v>159476832</v>
      </c>
      <c r="G743" s="7" t="s">
        <v>740</v>
      </c>
      <c r="H743" s="24" t="s">
        <v>109</v>
      </c>
      <c r="I743" s="32" t="s">
        <v>152</v>
      </c>
    </row>
    <row r="744" spans="1:9" x14ac:dyDescent="0.35">
      <c r="A744" s="19">
        <v>46082</v>
      </c>
      <c r="B744" s="20"/>
      <c r="C744" s="20"/>
      <c r="D744" s="20">
        <v>500000</v>
      </c>
      <c r="E744" s="234" t="s">
        <v>1184</v>
      </c>
      <c r="F744" s="20">
        <f t="shared" si="12"/>
        <v>159976832</v>
      </c>
      <c r="G744" s="7" t="s">
        <v>579</v>
      </c>
      <c r="H744" s="24" t="s">
        <v>109</v>
      </c>
      <c r="I744" s="32" t="s">
        <v>152</v>
      </c>
    </row>
    <row r="745" spans="1:9" x14ac:dyDescent="0.35">
      <c r="A745" s="19">
        <v>46082</v>
      </c>
      <c r="B745" s="20">
        <v>750000</v>
      </c>
      <c r="C745" s="20"/>
      <c r="D745" s="20"/>
      <c r="E745" s="234" t="s">
        <v>1184</v>
      </c>
      <c r="F745" s="20">
        <f t="shared" si="12"/>
        <v>159226832</v>
      </c>
      <c r="G745" s="7" t="s">
        <v>1182</v>
      </c>
      <c r="H745" s="24" t="s">
        <v>1158</v>
      </c>
      <c r="I745" s="32" t="s">
        <v>152</v>
      </c>
    </row>
    <row r="746" spans="1:9" x14ac:dyDescent="0.35">
      <c r="A746" s="19">
        <v>46082</v>
      </c>
      <c r="B746" s="20">
        <v>6500</v>
      </c>
      <c r="C746" s="20"/>
      <c r="D746" s="20"/>
      <c r="E746" s="234" t="s">
        <v>1184</v>
      </c>
      <c r="F746" s="20">
        <f t="shared" si="12"/>
        <v>159220332</v>
      </c>
      <c r="G746" s="7" t="s">
        <v>1182</v>
      </c>
      <c r="H746" s="24" t="s">
        <v>320</v>
      </c>
      <c r="I746" s="32" t="s">
        <v>152</v>
      </c>
    </row>
    <row r="747" spans="1:9" x14ac:dyDescent="0.35">
      <c r="A747" s="19">
        <v>46083</v>
      </c>
      <c r="B747" s="20"/>
      <c r="C747" s="20"/>
      <c r="D747" s="20">
        <v>500000</v>
      </c>
      <c r="E747" s="234" t="s">
        <v>1184</v>
      </c>
      <c r="F747" s="20">
        <f t="shared" si="12"/>
        <v>159720332</v>
      </c>
      <c r="G747" s="7" t="s">
        <v>675</v>
      </c>
      <c r="H747" s="24" t="s">
        <v>109</v>
      </c>
      <c r="I747" s="32" t="s">
        <v>152</v>
      </c>
    </row>
    <row r="748" spans="1:9" x14ac:dyDescent="0.35">
      <c r="A748" s="19">
        <v>46083</v>
      </c>
      <c r="B748" s="20"/>
      <c r="C748" s="20"/>
      <c r="D748" s="20">
        <v>5000</v>
      </c>
      <c r="E748" s="234" t="s">
        <v>1184</v>
      </c>
      <c r="F748" s="20">
        <f t="shared" si="12"/>
        <v>159725332</v>
      </c>
      <c r="G748" s="7" t="s">
        <v>330</v>
      </c>
      <c r="H748" s="24" t="s">
        <v>109</v>
      </c>
      <c r="I748" s="32" t="s">
        <v>152</v>
      </c>
    </row>
    <row r="749" spans="1:9" x14ac:dyDescent="0.35">
      <c r="A749" s="19">
        <v>46083</v>
      </c>
      <c r="B749" s="20"/>
      <c r="C749" s="20"/>
      <c r="D749" s="20">
        <v>50000</v>
      </c>
      <c r="E749" s="234" t="s">
        <v>1184</v>
      </c>
      <c r="F749" s="20">
        <f t="shared" si="12"/>
        <v>159775332</v>
      </c>
      <c r="G749" s="7" t="s">
        <v>330</v>
      </c>
      <c r="H749" s="24" t="s">
        <v>109</v>
      </c>
      <c r="I749" s="32" t="s">
        <v>152</v>
      </c>
    </row>
    <row r="750" spans="1:9" x14ac:dyDescent="0.35">
      <c r="A750" s="19">
        <v>46083</v>
      </c>
      <c r="B750" s="20"/>
      <c r="C750" s="20"/>
      <c r="D750" s="20">
        <v>20000</v>
      </c>
      <c r="E750" s="234" t="s">
        <v>1184</v>
      </c>
      <c r="F750" s="20">
        <f t="shared" si="12"/>
        <v>159795332</v>
      </c>
      <c r="G750" s="7" t="s">
        <v>330</v>
      </c>
      <c r="H750" s="24" t="s">
        <v>109</v>
      </c>
      <c r="I750" s="32" t="s">
        <v>152</v>
      </c>
    </row>
    <row r="751" spans="1:9" x14ac:dyDescent="0.35">
      <c r="A751" s="19">
        <v>46083</v>
      </c>
      <c r="B751" s="20"/>
      <c r="C751" s="20"/>
      <c r="D751" s="20">
        <v>5000</v>
      </c>
      <c r="E751" s="234" t="s">
        <v>1184</v>
      </c>
      <c r="F751" s="20">
        <f t="shared" si="12"/>
        <v>159800332</v>
      </c>
      <c r="G751" s="7" t="s">
        <v>330</v>
      </c>
      <c r="H751" s="24" t="s">
        <v>109</v>
      </c>
      <c r="I751" s="32" t="s">
        <v>152</v>
      </c>
    </row>
    <row r="752" spans="1:9" x14ac:dyDescent="0.35">
      <c r="A752" s="19">
        <v>46083</v>
      </c>
      <c r="B752" s="20"/>
      <c r="C752" s="20"/>
      <c r="D752" s="20">
        <v>50000</v>
      </c>
      <c r="E752" s="234" t="s">
        <v>1184</v>
      </c>
      <c r="F752" s="20">
        <f t="shared" si="12"/>
        <v>159850332</v>
      </c>
      <c r="G752" s="7" t="s">
        <v>330</v>
      </c>
      <c r="H752" s="24" t="s">
        <v>109</v>
      </c>
      <c r="I752" s="32" t="s">
        <v>152</v>
      </c>
    </row>
    <row r="753" spans="1:9" x14ac:dyDescent="0.35">
      <c r="A753" s="19">
        <v>46083</v>
      </c>
      <c r="B753" s="20"/>
      <c r="C753" s="20"/>
      <c r="D753" s="20">
        <v>25000</v>
      </c>
      <c r="E753" s="234" t="s">
        <v>1184</v>
      </c>
      <c r="F753" s="20">
        <f t="shared" si="12"/>
        <v>159875332</v>
      </c>
      <c r="G753" s="7" t="s">
        <v>330</v>
      </c>
      <c r="H753" s="24" t="s">
        <v>109</v>
      </c>
      <c r="I753" s="32" t="s">
        <v>152</v>
      </c>
    </row>
    <row r="754" spans="1:9" x14ac:dyDescent="0.35">
      <c r="A754" s="19">
        <v>46083</v>
      </c>
      <c r="B754" s="20"/>
      <c r="C754" s="20"/>
      <c r="D754" s="20">
        <v>30000</v>
      </c>
      <c r="E754" s="234" t="s">
        <v>1184</v>
      </c>
      <c r="F754" s="20">
        <f t="shared" si="12"/>
        <v>159905332</v>
      </c>
      <c r="G754" s="7" t="s">
        <v>330</v>
      </c>
      <c r="H754" s="24" t="s">
        <v>109</v>
      </c>
      <c r="I754" s="32" t="s">
        <v>152</v>
      </c>
    </row>
    <row r="755" spans="1:9" x14ac:dyDescent="0.35">
      <c r="A755" s="19">
        <v>46083</v>
      </c>
      <c r="B755" s="20"/>
      <c r="C755" s="20"/>
      <c r="D755" s="20">
        <v>20000</v>
      </c>
      <c r="E755" s="234" t="s">
        <v>1184</v>
      </c>
      <c r="F755" s="20">
        <f t="shared" si="12"/>
        <v>159925332</v>
      </c>
      <c r="G755" s="7" t="s">
        <v>330</v>
      </c>
      <c r="H755" s="24" t="s">
        <v>109</v>
      </c>
      <c r="I755" s="32" t="s">
        <v>152</v>
      </c>
    </row>
    <row r="756" spans="1:9" x14ac:dyDescent="0.35">
      <c r="A756" s="19">
        <v>46083</v>
      </c>
      <c r="B756" s="20"/>
      <c r="C756" s="20"/>
      <c r="D756" s="20">
        <v>20000</v>
      </c>
      <c r="E756" s="234" t="s">
        <v>1184</v>
      </c>
      <c r="F756" s="20">
        <f t="shared" si="12"/>
        <v>159945332</v>
      </c>
      <c r="G756" s="7" t="s">
        <v>330</v>
      </c>
      <c r="H756" s="24" t="s">
        <v>109</v>
      </c>
      <c r="I756" s="32" t="s">
        <v>152</v>
      </c>
    </row>
    <row r="757" spans="1:9" x14ac:dyDescent="0.35">
      <c r="A757" s="19">
        <v>46083</v>
      </c>
      <c r="B757" s="20"/>
      <c r="C757" s="20"/>
      <c r="D757" s="20">
        <v>20000</v>
      </c>
      <c r="E757" s="234" t="s">
        <v>1184</v>
      </c>
      <c r="F757" s="20">
        <f t="shared" si="12"/>
        <v>159965332</v>
      </c>
      <c r="G757" s="7" t="s">
        <v>330</v>
      </c>
      <c r="H757" s="24" t="s">
        <v>109</v>
      </c>
      <c r="I757" s="32" t="s">
        <v>152</v>
      </c>
    </row>
    <row r="758" spans="1:9" x14ac:dyDescent="0.35">
      <c r="A758" s="19">
        <v>46083</v>
      </c>
      <c r="B758" s="20"/>
      <c r="C758" s="20"/>
      <c r="D758" s="20">
        <v>50000</v>
      </c>
      <c r="E758" s="234" t="s">
        <v>1184</v>
      </c>
      <c r="F758" s="20">
        <f t="shared" si="12"/>
        <v>160015332</v>
      </c>
      <c r="G758" s="7" t="s">
        <v>330</v>
      </c>
      <c r="H758" s="24" t="s">
        <v>109</v>
      </c>
      <c r="I758" s="32" t="s">
        <v>152</v>
      </c>
    </row>
    <row r="759" spans="1:9" x14ac:dyDescent="0.35">
      <c r="A759" s="19">
        <v>46083</v>
      </c>
      <c r="B759" s="20"/>
      <c r="C759" s="20"/>
      <c r="D759" s="20">
        <v>10000</v>
      </c>
      <c r="E759" s="234" t="s">
        <v>1184</v>
      </c>
      <c r="F759" s="20">
        <f t="shared" si="12"/>
        <v>160025332</v>
      </c>
      <c r="G759" s="7" t="s">
        <v>330</v>
      </c>
      <c r="H759" s="24" t="s">
        <v>109</v>
      </c>
      <c r="I759" s="32" t="s">
        <v>152</v>
      </c>
    </row>
    <row r="760" spans="1:9" x14ac:dyDescent="0.35">
      <c r="A760" s="19">
        <v>46083</v>
      </c>
      <c r="B760" s="20"/>
      <c r="C760" s="20"/>
      <c r="D760" s="20">
        <f>3521000-850000</f>
        <v>2671000</v>
      </c>
      <c r="E760" s="234" t="s">
        <v>1184</v>
      </c>
      <c r="F760" s="20">
        <f t="shared" si="12"/>
        <v>162696332</v>
      </c>
      <c r="G760" s="7"/>
      <c r="H760" s="24" t="s">
        <v>107</v>
      </c>
      <c r="I760" s="32" t="s">
        <v>152</v>
      </c>
    </row>
    <row r="761" spans="1:9" x14ac:dyDescent="0.35">
      <c r="A761" s="19">
        <v>46083</v>
      </c>
      <c r="B761" s="20"/>
      <c r="C761" s="20"/>
      <c r="D761" s="20">
        <v>1271000</v>
      </c>
      <c r="E761" s="234" t="s">
        <v>1184</v>
      </c>
      <c r="F761" s="20">
        <f t="shared" si="12"/>
        <v>163967332</v>
      </c>
      <c r="G761" s="7"/>
      <c r="H761" s="24" t="s">
        <v>109</v>
      </c>
      <c r="I761" s="32" t="s">
        <v>152</v>
      </c>
    </row>
    <row r="762" spans="1:9" x14ac:dyDescent="0.35">
      <c r="A762" s="19">
        <v>46083</v>
      </c>
      <c r="B762" s="20"/>
      <c r="C762" s="20"/>
      <c r="D762" s="20">
        <v>4992000</v>
      </c>
      <c r="E762" s="234" t="s">
        <v>1184</v>
      </c>
      <c r="F762" s="20">
        <f t="shared" si="12"/>
        <v>168959332</v>
      </c>
      <c r="G762" s="7"/>
      <c r="H762" s="24" t="s">
        <v>377</v>
      </c>
      <c r="I762" s="32" t="s">
        <v>152</v>
      </c>
    </row>
    <row r="763" spans="1:9" x14ac:dyDescent="0.35">
      <c r="A763" s="19"/>
      <c r="B763" s="20"/>
      <c r="C763" s="20">
        <v>8934000</v>
      </c>
      <c r="D763" s="20"/>
      <c r="E763" s="234"/>
      <c r="F763" s="20">
        <f t="shared" si="12"/>
        <v>168959332</v>
      </c>
      <c r="G763" s="7" t="s">
        <v>1183</v>
      </c>
      <c r="H763" s="24"/>
      <c r="I763" s="32"/>
    </row>
    <row r="764" spans="1:9" x14ac:dyDescent="0.35">
      <c r="A764" s="19">
        <v>46083</v>
      </c>
      <c r="B764" s="20"/>
      <c r="C764" s="20"/>
      <c r="D764" s="20">
        <v>2760</v>
      </c>
      <c r="E764" s="234" t="s">
        <v>1184</v>
      </c>
      <c r="F764" s="20">
        <f t="shared" si="12"/>
        <v>168962092</v>
      </c>
      <c r="G764" s="7" t="s">
        <v>330</v>
      </c>
      <c r="H764" s="24" t="s">
        <v>109</v>
      </c>
      <c r="I764" s="32" t="s">
        <v>152</v>
      </c>
    </row>
    <row r="765" spans="1:9" x14ac:dyDescent="0.35">
      <c r="A765" s="19">
        <v>46083</v>
      </c>
      <c r="B765" s="20"/>
      <c r="C765" s="20"/>
      <c r="D765" s="20">
        <v>5000</v>
      </c>
      <c r="E765" s="234" t="s">
        <v>1184</v>
      </c>
      <c r="F765" s="20">
        <f t="shared" si="12"/>
        <v>168967092</v>
      </c>
      <c r="G765" s="7" t="s">
        <v>330</v>
      </c>
      <c r="H765" s="24" t="s">
        <v>109</v>
      </c>
      <c r="I765" s="32" t="s">
        <v>152</v>
      </c>
    </row>
    <row r="766" spans="1:9" x14ac:dyDescent="0.35">
      <c r="A766" s="19">
        <v>46083</v>
      </c>
      <c r="B766" s="20"/>
      <c r="C766" s="20"/>
      <c r="D766" s="20">
        <v>30000</v>
      </c>
      <c r="E766" s="234" t="s">
        <v>1184</v>
      </c>
      <c r="F766" s="20">
        <f t="shared" si="12"/>
        <v>168997092</v>
      </c>
      <c r="G766" s="7" t="s">
        <v>330</v>
      </c>
      <c r="H766" s="24" t="s">
        <v>109</v>
      </c>
      <c r="I766" s="32" t="s">
        <v>152</v>
      </c>
    </row>
    <row r="767" spans="1:9" x14ac:dyDescent="0.35">
      <c r="A767" s="19">
        <v>46083</v>
      </c>
      <c r="B767" s="20"/>
      <c r="C767" s="20"/>
      <c r="D767" s="20">
        <v>10000</v>
      </c>
      <c r="E767" s="234" t="s">
        <v>1184</v>
      </c>
      <c r="F767" s="20">
        <f t="shared" si="12"/>
        <v>169007092</v>
      </c>
      <c r="G767" s="7" t="s">
        <v>330</v>
      </c>
      <c r="H767" s="24" t="s">
        <v>109</v>
      </c>
      <c r="I767" s="32" t="s">
        <v>152</v>
      </c>
    </row>
    <row r="768" spans="1:9" x14ac:dyDescent="0.35">
      <c r="A768" s="19">
        <v>46083</v>
      </c>
      <c r="B768" s="20"/>
      <c r="C768" s="20"/>
      <c r="D768" s="20">
        <v>35000</v>
      </c>
      <c r="E768" s="234" t="s">
        <v>1184</v>
      </c>
      <c r="F768" s="20">
        <f t="shared" si="12"/>
        <v>169042092</v>
      </c>
      <c r="G768" s="7" t="s">
        <v>330</v>
      </c>
      <c r="H768" s="24" t="s">
        <v>109</v>
      </c>
      <c r="I768" s="32" t="s">
        <v>152</v>
      </c>
    </row>
    <row r="769" spans="1:9" x14ac:dyDescent="0.35">
      <c r="A769" s="19">
        <v>46083</v>
      </c>
      <c r="B769" s="20"/>
      <c r="C769" s="20"/>
      <c r="D769" s="20">
        <v>100000</v>
      </c>
      <c r="E769" s="234" t="s">
        <v>1184</v>
      </c>
      <c r="F769" s="20">
        <f t="shared" si="12"/>
        <v>169142092</v>
      </c>
      <c r="G769" s="7" t="s">
        <v>330</v>
      </c>
      <c r="H769" s="24" t="s">
        <v>109</v>
      </c>
      <c r="I769" s="32" t="s">
        <v>152</v>
      </c>
    </row>
    <row r="770" spans="1:9" x14ac:dyDescent="0.35">
      <c r="A770" s="19">
        <v>46083</v>
      </c>
      <c r="B770" s="20"/>
      <c r="C770" s="20"/>
      <c r="D770" s="20">
        <v>20000</v>
      </c>
      <c r="E770" s="234" t="s">
        <v>1184</v>
      </c>
      <c r="F770" s="20">
        <f t="shared" si="12"/>
        <v>169162092</v>
      </c>
      <c r="G770" s="7" t="s">
        <v>330</v>
      </c>
      <c r="H770" s="24" t="s">
        <v>109</v>
      </c>
      <c r="I770" s="32" t="s">
        <v>152</v>
      </c>
    </row>
    <row r="771" spans="1:9" x14ac:dyDescent="0.35">
      <c r="A771" s="19">
        <v>46084</v>
      </c>
      <c r="B771" s="20"/>
      <c r="C771" s="20"/>
      <c r="D771" s="20">
        <v>20000</v>
      </c>
      <c r="E771" s="234" t="s">
        <v>1184</v>
      </c>
      <c r="F771" s="20">
        <f t="shared" si="12"/>
        <v>169182092</v>
      </c>
      <c r="G771" s="7" t="s">
        <v>330</v>
      </c>
      <c r="H771" s="24" t="s">
        <v>109</v>
      </c>
      <c r="I771" s="32" t="s">
        <v>152</v>
      </c>
    </row>
    <row r="772" spans="1:9" x14ac:dyDescent="0.35">
      <c r="A772" s="19">
        <v>46084</v>
      </c>
      <c r="B772" s="20"/>
      <c r="C772" s="20"/>
      <c r="D772" s="20">
        <v>50000</v>
      </c>
      <c r="E772" s="234" t="s">
        <v>1184</v>
      </c>
      <c r="F772" s="20">
        <f t="shared" si="12"/>
        <v>169232092</v>
      </c>
      <c r="G772" s="7" t="s">
        <v>330</v>
      </c>
      <c r="H772" s="24" t="s">
        <v>109</v>
      </c>
      <c r="I772" s="32" t="s">
        <v>152</v>
      </c>
    </row>
    <row r="773" spans="1:9" x14ac:dyDescent="0.35">
      <c r="A773" s="19">
        <v>46084</v>
      </c>
      <c r="B773" s="20"/>
      <c r="C773" s="20"/>
      <c r="D773" s="20">
        <v>50000</v>
      </c>
      <c r="E773" s="234" t="s">
        <v>1184</v>
      </c>
      <c r="F773" s="20">
        <f t="shared" si="12"/>
        <v>169282092</v>
      </c>
      <c r="G773" s="7" t="s">
        <v>330</v>
      </c>
      <c r="H773" s="24" t="s">
        <v>109</v>
      </c>
      <c r="I773" s="32" t="s">
        <v>152</v>
      </c>
    </row>
    <row r="774" spans="1:9" x14ac:dyDescent="0.35">
      <c r="A774" s="19">
        <v>46084</v>
      </c>
      <c r="B774" s="20"/>
      <c r="C774" s="20"/>
      <c r="D774" s="20">
        <v>10000</v>
      </c>
      <c r="E774" s="234" t="s">
        <v>1184</v>
      </c>
      <c r="F774" s="20">
        <f t="shared" si="12"/>
        <v>169292092</v>
      </c>
      <c r="G774" s="7" t="s">
        <v>330</v>
      </c>
      <c r="H774" s="24" t="s">
        <v>109</v>
      </c>
      <c r="I774" s="32" t="s">
        <v>152</v>
      </c>
    </row>
    <row r="775" spans="1:9" x14ac:dyDescent="0.35">
      <c r="A775" s="19">
        <v>46084</v>
      </c>
      <c r="B775" s="20"/>
      <c r="C775" s="20"/>
      <c r="D775" s="20">
        <v>25000</v>
      </c>
      <c r="E775" s="234" t="s">
        <v>1184</v>
      </c>
      <c r="F775" s="20">
        <f t="shared" si="12"/>
        <v>169317092</v>
      </c>
      <c r="G775" s="7" t="s">
        <v>330</v>
      </c>
      <c r="H775" s="24" t="s">
        <v>109</v>
      </c>
      <c r="I775" s="32" t="s">
        <v>152</v>
      </c>
    </row>
    <row r="776" spans="1:9" x14ac:dyDescent="0.35">
      <c r="A776" s="19">
        <v>46084</v>
      </c>
      <c r="B776" s="20"/>
      <c r="C776" s="20"/>
      <c r="D776" s="20">
        <v>20000</v>
      </c>
      <c r="E776" s="234" t="s">
        <v>1184</v>
      </c>
      <c r="F776" s="20">
        <f t="shared" si="12"/>
        <v>169337092</v>
      </c>
      <c r="G776" s="7" t="s">
        <v>330</v>
      </c>
      <c r="H776" s="24" t="s">
        <v>109</v>
      </c>
      <c r="I776" s="32" t="s">
        <v>152</v>
      </c>
    </row>
    <row r="777" spans="1:9" x14ac:dyDescent="0.35">
      <c r="A777" s="19">
        <v>46084</v>
      </c>
      <c r="B777" s="20"/>
      <c r="C777" s="20"/>
      <c r="D777" s="20">
        <v>10000</v>
      </c>
      <c r="E777" s="234" t="s">
        <v>1184</v>
      </c>
      <c r="F777" s="20">
        <f t="shared" si="12"/>
        <v>169347092</v>
      </c>
      <c r="G777" s="7" t="s">
        <v>330</v>
      </c>
      <c r="H777" s="24" t="s">
        <v>109</v>
      </c>
      <c r="I777" s="32" t="s">
        <v>152</v>
      </c>
    </row>
    <row r="778" spans="1:9" x14ac:dyDescent="0.35">
      <c r="A778" s="19">
        <v>46084</v>
      </c>
      <c r="B778" s="20"/>
      <c r="C778" s="20"/>
      <c r="D778" s="20">
        <v>35000</v>
      </c>
      <c r="E778" s="234" t="s">
        <v>1184</v>
      </c>
      <c r="F778" s="20">
        <f t="shared" si="12"/>
        <v>169382092</v>
      </c>
      <c r="G778" s="7" t="s">
        <v>330</v>
      </c>
      <c r="H778" s="24" t="s">
        <v>109</v>
      </c>
      <c r="I778" s="32" t="s">
        <v>152</v>
      </c>
    </row>
    <row r="779" spans="1:9" x14ac:dyDescent="0.35">
      <c r="A779" s="19">
        <v>46084</v>
      </c>
      <c r="B779" s="20"/>
      <c r="C779" s="20"/>
      <c r="D779" s="20">
        <v>2500</v>
      </c>
      <c r="E779" s="234" t="s">
        <v>1184</v>
      </c>
      <c r="F779" s="20">
        <f t="shared" si="12"/>
        <v>169384592</v>
      </c>
      <c r="G779" s="7" t="s">
        <v>330</v>
      </c>
      <c r="H779" s="24" t="s">
        <v>109</v>
      </c>
      <c r="I779" s="32" t="s">
        <v>152</v>
      </c>
    </row>
    <row r="780" spans="1:9" x14ac:dyDescent="0.35">
      <c r="A780" s="19">
        <v>46084</v>
      </c>
      <c r="B780" s="20"/>
      <c r="C780" s="20"/>
      <c r="D780" s="20">
        <v>20000</v>
      </c>
      <c r="E780" s="234" t="s">
        <v>1184</v>
      </c>
      <c r="F780" s="20">
        <f t="shared" si="12"/>
        <v>169404592</v>
      </c>
      <c r="G780" s="7" t="s">
        <v>330</v>
      </c>
      <c r="H780" s="24" t="s">
        <v>109</v>
      </c>
      <c r="I780" s="32" t="s">
        <v>152</v>
      </c>
    </row>
    <row r="781" spans="1:9" x14ac:dyDescent="0.35">
      <c r="A781" s="19">
        <v>46084</v>
      </c>
      <c r="B781" s="20"/>
      <c r="C781" s="20"/>
      <c r="D781" s="20">
        <v>2000</v>
      </c>
      <c r="E781" s="234" t="s">
        <v>1184</v>
      </c>
      <c r="F781" s="20">
        <f t="shared" si="12"/>
        <v>169406592</v>
      </c>
      <c r="G781" s="7" t="s">
        <v>330</v>
      </c>
      <c r="H781" s="24" t="s">
        <v>109</v>
      </c>
      <c r="I781" s="32" t="s">
        <v>152</v>
      </c>
    </row>
    <row r="782" spans="1:9" x14ac:dyDescent="0.35">
      <c r="A782" s="19">
        <v>46084</v>
      </c>
      <c r="B782" s="20"/>
      <c r="C782" s="20"/>
      <c r="D782" s="20">
        <v>50000</v>
      </c>
      <c r="E782" s="234" t="s">
        <v>1184</v>
      </c>
      <c r="F782" s="20">
        <f t="shared" si="12"/>
        <v>169456592</v>
      </c>
      <c r="G782" s="7" t="s">
        <v>330</v>
      </c>
      <c r="H782" s="24" t="s">
        <v>109</v>
      </c>
      <c r="I782" s="32" t="s">
        <v>152</v>
      </c>
    </row>
    <row r="783" spans="1:9" x14ac:dyDescent="0.35">
      <c r="A783" s="19">
        <v>46084</v>
      </c>
      <c r="B783" s="20"/>
      <c r="C783" s="20"/>
      <c r="D783" s="20">
        <v>50000</v>
      </c>
      <c r="E783" s="234" t="s">
        <v>1184</v>
      </c>
      <c r="F783" s="20">
        <f t="shared" si="12"/>
        <v>169506592</v>
      </c>
      <c r="G783" s="7" t="s">
        <v>330</v>
      </c>
      <c r="H783" s="24" t="s">
        <v>109</v>
      </c>
      <c r="I783" s="32" t="s">
        <v>152</v>
      </c>
    </row>
    <row r="784" spans="1:9" x14ac:dyDescent="0.35">
      <c r="A784" s="19">
        <v>46084</v>
      </c>
      <c r="B784" s="20"/>
      <c r="C784" s="20"/>
      <c r="D784" s="20">
        <v>50000</v>
      </c>
      <c r="E784" s="234" t="s">
        <v>1184</v>
      </c>
      <c r="F784" s="20">
        <f t="shared" si="12"/>
        <v>169556592</v>
      </c>
      <c r="G784" s="7" t="s">
        <v>330</v>
      </c>
      <c r="H784" s="24" t="s">
        <v>109</v>
      </c>
      <c r="I784" s="32" t="s">
        <v>152</v>
      </c>
    </row>
    <row r="785" spans="1:9" x14ac:dyDescent="0.35">
      <c r="A785" s="19">
        <v>46084</v>
      </c>
      <c r="B785" s="20"/>
      <c r="C785" s="20"/>
      <c r="D785" s="20">
        <v>15000</v>
      </c>
      <c r="E785" s="234" t="s">
        <v>1184</v>
      </c>
      <c r="F785" s="20">
        <f t="shared" si="12"/>
        <v>169571592</v>
      </c>
      <c r="G785" s="7" t="s">
        <v>330</v>
      </c>
      <c r="H785" s="24" t="s">
        <v>109</v>
      </c>
      <c r="I785" s="32" t="s">
        <v>152</v>
      </c>
    </row>
    <row r="786" spans="1:9" x14ac:dyDescent="0.35">
      <c r="A786" s="19">
        <v>46084</v>
      </c>
      <c r="B786" s="20"/>
      <c r="C786" s="20"/>
      <c r="D786" s="20">
        <v>100000</v>
      </c>
      <c r="E786" s="234" t="s">
        <v>1184</v>
      </c>
      <c r="F786" s="20">
        <f t="shared" si="12"/>
        <v>169671592</v>
      </c>
      <c r="G786" s="7" t="s">
        <v>330</v>
      </c>
      <c r="H786" s="24" t="s">
        <v>109</v>
      </c>
      <c r="I786" s="32" t="s">
        <v>152</v>
      </c>
    </row>
    <row r="787" spans="1:9" x14ac:dyDescent="0.35">
      <c r="A787" s="19">
        <v>46084</v>
      </c>
      <c r="B787" s="20"/>
      <c r="C787" s="20"/>
      <c r="D787" s="20">
        <v>5000</v>
      </c>
      <c r="E787" s="234" t="s">
        <v>1184</v>
      </c>
      <c r="F787" s="20">
        <f t="shared" si="12"/>
        <v>169676592</v>
      </c>
      <c r="G787" s="7" t="s">
        <v>330</v>
      </c>
      <c r="H787" s="24" t="s">
        <v>109</v>
      </c>
      <c r="I787" s="32" t="s">
        <v>152</v>
      </c>
    </row>
    <row r="788" spans="1:9" x14ac:dyDescent="0.35">
      <c r="A788" s="19">
        <v>46084</v>
      </c>
      <c r="B788" s="20"/>
      <c r="C788" s="20"/>
      <c r="D788" s="20">
        <v>50000</v>
      </c>
      <c r="E788" s="234" t="s">
        <v>1184</v>
      </c>
      <c r="F788" s="20">
        <f t="shared" si="12"/>
        <v>169726592</v>
      </c>
      <c r="G788" s="7" t="s">
        <v>330</v>
      </c>
      <c r="H788" s="24" t="s">
        <v>109</v>
      </c>
      <c r="I788" s="32" t="s">
        <v>152</v>
      </c>
    </row>
    <row r="789" spans="1:9" x14ac:dyDescent="0.35">
      <c r="A789" s="19">
        <v>46084</v>
      </c>
      <c r="B789" s="20"/>
      <c r="C789" s="20"/>
      <c r="D789" s="20">
        <v>15000</v>
      </c>
      <c r="E789" s="234" t="s">
        <v>1184</v>
      </c>
      <c r="F789" s="20">
        <f t="shared" si="12"/>
        <v>169741592</v>
      </c>
      <c r="G789" s="7" t="s">
        <v>330</v>
      </c>
      <c r="H789" s="24" t="s">
        <v>109</v>
      </c>
      <c r="I789" s="32" t="s">
        <v>152</v>
      </c>
    </row>
    <row r="790" spans="1:9" x14ac:dyDescent="0.35">
      <c r="A790" s="19">
        <v>46084</v>
      </c>
      <c r="B790" s="20"/>
      <c r="C790" s="20"/>
      <c r="D790" s="20">
        <v>5000</v>
      </c>
      <c r="E790" s="234" t="s">
        <v>1184</v>
      </c>
      <c r="F790" s="20">
        <f t="shared" si="12"/>
        <v>169746592</v>
      </c>
      <c r="G790" s="7" t="s">
        <v>330</v>
      </c>
      <c r="H790" s="24" t="s">
        <v>109</v>
      </c>
      <c r="I790" s="32" t="s">
        <v>152</v>
      </c>
    </row>
    <row r="791" spans="1:9" x14ac:dyDescent="0.35">
      <c r="A791" s="19">
        <v>46084</v>
      </c>
      <c r="B791" s="20"/>
      <c r="C791" s="20"/>
      <c r="D791" s="20">
        <v>10000</v>
      </c>
      <c r="E791" s="234" t="s">
        <v>1184</v>
      </c>
      <c r="F791" s="20">
        <f t="shared" si="12"/>
        <v>169756592</v>
      </c>
      <c r="G791" s="7" t="s">
        <v>330</v>
      </c>
      <c r="H791" s="24" t="s">
        <v>109</v>
      </c>
      <c r="I791" s="32" t="s">
        <v>152</v>
      </c>
    </row>
    <row r="792" spans="1:9" x14ac:dyDescent="0.35">
      <c r="A792" s="19">
        <v>46084</v>
      </c>
      <c r="B792" s="20"/>
      <c r="C792" s="20"/>
      <c r="D792" s="20">
        <v>5000</v>
      </c>
      <c r="E792" s="234" t="s">
        <v>1184</v>
      </c>
      <c r="F792" s="20">
        <f t="shared" si="12"/>
        <v>169761592</v>
      </c>
      <c r="G792" s="7" t="s">
        <v>330</v>
      </c>
      <c r="H792" s="24" t="s">
        <v>109</v>
      </c>
      <c r="I792" s="32" t="s">
        <v>152</v>
      </c>
    </row>
    <row r="793" spans="1:9" x14ac:dyDescent="0.35">
      <c r="A793" s="19">
        <v>46084</v>
      </c>
      <c r="B793" s="20"/>
      <c r="C793" s="20"/>
      <c r="D793" s="20">
        <v>50000</v>
      </c>
      <c r="E793" s="234" t="s">
        <v>1184</v>
      </c>
      <c r="F793" s="20">
        <f t="shared" si="12"/>
        <v>169811592</v>
      </c>
      <c r="G793" s="7" t="s">
        <v>330</v>
      </c>
      <c r="H793" s="24" t="s">
        <v>109</v>
      </c>
      <c r="I793" s="32" t="s">
        <v>152</v>
      </c>
    </row>
    <row r="794" spans="1:9" x14ac:dyDescent="0.35">
      <c r="A794" s="19">
        <v>46084</v>
      </c>
      <c r="B794" s="20"/>
      <c r="C794" s="20"/>
      <c r="D794" s="20">
        <v>25000</v>
      </c>
      <c r="E794" s="234" t="s">
        <v>1184</v>
      </c>
      <c r="F794" s="20">
        <f t="shared" si="12"/>
        <v>169836592</v>
      </c>
      <c r="G794" s="7" t="s">
        <v>330</v>
      </c>
      <c r="H794" s="24" t="s">
        <v>109</v>
      </c>
      <c r="I794" s="32" t="s">
        <v>152</v>
      </c>
    </row>
    <row r="795" spans="1:9" x14ac:dyDescent="0.35">
      <c r="A795" s="19">
        <v>46084</v>
      </c>
      <c r="B795" s="20"/>
      <c r="C795" s="20"/>
      <c r="D795" s="20">
        <v>5000</v>
      </c>
      <c r="E795" s="234" t="s">
        <v>1184</v>
      </c>
      <c r="F795" s="20">
        <f t="shared" ref="F795:F858" si="13">+F794+D795-B795</f>
        <v>169841592</v>
      </c>
      <c r="G795" s="7" t="s">
        <v>330</v>
      </c>
      <c r="H795" s="24" t="s">
        <v>109</v>
      </c>
      <c r="I795" s="32" t="s">
        <v>152</v>
      </c>
    </row>
    <row r="796" spans="1:9" x14ac:dyDescent="0.35">
      <c r="A796" s="19">
        <v>46084</v>
      </c>
      <c r="B796" s="20"/>
      <c r="C796" s="20"/>
      <c r="D796" s="20">
        <v>5000</v>
      </c>
      <c r="E796" s="234" t="s">
        <v>1184</v>
      </c>
      <c r="F796" s="20">
        <f t="shared" si="13"/>
        <v>169846592</v>
      </c>
      <c r="G796" s="7" t="s">
        <v>330</v>
      </c>
      <c r="H796" s="24" t="s">
        <v>109</v>
      </c>
      <c r="I796" s="32" t="s">
        <v>152</v>
      </c>
    </row>
    <row r="797" spans="1:9" x14ac:dyDescent="0.35">
      <c r="A797" s="19">
        <v>46084</v>
      </c>
      <c r="B797" s="20"/>
      <c r="C797" s="20"/>
      <c r="D797" s="20">
        <v>1792</v>
      </c>
      <c r="E797" s="234" t="s">
        <v>1184</v>
      </c>
      <c r="F797" s="20">
        <f t="shared" si="13"/>
        <v>169848384</v>
      </c>
      <c r="G797" s="7" t="s">
        <v>330</v>
      </c>
      <c r="H797" s="24" t="s">
        <v>109</v>
      </c>
      <c r="I797" s="32" t="s">
        <v>152</v>
      </c>
    </row>
    <row r="798" spans="1:9" x14ac:dyDescent="0.35">
      <c r="A798" s="19">
        <v>46084</v>
      </c>
      <c r="B798" s="20"/>
      <c r="C798" s="20"/>
      <c r="D798" s="20">
        <v>25000000</v>
      </c>
      <c r="E798" s="234" t="s">
        <v>1184</v>
      </c>
      <c r="F798" s="20">
        <f t="shared" si="13"/>
        <v>194848384</v>
      </c>
      <c r="G798" s="7" t="s">
        <v>1185</v>
      </c>
      <c r="H798" s="24" t="s">
        <v>105</v>
      </c>
      <c r="I798" s="32" t="s">
        <v>152</v>
      </c>
    </row>
    <row r="799" spans="1:9" x14ac:dyDescent="0.35">
      <c r="A799" s="19">
        <v>46084</v>
      </c>
      <c r="B799" s="20">
        <v>10000</v>
      </c>
      <c r="C799" s="20"/>
      <c r="D799" s="20"/>
      <c r="E799" s="234" t="s">
        <v>1184</v>
      </c>
      <c r="F799" s="20">
        <f t="shared" si="13"/>
        <v>194838384</v>
      </c>
      <c r="G799" s="7" t="s">
        <v>1186</v>
      </c>
      <c r="H799" s="24" t="s">
        <v>320</v>
      </c>
      <c r="I799" s="32" t="s">
        <v>152</v>
      </c>
    </row>
    <row r="800" spans="1:9" x14ac:dyDescent="0.35">
      <c r="A800" s="19">
        <v>46085</v>
      </c>
      <c r="B800" s="20"/>
      <c r="C800" s="20"/>
      <c r="D800" s="20">
        <v>100000</v>
      </c>
      <c r="E800" s="234" t="s">
        <v>1184</v>
      </c>
      <c r="F800" s="20">
        <f t="shared" si="13"/>
        <v>194938384</v>
      </c>
      <c r="G800" s="7" t="s">
        <v>330</v>
      </c>
      <c r="H800" s="24" t="s">
        <v>109</v>
      </c>
      <c r="I800" s="32" t="s">
        <v>152</v>
      </c>
    </row>
    <row r="801" spans="1:9" x14ac:dyDescent="0.35">
      <c r="A801" s="19">
        <v>46085</v>
      </c>
      <c r="B801" s="20"/>
      <c r="C801" s="20"/>
      <c r="D801" s="20">
        <v>50000</v>
      </c>
      <c r="E801" s="234" t="s">
        <v>1184</v>
      </c>
      <c r="F801" s="20">
        <f t="shared" si="13"/>
        <v>194988384</v>
      </c>
      <c r="G801" s="7" t="s">
        <v>330</v>
      </c>
      <c r="H801" s="24" t="s">
        <v>109</v>
      </c>
      <c r="I801" s="32" t="s">
        <v>152</v>
      </c>
    </row>
    <row r="802" spans="1:9" x14ac:dyDescent="0.35">
      <c r="A802" s="19">
        <v>46085</v>
      </c>
      <c r="B802" s="20"/>
      <c r="C802" s="20"/>
      <c r="D802" s="20">
        <v>50000</v>
      </c>
      <c r="E802" s="234" t="s">
        <v>1184</v>
      </c>
      <c r="F802" s="20">
        <f t="shared" si="13"/>
        <v>195038384</v>
      </c>
      <c r="G802" s="7" t="s">
        <v>330</v>
      </c>
      <c r="H802" s="24" t="s">
        <v>109</v>
      </c>
      <c r="I802" s="32" t="s">
        <v>152</v>
      </c>
    </row>
    <row r="803" spans="1:9" x14ac:dyDescent="0.35">
      <c r="A803" s="19">
        <v>46085</v>
      </c>
      <c r="B803" s="20"/>
      <c r="C803" s="20"/>
      <c r="D803" s="20">
        <v>50000</v>
      </c>
      <c r="E803" s="234" t="s">
        <v>1184</v>
      </c>
      <c r="F803" s="20">
        <f t="shared" si="13"/>
        <v>195088384</v>
      </c>
      <c r="G803" s="7" t="s">
        <v>330</v>
      </c>
      <c r="H803" s="24" t="s">
        <v>109</v>
      </c>
      <c r="I803" s="32" t="s">
        <v>152</v>
      </c>
    </row>
    <row r="804" spans="1:9" x14ac:dyDescent="0.35">
      <c r="A804" s="19">
        <v>46085</v>
      </c>
      <c r="B804" s="20"/>
      <c r="C804" s="20"/>
      <c r="D804" s="20">
        <v>5000</v>
      </c>
      <c r="E804" s="234" t="s">
        <v>1184</v>
      </c>
      <c r="F804" s="20">
        <f t="shared" si="13"/>
        <v>195093384</v>
      </c>
      <c r="G804" s="7" t="s">
        <v>330</v>
      </c>
      <c r="H804" s="24" t="s">
        <v>109</v>
      </c>
      <c r="I804" s="32" t="s">
        <v>152</v>
      </c>
    </row>
    <row r="805" spans="1:9" x14ac:dyDescent="0.35">
      <c r="A805" s="19">
        <v>46085</v>
      </c>
      <c r="B805" s="20"/>
      <c r="C805" s="20"/>
      <c r="D805" s="20">
        <v>4000</v>
      </c>
      <c r="E805" s="234" t="s">
        <v>1184</v>
      </c>
      <c r="F805" s="20">
        <f t="shared" si="13"/>
        <v>195097384</v>
      </c>
      <c r="G805" s="7" t="s">
        <v>330</v>
      </c>
      <c r="H805" s="24" t="s">
        <v>109</v>
      </c>
      <c r="I805" s="32" t="s">
        <v>152</v>
      </c>
    </row>
    <row r="806" spans="1:9" x14ac:dyDescent="0.35">
      <c r="A806" s="19">
        <v>46085</v>
      </c>
      <c r="B806" s="20"/>
      <c r="C806" s="20"/>
      <c r="D806" s="20">
        <v>10000</v>
      </c>
      <c r="E806" s="234" t="s">
        <v>1184</v>
      </c>
      <c r="F806" s="20">
        <f t="shared" si="13"/>
        <v>195107384</v>
      </c>
      <c r="G806" s="7" t="s">
        <v>330</v>
      </c>
      <c r="H806" s="24" t="s">
        <v>109</v>
      </c>
      <c r="I806" s="32" t="s">
        <v>152</v>
      </c>
    </row>
    <row r="807" spans="1:9" x14ac:dyDescent="0.35">
      <c r="A807" s="19">
        <v>46085</v>
      </c>
      <c r="B807" s="20"/>
      <c r="C807" s="20"/>
      <c r="D807" s="20">
        <v>3000</v>
      </c>
      <c r="E807" s="234" t="s">
        <v>1184</v>
      </c>
      <c r="F807" s="20">
        <f t="shared" si="13"/>
        <v>195110384</v>
      </c>
      <c r="G807" s="7" t="s">
        <v>330</v>
      </c>
      <c r="H807" s="24" t="s">
        <v>109</v>
      </c>
      <c r="I807" s="32" t="s">
        <v>152</v>
      </c>
    </row>
    <row r="808" spans="1:9" x14ac:dyDescent="0.35">
      <c r="A808" s="19">
        <v>46085</v>
      </c>
      <c r="B808" s="20"/>
      <c r="C808" s="20"/>
      <c r="D808" s="20">
        <v>20000</v>
      </c>
      <c r="E808" s="234" t="s">
        <v>1184</v>
      </c>
      <c r="F808" s="20">
        <f t="shared" si="13"/>
        <v>195130384</v>
      </c>
      <c r="G808" s="7" t="s">
        <v>330</v>
      </c>
      <c r="H808" s="24" t="s">
        <v>109</v>
      </c>
      <c r="I808" s="32" t="s">
        <v>152</v>
      </c>
    </row>
    <row r="809" spans="1:9" x14ac:dyDescent="0.35">
      <c r="A809" s="19">
        <v>46085</v>
      </c>
      <c r="B809" s="20"/>
      <c r="C809" s="20"/>
      <c r="D809" s="20">
        <v>100000</v>
      </c>
      <c r="E809" s="234" t="s">
        <v>1184</v>
      </c>
      <c r="F809" s="20">
        <f t="shared" si="13"/>
        <v>195230384</v>
      </c>
      <c r="G809" s="7" t="s">
        <v>330</v>
      </c>
      <c r="H809" s="24" t="s">
        <v>109</v>
      </c>
      <c r="I809" s="32" t="s">
        <v>152</v>
      </c>
    </row>
    <row r="810" spans="1:9" x14ac:dyDescent="0.35">
      <c r="A810" s="19">
        <v>46085</v>
      </c>
      <c r="B810" s="20"/>
      <c r="C810" s="20"/>
      <c r="D810" s="20">
        <v>50000</v>
      </c>
      <c r="E810" s="234" t="s">
        <v>1184</v>
      </c>
      <c r="F810" s="20">
        <f t="shared" si="13"/>
        <v>195280384</v>
      </c>
      <c r="G810" s="7" t="s">
        <v>330</v>
      </c>
      <c r="H810" s="24" t="s">
        <v>109</v>
      </c>
      <c r="I810" s="32" t="s">
        <v>152</v>
      </c>
    </row>
    <row r="811" spans="1:9" x14ac:dyDescent="0.35">
      <c r="A811" s="19">
        <v>46085</v>
      </c>
      <c r="B811" s="20"/>
      <c r="C811" s="20"/>
      <c r="D811" s="20">
        <v>50000</v>
      </c>
      <c r="E811" s="234" t="s">
        <v>1184</v>
      </c>
      <c r="F811" s="20">
        <f t="shared" si="13"/>
        <v>195330384</v>
      </c>
      <c r="G811" s="7" t="s">
        <v>330</v>
      </c>
      <c r="H811" s="24" t="s">
        <v>109</v>
      </c>
      <c r="I811" s="32" t="s">
        <v>152</v>
      </c>
    </row>
    <row r="812" spans="1:9" x14ac:dyDescent="0.35">
      <c r="A812" s="19">
        <v>46085</v>
      </c>
      <c r="B812" s="20"/>
      <c r="C812" s="20"/>
      <c r="D812" s="20">
        <v>15000</v>
      </c>
      <c r="E812" s="234" t="s">
        <v>1184</v>
      </c>
      <c r="F812" s="20">
        <f t="shared" si="13"/>
        <v>195345384</v>
      </c>
      <c r="G812" s="7" t="s">
        <v>330</v>
      </c>
      <c r="H812" s="24" t="s">
        <v>109</v>
      </c>
      <c r="I812" s="32" t="s">
        <v>152</v>
      </c>
    </row>
    <row r="813" spans="1:9" x14ac:dyDescent="0.35">
      <c r="A813" s="19">
        <v>46085</v>
      </c>
      <c r="B813" s="20"/>
      <c r="C813" s="20"/>
      <c r="D813" s="20">
        <v>50000</v>
      </c>
      <c r="E813" s="234" t="s">
        <v>1184</v>
      </c>
      <c r="F813" s="20">
        <f t="shared" si="13"/>
        <v>195395384</v>
      </c>
      <c r="G813" s="7" t="s">
        <v>330</v>
      </c>
      <c r="H813" s="24" t="s">
        <v>109</v>
      </c>
      <c r="I813" s="32" t="s">
        <v>152</v>
      </c>
    </row>
    <row r="814" spans="1:9" x14ac:dyDescent="0.35">
      <c r="A814" s="19">
        <v>46085</v>
      </c>
      <c r="B814" s="20"/>
      <c r="C814" s="20"/>
      <c r="D814" s="20">
        <v>30000</v>
      </c>
      <c r="E814" s="234" t="s">
        <v>1184</v>
      </c>
      <c r="F814" s="20">
        <f t="shared" si="13"/>
        <v>195425384</v>
      </c>
      <c r="G814" s="7" t="s">
        <v>330</v>
      </c>
      <c r="H814" s="24" t="s">
        <v>109</v>
      </c>
      <c r="I814" s="32" t="s">
        <v>152</v>
      </c>
    </row>
    <row r="815" spans="1:9" x14ac:dyDescent="0.35">
      <c r="A815" s="19">
        <v>46085</v>
      </c>
      <c r="B815" s="20"/>
      <c r="C815" s="20"/>
      <c r="D815" s="20">
        <v>50000</v>
      </c>
      <c r="E815" s="234" t="s">
        <v>1184</v>
      </c>
      <c r="F815" s="20">
        <f t="shared" si="13"/>
        <v>195475384</v>
      </c>
      <c r="G815" s="7" t="s">
        <v>330</v>
      </c>
      <c r="H815" s="24" t="s">
        <v>109</v>
      </c>
      <c r="I815" s="32" t="s">
        <v>152</v>
      </c>
    </row>
    <row r="816" spans="1:9" x14ac:dyDescent="0.35">
      <c r="A816" s="19">
        <v>46085</v>
      </c>
      <c r="B816" s="20"/>
      <c r="C816" s="20"/>
      <c r="D816" s="20">
        <v>5000</v>
      </c>
      <c r="E816" s="234" t="s">
        <v>1184</v>
      </c>
      <c r="F816" s="20">
        <f t="shared" si="13"/>
        <v>195480384</v>
      </c>
      <c r="G816" s="7" t="s">
        <v>330</v>
      </c>
      <c r="H816" s="24" t="s">
        <v>109</v>
      </c>
      <c r="I816" s="32" t="s">
        <v>152</v>
      </c>
    </row>
    <row r="817" spans="1:9" x14ac:dyDescent="0.35">
      <c r="A817" s="19">
        <v>46085</v>
      </c>
      <c r="B817" s="20"/>
      <c r="C817" s="20"/>
      <c r="D817" s="20">
        <v>50000</v>
      </c>
      <c r="E817" s="234" t="s">
        <v>1184</v>
      </c>
      <c r="F817" s="20">
        <f t="shared" si="13"/>
        <v>195530384</v>
      </c>
      <c r="G817" s="7" t="s">
        <v>330</v>
      </c>
      <c r="H817" s="24" t="s">
        <v>109</v>
      </c>
      <c r="I817" s="32" t="s">
        <v>152</v>
      </c>
    </row>
    <row r="818" spans="1:9" x14ac:dyDescent="0.35">
      <c r="A818" s="19">
        <v>46085</v>
      </c>
      <c r="B818" s="20"/>
      <c r="C818" s="20"/>
      <c r="D818" s="20">
        <v>20000</v>
      </c>
      <c r="E818" s="234" t="s">
        <v>1184</v>
      </c>
      <c r="F818" s="20">
        <f t="shared" si="13"/>
        <v>195550384</v>
      </c>
      <c r="G818" s="7" t="s">
        <v>330</v>
      </c>
      <c r="H818" s="24" t="s">
        <v>109</v>
      </c>
      <c r="I818" s="32" t="s">
        <v>152</v>
      </c>
    </row>
    <row r="819" spans="1:9" x14ac:dyDescent="0.35">
      <c r="A819" s="19">
        <v>46086</v>
      </c>
      <c r="B819" s="20"/>
      <c r="C819" s="20"/>
      <c r="D819" s="20">
        <v>20000</v>
      </c>
      <c r="E819" s="234" t="s">
        <v>1184</v>
      </c>
      <c r="F819" s="20">
        <f t="shared" si="13"/>
        <v>195570384</v>
      </c>
      <c r="G819" s="7" t="s">
        <v>330</v>
      </c>
      <c r="H819" s="24" t="s">
        <v>109</v>
      </c>
      <c r="I819" s="32" t="s">
        <v>152</v>
      </c>
    </row>
    <row r="820" spans="1:9" x14ac:dyDescent="0.35">
      <c r="A820" s="19">
        <v>46086</v>
      </c>
      <c r="B820" s="20"/>
      <c r="C820" s="20"/>
      <c r="D820" s="20">
        <v>20000</v>
      </c>
      <c r="E820" s="234" t="s">
        <v>1184</v>
      </c>
      <c r="F820" s="20">
        <f t="shared" si="13"/>
        <v>195590384</v>
      </c>
      <c r="G820" s="7" t="s">
        <v>330</v>
      </c>
      <c r="H820" s="24" t="s">
        <v>109</v>
      </c>
      <c r="I820" s="32" t="s">
        <v>152</v>
      </c>
    </row>
    <row r="821" spans="1:9" x14ac:dyDescent="0.35">
      <c r="A821" s="19">
        <v>46086</v>
      </c>
      <c r="B821" s="20"/>
      <c r="C821" s="20"/>
      <c r="D821" s="20">
        <v>5000</v>
      </c>
      <c r="E821" s="234" t="s">
        <v>1184</v>
      </c>
      <c r="F821" s="20">
        <f t="shared" si="13"/>
        <v>195595384</v>
      </c>
      <c r="G821" s="7" t="s">
        <v>330</v>
      </c>
      <c r="H821" s="24" t="s">
        <v>109</v>
      </c>
      <c r="I821" s="32" t="s">
        <v>152</v>
      </c>
    </row>
    <row r="822" spans="1:9" x14ac:dyDescent="0.35">
      <c r="A822" s="19">
        <v>46086</v>
      </c>
      <c r="B822" s="20"/>
      <c r="C822" s="20"/>
      <c r="D822" s="20">
        <v>10000</v>
      </c>
      <c r="E822" s="234" t="s">
        <v>1184</v>
      </c>
      <c r="F822" s="20">
        <f t="shared" si="13"/>
        <v>195605384</v>
      </c>
      <c r="G822" s="7" t="s">
        <v>330</v>
      </c>
      <c r="H822" s="24" t="s">
        <v>109</v>
      </c>
      <c r="I822" s="32" t="s">
        <v>152</v>
      </c>
    </row>
    <row r="823" spans="1:9" x14ac:dyDescent="0.35">
      <c r="A823" s="19">
        <v>46086</v>
      </c>
      <c r="B823" s="20"/>
      <c r="C823" s="20"/>
      <c r="D823" s="20">
        <v>3000</v>
      </c>
      <c r="E823" s="234" t="s">
        <v>1184</v>
      </c>
      <c r="F823" s="20">
        <f t="shared" si="13"/>
        <v>195608384</v>
      </c>
      <c r="G823" s="7" t="s">
        <v>330</v>
      </c>
      <c r="H823" s="24" t="s">
        <v>109</v>
      </c>
      <c r="I823" s="32" t="s">
        <v>152</v>
      </c>
    </row>
    <row r="824" spans="1:9" x14ac:dyDescent="0.35">
      <c r="A824" s="19">
        <v>46086</v>
      </c>
      <c r="B824" s="20"/>
      <c r="C824" s="20"/>
      <c r="D824" s="20">
        <v>10000</v>
      </c>
      <c r="E824" s="234" t="s">
        <v>1184</v>
      </c>
      <c r="F824" s="20">
        <f t="shared" si="13"/>
        <v>195618384</v>
      </c>
      <c r="G824" s="7" t="s">
        <v>330</v>
      </c>
      <c r="H824" s="24" t="s">
        <v>109</v>
      </c>
      <c r="I824" s="32" t="s">
        <v>152</v>
      </c>
    </row>
    <row r="825" spans="1:9" x14ac:dyDescent="0.35">
      <c r="A825" s="19">
        <v>46086</v>
      </c>
      <c r="B825" s="20"/>
      <c r="C825" s="20"/>
      <c r="D825" s="20">
        <v>50000</v>
      </c>
      <c r="E825" s="234" t="s">
        <v>1184</v>
      </c>
      <c r="F825" s="20">
        <f t="shared" si="13"/>
        <v>195668384</v>
      </c>
      <c r="G825" s="7" t="s">
        <v>330</v>
      </c>
      <c r="H825" s="24" t="s">
        <v>109</v>
      </c>
      <c r="I825" s="32" t="s">
        <v>152</v>
      </c>
    </row>
    <row r="826" spans="1:9" x14ac:dyDescent="0.35">
      <c r="A826" s="19">
        <v>46086</v>
      </c>
      <c r="B826" s="20"/>
      <c r="C826" s="20"/>
      <c r="D826" s="20">
        <v>50000</v>
      </c>
      <c r="E826" s="234" t="s">
        <v>1184</v>
      </c>
      <c r="F826" s="20">
        <f t="shared" si="13"/>
        <v>195718384</v>
      </c>
      <c r="G826" s="7" t="s">
        <v>330</v>
      </c>
      <c r="H826" s="24" t="s">
        <v>109</v>
      </c>
      <c r="I826" s="32" t="s">
        <v>152</v>
      </c>
    </row>
    <row r="827" spans="1:9" x14ac:dyDescent="0.35">
      <c r="A827" s="19">
        <v>46086</v>
      </c>
      <c r="B827" s="20"/>
      <c r="C827" s="20"/>
      <c r="D827" s="20">
        <v>5000</v>
      </c>
      <c r="E827" s="234" t="s">
        <v>1184</v>
      </c>
      <c r="F827" s="20">
        <f t="shared" si="13"/>
        <v>195723384</v>
      </c>
      <c r="G827" s="7" t="s">
        <v>330</v>
      </c>
      <c r="H827" s="24" t="s">
        <v>109</v>
      </c>
      <c r="I827" s="32" t="s">
        <v>152</v>
      </c>
    </row>
    <row r="828" spans="1:9" x14ac:dyDescent="0.35">
      <c r="A828" s="19">
        <v>46086</v>
      </c>
      <c r="B828" s="20"/>
      <c r="C828" s="20"/>
      <c r="D828" s="20">
        <v>100000</v>
      </c>
      <c r="E828" s="234" t="s">
        <v>1184</v>
      </c>
      <c r="F828" s="20">
        <f t="shared" si="13"/>
        <v>195823384</v>
      </c>
      <c r="G828" s="7" t="s">
        <v>330</v>
      </c>
      <c r="H828" s="24" t="s">
        <v>109</v>
      </c>
      <c r="I828" s="32" t="s">
        <v>152</v>
      </c>
    </row>
    <row r="829" spans="1:9" x14ac:dyDescent="0.35">
      <c r="A829" s="19">
        <v>46086</v>
      </c>
      <c r="B829" s="20"/>
      <c r="C829" s="20"/>
      <c r="D829" s="20">
        <v>20000</v>
      </c>
      <c r="E829" s="234" t="s">
        <v>1184</v>
      </c>
      <c r="F829" s="20">
        <f t="shared" si="13"/>
        <v>195843384</v>
      </c>
      <c r="G829" s="7" t="s">
        <v>330</v>
      </c>
      <c r="H829" s="24" t="s">
        <v>109</v>
      </c>
      <c r="I829" s="32" t="s">
        <v>152</v>
      </c>
    </row>
    <row r="830" spans="1:9" x14ac:dyDescent="0.35">
      <c r="A830" s="19">
        <v>46086</v>
      </c>
      <c r="B830" s="20"/>
      <c r="C830" s="20"/>
      <c r="D830" s="20">
        <v>15000</v>
      </c>
      <c r="E830" s="234" t="s">
        <v>1184</v>
      </c>
      <c r="F830" s="20">
        <f t="shared" si="13"/>
        <v>195858384</v>
      </c>
      <c r="G830" s="7" t="s">
        <v>330</v>
      </c>
      <c r="H830" s="24" t="s">
        <v>109</v>
      </c>
      <c r="I830" s="32" t="s">
        <v>152</v>
      </c>
    </row>
    <row r="831" spans="1:9" x14ac:dyDescent="0.35">
      <c r="A831" s="19">
        <v>46086</v>
      </c>
      <c r="B831" s="20"/>
      <c r="C831" s="20"/>
      <c r="D831" s="20">
        <v>2000</v>
      </c>
      <c r="E831" s="234" t="s">
        <v>1184</v>
      </c>
      <c r="F831" s="20">
        <f t="shared" si="13"/>
        <v>195860384</v>
      </c>
      <c r="G831" s="7" t="s">
        <v>330</v>
      </c>
      <c r="H831" s="24" t="s">
        <v>109</v>
      </c>
      <c r="I831" s="32" t="s">
        <v>152</v>
      </c>
    </row>
    <row r="832" spans="1:9" x14ac:dyDescent="0.35">
      <c r="A832" s="19">
        <v>46086</v>
      </c>
      <c r="B832" s="20"/>
      <c r="C832" s="20"/>
      <c r="D832" s="20">
        <v>2412</v>
      </c>
      <c r="E832" s="234" t="s">
        <v>1184</v>
      </c>
      <c r="F832" s="20">
        <f t="shared" si="13"/>
        <v>195862796</v>
      </c>
      <c r="G832" s="7" t="s">
        <v>330</v>
      </c>
      <c r="H832" s="24" t="s">
        <v>109</v>
      </c>
      <c r="I832" s="32" t="s">
        <v>152</v>
      </c>
    </row>
    <row r="833" spans="1:9" x14ac:dyDescent="0.35">
      <c r="A833" s="19">
        <v>46086</v>
      </c>
      <c r="B833" s="20"/>
      <c r="C833" s="20"/>
      <c r="D833" s="20">
        <v>50000</v>
      </c>
      <c r="E833" s="234" t="s">
        <v>1184</v>
      </c>
      <c r="F833" s="20">
        <f t="shared" si="13"/>
        <v>195912796</v>
      </c>
      <c r="G833" s="7" t="s">
        <v>330</v>
      </c>
      <c r="H833" s="24" t="s">
        <v>109</v>
      </c>
      <c r="I833" s="32" t="s">
        <v>152</v>
      </c>
    </row>
    <row r="834" spans="1:9" x14ac:dyDescent="0.35">
      <c r="A834" s="19">
        <v>46086</v>
      </c>
      <c r="B834" s="20"/>
      <c r="C834" s="20"/>
      <c r="D834" s="20">
        <v>25000</v>
      </c>
      <c r="E834" s="234" t="s">
        <v>1184</v>
      </c>
      <c r="F834" s="20">
        <f t="shared" si="13"/>
        <v>195937796</v>
      </c>
      <c r="G834" s="7" t="s">
        <v>330</v>
      </c>
      <c r="H834" s="24" t="s">
        <v>109</v>
      </c>
      <c r="I834" s="32" t="s">
        <v>152</v>
      </c>
    </row>
    <row r="835" spans="1:9" x14ac:dyDescent="0.35">
      <c r="A835" s="19">
        <v>46086</v>
      </c>
      <c r="B835" s="20"/>
      <c r="C835" s="20"/>
      <c r="D835" s="20">
        <v>50000</v>
      </c>
      <c r="E835" s="234" t="s">
        <v>1184</v>
      </c>
      <c r="F835" s="20">
        <f t="shared" si="13"/>
        <v>195987796</v>
      </c>
      <c r="G835" s="7" t="s">
        <v>330</v>
      </c>
      <c r="H835" s="24" t="s">
        <v>109</v>
      </c>
      <c r="I835" s="32" t="s">
        <v>152</v>
      </c>
    </row>
    <row r="836" spans="1:9" x14ac:dyDescent="0.35">
      <c r="A836" s="19">
        <v>46086</v>
      </c>
      <c r="B836" s="20"/>
      <c r="C836" s="20"/>
      <c r="D836" s="20">
        <v>20000</v>
      </c>
      <c r="E836" s="234" t="s">
        <v>1184</v>
      </c>
      <c r="F836" s="20">
        <f t="shared" si="13"/>
        <v>196007796</v>
      </c>
      <c r="G836" s="7" t="s">
        <v>330</v>
      </c>
      <c r="H836" s="24" t="s">
        <v>109</v>
      </c>
      <c r="I836" s="32" t="s">
        <v>152</v>
      </c>
    </row>
    <row r="837" spans="1:9" x14ac:dyDescent="0.35">
      <c r="A837" s="19">
        <v>46086</v>
      </c>
      <c r="B837" s="20"/>
      <c r="C837" s="20"/>
      <c r="D837" s="20">
        <v>2500</v>
      </c>
      <c r="E837" s="234" t="s">
        <v>1184</v>
      </c>
      <c r="F837" s="20">
        <f t="shared" si="13"/>
        <v>196010296</v>
      </c>
      <c r="G837" s="7" t="s">
        <v>330</v>
      </c>
      <c r="H837" s="24" t="s">
        <v>109</v>
      </c>
      <c r="I837" s="32" t="s">
        <v>152</v>
      </c>
    </row>
    <row r="838" spans="1:9" x14ac:dyDescent="0.35">
      <c r="A838" s="19">
        <v>46087</v>
      </c>
      <c r="B838" s="20"/>
      <c r="C838" s="20"/>
      <c r="D838" s="20">
        <v>50000</v>
      </c>
      <c r="E838" s="234" t="s">
        <v>1190</v>
      </c>
      <c r="F838" s="20">
        <f t="shared" si="13"/>
        <v>196060296</v>
      </c>
      <c r="G838" s="7" t="s">
        <v>330</v>
      </c>
      <c r="H838" s="24" t="s">
        <v>109</v>
      </c>
      <c r="I838" s="32" t="s">
        <v>152</v>
      </c>
    </row>
    <row r="839" spans="1:9" x14ac:dyDescent="0.35">
      <c r="A839" s="19">
        <v>46087</v>
      </c>
      <c r="B839" s="20"/>
      <c r="C839" s="20"/>
      <c r="D839" s="20">
        <v>100000</v>
      </c>
      <c r="E839" s="234" t="s">
        <v>1190</v>
      </c>
      <c r="F839" s="20">
        <f t="shared" si="13"/>
        <v>196160296</v>
      </c>
      <c r="G839" s="7" t="s">
        <v>330</v>
      </c>
      <c r="H839" s="24" t="s">
        <v>109</v>
      </c>
      <c r="I839" s="32" t="s">
        <v>152</v>
      </c>
    </row>
    <row r="840" spans="1:9" x14ac:dyDescent="0.35">
      <c r="A840" s="19">
        <v>46087</v>
      </c>
      <c r="B840" s="20"/>
      <c r="C840" s="20"/>
      <c r="D840" s="20">
        <v>50000</v>
      </c>
      <c r="E840" s="234" t="s">
        <v>1190</v>
      </c>
      <c r="F840" s="20">
        <f t="shared" si="13"/>
        <v>196210296</v>
      </c>
      <c r="G840" s="7" t="s">
        <v>330</v>
      </c>
      <c r="H840" s="24" t="s">
        <v>109</v>
      </c>
      <c r="I840" s="32" t="s">
        <v>152</v>
      </c>
    </row>
    <row r="841" spans="1:9" x14ac:dyDescent="0.35">
      <c r="A841" s="19">
        <v>46087</v>
      </c>
      <c r="B841" s="20"/>
      <c r="C841" s="20"/>
      <c r="D841" s="20">
        <v>50000</v>
      </c>
      <c r="E841" s="234" t="s">
        <v>1190</v>
      </c>
      <c r="F841" s="20">
        <f t="shared" si="13"/>
        <v>196260296</v>
      </c>
      <c r="G841" s="7" t="s">
        <v>330</v>
      </c>
      <c r="H841" s="24" t="s">
        <v>109</v>
      </c>
      <c r="I841" s="32" t="s">
        <v>152</v>
      </c>
    </row>
    <row r="842" spans="1:9" x14ac:dyDescent="0.35">
      <c r="A842" s="19">
        <v>46087</v>
      </c>
      <c r="B842" s="20"/>
      <c r="C842" s="20"/>
      <c r="D842" s="20">
        <v>50000</v>
      </c>
      <c r="E842" s="234" t="s">
        <v>1190</v>
      </c>
      <c r="F842" s="20">
        <f t="shared" si="13"/>
        <v>196310296</v>
      </c>
      <c r="G842" s="7" t="s">
        <v>330</v>
      </c>
      <c r="H842" s="24" t="s">
        <v>109</v>
      </c>
      <c r="I842" s="32" t="s">
        <v>152</v>
      </c>
    </row>
    <row r="843" spans="1:9" x14ac:dyDescent="0.35">
      <c r="A843" s="19">
        <v>46087</v>
      </c>
      <c r="B843" s="20"/>
      <c r="C843" s="20"/>
      <c r="D843" s="20">
        <v>20000</v>
      </c>
      <c r="E843" s="234" t="s">
        <v>1190</v>
      </c>
      <c r="F843" s="20">
        <f t="shared" si="13"/>
        <v>196330296</v>
      </c>
      <c r="G843" s="7" t="s">
        <v>330</v>
      </c>
      <c r="H843" s="24" t="s">
        <v>109</v>
      </c>
      <c r="I843" s="32" t="s">
        <v>152</v>
      </c>
    </row>
    <row r="844" spans="1:9" x14ac:dyDescent="0.35">
      <c r="A844" s="19">
        <v>46087</v>
      </c>
      <c r="B844" s="20"/>
      <c r="C844" s="20"/>
      <c r="D844" s="20">
        <v>50000</v>
      </c>
      <c r="E844" s="234" t="s">
        <v>1190</v>
      </c>
      <c r="F844" s="20">
        <f t="shared" si="13"/>
        <v>196380296</v>
      </c>
      <c r="G844" s="7" t="s">
        <v>330</v>
      </c>
      <c r="H844" s="24" t="s">
        <v>109</v>
      </c>
      <c r="I844" s="32" t="s">
        <v>152</v>
      </c>
    </row>
    <row r="845" spans="1:9" x14ac:dyDescent="0.35">
      <c r="A845" s="19">
        <v>46087</v>
      </c>
      <c r="B845" s="20"/>
      <c r="C845" s="20"/>
      <c r="D845" s="20">
        <v>15000</v>
      </c>
      <c r="E845" s="234" t="s">
        <v>1190</v>
      </c>
      <c r="F845" s="20">
        <f t="shared" si="13"/>
        <v>196395296</v>
      </c>
      <c r="G845" s="7" t="s">
        <v>330</v>
      </c>
      <c r="H845" s="24" t="s">
        <v>109</v>
      </c>
      <c r="I845" s="32" t="s">
        <v>152</v>
      </c>
    </row>
    <row r="846" spans="1:9" x14ac:dyDescent="0.35">
      <c r="A846" s="19">
        <v>46087</v>
      </c>
      <c r="B846" s="20"/>
      <c r="C846" s="20"/>
      <c r="D846" s="20">
        <v>50000</v>
      </c>
      <c r="E846" s="234" t="s">
        <v>1190</v>
      </c>
      <c r="F846" s="20">
        <f t="shared" si="13"/>
        <v>196445296</v>
      </c>
      <c r="G846" s="7" t="s">
        <v>330</v>
      </c>
      <c r="H846" s="24" t="s">
        <v>109</v>
      </c>
      <c r="I846" s="32" t="s">
        <v>152</v>
      </c>
    </row>
    <row r="847" spans="1:9" x14ac:dyDescent="0.35">
      <c r="A847" s="19">
        <v>46087</v>
      </c>
      <c r="B847" s="20"/>
      <c r="C847" s="20"/>
      <c r="D847" s="20">
        <v>20000</v>
      </c>
      <c r="E847" s="234" t="s">
        <v>1190</v>
      </c>
      <c r="F847" s="20">
        <f t="shared" si="13"/>
        <v>196465296</v>
      </c>
      <c r="G847" s="7" t="s">
        <v>330</v>
      </c>
      <c r="H847" s="24" t="s">
        <v>109</v>
      </c>
      <c r="I847" s="32" t="s">
        <v>152</v>
      </c>
    </row>
    <row r="848" spans="1:9" x14ac:dyDescent="0.35">
      <c r="A848" s="19">
        <v>46087</v>
      </c>
      <c r="B848" s="20"/>
      <c r="C848" s="20"/>
      <c r="D848" s="20">
        <v>5000</v>
      </c>
      <c r="E848" s="234" t="s">
        <v>1190</v>
      </c>
      <c r="F848" s="20">
        <f t="shared" si="13"/>
        <v>196470296</v>
      </c>
      <c r="G848" s="7" t="s">
        <v>330</v>
      </c>
      <c r="H848" s="24" t="s">
        <v>109</v>
      </c>
      <c r="I848" s="32" t="s">
        <v>152</v>
      </c>
    </row>
    <row r="849" spans="1:9" x14ac:dyDescent="0.35">
      <c r="A849" s="19">
        <v>46087</v>
      </c>
      <c r="B849" s="20"/>
      <c r="C849" s="20"/>
      <c r="D849" s="20">
        <v>2000</v>
      </c>
      <c r="E849" s="234" t="s">
        <v>1190</v>
      </c>
      <c r="F849" s="20">
        <f t="shared" si="13"/>
        <v>196472296</v>
      </c>
      <c r="G849" s="7" t="s">
        <v>330</v>
      </c>
      <c r="H849" s="24" t="s">
        <v>109</v>
      </c>
      <c r="I849" s="32" t="s">
        <v>152</v>
      </c>
    </row>
    <row r="850" spans="1:9" x14ac:dyDescent="0.35">
      <c r="A850" s="19">
        <v>46087</v>
      </c>
      <c r="B850" s="20"/>
      <c r="C850" s="20"/>
      <c r="D850" s="20">
        <v>2601</v>
      </c>
      <c r="E850" s="234" t="s">
        <v>1190</v>
      </c>
      <c r="F850" s="20">
        <f t="shared" si="13"/>
        <v>196474897</v>
      </c>
      <c r="G850" s="7" t="s">
        <v>330</v>
      </c>
      <c r="H850" s="24" t="s">
        <v>109</v>
      </c>
      <c r="I850" s="32" t="s">
        <v>152</v>
      </c>
    </row>
    <row r="851" spans="1:9" x14ac:dyDescent="0.35">
      <c r="A851" s="19">
        <v>46087</v>
      </c>
      <c r="B851" s="20"/>
      <c r="C851" s="20"/>
      <c r="D851" s="20">
        <v>10000</v>
      </c>
      <c r="E851" s="234" t="s">
        <v>1190</v>
      </c>
      <c r="F851" s="20">
        <f t="shared" si="13"/>
        <v>196484897</v>
      </c>
      <c r="G851" s="7" t="s">
        <v>330</v>
      </c>
      <c r="H851" s="24" t="s">
        <v>109</v>
      </c>
      <c r="I851" s="32" t="s">
        <v>152</v>
      </c>
    </row>
    <row r="852" spans="1:9" x14ac:dyDescent="0.35">
      <c r="A852" s="19">
        <v>46087</v>
      </c>
      <c r="B852" s="20"/>
      <c r="C852" s="20"/>
      <c r="D852" s="20">
        <v>25000</v>
      </c>
      <c r="E852" s="234" t="s">
        <v>1190</v>
      </c>
      <c r="F852" s="20">
        <f t="shared" si="13"/>
        <v>196509897</v>
      </c>
      <c r="G852" s="7" t="s">
        <v>330</v>
      </c>
      <c r="H852" s="24" t="s">
        <v>109</v>
      </c>
      <c r="I852" s="32" t="s">
        <v>152</v>
      </c>
    </row>
    <row r="853" spans="1:9" x14ac:dyDescent="0.35">
      <c r="A853" s="19">
        <v>46087</v>
      </c>
      <c r="B853" s="20"/>
      <c r="C853" s="20"/>
      <c r="D853" s="20">
        <v>400000</v>
      </c>
      <c r="E853" s="234" t="s">
        <v>1190</v>
      </c>
      <c r="F853" s="20">
        <f t="shared" si="13"/>
        <v>196909897</v>
      </c>
      <c r="G853" s="7" t="s">
        <v>600</v>
      </c>
      <c r="H853" s="24" t="s">
        <v>109</v>
      </c>
      <c r="I853" s="32" t="s">
        <v>152</v>
      </c>
    </row>
    <row r="854" spans="1:9" x14ac:dyDescent="0.35">
      <c r="A854" s="19">
        <v>46087</v>
      </c>
      <c r="B854" s="20">
        <v>62750000</v>
      </c>
      <c r="C854" s="20"/>
      <c r="D854" s="20"/>
      <c r="E854" s="234" t="s">
        <v>1190</v>
      </c>
      <c r="F854" s="20">
        <f t="shared" si="13"/>
        <v>134159897</v>
      </c>
      <c r="G854" s="7" t="s">
        <v>1191</v>
      </c>
      <c r="H854" s="24" t="s">
        <v>203</v>
      </c>
      <c r="I854" s="32" t="s">
        <v>152</v>
      </c>
    </row>
    <row r="855" spans="1:9" x14ac:dyDescent="0.35">
      <c r="A855" s="19">
        <v>46087</v>
      </c>
      <c r="B855" s="20">
        <v>2500</v>
      </c>
      <c r="C855" s="20"/>
      <c r="D855" s="20"/>
      <c r="E855" s="234" t="s">
        <v>1190</v>
      </c>
      <c r="F855" s="20">
        <f t="shared" si="13"/>
        <v>134157397</v>
      </c>
      <c r="G855" s="7" t="s">
        <v>1191</v>
      </c>
      <c r="H855" s="24" t="s">
        <v>203</v>
      </c>
      <c r="I855" s="32" t="s">
        <v>152</v>
      </c>
    </row>
    <row r="856" spans="1:9" x14ac:dyDescent="0.35">
      <c r="A856" s="19">
        <v>46087</v>
      </c>
      <c r="B856" s="20"/>
      <c r="C856" s="20"/>
      <c r="D856" s="20">
        <v>20000</v>
      </c>
      <c r="E856" s="234" t="s">
        <v>1190</v>
      </c>
      <c r="F856" s="20">
        <f t="shared" si="13"/>
        <v>134177397</v>
      </c>
      <c r="G856" s="7" t="s">
        <v>600</v>
      </c>
      <c r="H856" s="24" t="s">
        <v>109</v>
      </c>
      <c r="I856" s="32" t="s">
        <v>152</v>
      </c>
    </row>
    <row r="857" spans="1:9" x14ac:dyDescent="0.35">
      <c r="A857" s="19">
        <v>46087</v>
      </c>
      <c r="B857" s="20"/>
      <c r="C857" s="20"/>
      <c r="D857" s="20">
        <v>2000000</v>
      </c>
      <c r="E857" s="234" t="s">
        <v>1190</v>
      </c>
      <c r="F857" s="20">
        <f t="shared" si="13"/>
        <v>136177397</v>
      </c>
      <c r="G857" s="7" t="s">
        <v>1192</v>
      </c>
      <c r="H857" s="24" t="s">
        <v>109</v>
      </c>
      <c r="I857" s="32" t="s">
        <v>152</v>
      </c>
    </row>
    <row r="858" spans="1:9" x14ac:dyDescent="0.35">
      <c r="A858" s="19">
        <v>46088</v>
      </c>
      <c r="B858" s="20"/>
      <c r="C858" s="20"/>
      <c r="D858" s="20">
        <v>50000</v>
      </c>
      <c r="E858" s="234" t="s">
        <v>1190</v>
      </c>
      <c r="F858" s="20">
        <f t="shared" si="13"/>
        <v>136227397</v>
      </c>
      <c r="G858" s="7" t="s">
        <v>330</v>
      </c>
      <c r="H858" s="24" t="s">
        <v>109</v>
      </c>
      <c r="I858" s="32" t="s">
        <v>152</v>
      </c>
    </row>
    <row r="859" spans="1:9" x14ac:dyDescent="0.35">
      <c r="A859" s="19">
        <v>46088</v>
      </c>
      <c r="B859" s="20"/>
      <c r="C859" s="20"/>
      <c r="D859" s="20">
        <v>50000</v>
      </c>
      <c r="E859" s="234" t="s">
        <v>1190</v>
      </c>
      <c r="F859" s="20">
        <f t="shared" ref="F859:F926" si="14">+F858+D859-B859</f>
        <v>136277397</v>
      </c>
      <c r="G859" s="7" t="s">
        <v>330</v>
      </c>
      <c r="H859" s="24" t="s">
        <v>109</v>
      </c>
      <c r="I859" s="32" t="s">
        <v>152</v>
      </c>
    </row>
    <row r="860" spans="1:9" x14ac:dyDescent="0.35">
      <c r="A860" s="19">
        <v>46088</v>
      </c>
      <c r="B860" s="20"/>
      <c r="C860" s="20"/>
      <c r="D860" s="20">
        <v>50000</v>
      </c>
      <c r="E860" s="234" t="s">
        <v>1190</v>
      </c>
      <c r="F860" s="20">
        <f t="shared" si="14"/>
        <v>136327397</v>
      </c>
      <c r="G860" s="7" t="s">
        <v>330</v>
      </c>
      <c r="H860" s="24" t="s">
        <v>109</v>
      </c>
      <c r="I860" s="32" t="s">
        <v>152</v>
      </c>
    </row>
    <row r="861" spans="1:9" x14ac:dyDescent="0.35">
      <c r="A861" s="19">
        <v>46088</v>
      </c>
      <c r="B861" s="20"/>
      <c r="C861" s="20"/>
      <c r="D861" s="20">
        <v>15000</v>
      </c>
      <c r="E861" s="234" t="s">
        <v>1190</v>
      </c>
      <c r="F861" s="20">
        <f t="shared" si="14"/>
        <v>136342397</v>
      </c>
      <c r="G861" s="7" t="s">
        <v>330</v>
      </c>
      <c r="H861" s="24" t="s">
        <v>109</v>
      </c>
      <c r="I861" s="32" t="s">
        <v>152</v>
      </c>
    </row>
    <row r="862" spans="1:9" x14ac:dyDescent="0.35">
      <c r="A862" s="19">
        <v>46088</v>
      </c>
      <c r="B862" s="20"/>
      <c r="C862" s="20"/>
      <c r="D862" s="20">
        <v>5000</v>
      </c>
      <c r="E862" s="234" t="s">
        <v>1190</v>
      </c>
      <c r="F862" s="20">
        <f t="shared" si="14"/>
        <v>136347397</v>
      </c>
      <c r="G862" s="7" t="s">
        <v>330</v>
      </c>
      <c r="H862" s="24" t="s">
        <v>109</v>
      </c>
      <c r="I862" s="32" t="s">
        <v>152</v>
      </c>
    </row>
    <row r="863" spans="1:9" x14ac:dyDescent="0.35">
      <c r="A863" s="19">
        <v>46088</v>
      </c>
      <c r="B863" s="20"/>
      <c r="C863" s="20"/>
      <c r="D863" s="20">
        <v>50000</v>
      </c>
      <c r="E863" s="234" t="s">
        <v>1190</v>
      </c>
      <c r="F863" s="20">
        <f t="shared" si="14"/>
        <v>136397397</v>
      </c>
      <c r="G863" s="7" t="s">
        <v>330</v>
      </c>
      <c r="H863" s="24" t="s">
        <v>109</v>
      </c>
      <c r="I863" s="32" t="s">
        <v>152</v>
      </c>
    </row>
    <row r="864" spans="1:9" x14ac:dyDescent="0.35">
      <c r="A864" s="19">
        <v>46088</v>
      </c>
      <c r="B864" s="20"/>
      <c r="C864" s="20"/>
      <c r="D864" s="20">
        <v>50000</v>
      </c>
      <c r="E864" s="234" t="s">
        <v>1190</v>
      </c>
      <c r="F864" s="20">
        <f t="shared" si="14"/>
        <v>136447397</v>
      </c>
      <c r="G864" s="7" t="s">
        <v>330</v>
      </c>
      <c r="H864" s="24" t="s">
        <v>109</v>
      </c>
      <c r="I864" s="32" t="s">
        <v>152</v>
      </c>
    </row>
    <row r="865" spans="1:9" x14ac:dyDescent="0.35">
      <c r="A865" s="19">
        <v>46088</v>
      </c>
      <c r="B865" s="20"/>
      <c r="C865" s="20"/>
      <c r="D865" s="20">
        <v>100000</v>
      </c>
      <c r="E865" s="234" t="s">
        <v>1190</v>
      </c>
      <c r="F865" s="20">
        <f t="shared" si="14"/>
        <v>136547397</v>
      </c>
      <c r="G865" s="7" t="s">
        <v>330</v>
      </c>
      <c r="H865" s="24" t="s">
        <v>109</v>
      </c>
      <c r="I865" s="32" t="s">
        <v>152</v>
      </c>
    </row>
    <row r="866" spans="1:9" x14ac:dyDescent="0.35">
      <c r="A866" s="19">
        <v>46088</v>
      </c>
      <c r="B866" s="20"/>
      <c r="C866" s="20"/>
      <c r="D866" s="20">
        <v>100000</v>
      </c>
      <c r="E866" s="234" t="s">
        <v>1190</v>
      </c>
      <c r="F866" s="20">
        <f t="shared" si="14"/>
        <v>136647397</v>
      </c>
      <c r="G866" s="7" t="s">
        <v>330</v>
      </c>
      <c r="H866" s="24" t="s">
        <v>109</v>
      </c>
      <c r="I866" s="32" t="s">
        <v>152</v>
      </c>
    </row>
    <row r="867" spans="1:9" x14ac:dyDescent="0.35">
      <c r="A867" s="19">
        <v>46088</v>
      </c>
      <c r="B867" s="20"/>
      <c r="C867" s="20"/>
      <c r="D867" s="20">
        <v>2000</v>
      </c>
      <c r="E867" s="234" t="s">
        <v>1190</v>
      </c>
      <c r="F867" s="20">
        <f t="shared" si="14"/>
        <v>136649397</v>
      </c>
      <c r="G867" s="7" t="s">
        <v>330</v>
      </c>
      <c r="H867" s="24" t="s">
        <v>109</v>
      </c>
      <c r="I867" s="32" t="s">
        <v>152</v>
      </c>
    </row>
    <row r="868" spans="1:9" x14ac:dyDescent="0.35">
      <c r="A868" s="19">
        <v>46088</v>
      </c>
      <c r="B868" s="20"/>
      <c r="C868" s="20"/>
      <c r="D868" s="20">
        <v>5000</v>
      </c>
      <c r="E868" s="234" t="s">
        <v>1190</v>
      </c>
      <c r="F868" s="20">
        <f t="shared" si="14"/>
        <v>136654397</v>
      </c>
      <c r="G868" s="7" t="s">
        <v>330</v>
      </c>
      <c r="H868" s="24" t="s">
        <v>109</v>
      </c>
      <c r="I868" s="32" t="s">
        <v>152</v>
      </c>
    </row>
    <row r="869" spans="1:9" x14ac:dyDescent="0.35">
      <c r="A869" s="19">
        <v>46088</v>
      </c>
      <c r="B869" s="20"/>
      <c r="C869" s="20"/>
      <c r="D869" s="20">
        <v>10000</v>
      </c>
      <c r="E869" s="234" t="s">
        <v>1190</v>
      </c>
      <c r="F869" s="20">
        <f t="shared" si="14"/>
        <v>136664397</v>
      </c>
      <c r="G869" s="7" t="s">
        <v>330</v>
      </c>
      <c r="H869" s="24" t="s">
        <v>109</v>
      </c>
      <c r="I869" s="32" t="s">
        <v>152</v>
      </c>
    </row>
    <row r="870" spans="1:9" x14ac:dyDescent="0.35">
      <c r="A870" s="19">
        <v>46088</v>
      </c>
      <c r="B870" s="20"/>
      <c r="C870" s="20"/>
      <c r="D870" s="20">
        <v>20000</v>
      </c>
      <c r="E870" s="234" t="s">
        <v>1190</v>
      </c>
      <c r="F870" s="20">
        <f t="shared" si="14"/>
        <v>136684397</v>
      </c>
      <c r="G870" s="7" t="s">
        <v>330</v>
      </c>
      <c r="H870" s="24" t="s">
        <v>109</v>
      </c>
      <c r="I870" s="32" t="s">
        <v>152</v>
      </c>
    </row>
    <row r="871" spans="1:9" x14ac:dyDescent="0.35">
      <c r="A871" s="19">
        <v>46088</v>
      </c>
      <c r="B871" s="20"/>
      <c r="C871" s="20"/>
      <c r="D871" s="20">
        <v>50000</v>
      </c>
      <c r="E871" s="234" t="s">
        <v>1190</v>
      </c>
      <c r="F871" s="20">
        <f t="shared" si="14"/>
        <v>136734397</v>
      </c>
      <c r="G871" s="7" t="s">
        <v>330</v>
      </c>
      <c r="H871" s="24" t="s">
        <v>109</v>
      </c>
      <c r="I871" s="32" t="s">
        <v>152</v>
      </c>
    </row>
    <row r="872" spans="1:9" x14ac:dyDescent="0.35">
      <c r="A872" s="19">
        <v>46088</v>
      </c>
      <c r="B872" s="20"/>
      <c r="C872" s="20"/>
      <c r="D872" s="20">
        <v>10000</v>
      </c>
      <c r="E872" s="234" t="s">
        <v>1190</v>
      </c>
      <c r="F872" s="20">
        <f t="shared" si="14"/>
        <v>136744397</v>
      </c>
      <c r="G872" s="7" t="s">
        <v>330</v>
      </c>
      <c r="H872" s="24" t="s">
        <v>109</v>
      </c>
      <c r="I872" s="32" t="s">
        <v>152</v>
      </c>
    </row>
    <row r="873" spans="1:9" x14ac:dyDescent="0.35">
      <c r="A873" s="19">
        <v>46088</v>
      </c>
      <c r="B873" s="20"/>
      <c r="C873" s="20"/>
      <c r="D873" s="20">
        <v>25000</v>
      </c>
      <c r="E873" s="234" t="s">
        <v>1190</v>
      </c>
      <c r="F873" s="20">
        <f t="shared" si="14"/>
        <v>136769397</v>
      </c>
      <c r="G873" s="7" t="s">
        <v>330</v>
      </c>
      <c r="H873" s="24" t="s">
        <v>109</v>
      </c>
      <c r="I873" s="32" t="s">
        <v>152</v>
      </c>
    </row>
    <row r="874" spans="1:9" x14ac:dyDescent="0.35">
      <c r="A874" s="19">
        <v>46088</v>
      </c>
      <c r="B874" s="20">
        <v>4500000</v>
      </c>
      <c r="C874" s="20"/>
      <c r="D874" s="20"/>
      <c r="E874" s="234" t="s">
        <v>1190</v>
      </c>
      <c r="F874" s="20">
        <f t="shared" si="14"/>
        <v>132269397</v>
      </c>
      <c r="G874" s="7" t="s">
        <v>1193</v>
      </c>
      <c r="H874" s="24" t="s">
        <v>499</v>
      </c>
      <c r="I874" s="32" t="s">
        <v>152</v>
      </c>
    </row>
    <row r="875" spans="1:9" x14ac:dyDescent="0.35">
      <c r="A875" s="19">
        <v>46088</v>
      </c>
      <c r="B875" s="20">
        <v>6500</v>
      </c>
      <c r="C875" s="20"/>
      <c r="D875" s="20"/>
      <c r="E875" s="234" t="s">
        <v>1190</v>
      </c>
      <c r="F875" s="20">
        <f t="shared" si="14"/>
        <v>132262897</v>
      </c>
      <c r="G875" s="7" t="s">
        <v>1193</v>
      </c>
      <c r="H875" s="24" t="s">
        <v>499</v>
      </c>
      <c r="I875" s="32" t="s">
        <v>152</v>
      </c>
    </row>
    <row r="876" spans="1:9" x14ac:dyDescent="0.35">
      <c r="A876" s="19">
        <v>46088</v>
      </c>
      <c r="B876" s="20"/>
      <c r="C876" s="20"/>
      <c r="D876" s="20">
        <v>200000</v>
      </c>
      <c r="E876" s="234" t="s">
        <v>1190</v>
      </c>
      <c r="F876" s="20">
        <f t="shared" si="14"/>
        <v>132462897</v>
      </c>
      <c r="G876" s="7" t="s">
        <v>531</v>
      </c>
      <c r="H876" s="24" t="s">
        <v>109</v>
      </c>
      <c r="I876" s="32" t="s">
        <v>152</v>
      </c>
    </row>
    <row r="877" spans="1:9" x14ac:dyDescent="0.35">
      <c r="A877" s="19">
        <v>46089</v>
      </c>
      <c r="B877" s="20"/>
      <c r="C877" s="20"/>
      <c r="D877" s="20">
        <v>1500000</v>
      </c>
      <c r="E877" s="234" t="s">
        <v>1190</v>
      </c>
      <c r="F877" s="20">
        <f t="shared" si="14"/>
        <v>133962897</v>
      </c>
      <c r="G877" s="7" t="s">
        <v>1194</v>
      </c>
      <c r="H877" s="24" t="s">
        <v>105</v>
      </c>
      <c r="I877" s="32" t="s">
        <v>152</v>
      </c>
    </row>
    <row r="878" spans="1:9" x14ac:dyDescent="0.35">
      <c r="A878" s="19">
        <v>46089</v>
      </c>
      <c r="B878" s="20"/>
      <c r="C878" s="20"/>
      <c r="D878" s="20">
        <v>50000</v>
      </c>
      <c r="E878" s="234" t="s">
        <v>1190</v>
      </c>
      <c r="F878" s="20">
        <f t="shared" si="14"/>
        <v>134012897</v>
      </c>
      <c r="G878" s="7" t="s">
        <v>330</v>
      </c>
      <c r="H878" s="24" t="s">
        <v>109</v>
      </c>
      <c r="I878" s="32" t="s">
        <v>152</v>
      </c>
    </row>
    <row r="879" spans="1:9" x14ac:dyDescent="0.35">
      <c r="A879" s="19">
        <v>46089</v>
      </c>
      <c r="B879" s="20"/>
      <c r="C879" s="20"/>
      <c r="D879" s="20">
        <v>20000</v>
      </c>
      <c r="E879" s="234" t="s">
        <v>1190</v>
      </c>
      <c r="F879" s="20">
        <f t="shared" si="14"/>
        <v>134032897</v>
      </c>
      <c r="G879" s="7" t="s">
        <v>330</v>
      </c>
      <c r="H879" s="24" t="s">
        <v>109</v>
      </c>
      <c r="I879" s="32" t="s">
        <v>152</v>
      </c>
    </row>
    <row r="880" spans="1:9" x14ac:dyDescent="0.35">
      <c r="A880" s="19">
        <v>46089</v>
      </c>
      <c r="B880" s="20"/>
      <c r="C880" s="20"/>
      <c r="D880" s="20">
        <v>50000</v>
      </c>
      <c r="E880" s="234" t="s">
        <v>1190</v>
      </c>
      <c r="F880" s="20">
        <f t="shared" si="14"/>
        <v>134082897</v>
      </c>
      <c r="G880" s="7" t="s">
        <v>330</v>
      </c>
      <c r="H880" s="24" t="s">
        <v>109</v>
      </c>
      <c r="I880" s="32" t="s">
        <v>152</v>
      </c>
    </row>
    <row r="881" spans="1:9" x14ac:dyDescent="0.35">
      <c r="A881" s="19">
        <v>46089</v>
      </c>
      <c r="B881" s="20"/>
      <c r="C881" s="20"/>
      <c r="D881" s="20">
        <v>50000</v>
      </c>
      <c r="E881" s="234" t="s">
        <v>1190</v>
      </c>
      <c r="F881" s="20">
        <f t="shared" si="14"/>
        <v>134132897</v>
      </c>
      <c r="G881" s="7" t="s">
        <v>330</v>
      </c>
      <c r="H881" s="24" t="s">
        <v>109</v>
      </c>
      <c r="I881" s="32" t="s">
        <v>152</v>
      </c>
    </row>
    <row r="882" spans="1:9" x14ac:dyDescent="0.35">
      <c r="A882" s="19">
        <v>46089</v>
      </c>
      <c r="B882" s="20"/>
      <c r="C882" s="20"/>
      <c r="D882" s="20">
        <v>20000</v>
      </c>
      <c r="E882" s="234" t="s">
        <v>1190</v>
      </c>
      <c r="F882" s="20">
        <f t="shared" si="14"/>
        <v>134152897</v>
      </c>
      <c r="G882" s="7" t="s">
        <v>330</v>
      </c>
      <c r="H882" s="24" t="s">
        <v>109</v>
      </c>
      <c r="I882" s="32" t="s">
        <v>152</v>
      </c>
    </row>
    <row r="883" spans="1:9" x14ac:dyDescent="0.35">
      <c r="A883" s="19">
        <v>46089</v>
      </c>
      <c r="B883" s="20"/>
      <c r="C883" s="20"/>
      <c r="D883" s="20">
        <v>100000</v>
      </c>
      <c r="E883" s="234" t="s">
        <v>1190</v>
      </c>
      <c r="F883" s="20">
        <f t="shared" si="14"/>
        <v>134252897</v>
      </c>
      <c r="G883" s="7" t="s">
        <v>330</v>
      </c>
      <c r="H883" s="24" t="s">
        <v>109</v>
      </c>
      <c r="I883" s="32" t="s">
        <v>152</v>
      </c>
    </row>
    <row r="884" spans="1:9" x14ac:dyDescent="0.35">
      <c r="A884" s="19">
        <v>46089</v>
      </c>
      <c r="B884" s="20"/>
      <c r="C884" s="20"/>
      <c r="D884" s="20">
        <v>50000</v>
      </c>
      <c r="E884" s="234" t="s">
        <v>1190</v>
      </c>
      <c r="F884" s="20">
        <f t="shared" si="14"/>
        <v>134302897</v>
      </c>
      <c r="G884" s="7" t="s">
        <v>330</v>
      </c>
      <c r="H884" s="24" t="s">
        <v>109</v>
      </c>
      <c r="I884" s="32" t="s">
        <v>152</v>
      </c>
    </row>
    <row r="885" spans="1:9" x14ac:dyDescent="0.35">
      <c r="A885" s="19">
        <v>46089</v>
      </c>
      <c r="B885" s="20"/>
      <c r="C885" s="20"/>
      <c r="D885" s="20">
        <v>50000</v>
      </c>
      <c r="E885" s="234" t="s">
        <v>1190</v>
      </c>
      <c r="F885" s="20">
        <f t="shared" si="14"/>
        <v>134352897</v>
      </c>
      <c r="G885" s="7" t="s">
        <v>330</v>
      </c>
      <c r="H885" s="24" t="s">
        <v>109</v>
      </c>
      <c r="I885" s="32" t="s">
        <v>152</v>
      </c>
    </row>
    <row r="886" spans="1:9" x14ac:dyDescent="0.35">
      <c r="A886" s="19">
        <v>46089</v>
      </c>
      <c r="B886" s="20"/>
      <c r="C886" s="20"/>
      <c r="D886" s="20">
        <v>20000</v>
      </c>
      <c r="E886" s="234" t="s">
        <v>1190</v>
      </c>
      <c r="F886" s="20">
        <f t="shared" si="14"/>
        <v>134372897</v>
      </c>
      <c r="G886" s="7" t="s">
        <v>330</v>
      </c>
      <c r="H886" s="24" t="s">
        <v>109</v>
      </c>
      <c r="I886" s="32" t="s">
        <v>152</v>
      </c>
    </row>
    <row r="887" spans="1:9" x14ac:dyDescent="0.35">
      <c r="A887" s="19">
        <v>46089</v>
      </c>
      <c r="B887" s="20"/>
      <c r="C887" s="20"/>
      <c r="D887" s="20">
        <v>50000</v>
      </c>
      <c r="E887" s="234" t="s">
        <v>1190</v>
      </c>
      <c r="F887" s="20">
        <f t="shared" si="14"/>
        <v>134422897</v>
      </c>
      <c r="G887" s="7" t="s">
        <v>330</v>
      </c>
      <c r="H887" s="24" t="s">
        <v>109</v>
      </c>
      <c r="I887" s="32" t="s">
        <v>152</v>
      </c>
    </row>
    <row r="888" spans="1:9" x14ac:dyDescent="0.35">
      <c r="A888" s="19">
        <v>46089</v>
      </c>
      <c r="B888" s="20"/>
      <c r="C888" s="20"/>
      <c r="D888" s="20">
        <v>2915</v>
      </c>
      <c r="E888" s="234" t="s">
        <v>1190</v>
      </c>
      <c r="F888" s="20">
        <f t="shared" si="14"/>
        <v>134425812</v>
      </c>
      <c r="G888" s="7" t="s">
        <v>330</v>
      </c>
      <c r="H888" s="24" t="s">
        <v>109</v>
      </c>
      <c r="I888" s="32" t="s">
        <v>152</v>
      </c>
    </row>
    <row r="889" spans="1:9" x14ac:dyDescent="0.35">
      <c r="A889" s="19">
        <v>46089</v>
      </c>
      <c r="B889" s="20"/>
      <c r="C889" s="20"/>
      <c r="D889" s="20">
        <v>10000</v>
      </c>
      <c r="E889" s="234" t="s">
        <v>1190</v>
      </c>
      <c r="F889" s="20">
        <f t="shared" si="14"/>
        <v>134435812</v>
      </c>
      <c r="G889" s="7" t="s">
        <v>330</v>
      </c>
      <c r="H889" s="24" t="s">
        <v>109</v>
      </c>
      <c r="I889" s="32" t="s">
        <v>152</v>
      </c>
    </row>
    <row r="890" spans="1:9" x14ac:dyDescent="0.35">
      <c r="A890" s="19">
        <v>46089</v>
      </c>
      <c r="B890" s="20"/>
      <c r="C890" s="20"/>
      <c r="D890" s="20">
        <v>50000</v>
      </c>
      <c r="E890" s="234" t="s">
        <v>1190</v>
      </c>
      <c r="F890" s="20">
        <f t="shared" si="14"/>
        <v>134485812</v>
      </c>
      <c r="G890" s="7" t="s">
        <v>330</v>
      </c>
      <c r="H890" s="24" t="s">
        <v>109</v>
      </c>
      <c r="I890" s="32" t="s">
        <v>152</v>
      </c>
    </row>
    <row r="891" spans="1:9" x14ac:dyDescent="0.35">
      <c r="A891" s="19">
        <v>46089</v>
      </c>
      <c r="B891" s="20"/>
      <c r="C891" s="20"/>
      <c r="D891" s="20">
        <v>25000</v>
      </c>
      <c r="E891" s="234" t="s">
        <v>1190</v>
      </c>
      <c r="F891" s="20">
        <f t="shared" si="14"/>
        <v>134510812</v>
      </c>
      <c r="G891" s="7" t="s">
        <v>330</v>
      </c>
      <c r="H891" s="24" t="s">
        <v>109</v>
      </c>
      <c r="I891" s="32" t="s">
        <v>152</v>
      </c>
    </row>
    <row r="892" spans="1:9" x14ac:dyDescent="0.35">
      <c r="A892" s="19">
        <v>46089</v>
      </c>
      <c r="B892" s="20"/>
      <c r="C892" s="20"/>
      <c r="D892" s="20">
        <v>20000</v>
      </c>
      <c r="E892" s="234" t="s">
        <v>1190</v>
      </c>
      <c r="F892" s="20">
        <f t="shared" si="14"/>
        <v>134530812</v>
      </c>
      <c r="G892" s="7" t="s">
        <v>330</v>
      </c>
      <c r="H892" s="24" t="s">
        <v>109</v>
      </c>
      <c r="I892" s="32" t="s">
        <v>152</v>
      </c>
    </row>
    <row r="893" spans="1:9" x14ac:dyDescent="0.35">
      <c r="A893" s="19">
        <v>46089</v>
      </c>
      <c r="B893" s="20"/>
      <c r="C893" s="20"/>
      <c r="D893" s="20">
        <v>35000</v>
      </c>
      <c r="E893" s="234" t="s">
        <v>1190</v>
      </c>
      <c r="F893" s="20">
        <f t="shared" si="14"/>
        <v>134565812</v>
      </c>
      <c r="G893" s="7" t="s">
        <v>330</v>
      </c>
      <c r="H893" s="24" t="s">
        <v>109</v>
      </c>
      <c r="I893" s="32" t="s">
        <v>152</v>
      </c>
    </row>
    <row r="894" spans="1:9" x14ac:dyDescent="0.35">
      <c r="A894" s="19">
        <v>46089</v>
      </c>
      <c r="B894" s="20"/>
      <c r="C894" s="20"/>
      <c r="D894" s="20">
        <v>10000</v>
      </c>
      <c r="E894" s="234" t="s">
        <v>1190</v>
      </c>
      <c r="F894" s="20">
        <f t="shared" si="14"/>
        <v>134575812</v>
      </c>
      <c r="G894" s="7" t="s">
        <v>330</v>
      </c>
      <c r="H894" s="24" t="s">
        <v>109</v>
      </c>
      <c r="I894" s="32" t="s">
        <v>152</v>
      </c>
    </row>
    <row r="895" spans="1:9" x14ac:dyDescent="0.35">
      <c r="A895" s="19">
        <v>46089</v>
      </c>
      <c r="B895" s="20"/>
      <c r="C895" s="20"/>
      <c r="D895" s="20">
        <v>50000</v>
      </c>
      <c r="E895" s="234" t="s">
        <v>1190</v>
      </c>
      <c r="F895" s="20">
        <f t="shared" si="14"/>
        <v>134625812</v>
      </c>
      <c r="G895" s="7" t="s">
        <v>330</v>
      </c>
      <c r="H895" s="24" t="s">
        <v>109</v>
      </c>
      <c r="I895" s="32" t="s">
        <v>152</v>
      </c>
    </row>
    <row r="896" spans="1:9" x14ac:dyDescent="0.35">
      <c r="A896" s="19">
        <v>46089</v>
      </c>
      <c r="B896" s="20"/>
      <c r="C896" s="20"/>
      <c r="D896" s="20">
        <v>35000</v>
      </c>
      <c r="E896" s="234" t="s">
        <v>1190</v>
      </c>
      <c r="F896" s="20">
        <f t="shared" si="14"/>
        <v>134660812</v>
      </c>
      <c r="G896" s="7" t="s">
        <v>330</v>
      </c>
      <c r="H896" s="24" t="s">
        <v>109</v>
      </c>
      <c r="I896" s="32" t="s">
        <v>152</v>
      </c>
    </row>
    <row r="897" spans="1:9" x14ac:dyDescent="0.35">
      <c r="A897" s="19">
        <v>46089</v>
      </c>
      <c r="B897" s="20"/>
      <c r="C897" s="20"/>
      <c r="D897" s="20">
        <v>100000</v>
      </c>
      <c r="E897" s="234" t="s">
        <v>1190</v>
      </c>
      <c r="F897" s="20">
        <f t="shared" si="14"/>
        <v>134760812</v>
      </c>
      <c r="G897" s="7" t="s">
        <v>330</v>
      </c>
      <c r="H897" s="24" t="s">
        <v>109</v>
      </c>
      <c r="I897" s="32" t="s">
        <v>152</v>
      </c>
    </row>
    <row r="898" spans="1:9" x14ac:dyDescent="0.35">
      <c r="A898" s="19">
        <v>46089</v>
      </c>
      <c r="B898" s="20"/>
      <c r="C898" s="20"/>
      <c r="D898" s="20">
        <v>2000000</v>
      </c>
      <c r="E898" s="234" t="s">
        <v>1190</v>
      </c>
      <c r="F898" s="20">
        <f t="shared" si="14"/>
        <v>136760812</v>
      </c>
      <c r="G898" s="7" t="s">
        <v>425</v>
      </c>
      <c r="H898" s="24" t="s">
        <v>109</v>
      </c>
      <c r="I898" s="32" t="s">
        <v>152</v>
      </c>
    </row>
    <row r="899" spans="1:9" x14ac:dyDescent="0.35">
      <c r="A899" s="19">
        <v>46089</v>
      </c>
      <c r="B899" s="20">
        <v>3000000</v>
      </c>
      <c r="C899" s="20"/>
      <c r="D899" s="20"/>
      <c r="E899" s="234" t="s">
        <v>1190</v>
      </c>
      <c r="F899" s="20">
        <f t="shared" si="14"/>
        <v>133760812</v>
      </c>
      <c r="G899" s="7" t="s">
        <v>1195</v>
      </c>
      <c r="H899" s="24" t="s">
        <v>323</v>
      </c>
      <c r="I899" s="32" t="s">
        <v>152</v>
      </c>
    </row>
    <row r="900" spans="1:9" x14ac:dyDescent="0.35">
      <c r="A900" s="19">
        <v>46089</v>
      </c>
      <c r="B900" s="20">
        <v>6500</v>
      </c>
      <c r="C900" s="20"/>
      <c r="D900" s="20"/>
      <c r="E900" s="234" t="s">
        <v>1190</v>
      </c>
      <c r="F900" s="20">
        <f t="shared" si="14"/>
        <v>133754312</v>
      </c>
      <c r="G900" s="7" t="s">
        <v>1161</v>
      </c>
      <c r="H900" s="24" t="s">
        <v>320</v>
      </c>
      <c r="I900" s="32" t="s">
        <v>152</v>
      </c>
    </row>
    <row r="901" spans="1:9" x14ac:dyDescent="0.35">
      <c r="A901" s="19">
        <v>46089</v>
      </c>
      <c r="B901" s="20"/>
      <c r="C901" s="20"/>
      <c r="D901" s="20">
        <v>1000000</v>
      </c>
      <c r="E901" s="234" t="s">
        <v>1190</v>
      </c>
      <c r="F901" s="20">
        <f t="shared" si="14"/>
        <v>134754312</v>
      </c>
      <c r="G901" s="7" t="s">
        <v>609</v>
      </c>
      <c r="H901" s="24" t="s">
        <v>109</v>
      </c>
      <c r="I901" s="32" t="s">
        <v>152</v>
      </c>
    </row>
    <row r="902" spans="1:9" x14ac:dyDescent="0.35">
      <c r="A902" s="19">
        <v>46090</v>
      </c>
      <c r="B902" s="20"/>
      <c r="C902" s="20"/>
      <c r="D902" s="20">
        <v>10000</v>
      </c>
      <c r="E902" s="234" t="s">
        <v>1190</v>
      </c>
      <c r="F902" s="20">
        <f t="shared" si="14"/>
        <v>134764312</v>
      </c>
      <c r="G902" s="7" t="s">
        <v>330</v>
      </c>
      <c r="H902" s="24" t="s">
        <v>109</v>
      </c>
      <c r="I902" s="32" t="s">
        <v>152</v>
      </c>
    </row>
    <row r="903" spans="1:9" x14ac:dyDescent="0.35">
      <c r="A903" s="19">
        <v>46090</v>
      </c>
      <c r="B903" s="20"/>
      <c r="C903" s="20"/>
      <c r="D903" s="20">
        <v>20000</v>
      </c>
      <c r="E903" s="234" t="s">
        <v>1190</v>
      </c>
      <c r="F903" s="20">
        <f t="shared" si="14"/>
        <v>134784312</v>
      </c>
      <c r="G903" s="7" t="s">
        <v>330</v>
      </c>
      <c r="H903" s="24" t="s">
        <v>109</v>
      </c>
      <c r="I903" s="32" t="s">
        <v>152</v>
      </c>
    </row>
    <row r="904" spans="1:9" x14ac:dyDescent="0.35">
      <c r="A904" s="19">
        <v>46090</v>
      </c>
      <c r="B904" s="20"/>
      <c r="C904" s="20"/>
      <c r="D904" s="20">
        <v>2500</v>
      </c>
      <c r="E904" s="234" t="s">
        <v>1190</v>
      </c>
      <c r="F904" s="20">
        <f t="shared" si="14"/>
        <v>134786812</v>
      </c>
      <c r="G904" s="7" t="s">
        <v>330</v>
      </c>
      <c r="H904" s="24" t="s">
        <v>109</v>
      </c>
      <c r="I904" s="32" t="s">
        <v>152</v>
      </c>
    </row>
    <row r="905" spans="1:9" x14ac:dyDescent="0.35">
      <c r="A905" s="19">
        <v>46090</v>
      </c>
      <c r="B905" s="20"/>
      <c r="C905" s="20"/>
      <c r="D905" s="20">
        <v>20000</v>
      </c>
      <c r="E905" s="234" t="s">
        <v>1190</v>
      </c>
      <c r="F905" s="20">
        <f t="shared" si="14"/>
        <v>134806812</v>
      </c>
      <c r="G905" s="7" t="s">
        <v>330</v>
      </c>
      <c r="H905" s="24" t="s">
        <v>109</v>
      </c>
      <c r="I905" s="32" t="s">
        <v>152</v>
      </c>
    </row>
    <row r="906" spans="1:9" x14ac:dyDescent="0.35">
      <c r="A906" s="19">
        <v>46090</v>
      </c>
      <c r="B906" s="20"/>
      <c r="C906" s="20"/>
      <c r="D906" s="20">
        <v>25000</v>
      </c>
      <c r="E906" s="234" t="s">
        <v>1190</v>
      </c>
      <c r="F906" s="20">
        <f t="shared" si="14"/>
        <v>134831812</v>
      </c>
      <c r="G906" s="7" t="s">
        <v>330</v>
      </c>
      <c r="H906" s="24" t="s">
        <v>109</v>
      </c>
      <c r="I906" s="32" t="s">
        <v>152</v>
      </c>
    </row>
    <row r="907" spans="1:9" x14ac:dyDescent="0.35">
      <c r="A907" s="19">
        <v>46090</v>
      </c>
      <c r="B907" s="20"/>
      <c r="C907" s="20"/>
      <c r="D907" s="20">
        <v>35000</v>
      </c>
      <c r="E907" s="234" t="s">
        <v>1190</v>
      </c>
      <c r="F907" s="20">
        <f t="shared" si="14"/>
        <v>134866812</v>
      </c>
      <c r="G907" s="7" t="s">
        <v>330</v>
      </c>
      <c r="H907" s="24" t="s">
        <v>109</v>
      </c>
      <c r="I907" s="32" t="s">
        <v>152</v>
      </c>
    </row>
    <row r="908" spans="1:9" x14ac:dyDescent="0.35">
      <c r="A908" s="19">
        <v>46090</v>
      </c>
      <c r="B908" s="20"/>
      <c r="C908" s="20"/>
      <c r="D908" s="20">
        <v>10000</v>
      </c>
      <c r="E908" s="234" t="s">
        <v>1190</v>
      </c>
      <c r="F908" s="20">
        <f t="shared" si="14"/>
        <v>134876812</v>
      </c>
      <c r="G908" s="7" t="s">
        <v>330</v>
      </c>
      <c r="H908" s="24" t="s">
        <v>109</v>
      </c>
      <c r="I908" s="32" t="s">
        <v>152</v>
      </c>
    </row>
    <row r="909" spans="1:9" x14ac:dyDescent="0.35">
      <c r="A909" s="19">
        <v>46090</v>
      </c>
      <c r="B909" s="20"/>
      <c r="C909" s="20"/>
      <c r="D909" s="20">
        <v>3000</v>
      </c>
      <c r="E909" s="234" t="s">
        <v>1190</v>
      </c>
      <c r="F909" s="20">
        <f t="shared" si="14"/>
        <v>134879812</v>
      </c>
      <c r="G909" s="7" t="s">
        <v>330</v>
      </c>
      <c r="H909" s="24" t="s">
        <v>109</v>
      </c>
      <c r="I909" s="32" t="s">
        <v>152</v>
      </c>
    </row>
    <row r="910" spans="1:9" x14ac:dyDescent="0.35">
      <c r="A910" s="19">
        <v>46090</v>
      </c>
      <c r="B910" s="20"/>
      <c r="C910" s="20"/>
      <c r="D910" s="20">
        <v>50000</v>
      </c>
      <c r="E910" s="234" t="s">
        <v>1190</v>
      </c>
      <c r="F910" s="20">
        <f t="shared" si="14"/>
        <v>134929812</v>
      </c>
      <c r="G910" s="7" t="s">
        <v>330</v>
      </c>
      <c r="H910" s="24" t="s">
        <v>109</v>
      </c>
      <c r="I910" s="32" t="s">
        <v>152</v>
      </c>
    </row>
    <row r="911" spans="1:9" x14ac:dyDescent="0.35">
      <c r="A911" s="19">
        <v>46090</v>
      </c>
      <c r="B911" s="20"/>
      <c r="C911" s="20"/>
      <c r="D911" s="20">
        <v>50000</v>
      </c>
      <c r="E911" s="234" t="s">
        <v>1190</v>
      </c>
      <c r="F911" s="20">
        <f t="shared" si="14"/>
        <v>134979812</v>
      </c>
      <c r="G911" s="7" t="s">
        <v>330</v>
      </c>
      <c r="H911" s="24" t="s">
        <v>109</v>
      </c>
      <c r="I911" s="32" t="s">
        <v>152</v>
      </c>
    </row>
    <row r="912" spans="1:9" x14ac:dyDescent="0.35">
      <c r="A912" s="19">
        <v>46090</v>
      </c>
      <c r="B912" s="20"/>
      <c r="C912" s="20"/>
      <c r="D912" s="20">
        <v>20000</v>
      </c>
      <c r="E912" s="234" t="s">
        <v>1190</v>
      </c>
      <c r="F912" s="20">
        <f t="shared" si="14"/>
        <v>134999812</v>
      </c>
      <c r="G912" s="7" t="s">
        <v>330</v>
      </c>
      <c r="H912" s="24" t="s">
        <v>109</v>
      </c>
      <c r="I912" s="32" t="s">
        <v>152</v>
      </c>
    </row>
    <row r="913" spans="1:9" x14ac:dyDescent="0.35">
      <c r="A913" s="19">
        <v>46090</v>
      </c>
      <c r="B913" s="20"/>
      <c r="C913" s="20"/>
      <c r="D913" s="20">
        <v>50000</v>
      </c>
      <c r="E913" s="234" t="s">
        <v>1190</v>
      </c>
      <c r="F913" s="20">
        <f t="shared" si="14"/>
        <v>135049812</v>
      </c>
      <c r="G913" s="7" t="s">
        <v>330</v>
      </c>
      <c r="H913" s="24" t="s">
        <v>109</v>
      </c>
      <c r="I913" s="32" t="s">
        <v>152</v>
      </c>
    </row>
    <row r="914" spans="1:9" x14ac:dyDescent="0.35">
      <c r="A914" s="19">
        <v>46090</v>
      </c>
      <c r="B914" s="20"/>
      <c r="C914" s="20"/>
      <c r="D914" s="20">
        <v>50000</v>
      </c>
      <c r="E914" s="234" t="s">
        <v>1190</v>
      </c>
      <c r="F914" s="20">
        <f t="shared" si="14"/>
        <v>135099812</v>
      </c>
      <c r="G914" s="7" t="s">
        <v>330</v>
      </c>
      <c r="H914" s="24" t="s">
        <v>109</v>
      </c>
      <c r="I914" s="32" t="s">
        <v>152</v>
      </c>
    </row>
    <row r="915" spans="1:9" x14ac:dyDescent="0.35">
      <c r="A915" s="19">
        <v>46090</v>
      </c>
      <c r="B915" s="20"/>
      <c r="C915" s="20"/>
      <c r="D915" s="20">
        <v>10000</v>
      </c>
      <c r="E915" s="234" t="s">
        <v>1190</v>
      </c>
      <c r="F915" s="20">
        <f t="shared" si="14"/>
        <v>135109812</v>
      </c>
      <c r="G915" s="7" t="s">
        <v>330</v>
      </c>
      <c r="H915" s="24" t="s">
        <v>109</v>
      </c>
      <c r="I915" s="32" t="s">
        <v>152</v>
      </c>
    </row>
    <row r="916" spans="1:9" x14ac:dyDescent="0.35">
      <c r="A916" s="19">
        <v>46090</v>
      </c>
      <c r="B916" s="20"/>
      <c r="C916" s="20"/>
      <c r="D916" s="20">
        <v>2500</v>
      </c>
      <c r="E916" s="234" t="s">
        <v>1190</v>
      </c>
      <c r="F916" s="20">
        <f t="shared" si="14"/>
        <v>135112312</v>
      </c>
      <c r="G916" s="7" t="s">
        <v>330</v>
      </c>
      <c r="H916" s="24" t="s">
        <v>109</v>
      </c>
      <c r="I916" s="32" t="s">
        <v>152</v>
      </c>
    </row>
    <row r="917" spans="1:9" x14ac:dyDescent="0.35">
      <c r="A917" s="19">
        <v>46090</v>
      </c>
      <c r="B917" s="20"/>
      <c r="C917" s="20"/>
      <c r="D917" s="20">
        <v>50000</v>
      </c>
      <c r="E917" s="234" t="s">
        <v>1190</v>
      </c>
      <c r="F917" s="20">
        <f t="shared" si="14"/>
        <v>135162312</v>
      </c>
      <c r="G917" s="7" t="s">
        <v>330</v>
      </c>
      <c r="H917" s="24" t="s">
        <v>109</v>
      </c>
      <c r="I917" s="32" t="s">
        <v>152</v>
      </c>
    </row>
    <row r="918" spans="1:9" x14ac:dyDescent="0.35">
      <c r="A918" s="19">
        <v>46090</v>
      </c>
      <c r="B918" s="20"/>
      <c r="C918" s="20"/>
      <c r="D918" s="20">
        <f>4509000-850000</f>
        <v>3659000</v>
      </c>
      <c r="E918" s="234" t="s">
        <v>1190</v>
      </c>
      <c r="F918" s="20">
        <f t="shared" si="14"/>
        <v>138821312</v>
      </c>
      <c r="G918" s="7"/>
      <c r="H918" s="24" t="s">
        <v>107</v>
      </c>
      <c r="I918" s="32" t="s">
        <v>152</v>
      </c>
    </row>
    <row r="919" spans="1:9" x14ac:dyDescent="0.35">
      <c r="A919" s="19">
        <v>46090</v>
      </c>
      <c r="B919" s="20"/>
      <c r="C919" s="20"/>
      <c r="D919" s="20">
        <v>877000</v>
      </c>
      <c r="E919" s="234" t="s">
        <v>1190</v>
      </c>
      <c r="F919" s="20">
        <f t="shared" si="14"/>
        <v>139698312</v>
      </c>
      <c r="G919" s="7"/>
      <c r="H919" s="24" t="s">
        <v>109</v>
      </c>
      <c r="I919" s="32" t="s">
        <v>152</v>
      </c>
    </row>
    <row r="920" spans="1:9" x14ac:dyDescent="0.35">
      <c r="A920" s="19">
        <v>46090</v>
      </c>
      <c r="B920" s="20"/>
      <c r="C920" s="20"/>
      <c r="D920" s="20">
        <v>2192000</v>
      </c>
      <c r="E920" s="234" t="s">
        <v>1190</v>
      </c>
      <c r="F920" s="20">
        <f t="shared" si="14"/>
        <v>141890312</v>
      </c>
      <c r="G920" s="7"/>
      <c r="H920" s="24" t="s">
        <v>377</v>
      </c>
      <c r="I920" s="32" t="s">
        <v>152</v>
      </c>
    </row>
    <row r="921" spans="1:9" x14ac:dyDescent="0.35">
      <c r="A921" s="19">
        <v>46090</v>
      </c>
      <c r="B921" s="20"/>
      <c r="C921" s="20"/>
      <c r="D921" s="20">
        <v>5000000</v>
      </c>
      <c r="E921" s="234" t="s">
        <v>1190</v>
      </c>
      <c r="F921" s="20">
        <f t="shared" si="14"/>
        <v>146890312</v>
      </c>
      <c r="G921" s="7"/>
      <c r="H921" s="24" t="s">
        <v>105</v>
      </c>
      <c r="I921" s="32" t="s">
        <v>152</v>
      </c>
    </row>
    <row r="922" spans="1:9" x14ac:dyDescent="0.35">
      <c r="A922" s="19"/>
      <c r="B922" s="20"/>
      <c r="C922" s="20">
        <v>11728000</v>
      </c>
      <c r="D922" s="20"/>
      <c r="E922" s="234" t="s">
        <v>1190</v>
      </c>
      <c r="F922" s="20">
        <f t="shared" si="14"/>
        <v>146890312</v>
      </c>
      <c r="G922" s="7" t="s">
        <v>1196</v>
      </c>
      <c r="H922" s="24"/>
      <c r="I922" s="32"/>
    </row>
    <row r="923" spans="1:9" x14ac:dyDescent="0.35">
      <c r="A923" s="19">
        <v>46090</v>
      </c>
      <c r="B923" s="20"/>
      <c r="C923" s="20"/>
      <c r="D923" s="20">
        <v>25000000</v>
      </c>
      <c r="E923" s="234" t="s">
        <v>1190</v>
      </c>
      <c r="F923" s="20">
        <f t="shared" si="14"/>
        <v>171890312</v>
      </c>
      <c r="G923" s="7" t="s">
        <v>1197</v>
      </c>
      <c r="H923" s="24" t="s">
        <v>105</v>
      </c>
      <c r="I923" s="32" t="s">
        <v>152</v>
      </c>
    </row>
    <row r="924" spans="1:9" x14ac:dyDescent="0.35">
      <c r="A924" s="19">
        <v>46090</v>
      </c>
      <c r="B924" s="20"/>
      <c r="C924" s="20"/>
      <c r="D924" s="20">
        <v>20000</v>
      </c>
      <c r="E924" s="234" t="s">
        <v>1190</v>
      </c>
      <c r="F924" s="20">
        <f t="shared" si="14"/>
        <v>171910312</v>
      </c>
      <c r="G924" s="7" t="s">
        <v>330</v>
      </c>
      <c r="H924" s="24" t="s">
        <v>109</v>
      </c>
      <c r="I924" s="32" t="s">
        <v>152</v>
      </c>
    </row>
    <row r="925" spans="1:9" x14ac:dyDescent="0.35">
      <c r="A925" s="19">
        <v>46091</v>
      </c>
      <c r="B925" s="20"/>
      <c r="C925" s="20"/>
      <c r="D925" s="20">
        <v>25000</v>
      </c>
      <c r="E925" s="234" t="s">
        <v>1190</v>
      </c>
      <c r="F925" s="20">
        <f t="shared" si="14"/>
        <v>171935312</v>
      </c>
      <c r="G925" s="7" t="s">
        <v>330</v>
      </c>
      <c r="H925" s="24" t="s">
        <v>109</v>
      </c>
      <c r="I925" s="32" t="s">
        <v>152</v>
      </c>
    </row>
    <row r="926" spans="1:9" x14ac:dyDescent="0.35">
      <c r="A926" s="19">
        <v>46091</v>
      </c>
      <c r="B926" s="20"/>
      <c r="C926" s="20"/>
      <c r="D926" s="20">
        <v>20000</v>
      </c>
      <c r="E926" s="234" t="s">
        <v>1190</v>
      </c>
      <c r="F926" s="20">
        <f t="shared" si="14"/>
        <v>171955312</v>
      </c>
      <c r="G926" s="7" t="s">
        <v>330</v>
      </c>
      <c r="H926" s="24" t="s">
        <v>109</v>
      </c>
      <c r="I926" s="32" t="s">
        <v>152</v>
      </c>
    </row>
    <row r="927" spans="1:9" x14ac:dyDescent="0.35">
      <c r="A927" s="19">
        <v>46091</v>
      </c>
      <c r="B927" s="20"/>
      <c r="C927" s="20"/>
      <c r="D927" s="20">
        <v>10000</v>
      </c>
      <c r="E927" s="234" t="s">
        <v>1190</v>
      </c>
      <c r="F927" s="20">
        <f t="shared" ref="F927:F990" si="15">+F926+D927-B927</f>
        <v>171965312</v>
      </c>
      <c r="G927" s="7" t="s">
        <v>330</v>
      </c>
      <c r="H927" s="24" t="s">
        <v>109</v>
      </c>
      <c r="I927" s="32" t="s">
        <v>152</v>
      </c>
    </row>
    <row r="928" spans="1:9" x14ac:dyDescent="0.35">
      <c r="A928" s="19">
        <v>46091</v>
      </c>
      <c r="B928" s="20"/>
      <c r="C928" s="20"/>
      <c r="D928" s="20">
        <v>50000</v>
      </c>
      <c r="E928" s="234" t="s">
        <v>1190</v>
      </c>
      <c r="F928" s="20">
        <f t="shared" si="15"/>
        <v>172015312</v>
      </c>
      <c r="G928" s="7" t="s">
        <v>330</v>
      </c>
      <c r="H928" s="24" t="s">
        <v>109</v>
      </c>
      <c r="I928" s="32" t="s">
        <v>152</v>
      </c>
    </row>
    <row r="929" spans="1:9" x14ac:dyDescent="0.35">
      <c r="A929" s="19">
        <v>46091</v>
      </c>
      <c r="B929" s="20"/>
      <c r="C929" s="20"/>
      <c r="D929" s="20">
        <v>10000</v>
      </c>
      <c r="E929" s="234" t="s">
        <v>1190</v>
      </c>
      <c r="F929" s="20">
        <f t="shared" si="15"/>
        <v>172025312</v>
      </c>
      <c r="G929" s="7" t="s">
        <v>330</v>
      </c>
      <c r="H929" s="24" t="s">
        <v>109</v>
      </c>
      <c r="I929" s="32" t="s">
        <v>152</v>
      </c>
    </row>
    <row r="930" spans="1:9" x14ac:dyDescent="0.35">
      <c r="A930" s="19">
        <v>46091</v>
      </c>
      <c r="B930" s="20"/>
      <c r="C930" s="20"/>
      <c r="D930" s="20">
        <v>25000</v>
      </c>
      <c r="E930" s="234" t="s">
        <v>1190</v>
      </c>
      <c r="F930" s="20">
        <f t="shared" si="15"/>
        <v>172050312</v>
      </c>
      <c r="G930" s="7" t="s">
        <v>330</v>
      </c>
      <c r="H930" s="24" t="s">
        <v>109</v>
      </c>
      <c r="I930" s="32" t="s">
        <v>152</v>
      </c>
    </row>
    <row r="931" spans="1:9" x14ac:dyDescent="0.35">
      <c r="A931" s="19">
        <v>46091</v>
      </c>
      <c r="B931" s="20"/>
      <c r="C931" s="20"/>
      <c r="D931" s="20">
        <v>5000</v>
      </c>
      <c r="E931" s="234" t="s">
        <v>1190</v>
      </c>
      <c r="F931" s="20">
        <f t="shared" si="15"/>
        <v>172055312</v>
      </c>
      <c r="G931" s="7" t="s">
        <v>330</v>
      </c>
      <c r="H931" s="24" t="s">
        <v>109</v>
      </c>
      <c r="I931" s="32" t="s">
        <v>152</v>
      </c>
    </row>
    <row r="932" spans="1:9" x14ac:dyDescent="0.35">
      <c r="A932" s="19">
        <v>46091</v>
      </c>
      <c r="B932" s="20"/>
      <c r="C932" s="20"/>
      <c r="D932" s="20">
        <v>50000</v>
      </c>
      <c r="E932" s="234" t="s">
        <v>1190</v>
      </c>
      <c r="F932" s="20">
        <f t="shared" si="15"/>
        <v>172105312</v>
      </c>
      <c r="G932" s="7" t="s">
        <v>330</v>
      </c>
      <c r="H932" s="24" t="s">
        <v>109</v>
      </c>
      <c r="I932" s="32" t="s">
        <v>152</v>
      </c>
    </row>
    <row r="933" spans="1:9" x14ac:dyDescent="0.35">
      <c r="A933" s="19">
        <v>46091</v>
      </c>
      <c r="B933" s="20"/>
      <c r="C933" s="20"/>
      <c r="D933" s="20">
        <v>2400</v>
      </c>
      <c r="E933" s="234" t="s">
        <v>1190</v>
      </c>
      <c r="F933" s="20">
        <f t="shared" si="15"/>
        <v>172107712</v>
      </c>
      <c r="G933" s="7" t="s">
        <v>330</v>
      </c>
      <c r="H933" s="24" t="s">
        <v>109</v>
      </c>
      <c r="I933" s="32" t="s">
        <v>152</v>
      </c>
    </row>
    <row r="934" spans="1:9" x14ac:dyDescent="0.35">
      <c r="A934" s="19">
        <v>46091</v>
      </c>
      <c r="B934" s="20"/>
      <c r="C934" s="20"/>
      <c r="D934" s="20">
        <v>5000</v>
      </c>
      <c r="E934" s="234" t="s">
        <v>1190</v>
      </c>
      <c r="F934" s="20">
        <f t="shared" si="15"/>
        <v>172112712</v>
      </c>
      <c r="G934" s="7" t="s">
        <v>330</v>
      </c>
      <c r="H934" s="24" t="s">
        <v>109</v>
      </c>
      <c r="I934" s="32" t="s">
        <v>152</v>
      </c>
    </row>
    <row r="935" spans="1:9" x14ac:dyDescent="0.35">
      <c r="A935" s="19">
        <v>46091</v>
      </c>
      <c r="B935" s="20"/>
      <c r="C935" s="20"/>
      <c r="D935" s="20">
        <v>25000</v>
      </c>
      <c r="E935" s="234" t="s">
        <v>1190</v>
      </c>
      <c r="F935" s="20">
        <f t="shared" si="15"/>
        <v>172137712</v>
      </c>
      <c r="G935" s="7" t="s">
        <v>330</v>
      </c>
      <c r="H935" s="24" t="s">
        <v>109</v>
      </c>
      <c r="I935" s="32" t="s">
        <v>152</v>
      </c>
    </row>
    <row r="936" spans="1:9" x14ac:dyDescent="0.35">
      <c r="A936" s="19">
        <v>46091</v>
      </c>
      <c r="B936" s="20"/>
      <c r="C936" s="20"/>
      <c r="D936" s="20">
        <v>25000</v>
      </c>
      <c r="E936" s="234" t="s">
        <v>1190</v>
      </c>
      <c r="F936" s="20">
        <f t="shared" si="15"/>
        <v>172162712</v>
      </c>
      <c r="G936" s="7" t="s">
        <v>330</v>
      </c>
      <c r="H936" s="24" t="s">
        <v>109</v>
      </c>
      <c r="I936" s="32" t="s">
        <v>152</v>
      </c>
    </row>
    <row r="937" spans="1:9" x14ac:dyDescent="0.35">
      <c r="A937" s="19">
        <v>46091</v>
      </c>
      <c r="B937" s="20"/>
      <c r="C937" s="20"/>
      <c r="D937" s="20">
        <v>50000</v>
      </c>
      <c r="E937" s="234" t="s">
        <v>1190</v>
      </c>
      <c r="F937" s="20">
        <f t="shared" si="15"/>
        <v>172212712</v>
      </c>
      <c r="G937" s="7" t="s">
        <v>330</v>
      </c>
      <c r="H937" s="24" t="s">
        <v>109</v>
      </c>
      <c r="I937" s="32" t="s">
        <v>152</v>
      </c>
    </row>
    <row r="938" spans="1:9" x14ac:dyDescent="0.35">
      <c r="A938" s="19">
        <v>46091</v>
      </c>
      <c r="B938" s="20"/>
      <c r="C938" s="20"/>
      <c r="D938" s="20">
        <v>10000</v>
      </c>
      <c r="E938" s="234" t="s">
        <v>1190</v>
      </c>
      <c r="F938" s="20">
        <f t="shared" si="15"/>
        <v>172222712</v>
      </c>
      <c r="G938" s="7" t="s">
        <v>330</v>
      </c>
      <c r="H938" s="24" t="s">
        <v>109</v>
      </c>
      <c r="I938" s="32" t="s">
        <v>152</v>
      </c>
    </row>
    <row r="939" spans="1:9" x14ac:dyDescent="0.35">
      <c r="A939" s="19">
        <v>46091</v>
      </c>
      <c r="B939" s="20"/>
      <c r="C939" s="20"/>
      <c r="D939" s="20">
        <v>5000</v>
      </c>
      <c r="E939" s="234" t="s">
        <v>1190</v>
      </c>
      <c r="F939" s="20">
        <f t="shared" si="15"/>
        <v>172227712</v>
      </c>
      <c r="G939" s="7" t="s">
        <v>330</v>
      </c>
      <c r="H939" s="24" t="s">
        <v>109</v>
      </c>
      <c r="I939" s="32" t="s">
        <v>152</v>
      </c>
    </row>
    <row r="940" spans="1:9" x14ac:dyDescent="0.35">
      <c r="A940" s="19">
        <v>46091</v>
      </c>
      <c r="B940" s="20"/>
      <c r="C940" s="20"/>
      <c r="D940" s="20">
        <v>100000</v>
      </c>
      <c r="E940" s="234" t="s">
        <v>1190</v>
      </c>
      <c r="F940" s="20">
        <f t="shared" si="15"/>
        <v>172327712</v>
      </c>
      <c r="G940" s="7" t="s">
        <v>330</v>
      </c>
      <c r="H940" s="24" t="s">
        <v>109</v>
      </c>
      <c r="I940" s="32" t="s">
        <v>152</v>
      </c>
    </row>
    <row r="941" spans="1:9" x14ac:dyDescent="0.35">
      <c r="A941" s="19">
        <v>46091</v>
      </c>
      <c r="B941" s="20"/>
      <c r="C941" s="20"/>
      <c r="D941" s="20">
        <v>300000</v>
      </c>
      <c r="E941" s="234" t="s">
        <v>1190</v>
      </c>
      <c r="F941" s="20">
        <f t="shared" si="15"/>
        <v>172627712</v>
      </c>
      <c r="G941" s="7" t="s">
        <v>1198</v>
      </c>
      <c r="H941" s="24" t="s">
        <v>109</v>
      </c>
      <c r="I941" s="32" t="s">
        <v>152</v>
      </c>
    </row>
    <row r="942" spans="1:9" x14ac:dyDescent="0.35">
      <c r="A942" s="19">
        <v>46091</v>
      </c>
      <c r="B942" s="20"/>
      <c r="C942" s="20"/>
      <c r="D942" s="20">
        <v>20000</v>
      </c>
      <c r="E942" s="234" t="s">
        <v>1190</v>
      </c>
      <c r="F942" s="20">
        <f t="shared" si="15"/>
        <v>172647712</v>
      </c>
      <c r="G942" s="7" t="s">
        <v>330</v>
      </c>
      <c r="H942" s="24" t="s">
        <v>109</v>
      </c>
      <c r="I942" s="32" t="s">
        <v>152</v>
      </c>
    </row>
    <row r="943" spans="1:9" x14ac:dyDescent="0.35">
      <c r="A943" s="19">
        <v>46091</v>
      </c>
      <c r="B943" s="20">
        <v>3000000</v>
      </c>
      <c r="C943" s="20"/>
      <c r="D943" s="20"/>
      <c r="E943" s="234" t="s">
        <v>1190</v>
      </c>
      <c r="F943" s="20">
        <f t="shared" si="15"/>
        <v>169647712</v>
      </c>
      <c r="G943" s="7" t="s">
        <v>1199</v>
      </c>
      <c r="H943" s="24" t="s">
        <v>322</v>
      </c>
      <c r="I943" s="32" t="s">
        <v>152</v>
      </c>
    </row>
    <row r="944" spans="1:9" x14ac:dyDescent="0.35">
      <c r="A944" s="19">
        <v>46091</v>
      </c>
      <c r="B944" s="20">
        <v>6500</v>
      </c>
      <c r="C944" s="20"/>
      <c r="D944" s="20"/>
      <c r="E944" s="234" t="s">
        <v>1190</v>
      </c>
      <c r="F944" s="20">
        <f t="shared" si="15"/>
        <v>169641212</v>
      </c>
      <c r="G944" s="7" t="s">
        <v>1199</v>
      </c>
      <c r="H944" s="24" t="s">
        <v>322</v>
      </c>
      <c r="I944" s="32" t="s">
        <v>152</v>
      </c>
    </row>
    <row r="945" spans="1:9" x14ac:dyDescent="0.35">
      <c r="A945" s="19">
        <v>46092</v>
      </c>
      <c r="B945" s="20"/>
      <c r="C945" s="20"/>
      <c r="D945" s="20">
        <v>100000</v>
      </c>
      <c r="E945" s="234" t="s">
        <v>1190</v>
      </c>
      <c r="F945" s="20">
        <f t="shared" si="15"/>
        <v>169741212</v>
      </c>
      <c r="G945" s="7" t="s">
        <v>330</v>
      </c>
      <c r="H945" s="24" t="s">
        <v>109</v>
      </c>
      <c r="I945" s="32" t="s">
        <v>152</v>
      </c>
    </row>
    <row r="946" spans="1:9" x14ac:dyDescent="0.35">
      <c r="A946" s="19">
        <v>46092</v>
      </c>
      <c r="B946" s="20"/>
      <c r="C946" s="20"/>
      <c r="D946" s="20">
        <v>100000</v>
      </c>
      <c r="E946" s="234" t="s">
        <v>1190</v>
      </c>
      <c r="F946" s="20">
        <f t="shared" si="15"/>
        <v>169841212</v>
      </c>
      <c r="G946" s="7" t="s">
        <v>330</v>
      </c>
      <c r="H946" s="24" t="s">
        <v>109</v>
      </c>
      <c r="I946" s="32" t="s">
        <v>152</v>
      </c>
    </row>
    <row r="947" spans="1:9" x14ac:dyDescent="0.35">
      <c r="A947" s="19">
        <v>46092</v>
      </c>
      <c r="B947" s="20"/>
      <c r="C947" s="20"/>
      <c r="D947" s="20">
        <v>25000</v>
      </c>
      <c r="E947" s="234" t="s">
        <v>1190</v>
      </c>
      <c r="F947" s="20">
        <f t="shared" si="15"/>
        <v>169866212</v>
      </c>
      <c r="G947" s="7" t="s">
        <v>330</v>
      </c>
      <c r="H947" s="24" t="s">
        <v>109</v>
      </c>
      <c r="I947" s="32" t="s">
        <v>152</v>
      </c>
    </row>
    <row r="948" spans="1:9" x14ac:dyDescent="0.35">
      <c r="A948" s="19">
        <v>46092</v>
      </c>
      <c r="B948" s="20"/>
      <c r="C948" s="20"/>
      <c r="D948" s="20">
        <v>50000</v>
      </c>
      <c r="E948" s="234" t="s">
        <v>1190</v>
      </c>
      <c r="F948" s="20">
        <f t="shared" si="15"/>
        <v>169916212</v>
      </c>
      <c r="G948" s="7" t="s">
        <v>330</v>
      </c>
      <c r="H948" s="24" t="s">
        <v>109</v>
      </c>
      <c r="I948" s="32" t="s">
        <v>152</v>
      </c>
    </row>
    <row r="949" spans="1:9" x14ac:dyDescent="0.35">
      <c r="A949" s="19">
        <v>46092</v>
      </c>
      <c r="B949" s="20"/>
      <c r="C949" s="20"/>
      <c r="D949" s="20">
        <v>10000</v>
      </c>
      <c r="E949" s="234" t="s">
        <v>1190</v>
      </c>
      <c r="F949" s="20">
        <f t="shared" si="15"/>
        <v>169926212</v>
      </c>
      <c r="G949" s="7" t="s">
        <v>330</v>
      </c>
      <c r="H949" s="24" t="s">
        <v>109</v>
      </c>
      <c r="I949" s="32" t="s">
        <v>152</v>
      </c>
    </row>
    <row r="950" spans="1:9" x14ac:dyDescent="0.35">
      <c r="A950" s="19">
        <v>46092</v>
      </c>
      <c r="B950" s="20"/>
      <c r="C950" s="20"/>
      <c r="D950" s="20">
        <v>100000</v>
      </c>
      <c r="E950" s="234" t="s">
        <v>1190</v>
      </c>
      <c r="F950" s="20">
        <f t="shared" si="15"/>
        <v>170026212</v>
      </c>
      <c r="G950" s="7" t="s">
        <v>330</v>
      </c>
      <c r="H950" s="24" t="s">
        <v>109</v>
      </c>
      <c r="I950" s="32" t="s">
        <v>152</v>
      </c>
    </row>
    <row r="951" spans="1:9" x14ac:dyDescent="0.35">
      <c r="A951" s="19">
        <v>46092</v>
      </c>
      <c r="B951" s="20"/>
      <c r="C951" s="20"/>
      <c r="D951" s="20">
        <v>5000</v>
      </c>
      <c r="E951" s="234" t="s">
        <v>1190</v>
      </c>
      <c r="F951" s="20">
        <f t="shared" si="15"/>
        <v>170031212</v>
      </c>
      <c r="G951" s="7" t="s">
        <v>330</v>
      </c>
      <c r="H951" s="24" t="s">
        <v>109</v>
      </c>
      <c r="I951" s="32" t="s">
        <v>152</v>
      </c>
    </row>
    <row r="952" spans="1:9" x14ac:dyDescent="0.35">
      <c r="A952" s="19">
        <v>46092</v>
      </c>
      <c r="B952" s="20"/>
      <c r="C952" s="20"/>
      <c r="D952" s="20">
        <v>2700</v>
      </c>
      <c r="E952" s="234" t="s">
        <v>1190</v>
      </c>
      <c r="F952" s="20">
        <f t="shared" si="15"/>
        <v>170033912</v>
      </c>
      <c r="G952" s="7" t="s">
        <v>330</v>
      </c>
      <c r="H952" s="24" t="s">
        <v>109</v>
      </c>
      <c r="I952" s="32" t="s">
        <v>152</v>
      </c>
    </row>
    <row r="953" spans="1:9" x14ac:dyDescent="0.35">
      <c r="A953" s="19">
        <v>46092</v>
      </c>
      <c r="B953" s="20"/>
      <c r="C953" s="20"/>
      <c r="D953" s="20">
        <v>25000</v>
      </c>
      <c r="E953" s="234" t="s">
        <v>1190</v>
      </c>
      <c r="F953" s="20">
        <f t="shared" si="15"/>
        <v>170058912</v>
      </c>
      <c r="G953" s="7" t="s">
        <v>330</v>
      </c>
      <c r="H953" s="24" t="s">
        <v>109</v>
      </c>
      <c r="I953" s="32" t="s">
        <v>152</v>
      </c>
    </row>
    <row r="954" spans="1:9" x14ac:dyDescent="0.35">
      <c r="A954" s="19">
        <v>46092</v>
      </c>
      <c r="B954" s="20"/>
      <c r="C954" s="20"/>
      <c r="D954" s="20">
        <v>22500</v>
      </c>
      <c r="E954" s="234" t="s">
        <v>1190</v>
      </c>
      <c r="F954" s="20">
        <f t="shared" si="15"/>
        <v>170081412</v>
      </c>
      <c r="G954" s="7" t="s">
        <v>330</v>
      </c>
      <c r="H954" s="24" t="s">
        <v>109</v>
      </c>
      <c r="I954" s="32" t="s">
        <v>152</v>
      </c>
    </row>
    <row r="955" spans="1:9" x14ac:dyDescent="0.35">
      <c r="A955" s="19">
        <v>46092</v>
      </c>
      <c r="B955" s="20"/>
      <c r="C955" s="20"/>
      <c r="D955" s="20">
        <v>2000</v>
      </c>
      <c r="E955" s="234" t="s">
        <v>1190</v>
      </c>
      <c r="F955" s="20">
        <f t="shared" si="15"/>
        <v>170083412</v>
      </c>
      <c r="G955" s="7" t="s">
        <v>330</v>
      </c>
      <c r="H955" s="24" t="s">
        <v>109</v>
      </c>
      <c r="I955" s="32" t="s">
        <v>152</v>
      </c>
    </row>
    <row r="956" spans="1:9" x14ac:dyDescent="0.35">
      <c r="A956" s="19">
        <v>46092</v>
      </c>
      <c r="B956" s="20"/>
      <c r="C956" s="20"/>
      <c r="D956" s="20">
        <v>50000</v>
      </c>
      <c r="E956" s="234" t="s">
        <v>1190</v>
      </c>
      <c r="F956" s="20">
        <f t="shared" si="15"/>
        <v>170133412</v>
      </c>
      <c r="G956" s="7" t="s">
        <v>330</v>
      </c>
      <c r="H956" s="24" t="s">
        <v>109</v>
      </c>
      <c r="I956" s="32" t="s">
        <v>152</v>
      </c>
    </row>
    <row r="957" spans="1:9" x14ac:dyDescent="0.35">
      <c r="A957" s="19">
        <v>46092</v>
      </c>
      <c r="B957" s="20"/>
      <c r="C957" s="20"/>
      <c r="D957" s="20">
        <v>20000</v>
      </c>
      <c r="E957" s="234" t="s">
        <v>1190</v>
      </c>
      <c r="F957" s="20">
        <f t="shared" si="15"/>
        <v>170153412</v>
      </c>
      <c r="G957" s="7" t="s">
        <v>330</v>
      </c>
      <c r="H957" s="24" t="s">
        <v>109</v>
      </c>
      <c r="I957" s="32" t="s">
        <v>152</v>
      </c>
    </row>
    <row r="958" spans="1:9" x14ac:dyDescent="0.35">
      <c r="A958" s="19">
        <v>46092</v>
      </c>
      <c r="B958" s="20"/>
      <c r="C958" s="20"/>
      <c r="D958" s="20">
        <v>10000</v>
      </c>
      <c r="E958" s="234" t="s">
        <v>1190</v>
      </c>
      <c r="F958" s="20">
        <f t="shared" si="15"/>
        <v>170163412</v>
      </c>
      <c r="G958" s="7" t="s">
        <v>330</v>
      </c>
      <c r="H958" s="24" t="s">
        <v>109</v>
      </c>
      <c r="I958" s="32" t="s">
        <v>152</v>
      </c>
    </row>
    <row r="959" spans="1:9" x14ac:dyDescent="0.35">
      <c r="A959" s="19">
        <v>46092</v>
      </c>
      <c r="B959" s="20"/>
      <c r="C959" s="20"/>
      <c r="D959" s="20">
        <v>50000</v>
      </c>
      <c r="E959" s="234" t="s">
        <v>1190</v>
      </c>
      <c r="F959" s="20">
        <f t="shared" si="15"/>
        <v>170213412</v>
      </c>
      <c r="G959" s="7" t="s">
        <v>330</v>
      </c>
      <c r="H959" s="24" t="s">
        <v>109</v>
      </c>
      <c r="I959" s="32" t="s">
        <v>152</v>
      </c>
    </row>
    <row r="960" spans="1:9" x14ac:dyDescent="0.35">
      <c r="A960" s="19">
        <v>46092</v>
      </c>
      <c r="B960" s="20"/>
      <c r="C960" s="20"/>
      <c r="D960" s="20">
        <v>10000</v>
      </c>
      <c r="E960" s="234" t="s">
        <v>1190</v>
      </c>
      <c r="F960" s="20">
        <f t="shared" si="15"/>
        <v>170223412</v>
      </c>
      <c r="G960" s="7" t="s">
        <v>330</v>
      </c>
      <c r="H960" s="24" t="s">
        <v>109</v>
      </c>
      <c r="I960" s="32" t="s">
        <v>152</v>
      </c>
    </row>
    <row r="961" spans="1:9" x14ac:dyDescent="0.35">
      <c r="A961" s="19">
        <v>46092</v>
      </c>
      <c r="B961" s="20"/>
      <c r="C961" s="20"/>
      <c r="D961" s="20">
        <v>50000</v>
      </c>
      <c r="E961" s="234" t="s">
        <v>1190</v>
      </c>
      <c r="F961" s="20">
        <f t="shared" si="15"/>
        <v>170273412</v>
      </c>
      <c r="G961" s="7" t="s">
        <v>330</v>
      </c>
      <c r="H961" s="24" t="s">
        <v>109</v>
      </c>
      <c r="I961" s="32" t="s">
        <v>152</v>
      </c>
    </row>
    <row r="962" spans="1:9" x14ac:dyDescent="0.35">
      <c r="A962" s="19">
        <v>46092</v>
      </c>
      <c r="B962" s="20"/>
      <c r="C962" s="20"/>
      <c r="D962" s="20">
        <v>5000</v>
      </c>
      <c r="E962" s="234" t="s">
        <v>1190</v>
      </c>
      <c r="F962" s="20">
        <f t="shared" si="15"/>
        <v>170278412</v>
      </c>
      <c r="G962" s="7" t="s">
        <v>330</v>
      </c>
      <c r="H962" s="24" t="s">
        <v>109</v>
      </c>
      <c r="I962" s="32" t="s">
        <v>152</v>
      </c>
    </row>
    <row r="963" spans="1:9" x14ac:dyDescent="0.35">
      <c r="A963" s="19">
        <v>46092</v>
      </c>
      <c r="B963" s="20"/>
      <c r="C963" s="20"/>
      <c r="D963" s="20">
        <v>50000</v>
      </c>
      <c r="E963" s="234" t="s">
        <v>1190</v>
      </c>
      <c r="F963" s="20">
        <f t="shared" si="15"/>
        <v>170328412</v>
      </c>
      <c r="G963" s="7" t="s">
        <v>330</v>
      </c>
      <c r="H963" s="24" t="s">
        <v>109</v>
      </c>
      <c r="I963" s="32" t="s">
        <v>152</v>
      </c>
    </row>
    <row r="964" spans="1:9" x14ac:dyDescent="0.35">
      <c r="A964" s="19">
        <v>46092</v>
      </c>
      <c r="B964" s="20"/>
      <c r="C964" s="20"/>
      <c r="D964" s="20">
        <v>10000</v>
      </c>
      <c r="E964" s="234" t="s">
        <v>1190</v>
      </c>
      <c r="F964" s="20">
        <f t="shared" si="15"/>
        <v>170338412</v>
      </c>
      <c r="G964" s="7" t="s">
        <v>330</v>
      </c>
      <c r="H964" s="24" t="s">
        <v>109</v>
      </c>
      <c r="I964" s="32" t="s">
        <v>152</v>
      </c>
    </row>
    <row r="965" spans="1:9" x14ac:dyDescent="0.35">
      <c r="A965" s="19">
        <v>46092</v>
      </c>
      <c r="B965" s="20"/>
      <c r="C965" s="20"/>
      <c r="D965" s="20">
        <v>50000</v>
      </c>
      <c r="E965" s="234" t="s">
        <v>1190</v>
      </c>
      <c r="F965" s="20">
        <f t="shared" si="15"/>
        <v>170388412</v>
      </c>
      <c r="G965" s="7" t="s">
        <v>330</v>
      </c>
      <c r="H965" s="24" t="s">
        <v>109</v>
      </c>
      <c r="I965" s="32" t="s">
        <v>152</v>
      </c>
    </row>
    <row r="966" spans="1:9" x14ac:dyDescent="0.35">
      <c r="A966" s="19">
        <v>46092</v>
      </c>
      <c r="B966" s="20"/>
      <c r="C966" s="20"/>
      <c r="D966" s="20">
        <v>15000</v>
      </c>
      <c r="E966" s="234" t="s">
        <v>1190</v>
      </c>
      <c r="F966" s="20">
        <f t="shared" si="15"/>
        <v>170403412</v>
      </c>
      <c r="G966" s="7" t="s">
        <v>330</v>
      </c>
      <c r="H966" s="24" t="s">
        <v>109</v>
      </c>
      <c r="I966" s="32" t="s">
        <v>152</v>
      </c>
    </row>
    <row r="967" spans="1:9" x14ac:dyDescent="0.35">
      <c r="A967" s="19">
        <v>46092</v>
      </c>
      <c r="B967" s="20"/>
      <c r="C967" s="20"/>
      <c r="D967" s="20">
        <v>10000</v>
      </c>
      <c r="E967" s="234" t="s">
        <v>1190</v>
      </c>
      <c r="F967" s="20">
        <f t="shared" si="15"/>
        <v>170413412</v>
      </c>
      <c r="G967" s="7" t="s">
        <v>330</v>
      </c>
      <c r="H967" s="24" t="s">
        <v>109</v>
      </c>
      <c r="I967" s="32" t="s">
        <v>152</v>
      </c>
    </row>
    <row r="968" spans="1:9" x14ac:dyDescent="0.35">
      <c r="A968" s="19">
        <v>46092</v>
      </c>
      <c r="B968" s="20"/>
      <c r="C968" s="20"/>
      <c r="D968" s="20">
        <v>20000</v>
      </c>
      <c r="E968" s="234" t="s">
        <v>1190</v>
      </c>
      <c r="F968" s="20">
        <f t="shared" si="15"/>
        <v>170433412</v>
      </c>
      <c r="G968" s="7" t="s">
        <v>330</v>
      </c>
      <c r="H968" s="24" t="s">
        <v>109</v>
      </c>
      <c r="I968" s="32" t="s">
        <v>152</v>
      </c>
    </row>
    <row r="969" spans="1:9" x14ac:dyDescent="0.35">
      <c r="A969" s="19">
        <v>46092</v>
      </c>
      <c r="B969" s="20"/>
      <c r="C969" s="20"/>
      <c r="D969" s="20">
        <v>35000</v>
      </c>
      <c r="E969" s="234" t="s">
        <v>1190</v>
      </c>
      <c r="F969" s="20">
        <f t="shared" si="15"/>
        <v>170468412</v>
      </c>
      <c r="G969" s="7" t="s">
        <v>330</v>
      </c>
      <c r="H969" s="24" t="s">
        <v>109</v>
      </c>
      <c r="I969" s="32" t="s">
        <v>152</v>
      </c>
    </row>
    <row r="970" spans="1:9" x14ac:dyDescent="0.35">
      <c r="A970" s="19">
        <v>46092</v>
      </c>
      <c r="B970" s="20">
        <v>950000</v>
      </c>
      <c r="C970" s="20"/>
      <c r="D970" s="20"/>
      <c r="E970" s="234" t="s">
        <v>1190</v>
      </c>
      <c r="F970" s="20">
        <f t="shared" si="15"/>
        <v>169518412</v>
      </c>
      <c r="G970" s="7" t="s">
        <v>1200</v>
      </c>
      <c r="H970" s="24" t="s">
        <v>499</v>
      </c>
      <c r="I970" s="32" t="s">
        <v>152</v>
      </c>
    </row>
    <row r="971" spans="1:9" x14ac:dyDescent="0.35">
      <c r="A971" s="19">
        <v>46092</v>
      </c>
      <c r="B971" s="20">
        <v>2500</v>
      </c>
      <c r="C971" s="20"/>
      <c r="D971" s="20"/>
      <c r="E971" s="234" t="s">
        <v>1190</v>
      </c>
      <c r="F971" s="20">
        <f t="shared" si="15"/>
        <v>169515912</v>
      </c>
      <c r="G971" s="7" t="s">
        <v>1200</v>
      </c>
      <c r="H971" s="24" t="s">
        <v>499</v>
      </c>
      <c r="I971" s="32" t="s">
        <v>152</v>
      </c>
    </row>
    <row r="972" spans="1:9" x14ac:dyDescent="0.35">
      <c r="A972" s="19">
        <v>46093</v>
      </c>
      <c r="B972" s="20"/>
      <c r="C972" s="20"/>
      <c r="D972" s="20">
        <v>20000</v>
      </c>
      <c r="E972" s="234" t="s">
        <v>1190</v>
      </c>
      <c r="F972" s="20">
        <f t="shared" si="15"/>
        <v>169535912</v>
      </c>
      <c r="G972" s="7" t="s">
        <v>330</v>
      </c>
      <c r="H972" s="24" t="s">
        <v>109</v>
      </c>
      <c r="I972" s="32" t="s">
        <v>152</v>
      </c>
    </row>
    <row r="973" spans="1:9" x14ac:dyDescent="0.35">
      <c r="A973" s="19">
        <v>46093</v>
      </c>
      <c r="B973" s="20"/>
      <c r="C973" s="20"/>
      <c r="D973" s="20">
        <v>20000</v>
      </c>
      <c r="E973" s="234" t="s">
        <v>1190</v>
      </c>
      <c r="F973" s="20">
        <f t="shared" si="15"/>
        <v>169555912</v>
      </c>
      <c r="G973" s="7" t="s">
        <v>330</v>
      </c>
      <c r="H973" s="24" t="s">
        <v>109</v>
      </c>
      <c r="I973" s="32" t="s">
        <v>152</v>
      </c>
    </row>
    <row r="974" spans="1:9" x14ac:dyDescent="0.35">
      <c r="A974" s="19">
        <v>46093</v>
      </c>
      <c r="B974" s="20"/>
      <c r="C974" s="20"/>
      <c r="D974" s="20">
        <v>100000</v>
      </c>
      <c r="E974" s="234" t="s">
        <v>1190</v>
      </c>
      <c r="F974" s="20">
        <f t="shared" si="15"/>
        <v>169655912</v>
      </c>
      <c r="G974" s="7" t="s">
        <v>330</v>
      </c>
      <c r="H974" s="24" t="s">
        <v>109</v>
      </c>
      <c r="I974" s="32" t="s">
        <v>152</v>
      </c>
    </row>
    <row r="975" spans="1:9" x14ac:dyDescent="0.35">
      <c r="A975" s="19">
        <v>46093</v>
      </c>
      <c r="B975" s="20"/>
      <c r="C975" s="20"/>
      <c r="D975" s="20">
        <v>10000</v>
      </c>
      <c r="E975" s="234" t="s">
        <v>1190</v>
      </c>
      <c r="F975" s="20">
        <f t="shared" si="15"/>
        <v>169665912</v>
      </c>
      <c r="G975" s="7" t="s">
        <v>330</v>
      </c>
      <c r="H975" s="24" t="s">
        <v>109</v>
      </c>
      <c r="I975" s="32" t="s">
        <v>152</v>
      </c>
    </row>
    <row r="976" spans="1:9" x14ac:dyDescent="0.35">
      <c r="A976" s="19">
        <v>46093</v>
      </c>
      <c r="B976" s="20"/>
      <c r="C976" s="20"/>
      <c r="D976" s="20">
        <v>50000</v>
      </c>
      <c r="E976" s="234" t="s">
        <v>1190</v>
      </c>
      <c r="F976" s="20">
        <f t="shared" si="15"/>
        <v>169715912</v>
      </c>
      <c r="G976" s="7" t="s">
        <v>330</v>
      </c>
      <c r="H976" s="24" t="s">
        <v>109</v>
      </c>
      <c r="I976" s="32" t="s">
        <v>152</v>
      </c>
    </row>
    <row r="977" spans="1:9" x14ac:dyDescent="0.35">
      <c r="A977" s="19">
        <v>46093</v>
      </c>
      <c r="B977" s="20"/>
      <c r="C977" s="20"/>
      <c r="D977" s="20">
        <v>15000</v>
      </c>
      <c r="E977" s="234" t="s">
        <v>1190</v>
      </c>
      <c r="F977" s="20">
        <f t="shared" si="15"/>
        <v>169730912</v>
      </c>
      <c r="G977" s="7" t="s">
        <v>330</v>
      </c>
      <c r="H977" s="24" t="s">
        <v>109</v>
      </c>
      <c r="I977" s="32" t="s">
        <v>152</v>
      </c>
    </row>
    <row r="978" spans="1:9" x14ac:dyDescent="0.35">
      <c r="A978" s="19">
        <v>46093</v>
      </c>
      <c r="B978" s="20"/>
      <c r="C978" s="20"/>
      <c r="D978" s="20">
        <v>20000</v>
      </c>
      <c r="E978" s="234" t="s">
        <v>1190</v>
      </c>
      <c r="F978" s="20">
        <f t="shared" si="15"/>
        <v>169750912</v>
      </c>
      <c r="G978" s="7" t="s">
        <v>330</v>
      </c>
      <c r="H978" s="24" t="s">
        <v>109</v>
      </c>
      <c r="I978" s="32" t="s">
        <v>152</v>
      </c>
    </row>
    <row r="979" spans="1:9" x14ac:dyDescent="0.35">
      <c r="A979" s="19">
        <v>46093</v>
      </c>
      <c r="B979" s="20"/>
      <c r="C979" s="20"/>
      <c r="D979" s="20">
        <v>50000</v>
      </c>
      <c r="E979" s="234" t="s">
        <v>1190</v>
      </c>
      <c r="F979" s="20">
        <f t="shared" si="15"/>
        <v>169800912</v>
      </c>
      <c r="G979" s="7" t="s">
        <v>330</v>
      </c>
      <c r="H979" s="24" t="s">
        <v>109</v>
      </c>
      <c r="I979" s="32" t="s">
        <v>152</v>
      </c>
    </row>
    <row r="980" spans="1:9" x14ac:dyDescent="0.35">
      <c r="A980" s="19">
        <v>46093</v>
      </c>
      <c r="B980" s="20"/>
      <c r="C980" s="20"/>
      <c r="D980" s="20">
        <v>2753</v>
      </c>
      <c r="E980" s="234" t="s">
        <v>1190</v>
      </c>
      <c r="F980" s="20">
        <f t="shared" si="15"/>
        <v>169803665</v>
      </c>
      <c r="G980" s="7" t="s">
        <v>330</v>
      </c>
      <c r="H980" s="24" t="s">
        <v>109</v>
      </c>
      <c r="I980" s="32" t="s">
        <v>152</v>
      </c>
    </row>
    <row r="981" spans="1:9" x14ac:dyDescent="0.35">
      <c r="A981" s="19">
        <v>46093</v>
      </c>
      <c r="B981" s="20"/>
      <c r="C981" s="20"/>
      <c r="D981" s="20">
        <v>25000</v>
      </c>
      <c r="E981" s="234" t="s">
        <v>1190</v>
      </c>
      <c r="F981" s="20">
        <f t="shared" si="15"/>
        <v>169828665</v>
      </c>
      <c r="G981" s="7" t="s">
        <v>330</v>
      </c>
      <c r="H981" s="24" t="s">
        <v>109</v>
      </c>
      <c r="I981" s="32" t="s">
        <v>152</v>
      </c>
    </row>
    <row r="982" spans="1:9" x14ac:dyDescent="0.35">
      <c r="A982" s="19">
        <v>46093</v>
      </c>
      <c r="B982" s="20"/>
      <c r="C982" s="20"/>
      <c r="D982" s="20">
        <v>50000</v>
      </c>
      <c r="E982" s="234" t="s">
        <v>1190</v>
      </c>
      <c r="F982" s="20">
        <f t="shared" si="15"/>
        <v>169878665</v>
      </c>
      <c r="G982" s="7" t="s">
        <v>330</v>
      </c>
      <c r="H982" s="24" t="s">
        <v>109</v>
      </c>
      <c r="I982" s="32" t="s">
        <v>152</v>
      </c>
    </row>
    <row r="983" spans="1:9" x14ac:dyDescent="0.35">
      <c r="A983" s="19">
        <v>46093</v>
      </c>
      <c r="B983" s="20"/>
      <c r="C983" s="20"/>
      <c r="D983" s="20">
        <v>5000</v>
      </c>
      <c r="E983" s="234" t="s">
        <v>1190</v>
      </c>
      <c r="F983" s="20">
        <f t="shared" si="15"/>
        <v>169883665</v>
      </c>
      <c r="G983" s="7" t="s">
        <v>330</v>
      </c>
      <c r="H983" s="24" t="s">
        <v>109</v>
      </c>
      <c r="I983" s="32" t="s">
        <v>152</v>
      </c>
    </row>
    <row r="984" spans="1:9" x14ac:dyDescent="0.35">
      <c r="A984" s="19">
        <v>46093</v>
      </c>
      <c r="B984" s="20"/>
      <c r="C984" s="20"/>
      <c r="D984" s="20">
        <v>15000</v>
      </c>
      <c r="E984" s="234" t="s">
        <v>1190</v>
      </c>
      <c r="F984" s="20">
        <f t="shared" si="15"/>
        <v>169898665</v>
      </c>
      <c r="G984" s="7" t="s">
        <v>330</v>
      </c>
      <c r="H984" s="24" t="s">
        <v>109</v>
      </c>
      <c r="I984" s="32" t="s">
        <v>152</v>
      </c>
    </row>
    <row r="985" spans="1:9" x14ac:dyDescent="0.35">
      <c r="A985" s="19">
        <v>46093</v>
      </c>
      <c r="B985" s="20"/>
      <c r="C985" s="20"/>
      <c r="D985" s="20">
        <v>10000</v>
      </c>
      <c r="E985" s="234" t="s">
        <v>1190</v>
      </c>
      <c r="F985" s="20">
        <f t="shared" si="15"/>
        <v>169908665</v>
      </c>
      <c r="G985" s="7" t="s">
        <v>330</v>
      </c>
      <c r="H985" s="24" t="s">
        <v>109</v>
      </c>
      <c r="I985" s="32" t="s">
        <v>152</v>
      </c>
    </row>
    <row r="986" spans="1:9" x14ac:dyDescent="0.35">
      <c r="A986" s="19">
        <v>46093</v>
      </c>
      <c r="B986" s="20"/>
      <c r="C986" s="20"/>
      <c r="D986" s="20">
        <v>1500000</v>
      </c>
      <c r="E986" s="234" t="s">
        <v>1190</v>
      </c>
      <c r="F986" s="20">
        <f t="shared" si="15"/>
        <v>171408665</v>
      </c>
      <c r="G986" s="7" t="s">
        <v>330</v>
      </c>
      <c r="H986" s="24" t="s">
        <v>109</v>
      </c>
      <c r="I986" s="32" t="s">
        <v>152</v>
      </c>
    </row>
    <row r="987" spans="1:9" x14ac:dyDescent="0.35">
      <c r="A987" s="19">
        <v>46094</v>
      </c>
      <c r="B987" s="20"/>
      <c r="C987" s="20"/>
      <c r="D987" s="20">
        <v>10000</v>
      </c>
      <c r="E987" s="234" t="s">
        <v>1190</v>
      </c>
      <c r="F987" s="20">
        <f t="shared" si="15"/>
        <v>171418665</v>
      </c>
      <c r="G987" s="7" t="s">
        <v>330</v>
      </c>
      <c r="H987" s="24" t="s">
        <v>109</v>
      </c>
      <c r="I987" s="32" t="s">
        <v>152</v>
      </c>
    </row>
    <row r="988" spans="1:9" x14ac:dyDescent="0.35">
      <c r="A988" s="19">
        <v>46094</v>
      </c>
      <c r="B988" s="20"/>
      <c r="C988" s="20"/>
      <c r="D988" s="20">
        <v>4700</v>
      </c>
      <c r="E988" s="234" t="s">
        <v>1190</v>
      </c>
      <c r="F988" s="20">
        <f t="shared" si="15"/>
        <v>171423365</v>
      </c>
      <c r="G988" s="7" t="s">
        <v>330</v>
      </c>
      <c r="H988" s="24" t="s">
        <v>109</v>
      </c>
      <c r="I988" s="32" t="s">
        <v>152</v>
      </c>
    </row>
    <row r="989" spans="1:9" x14ac:dyDescent="0.35">
      <c r="A989" s="19">
        <v>46094</v>
      </c>
      <c r="B989" s="20"/>
      <c r="C989" s="20"/>
      <c r="D989" s="20">
        <v>20000</v>
      </c>
      <c r="E989" s="234" t="s">
        <v>1190</v>
      </c>
      <c r="F989" s="20">
        <f t="shared" si="15"/>
        <v>171443365</v>
      </c>
      <c r="G989" s="7" t="s">
        <v>330</v>
      </c>
      <c r="H989" s="24" t="s">
        <v>109</v>
      </c>
      <c r="I989" s="32" t="s">
        <v>152</v>
      </c>
    </row>
    <row r="990" spans="1:9" x14ac:dyDescent="0.35">
      <c r="A990" s="19">
        <v>46094</v>
      </c>
      <c r="B990" s="20"/>
      <c r="C990" s="20"/>
      <c r="D990" s="20">
        <v>10000</v>
      </c>
      <c r="E990" s="234" t="s">
        <v>1190</v>
      </c>
      <c r="F990" s="20">
        <f t="shared" si="15"/>
        <v>171453365</v>
      </c>
      <c r="G990" s="7" t="s">
        <v>330</v>
      </c>
      <c r="H990" s="24" t="s">
        <v>109</v>
      </c>
      <c r="I990" s="32" t="s">
        <v>152</v>
      </c>
    </row>
    <row r="991" spans="1:9" x14ac:dyDescent="0.35">
      <c r="A991" s="19">
        <v>46094</v>
      </c>
      <c r="B991" s="20"/>
      <c r="C991" s="20"/>
      <c r="D991" s="20">
        <v>5000</v>
      </c>
      <c r="E991" s="234" t="s">
        <v>1190</v>
      </c>
      <c r="F991" s="20">
        <f t="shared" ref="F991:F1054" si="16">+F990+D991-B991</f>
        <v>171458365</v>
      </c>
      <c r="G991" s="7" t="s">
        <v>330</v>
      </c>
      <c r="H991" s="24" t="s">
        <v>109</v>
      </c>
      <c r="I991" s="32" t="s">
        <v>152</v>
      </c>
    </row>
    <row r="992" spans="1:9" x14ac:dyDescent="0.35">
      <c r="A992" s="19">
        <v>46094</v>
      </c>
      <c r="B992" s="20"/>
      <c r="C992" s="20"/>
      <c r="D992" s="20">
        <v>20000</v>
      </c>
      <c r="E992" s="234" t="s">
        <v>1190</v>
      </c>
      <c r="F992" s="20">
        <f t="shared" si="16"/>
        <v>171478365</v>
      </c>
      <c r="G992" s="7" t="s">
        <v>330</v>
      </c>
      <c r="H992" s="24" t="s">
        <v>109</v>
      </c>
      <c r="I992" s="32" t="s">
        <v>152</v>
      </c>
    </row>
    <row r="993" spans="1:9" x14ac:dyDescent="0.35">
      <c r="A993" s="19">
        <v>46094</v>
      </c>
      <c r="B993" s="20"/>
      <c r="C993" s="20"/>
      <c r="D993" s="20">
        <v>35000</v>
      </c>
      <c r="E993" s="234" t="s">
        <v>1190</v>
      </c>
      <c r="F993" s="20">
        <f t="shared" si="16"/>
        <v>171513365</v>
      </c>
      <c r="G993" s="7" t="s">
        <v>330</v>
      </c>
      <c r="H993" s="24" t="s">
        <v>109</v>
      </c>
      <c r="I993" s="32" t="s">
        <v>152</v>
      </c>
    </row>
    <row r="994" spans="1:9" x14ac:dyDescent="0.35">
      <c r="A994" s="19">
        <v>46094</v>
      </c>
      <c r="B994" s="20"/>
      <c r="C994" s="20"/>
      <c r="D994" s="20">
        <v>300000</v>
      </c>
      <c r="E994" s="234" t="s">
        <v>1190</v>
      </c>
      <c r="F994" s="20">
        <f t="shared" si="16"/>
        <v>171813365</v>
      </c>
      <c r="G994" s="7" t="s">
        <v>330</v>
      </c>
      <c r="H994" s="24" t="s">
        <v>109</v>
      </c>
      <c r="I994" s="32" t="s">
        <v>152</v>
      </c>
    </row>
    <row r="995" spans="1:9" x14ac:dyDescent="0.35">
      <c r="A995" s="19">
        <v>46094</v>
      </c>
      <c r="B995" s="20"/>
      <c r="C995" s="20"/>
      <c r="D995" s="20">
        <v>50000</v>
      </c>
      <c r="E995" s="234" t="s">
        <v>1190</v>
      </c>
      <c r="F995" s="20">
        <f t="shared" si="16"/>
        <v>171863365</v>
      </c>
      <c r="G995" s="7" t="s">
        <v>330</v>
      </c>
      <c r="H995" s="24" t="s">
        <v>109</v>
      </c>
      <c r="I995" s="32" t="s">
        <v>152</v>
      </c>
    </row>
    <row r="996" spans="1:9" x14ac:dyDescent="0.35">
      <c r="A996" s="19">
        <v>46094</v>
      </c>
      <c r="B996" s="20"/>
      <c r="C996" s="20"/>
      <c r="D996" s="20">
        <v>30000</v>
      </c>
      <c r="E996" s="234" t="s">
        <v>1190</v>
      </c>
      <c r="F996" s="20">
        <f t="shared" si="16"/>
        <v>171893365</v>
      </c>
      <c r="G996" s="7" t="s">
        <v>330</v>
      </c>
      <c r="H996" s="24" t="s">
        <v>109</v>
      </c>
      <c r="I996" s="32" t="s">
        <v>152</v>
      </c>
    </row>
    <row r="997" spans="1:9" x14ac:dyDescent="0.35">
      <c r="A997" s="19">
        <v>46094</v>
      </c>
      <c r="B997" s="20"/>
      <c r="C997" s="20"/>
      <c r="D997" s="20">
        <v>50000</v>
      </c>
      <c r="E997" s="234" t="s">
        <v>1190</v>
      </c>
      <c r="F997" s="20">
        <f t="shared" si="16"/>
        <v>171943365</v>
      </c>
      <c r="G997" s="7" t="s">
        <v>330</v>
      </c>
      <c r="H997" s="24" t="s">
        <v>109</v>
      </c>
      <c r="I997" s="32" t="s">
        <v>152</v>
      </c>
    </row>
    <row r="998" spans="1:9" x14ac:dyDescent="0.35">
      <c r="A998" s="19">
        <v>46094</v>
      </c>
      <c r="B998" s="20"/>
      <c r="C998" s="20"/>
      <c r="D998" s="20">
        <v>100000</v>
      </c>
      <c r="E998" s="234" t="s">
        <v>1190</v>
      </c>
      <c r="F998" s="20">
        <f t="shared" si="16"/>
        <v>172043365</v>
      </c>
      <c r="G998" s="7" t="s">
        <v>330</v>
      </c>
      <c r="H998" s="24" t="s">
        <v>109</v>
      </c>
      <c r="I998" s="32" t="s">
        <v>152</v>
      </c>
    </row>
    <row r="999" spans="1:9" x14ac:dyDescent="0.35">
      <c r="A999" s="19">
        <v>46094</v>
      </c>
      <c r="B999" s="20"/>
      <c r="C999" s="20"/>
      <c r="D999" s="20">
        <v>100000</v>
      </c>
      <c r="E999" s="234" t="s">
        <v>1190</v>
      </c>
      <c r="F999" s="20">
        <f t="shared" si="16"/>
        <v>172143365</v>
      </c>
      <c r="G999" s="7" t="s">
        <v>330</v>
      </c>
      <c r="H999" s="24" t="s">
        <v>109</v>
      </c>
      <c r="I999" s="32" t="s">
        <v>152</v>
      </c>
    </row>
    <row r="1000" spans="1:9" x14ac:dyDescent="0.35">
      <c r="A1000" s="19">
        <v>46094</v>
      </c>
      <c r="B1000" s="20"/>
      <c r="C1000" s="20"/>
      <c r="D1000" s="20">
        <v>20000</v>
      </c>
      <c r="E1000" s="234" t="s">
        <v>1190</v>
      </c>
      <c r="F1000" s="20">
        <f t="shared" si="16"/>
        <v>172163365</v>
      </c>
      <c r="G1000" s="7" t="s">
        <v>330</v>
      </c>
      <c r="H1000" s="24" t="s">
        <v>109</v>
      </c>
      <c r="I1000" s="32" t="s">
        <v>152</v>
      </c>
    </row>
    <row r="1001" spans="1:9" x14ac:dyDescent="0.35">
      <c r="A1001" s="19">
        <v>46094</v>
      </c>
      <c r="B1001" s="20"/>
      <c r="C1001" s="20"/>
      <c r="D1001" s="20">
        <v>15000</v>
      </c>
      <c r="E1001" s="234" t="s">
        <v>1190</v>
      </c>
      <c r="F1001" s="20">
        <f t="shared" si="16"/>
        <v>172178365</v>
      </c>
      <c r="G1001" s="7" t="s">
        <v>330</v>
      </c>
      <c r="H1001" s="24" t="s">
        <v>109</v>
      </c>
      <c r="I1001" s="32" t="s">
        <v>152</v>
      </c>
    </row>
    <row r="1002" spans="1:9" x14ac:dyDescent="0.35">
      <c r="A1002" s="19">
        <v>46094</v>
      </c>
      <c r="B1002" s="20"/>
      <c r="C1002" s="20"/>
      <c r="D1002" s="20">
        <v>50000</v>
      </c>
      <c r="E1002" s="234" t="s">
        <v>1190</v>
      </c>
      <c r="F1002" s="20">
        <f t="shared" si="16"/>
        <v>172228365</v>
      </c>
      <c r="G1002" s="7" t="s">
        <v>330</v>
      </c>
      <c r="H1002" s="24" t="s">
        <v>109</v>
      </c>
      <c r="I1002" s="32" t="s">
        <v>152</v>
      </c>
    </row>
    <row r="1003" spans="1:9" x14ac:dyDescent="0.35">
      <c r="A1003" s="19">
        <v>46094</v>
      </c>
      <c r="B1003" s="20"/>
      <c r="C1003" s="20"/>
      <c r="D1003" s="20">
        <v>20000</v>
      </c>
      <c r="E1003" s="234" t="s">
        <v>1190</v>
      </c>
      <c r="F1003" s="20">
        <f t="shared" si="16"/>
        <v>172248365</v>
      </c>
      <c r="G1003" s="7" t="s">
        <v>330</v>
      </c>
      <c r="H1003" s="24" t="s">
        <v>109</v>
      </c>
      <c r="I1003" s="32" t="s">
        <v>152</v>
      </c>
    </row>
    <row r="1004" spans="1:9" x14ac:dyDescent="0.35">
      <c r="A1004" s="19">
        <v>46094</v>
      </c>
      <c r="B1004" s="20"/>
      <c r="C1004" s="20"/>
      <c r="D1004" s="20">
        <v>50000</v>
      </c>
      <c r="E1004" s="234" t="s">
        <v>1190</v>
      </c>
      <c r="F1004" s="20">
        <f t="shared" si="16"/>
        <v>172298365</v>
      </c>
      <c r="G1004" s="7" t="s">
        <v>330</v>
      </c>
      <c r="H1004" s="24" t="s">
        <v>109</v>
      </c>
      <c r="I1004" s="32" t="s">
        <v>152</v>
      </c>
    </row>
    <row r="1005" spans="1:9" x14ac:dyDescent="0.35">
      <c r="A1005" s="19">
        <v>46094</v>
      </c>
      <c r="B1005" s="20"/>
      <c r="C1005" s="20"/>
      <c r="D1005" s="20">
        <v>100000</v>
      </c>
      <c r="E1005" s="234" t="s">
        <v>1190</v>
      </c>
      <c r="F1005" s="20">
        <f t="shared" si="16"/>
        <v>172398365</v>
      </c>
      <c r="G1005" s="7" t="s">
        <v>330</v>
      </c>
      <c r="H1005" s="24" t="s">
        <v>109</v>
      </c>
      <c r="I1005" s="32" t="s">
        <v>152</v>
      </c>
    </row>
    <row r="1006" spans="1:9" x14ac:dyDescent="0.35">
      <c r="A1006" s="19">
        <v>46094</v>
      </c>
      <c r="B1006" s="20"/>
      <c r="C1006" s="20"/>
      <c r="D1006" s="20">
        <v>10000</v>
      </c>
      <c r="E1006" s="234" t="s">
        <v>1190</v>
      </c>
      <c r="F1006" s="20">
        <f t="shared" si="16"/>
        <v>172408365</v>
      </c>
      <c r="G1006" s="7" t="s">
        <v>330</v>
      </c>
      <c r="H1006" s="24" t="s">
        <v>109</v>
      </c>
      <c r="I1006" s="32" t="s">
        <v>152</v>
      </c>
    </row>
    <row r="1007" spans="1:9" x14ac:dyDescent="0.35">
      <c r="A1007" s="19">
        <v>46095</v>
      </c>
      <c r="B1007" s="20"/>
      <c r="C1007" s="20"/>
      <c r="D1007" s="20">
        <v>1000</v>
      </c>
      <c r="E1007" s="234" t="s">
        <v>1204</v>
      </c>
      <c r="F1007" s="20">
        <f t="shared" si="16"/>
        <v>172409365</v>
      </c>
      <c r="G1007" s="7" t="s">
        <v>330</v>
      </c>
      <c r="H1007" s="24" t="s">
        <v>109</v>
      </c>
      <c r="I1007" s="32" t="s">
        <v>152</v>
      </c>
    </row>
    <row r="1008" spans="1:9" x14ac:dyDescent="0.35">
      <c r="A1008" s="19">
        <v>46095</v>
      </c>
      <c r="B1008" s="20"/>
      <c r="C1008" s="20"/>
      <c r="D1008" s="20">
        <v>5000</v>
      </c>
      <c r="E1008" s="234" t="s">
        <v>1204</v>
      </c>
      <c r="F1008" s="20">
        <f t="shared" si="16"/>
        <v>172414365</v>
      </c>
      <c r="G1008" s="7" t="s">
        <v>330</v>
      </c>
      <c r="H1008" s="24" t="s">
        <v>109</v>
      </c>
      <c r="I1008" s="32" t="s">
        <v>152</v>
      </c>
    </row>
    <row r="1009" spans="1:9" x14ac:dyDescent="0.35">
      <c r="A1009" s="19">
        <v>46095</v>
      </c>
      <c r="B1009" s="20"/>
      <c r="C1009" s="20"/>
      <c r="D1009" s="20">
        <v>350000</v>
      </c>
      <c r="E1009" s="234" t="s">
        <v>1204</v>
      </c>
      <c r="F1009" s="20">
        <f t="shared" si="16"/>
        <v>172764365</v>
      </c>
      <c r="G1009" s="7" t="s">
        <v>330</v>
      </c>
      <c r="H1009" s="24" t="s">
        <v>109</v>
      </c>
      <c r="I1009" s="32" t="s">
        <v>152</v>
      </c>
    </row>
    <row r="1010" spans="1:9" x14ac:dyDescent="0.35">
      <c r="A1010" s="19">
        <v>46095</v>
      </c>
      <c r="B1010" s="20"/>
      <c r="C1010" s="20"/>
      <c r="D1010" s="20">
        <v>20000</v>
      </c>
      <c r="E1010" s="234" t="s">
        <v>1204</v>
      </c>
      <c r="F1010" s="20">
        <f t="shared" si="16"/>
        <v>172784365</v>
      </c>
      <c r="G1010" s="7" t="s">
        <v>330</v>
      </c>
      <c r="H1010" s="24" t="s">
        <v>109</v>
      </c>
      <c r="I1010" s="32" t="s">
        <v>152</v>
      </c>
    </row>
    <row r="1011" spans="1:9" x14ac:dyDescent="0.35">
      <c r="A1011" s="19">
        <v>46095</v>
      </c>
      <c r="B1011" s="20"/>
      <c r="C1011" s="20"/>
      <c r="D1011" s="20">
        <v>2000</v>
      </c>
      <c r="E1011" s="234" t="s">
        <v>1204</v>
      </c>
      <c r="F1011" s="20">
        <f t="shared" si="16"/>
        <v>172786365</v>
      </c>
      <c r="G1011" s="7" t="s">
        <v>330</v>
      </c>
      <c r="H1011" s="24" t="s">
        <v>109</v>
      </c>
      <c r="I1011" s="32" t="s">
        <v>152</v>
      </c>
    </row>
    <row r="1012" spans="1:9" x14ac:dyDescent="0.35">
      <c r="A1012" s="19">
        <v>46095</v>
      </c>
      <c r="B1012" s="20"/>
      <c r="C1012" s="20"/>
      <c r="D1012" s="20">
        <v>50000</v>
      </c>
      <c r="E1012" s="234" t="s">
        <v>1204</v>
      </c>
      <c r="F1012" s="20">
        <f t="shared" si="16"/>
        <v>172836365</v>
      </c>
      <c r="G1012" s="7" t="s">
        <v>330</v>
      </c>
      <c r="H1012" s="24" t="s">
        <v>109</v>
      </c>
      <c r="I1012" s="32" t="s">
        <v>152</v>
      </c>
    </row>
    <row r="1013" spans="1:9" x14ac:dyDescent="0.35">
      <c r="A1013" s="19">
        <v>46095</v>
      </c>
      <c r="B1013" s="20"/>
      <c r="C1013" s="20"/>
      <c r="D1013" s="20">
        <v>25000</v>
      </c>
      <c r="E1013" s="234" t="s">
        <v>1204</v>
      </c>
      <c r="F1013" s="20">
        <f t="shared" si="16"/>
        <v>172861365</v>
      </c>
      <c r="G1013" s="7" t="s">
        <v>330</v>
      </c>
      <c r="H1013" s="24" t="s">
        <v>109</v>
      </c>
      <c r="I1013" s="32" t="s">
        <v>152</v>
      </c>
    </row>
    <row r="1014" spans="1:9" x14ac:dyDescent="0.35">
      <c r="A1014" s="19">
        <v>46095</v>
      </c>
      <c r="B1014" s="20"/>
      <c r="C1014" s="20"/>
      <c r="D1014" s="20">
        <v>5000</v>
      </c>
      <c r="E1014" s="234" t="s">
        <v>1204</v>
      </c>
      <c r="F1014" s="20">
        <f t="shared" si="16"/>
        <v>172866365</v>
      </c>
      <c r="G1014" s="7" t="s">
        <v>330</v>
      </c>
      <c r="H1014" s="24" t="s">
        <v>109</v>
      </c>
      <c r="I1014" s="32" t="s">
        <v>152</v>
      </c>
    </row>
    <row r="1015" spans="1:9" x14ac:dyDescent="0.35">
      <c r="A1015" s="19">
        <v>46095</v>
      </c>
      <c r="B1015" s="20"/>
      <c r="C1015" s="20"/>
      <c r="D1015" s="20">
        <v>10000</v>
      </c>
      <c r="E1015" s="234" t="s">
        <v>1204</v>
      </c>
      <c r="F1015" s="20">
        <f t="shared" si="16"/>
        <v>172876365</v>
      </c>
      <c r="G1015" s="7" t="s">
        <v>330</v>
      </c>
      <c r="H1015" s="24" t="s">
        <v>109</v>
      </c>
      <c r="I1015" s="32" t="s">
        <v>152</v>
      </c>
    </row>
    <row r="1016" spans="1:9" x14ac:dyDescent="0.35">
      <c r="A1016" s="19">
        <v>46095</v>
      </c>
      <c r="B1016" s="20"/>
      <c r="C1016" s="20"/>
      <c r="D1016" s="20">
        <v>50000</v>
      </c>
      <c r="E1016" s="234" t="s">
        <v>1204</v>
      </c>
      <c r="F1016" s="20">
        <f t="shared" si="16"/>
        <v>172926365</v>
      </c>
      <c r="G1016" s="7" t="s">
        <v>330</v>
      </c>
      <c r="H1016" s="24" t="s">
        <v>109</v>
      </c>
      <c r="I1016" s="32" t="s">
        <v>152</v>
      </c>
    </row>
    <row r="1017" spans="1:9" x14ac:dyDescent="0.35">
      <c r="A1017" s="19">
        <v>46095</v>
      </c>
      <c r="B1017" s="20"/>
      <c r="C1017" s="20"/>
      <c r="D1017" s="20">
        <v>5000</v>
      </c>
      <c r="E1017" s="234" t="s">
        <v>1204</v>
      </c>
      <c r="F1017" s="20">
        <f t="shared" si="16"/>
        <v>172931365</v>
      </c>
      <c r="G1017" s="7" t="s">
        <v>330</v>
      </c>
      <c r="H1017" s="24" t="s">
        <v>109</v>
      </c>
      <c r="I1017" s="32" t="s">
        <v>152</v>
      </c>
    </row>
    <row r="1018" spans="1:9" x14ac:dyDescent="0.35">
      <c r="A1018" s="19">
        <v>46095</v>
      </c>
      <c r="B1018" s="20"/>
      <c r="C1018" s="20"/>
      <c r="D1018" s="20">
        <v>50000</v>
      </c>
      <c r="E1018" s="234" t="s">
        <v>1204</v>
      </c>
      <c r="F1018" s="20">
        <f t="shared" si="16"/>
        <v>172981365</v>
      </c>
      <c r="G1018" s="7" t="s">
        <v>330</v>
      </c>
      <c r="H1018" s="24" t="s">
        <v>109</v>
      </c>
      <c r="I1018" s="32" t="s">
        <v>152</v>
      </c>
    </row>
    <row r="1019" spans="1:9" x14ac:dyDescent="0.35">
      <c r="A1019" s="19">
        <v>46095</v>
      </c>
      <c r="B1019" s="20"/>
      <c r="C1019" s="20"/>
      <c r="D1019" s="20">
        <v>134000</v>
      </c>
      <c r="E1019" s="234" t="s">
        <v>1204</v>
      </c>
      <c r="F1019" s="20">
        <f t="shared" si="16"/>
        <v>173115365</v>
      </c>
      <c r="G1019" s="7" t="s">
        <v>330</v>
      </c>
      <c r="H1019" s="24" t="s">
        <v>109</v>
      </c>
      <c r="I1019" s="32" t="s">
        <v>152</v>
      </c>
    </row>
    <row r="1020" spans="1:9" x14ac:dyDescent="0.35">
      <c r="A1020" s="19">
        <v>46095</v>
      </c>
      <c r="B1020" s="20"/>
      <c r="C1020" s="20"/>
      <c r="D1020" s="20">
        <v>10000</v>
      </c>
      <c r="E1020" s="234" t="s">
        <v>1204</v>
      </c>
      <c r="F1020" s="20">
        <f t="shared" si="16"/>
        <v>173125365</v>
      </c>
      <c r="G1020" s="7" t="s">
        <v>330</v>
      </c>
      <c r="H1020" s="24" t="s">
        <v>109</v>
      </c>
      <c r="I1020" s="32" t="s">
        <v>152</v>
      </c>
    </row>
    <row r="1021" spans="1:9" x14ac:dyDescent="0.35">
      <c r="A1021" s="19">
        <v>46095</v>
      </c>
      <c r="B1021" s="20"/>
      <c r="C1021" s="20"/>
      <c r="D1021" s="20">
        <v>50000</v>
      </c>
      <c r="E1021" s="234" t="s">
        <v>1204</v>
      </c>
      <c r="F1021" s="20">
        <f t="shared" si="16"/>
        <v>173175365</v>
      </c>
      <c r="G1021" s="7" t="s">
        <v>330</v>
      </c>
      <c r="H1021" s="24" t="s">
        <v>109</v>
      </c>
      <c r="I1021" s="32" t="s">
        <v>152</v>
      </c>
    </row>
    <row r="1022" spans="1:9" x14ac:dyDescent="0.35">
      <c r="A1022" s="19">
        <v>46095</v>
      </c>
      <c r="B1022" s="20"/>
      <c r="C1022" s="20"/>
      <c r="D1022" s="20">
        <v>10000</v>
      </c>
      <c r="E1022" s="234" t="s">
        <v>1204</v>
      </c>
      <c r="F1022" s="20">
        <f t="shared" si="16"/>
        <v>173185365</v>
      </c>
      <c r="G1022" s="7" t="s">
        <v>330</v>
      </c>
      <c r="H1022" s="24" t="s">
        <v>109</v>
      </c>
      <c r="I1022" s="32" t="s">
        <v>152</v>
      </c>
    </row>
    <row r="1023" spans="1:9" x14ac:dyDescent="0.35">
      <c r="A1023" s="19">
        <v>46095</v>
      </c>
      <c r="B1023" s="20"/>
      <c r="C1023" s="20"/>
      <c r="D1023" s="20">
        <v>10000</v>
      </c>
      <c r="E1023" s="234" t="s">
        <v>1204</v>
      </c>
      <c r="F1023" s="20">
        <f t="shared" si="16"/>
        <v>173195365</v>
      </c>
      <c r="G1023" s="7" t="s">
        <v>330</v>
      </c>
      <c r="H1023" s="24" t="s">
        <v>109</v>
      </c>
      <c r="I1023" s="32" t="s">
        <v>152</v>
      </c>
    </row>
    <row r="1024" spans="1:9" x14ac:dyDescent="0.35">
      <c r="A1024" s="19">
        <v>46095</v>
      </c>
      <c r="B1024" s="20"/>
      <c r="C1024" s="20"/>
      <c r="D1024" s="20">
        <v>20000</v>
      </c>
      <c r="E1024" s="234" t="s">
        <v>1204</v>
      </c>
      <c r="F1024" s="20">
        <f t="shared" si="16"/>
        <v>173215365</v>
      </c>
      <c r="G1024" s="7" t="s">
        <v>330</v>
      </c>
      <c r="H1024" s="24" t="s">
        <v>109</v>
      </c>
      <c r="I1024" s="32" t="s">
        <v>152</v>
      </c>
    </row>
    <row r="1025" spans="1:9" x14ac:dyDescent="0.35">
      <c r="A1025" s="19">
        <v>46095</v>
      </c>
      <c r="B1025" s="20"/>
      <c r="C1025" s="20"/>
      <c r="D1025" s="20">
        <v>50000</v>
      </c>
      <c r="E1025" s="234" t="s">
        <v>1204</v>
      </c>
      <c r="F1025" s="20">
        <f t="shared" si="16"/>
        <v>173265365</v>
      </c>
      <c r="G1025" s="7" t="s">
        <v>330</v>
      </c>
      <c r="H1025" s="24" t="s">
        <v>109</v>
      </c>
      <c r="I1025" s="32" t="s">
        <v>152</v>
      </c>
    </row>
    <row r="1026" spans="1:9" x14ac:dyDescent="0.35">
      <c r="A1026" s="19">
        <v>46095</v>
      </c>
      <c r="B1026" s="20"/>
      <c r="C1026" s="20"/>
      <c r="D1026" s="20">
        <v>50000</v>
      </c>
      <c r="E1026" s="234" t="s">
        <v>1204</v>
      </c>
      <c r="F1026" s="20">
        <f t="shared" si="16"/>
        <v>173315365</v>
      </c>
      <c r="G1026" s="7" t="s">
        <v>330</v>
      </c>
      <c r="H1026" s="24" t="s">
        <v>109</v>
      </c>
      <c r="I1026" s="32" t="s">
        <v>152</v>
      </c>
    </row>
    <row r="1027" spans="1:9" x14ac:dyDescent="0.35">
      <c r="A1027" s="19">
        <v>46095</v>
      </c>
      <c r="B1027" s="20"/>
      <c r="C1027" s="20"/>
      <c r="D1027" s="20">
        <v>25000</v>
      </c>
      <c r="E1027" s="234" t="s">
        <v>1204</v>
      </c>
      <c r="F1027" s="20">
        <f t="shared" si="16"/>
        <v>173340365</v>
      </c>
      <c r="G1027" s="7" t="s">
        <v>330</v>
      </c>
      <c r="H1027" s="24" t="s">
        <v>109</v>
      </c>
      <c r="I1027" s="32" t="s">
        <v>152</v>
      </c>
    </row>
    <row r="1028" spans="1:9" x14ac:dyDescent="0.35">
      <c r="A1028" s="19">
        <v>46095</v>
      </c>
      <c r="B1028" s="20"/>
      <c r="C1028" s="20"/>
      <c r="D1028" s="20">
        <v>100000</v>
      </c>
      <c r="E1028" s="234" t="s">
        <v>1204</v>
      </c>
      <c r="F1028" s="20">
        <f t="shared" si="16"/>
        <v>173440365</v>
      </c>
      <c r="G1028" s="7" t="s">
        <v>330</v>
      </c>
      <c r="H1028" s="24" t="s">
        <v>109</v>
      </c>
      <c r="I1028" s="32" t="s">
        <v>152</v>
      </c>
    </row>
    <row r="1029" spans="1:9" x14ac:dyDescent="0.35">
      <c r="A1029" s="19">
        <v>46095</v>
      </c>
      <c r="B1029" s="20"/>
      <c r="C1029" s="20"/>
      <c r="D1029" s="20">
        <v>15000</v>
      </c>
      <c r="E1029" s="234" t="s">
        <v>1204</v>
      </c>
      <c r="F1029" s="20">
        <f t="shared" si="16"/>
        <v>173455365</v>
      </c>
      <c r="G1029" s="7" t="s">
        <v>330</v>
      </c>
      <c r="H1029" s="24" t="s">
        <v>109</v>
      </c>
      <c r="I1029" s="32" t="s">
        <v>152</v>
      </c>
    </row>
    <row r="1030" spans="1:9" x14ac:dyDescent="0.35">
      <c r="A1030" s="19">
        <v>46095</v>
      </c>
      <c r="B1030" s="20"/>
      <c r="C1030" s="20"/>
      <c r="D1030" s="20">
        <v>25000</v>
      </c>
      <c r="E1030" s="234" t="s">
        <v>1204</v>
      </c>
      <c r="F1030" s="20">
        <f t="shared" si="16"/>
        <v>173480365</v>
      </c>
      <c r="G1030" s="7" t="s">
        <v>330</v>
      </c>
      <c r="H1030" s="24" t="s">
        <v>109</v>
      </c>
      <c r="I1030" s="32" t="s">
        <v>152</v>
      </c>
    </row>
    <row r="1031" spans="1:9" x14ac:dyDescent="0.35">
      <c r="A1031" s="19">
        <v>46095</v>
      </c>
      <c r="B1031" s="20"/>
      <c r="C1031" s="20"/>
      <c r="D1031" s="20">
        <v>20000</v>
      </c>
      <c r="E1031" s="234" t="s">
        <v>1204</v>
      </c>
      <c r="F1031" s="20">
        <f t="shared" si="16"/>
        <v>173500365</v>
      </c>
      <c r="G1031" s="7" t="s">
        <v>330</v>
      </c>
      <c r="H1031" s="24" t="s">
        <v>109</v>
      </c>
      <c r="I1031" s="32" t="s">
        <v>152</v>
      </c>
    </row>
    <row r="1032" spans="1:9" x14ac:dyDescent="0.35">
      <c r="A1032" s="19">
        <v>46095</v>
      </c>
      <c r="B1032" s="20"/>
      <c r="C1032" s="20"/>
      <c r="D1032" s="20">
        <v>50000</v>
      </c>
      <c r="E1032" s="234" t="s">
        <v>1204</v>
      </c>
      <c r="F1032" s="20">
        <f t="shared" si="16"/>
        <v>173550365</v>
      </c>
      <c r="G1032" s="7" t="s">
        <v>330</v>
      </c>
      <c r="H1032" s="24" t="s">
        <v>109</v>
      </c>
      <c r="I1032" s="32" t="s">
        <v>152</v>
      </c>
    </row>
    <row r="1033" spans="1:9" x14ac:dyDescent="0.35">
      <c r="A1033" s="19">
        <v>46095</v>
      </c>
      <c r="B1033" s="20"/>
      <c r="C1033" s="20"/>
      <c r="D1033" s="20">
        <v>20000</v>
      </c>
      <c r="E1033" s="234" t="s">
        <v>1204</v>
      </c>
      <c r="F1033" s="20">
        <f t="shared" si="16"/>
        <v>173570365</v>
      </c>
      <c r="G1033" s="7" t="s">
        <v>330</v>
      </c>
      <c r="H1033" s="24" t="s">
        <v>109</v>
      </c>
      <c r="I1033" s="32" t="s">
        <v>152</v>
      </c>
    </row>
    <row r="1034" spans="1:9" x14ac:dyDescent="0.35">
      <c r="A1034" s="19">
        <v>46095</v>
      </c>
      <c r="B1034" s="20"/>
      <c r="C1034" s="20"/>
      <c r="D1034" s="20">
        <v>50000</v>
      </c>
      <c r="E1034" s="234" t="s">
        <v>1204</v>
      </c>
      <c r="F1034" s="20">
        <f t="shared" si="16"/>
        <v>173620365</v>
      </c>
      <c r="G1034" s="7" t="s">
        <v>330</v>
      </c>
      <c r="H1034" s="24" t="s">
        <v>109</v>
      </c>
      <c r="I1034" s="32" t="s">
        <v>152</v>
      </c>
    </row>
    <row r="1035" spans="1:9" x14ac:dyDescent="0.35">
      <c r="A1035" s="19">
        <v>46095</v>
      </c>
      <c r="B1035" s="20"/>
      <c r="C1035" s="20"/>
      <c r="D1035" s="20">
        <v>30000</v>
      </c>
      <c r="E1035" s="234" t="s">
        <v>1204</v>
      </c>
      <c r="F1035" s="20">
        <f t="shared" si="16"/>
        <v>173650365</v>
      </c>
      <c r="G1035" s="7" t="s">
        <v>330</v>
      </c>
      <c r="H1035" s="24" t="s">
        <v>109</v>
      </c>
      <c r="I1035" s="32" t="s">
        <v>152</v>
      </c>
    </row>
    <row r="1036" spans="1:9" x14ac:dyDescent="0.35">
      <c r="A1036" s="19">
        <v>46095</v>
      </c>
      <c r="B1036" s="20"/>
      <c r="C1036" s="20"/>
      <c r="D1036" s="20">
        <v>50000</v>
      </c>
      <c r="E1036" s="234" t="s">
        <v>1204</v>
      </c>
      <c r="F1036" s="20">
        <f t="shared" si="16"/>
        <v>173700365</v>
      </c>
      <c r="G1036" s="7" t="s">
        <v>330</v>
      </c>
      <c r="H1036" s="24" t="s">
        <v>109</v>
      </c>
      <c r="I1036" s="32" t="s">
        <v>152</v>
      </c>
    </row>
    <row r="1037" spans="1:9" x14ac:dyDescent="0.35">
      <c r="A1037" s="19">
        <v>46095</v>
      </c>
      <c r="B1037" s="20">
        <v>550000</v>
      </c>
      <c r="C1037" s="20"/>
      <c r="D1037" s="20"/>
      <c r="E1037" s="234" t="s">
        <v>1204</v>
      </c>
      <c r="F1037" s="20">
        <f t="shared" si="16"/>
        <v>173150365</v>
      </c>
      <c r="G1037" s="7" t="s">
        <v>1205</v>
      </c>
      <c r="H1037" s="24" t="s">
        <v>325</v>
      </c>
      <c r="I1037" s="32" t="s">
        <v>152</v>
      </c>
    </row>
    <row r="1038" spans="1:9" x14ac:dyDescent="0.35">
      <c r="A1038" s="19">
        <v>46095</v>
      </c>
      <c r="B1038" s="20">
        <v>6500</v>
      </c>
      <c r="C1038" s="20"/>
      <c r="D1038" s="20"/>
      <c r="E1038" s="234" t="s">
        <v>1204</v>
      </c>
      <c r="F1038" s="20">
        <f t="shared" si="16"/>
        <v>173143865</v>
      </c>
      <c r="G1038" s="7" t="s">
        <v>1205</v>
      </c>
      <c r="H1038" s="24" t="s">
        <v>325</v>
      </c>
      <c r="I1038" s="32" t="s">
        <v>152</v>
      </c>
    </row>
    <row r="1039" spans="1:9" x14ac:dyDescent="0.35">
      <c r="A1039" s="19">
        <v>46095</v>
      </c>
      <c r="B1039" s="20">
        <v>1000000</v>
      </c>
      <c r="C1039" s="20"/>
      <c r="D1039" s="20"/>
      <c r="E1039" s="234" t="s">
        <v>1204</v>
      </c>
      <c r="F1039" s="20">
        <f t="shared" si="16"/>
        <v>172143865</v>
      </c>
      <c r="G1039" s="7" t="s">
        <v>1206</v>
      </c>
      <c r="H1039" s="24" t="s">
        <v>325</v>
      </c>
      <c r="I1039" s="32" t="s">
        <v>152</v>
      </c>
    </row>
    <row r="1040" spans="1:9" x14ac:dyDescent="0.35">
      <c r="A1040" s="19">
        <v>46095</v>
      </c>
      <c r="B1040" s="20">
        <v>6500</v>
      </c>
      <c r="C1040" s="20"/>
      <c r="D1040" s="20"/>
      <c r="E1040" s="234" t="s">
        <v>1204</v>
      </c>
      <c r="F1040" s="20">
        <f t="shared" si="16"/>
        <v>172137365</v>
      </c>
      <c r="G1040" s="7" t="s">
        <v>1206</v>
      </c>
      <c r="H1040" s="24" t="s">
        <v>325</v>
      </c>
      <c r="I1040" s="32" t="s">
        <v>152</v>
      </c>
    </row>
    <row r="1041" spans="1:9" x14ac:dyDescent="0.35">
      <c r="A1041" s="19">
        <v>46095</v>
      </c>
      <c r="B1041" s="20">
        <v>2700000</v>
      </c>
      <c r="C1041" s="20"/>
      <c r="D1041" s="20"/>
      <c r="E1041" s="234" t="s">
        <v>1204</v>
      </c>
      <c r="F1041" s="20">
        <f t="shared" si="16"/>
        <v>169437365</v>
      </c>
      <c r="G1041" s="7" t="s">
        <v>1207</v>
      </c>
      <c r="H1041" s="24" t="s">
        <v>201</v>
      </c>
      <c r="I1041" s="32" t="s">
        <v>152</v>
      </c>
    </row>
    <row r="1042" spans="1:9" x14ac:dyDescent="0.35">
      <c r="A1042" s="19">
        <v>46095</v>
      </c>
      <c r="B1042" s="20">
        <v>6500</v>
      </c>
      <c r="C1042" s="20"/>
      <c r="D1042" s="20"/>
      <c r="E1042" s="234" t="s">
        <v>1204</v>
      </c>
      <c r="F1042" s="20">
        <f t="shared" si="16"/>
        <v>169430865</v>
      </c>
      <c r="G1042" s="7" t="s">
        <v>1207</v>
      </c>
      <c r="H1042" s="24" t="s">
        <v>201</v>
      </c>
      <c r="I1042" s="32" t="s">
        <v>152</v>
      </c>
    </row>
    <row r="1043" spans="1:9" x14ac:dyDescent="0.35">
      <c r="A1043" s="19">
        <v>46095</v>
      </c>
      <c r="B1043" s="20">
        <v>1000000</v>
      </c>
      <c r="C1043" s="20"/>
      <c r="D1043" s="20"/>
      <c r="E1043" s="234" t="s">
        <v>1204</v>
      </c>
      <c r="F1043" s="20">
        <f t="shared" si="16"/>
        <v>168430865</v>
      </c>
      <c r="G1043" s="7" t="s">
        <v>1208</v>
      </c>
      <c r="H1043" s="24" t="s">
        <v>201</v>
      </c>
      <c r="I1043" s="32" t="s">
        <v>152</v>
      </c>
    </row>
    <row r="1044" spans="1:9" x14ac:dyDescent="0.35">
      <c r="A1044" s="19">
        <v>46095</v>
      </c>
      <c r="B1044" s="20">
        <v>6500</v>
      </c>
      <c r="C1044" s="20"/>
      <c r="D1044" s="20"/>
      <c r="E1044" s="234" t="s">
        <v>1204</v>
      </c>
      <c r="F1044" s="20">
        <f t="shared" si="16"/>
        <v>168424365</v>
      </c>
      <c r="G1044" s="7" t="s">
        <v>1208</v>
      </c>
      <c r="H1044" s="24" t="s">
        <v>201</v>
      </c>
      <c r="I1044" s="32" t="s">
        <v>152</v>
      </c>
    </row>
    <row r="1045" spans="1:9" x14ac:dyDescent="0.35">
      <c r="A1045" s="19">
        <v>46095</v>
      </c>
      <c r="B1045" s="20">
        <v>3500000</v>
      </c>
      <c r="C1045" s="20"/>
      <c r="D1045" s="20"/>
      <c r="E1045" s="234" t="s">
        <v>1204</v>
      </c>
      <c r="F1045" s="20">
        <f t="shared" si="16"/>
        <v>164924365</v>
      </c>
      <c r="G1045" s="7" t="s">
        <v>1209</v>
      </c>
      <c r="H1045" s="24" t="s">
        <v>325</v>
      </c>
      <c r="I1045" s="32" t="s">
        <v>152</v>
      </c>
    </row>
    <row r="1046" spans="1:9" x14ac:dyDescent="0.35">
      <c r="A1046" s="19">
        <v>46095</v>
      </c>
      <c r="B1046" s="20">
        <v>6500</v>
      </c>
      <c r="C1046" s="20"/>
      <c r="D1046" s="20"/>
      <c r="E1046" s="234" t="s">
        <v>1204</v>
      </c>
      <c r="F1046" s="20">
        <f t="shared" si="16"/>
        <v>164917865</v>
      </c>
      <c r="G1046" s="7" t="s">
        <v>1209</v>
      </c>
      <c r="H1046" s="24" t="s">
        <v>325</v>
      </c>
      <c r="I1046" s="32" t="s">
        <v>152</v>
      </c>
    </row>
    <row r="1047" spans="1:9" x14ac:dyDescent="0.35">
      <c r="A1047" s="19">
        <v>46095</v>
      </c>
      <c r="B1047" s="20">
        <v>2500000</v>
      </c>
      <c r="C1047" s="20"/>
      <c r="D1047" s="20"/>
      <c r="E1047" s="234" t="s">
        <v>1204</v>
      </c>
      <c r="F1047" s="20">
        <f t="shared" si="16"/>
        <v>162417865</v>
      </c>
      <c r="G1047" s="7" t="s">
        <v>1210</v>
      </c>
      <c r="H1047" s="24" t="s">
        <v>325</v>
      </c>
      <c r="I1047" s="32" t="s">
        <v>152</v>
      </c>
    </row>
    <row r="1048" spans="1:9" x14ac:dyDescent="0.35">
      <c r="A1048" s="19">
        <v>46095</v>
      </c>
      <c r="B1048" s="20">
        <v>6500</v>
      </c>
      <c r="C1048" s="20"/>
      <c r="D1048" s="20"/>
      <c r="E1048" s="234" t="s">
        <v>1204</v>
      </c>
      <c r="F1048" s="20">
        <f t="shared" si="16"/>
        <v>162411365</v>
      </c>
      <c r="G1048" s="7" t="s">
        <v>1210</v>
      </c>
      <c r="H1048" s="24" t="s">
        <v>325</v>
      </c>
      <c r="I1048" s="32" t="s">
        <v>152</v>
      </c>
    </row>
    <row r="1049" spans="1:9" x14ac:dyDescent="0.35">
      <c r="A1049" s="19">
        <v>46095</v>
      </c>
      <c r="B1049" s="20">
        <v>2250000</v>
      </c>
      <c r="C1049" s="20"/>
      <c r="D1049" s="20"/>
      <c r="E1049" s="234" t="s">
        <v>1204</v>
      </c>
      <c r="F1049" s="20">
        <f t="shared" si="16"/>
        <v>160161365</v>
      </c>
      <c r="G1049" s="7" t="s">
        <v>1211</v>
      </c>
      <c r="H1049" s="24" t="s">
        <v>325</v>
      </c>
      <c r="I1049" s="32" t="s">
        <v>152</v>
      </c>
    </row>
    <row r="1050" spans="1:9" x14ac:dyDescent="0.35">
      <c r="A1050" s="19">
        <v>46095</v>
      </c>
      <c r="B1050" s="20">
        <v>6500</v>
      </c>
      <c r="C1050" s="20"/>
      <c r="D1050" s="20"/>
      <c r="E1050" s="234" t="s">
        <v>1204</v>
      </c>
      <c r="F1050" s="20">
        <f t="shared" si="16"/>
        <v>160154865</v>
      </c>
      <c r="G1050" s="7" t="s">
        <v>1211</v>
      </c>
      <c r="H1050" s="24" t="s">
        <v>325</v>
      </c>
      <c r="I1050" s="32" t="s">
        <v>152</v>
      </c>
    </row>
    <row r="1051" spans="1:9" x14ac:dyDescent="0.35">
      <c r="A1051" s="19">
        <v>46095</v>
      </c>
      <c r="B1051" s="20">
        <v>2750000</v>
      </c>
      <c r="C1051" s="20"/>
      <c r="D1051" s="20"/>
      <c r="E1051" s="234" t="s">
        <v>1204</v>
      </c>
      <c r="F1051" s="20">
        <f t="shared" si="16"/>
        <v>157404865</v>
      </c>
      <c r="G1051" s="7" t="s">
        <v>1212</v>
      </c>
      <c r="H1051" s="24" t="s">
        <v>325</v>
      </c>
      <c r="I1051" s="32" t="s">
        <v>152</v>
      </c>
    </row>
    <row r="1052" spans="1:9" x14ac:dyDescent="0.35">
      <c r="A1052" s="19">
        <v>46095</v>
      </c>
      <c r="B1052" s="20">
        <v>6000000</v>
      </c>
      <c r="C1052" s="20"/>
      <c r="D1052" s="20"/>
      <c r="E1052" s="234" t="s">
        <v>1204</v>
      </c>
      <c r="F1052" s="20">
        <f t="shared" si="16"/>
        <v>151404865</v>
      </c>
      <c r="G1052" s="7" t="s">
        <v>1213</v>
      </c>
      <c r="H1052" s="24" t="s">
        <v>327</v>
      </c>
      <c r="I1052" s="32" t="s">
        <v>152</v>
      </c>
    </row>
    <row r="1053" spans="1:9" x14ac:dyDescent="0.35">
      <c r="A1053" s="19">
        <v>46095</v>
      </c>
      <c r="B1053" s="20">
        <v>6500</v>
      </c>
      <c r="C1053" s="20"/>
      <c r="D1053" s="20"/>
      <c r="E1053" s="234" t="s">
        <v>1204</v>
      </c>
      <c r="F1053" s="20">
        <f t="shared" si="16"/>
        <v>151398365</v>
      </c>
      <c r="G1053" s="7" t="s">
        <v>1213</v>
      </c>
      <c r="H1053" s="24" t="s">
        <v>327</v>
      </c>
      <c r="I1053" s="32" t="s">
        <v>152</v>
      </c>
    </row>
    <row r="1054" spans="1:9" x14ac:dyDescent="0.35">
      <c r="A1054" s="19">
        <v>46095</v>
      </c>
      <c r="B1054" s="20">
        <v>750000</v>
      </c>
      <c r="C1054" s="20"/>
      <c r="D1054" s="20"/>
      <c r="E1054" s="234" t="s">
        <v>1204</v>
      </c>
      <c r="F1054" s="20">
        <f t="shared" si="16"/>
        <v>150648365</v>
      </c>
      <c r="G1054" s="7" t="s">
        <v>1214</v>
      </c>
      <c r="H1054" s="24" t="s">
        <v>1158</v>
      </c>
      <c r="I1054" s="32" t="s">
        <v>152</v>
      </c>
    </row>
    <row r="1055" spans="1:9" x14ac:dyDescent="0.35">
      <c r="A1055" s="19">
        <v>46095</v>
      </c>
      <c r="B1055" s="20">
        <v>6500</v>
      </c>
      <c r="C1055" s="20"/>
      <c r="D1055" s="20"/>
      <c r="E1055" s="234" t="s">
        <v>1204</v>
      </c>
      <c r="F1055" s="20">
        <f t="shared" ref="F1055:F1126" si="17">+F1054+D1055-B1055</f>
        <v>150641865</v>
      </c>
      <c r="G1055" s="7" t="s">
        <v>1214</v>
      </c>
      <c r="H1055" s="24" t="s">
        <v>1158</v>
      </c>
      <c r="I1055" s="32" t="s">
        <v>152</v>
      </c>
    </row>
    <row r="1056" spans="1:9" x14ac:dyDescent="0.35">
      <c r="A1056" s="19">
        <v>46096</v>
      </c>
      <c r="B1056" s="20"/>
      <c r="C1056" s="20"/>
      <c r="D1056" s="20">
        <v>100000</v>
      </c>
      <c r="E1056" s="234" t="s">
        <v>1204</v>
      </c>
      <c r="F1056" s="20">
        <f t="shared" si="17"/>
        <v>150741865</v>
      </c>
      <c r="G1056" s="7" t="s">
        <v>994</v>
      </c>
      <c r="H1056" s="24" t="s">
        <v>109</v>
      </c>
      <c r="I1056" s="32" t="s">
        <v>152</v>
      </c>
    </row>
    <row r="1057" spans="1:9" x14ac:dyDescent="0.35">
      <c r="A1057" s="19">
        <v>46096</v>
      </c>
      <c r="B1057" s="20"/>
      <c r="C1057" s="20"/>
      <c r="D1057" s="20">
        <v>20000</v>
      </c>
      <c r="E1057" s="234" t="s">
        <v>1204</v>
      </c>
      <c r="F1057" s="20">
        <f t="shared" si="17"/>
        <v>150761865</v>
      </c>
      <c r="G1057" s="7" t="s">
        <v>330</v>
      </c>
      <c r="H1057" s="24" t="s">
        <v>109</v>
      </c>
      <c r="I1057" s="32" t="s">
        <v>152</v>
      </c>
    </row>
    <row r="1058" spans="1:9" x14ac:dyDescent="0.35">
      <c r="A1058" s="19">
        <v>46096</v>
      </c>
      <c r="B1058" s="20"/>
      <c r="C1058" s="20"/>
      <c r="D1058" s="20">
        <v>35000</v>
      </c>
      <c r="E1058" s="234" t="s">
        <v>1204</v>
      </c>
      <c r="F1058" s="20">
        <f t="shared" si="17"/>
        <v>150796865</v>
      </c>
      <c r="G1058" s="7" t="s">
        <v>330</v>
      </c>
      <c r="H1058" s="24" t="s">
        <v>109</v>
      </c>
      <c r="I1058" s="32" t="s">
        <v>152</v>
      </c>
    </row>
    <row r="1059" spans="1:9" x14ac:dyDescent="0.35">
      <c r="A1059" s="19">
        <v>46096</v>
      </c>
      <c r="B1059" s="20"/>
      <c r="C1059" s="20"/>
      <c r="D1059" s="20">
        <v>100000</v>
      </c>
      <c r="E1059" s="234" t="s">
        <v>1204</v>
      </c>
      <c r="F1059" s="20">
        <f t="shared" si="17"/>
        <v>150896865</v>
      </c>
      <c r="G1059" s="7" t="s">
        <v>330</v>
      </c>
      <c r="H1059" s="24" t="s">
        <v>109</v>
      </c>
      <c r="I1059" s="32" t="s">
        <v>152</v>
      </c>
    </row>
    <row r="1060" spans="1:9" x14ac:dyDescent="0.35">
      <c r="A1060" s="19">
        <v>46096</v>
      </c>
      <c r="B1060" s="20"/>
      <c r="C1060" s="20"/>
      <c r="D1060" s="20">
        <v>15000</v>
      </c>
      <c r="E1060" s="234" t="s">
        <v>1204</v>
      </c>
      <c r="F1060" s="20">
        <f t="shared" si="17"/>
        <v>150911865</v>
      </c>
      <c r="G1060" s="7" t="s">
        <v>330</v>
      </c>
      <c r="H1060" s="24" t="s">
        <v>109</v>
      </c>
      <c r="I1060" s="32" t="s">
        <v>152</v>
      </c>
    </row>
    <row r="1061" spans="1:9" x14ac:dyDescent="0.35">
      <c r="A1061" s="19">
        <v>46096</v>
      </c>
      <c r="B1061" s="20"/>
      <c r="C1061" s="20"/>
      <c r="D1061" s="20">
        <v>6750</v>
      </c>
      <c r="E1061" s="234" t="s">
        <v>1204</v>
      </c>
      <c r="F1061" s="20">
        <f t="shared" si="17"/>
        <v>150918615</v>
      </c>
      <c r="G1061" s="7" t="s">
        <v>330</v>
      </c>
      <c r="H1061" s="24" t="s">
        <v>109</v>
      </c>
      <c r="I1061" s="32" t="s">
        <v>152</v>
      </c>
    </row>
    <row r="1062" spans="1:9" x14ac:dyDescent="0.35">
      <c r="A1062" s="19">
        <v>46096</v>
      </c>
      <c r="B1062" s="20"/>
      <c r="C1062" s="20"/>
      <c r="D1062" s="20">
        <v>2570</v>
      </c>
      <c r="E1062" s="234" t="s">
        <v>1204</v>
      </c>
      <c r="F1062" s="20">
        <f t="shared" si="17"/>
        <v>150921185</v>
      </c>
      <c r="G1062" s="7" t="s">
        <v>330</v>
      </c>
      <c r="H1062" s="24" t="s">
        <v>109</v>
      </c>
      <c r="I1062" s="32" t="s">
        <v>152</v>
      </c>
    </row>
    <row r="1063" spans="1:9" x14ac:dyDescent="0.35">
      <c r="A1063" s="19">
        <v>46096</v>
      </c>
      <c r="B1063" s="20"/>
      <c r="C1063" s="20"/>
      <c r="D1063" s="20">
        <v>5000</v>
      </c>
      <c r="E1063" s="234" t="s">
        <v>1204</v>
      </c>
      <c r="F1063" s="20">
        <f t="shared" si="17"/>
        <v>150926185</v>
      </c>
      <c r="G1063" s="7" t="s">
        <v>330</v>
      </c>
      <c r="H1063" s="24" t="s">
        <v>109</v>
      </c>
      <c r="I1063" s="32" t="s">
        <v>152</v>
      </c>
    </row>
    <row r="1064" spans="1:9" x14ac:dyDescent="0.35">
      <c r="A1064" s="19">
        <v>46096</v>
      </c>
      <c r="B1064" s="20"/>
      <c r="C1064" s="20"/>
      <c r="D1064" s="20">
        <v>20000</v>
      </c>
      <c r="E1064" s="234" t="s">
        <v>1204</v>
      </c>
      <c r="F1064" s="20">
        <f t="shared" si="17"/>
        <v>150946185</v>
      </c>
      <c r="G1064" s="7" t="s">
        <v>330</v>
      </c>
      <c r="H1064" s="24" t="s">
        <v>109</v>
      </c>
      <c r="I1064" s="32" t="s">
        <v>152</v>
      </c>
    </row>
    <row r="1065" spans="1:9" x14ac:dyDescent="0.35">
      <c r="A1065" s="19">
        <v>46096</v>
      </c>
      <c r="B1065" s="20"/>
      <c r="C1065" s="20"/>
      <c r="D1065" s="20">
        <v>20000</v>
      </c>
      <c r="E1065" s="234" t="s">
        <v>1204</v>
      </c>
      <c r="F1065" s="20">
        <f t="shared" si="17"/>
        <v>150966185</v>
      </c>
      <c r="G1065" s="7" t="s">
        <v>330</v>
      </c>
      <c r="H1065" s="24" t="s">
        <v>109</v>
      </c>
      <c r="I1065" s="32" t="s">
        <v>152</v>
      </c>
    </row>
    <row r="1066" spans="1:9" x14ac:dyDescent="0.35">
      <c r="A1066" s="19">
        <v>46096</v>
      </c>
      <c r="B1066" s="20"/>
      <c r="C1066" s="20"/>
      <c r="D1066" s="20">
        <v>25000</v>
      </c>
      <c r="E1066" s="234" t="s">
        <v>1204</v>
      </c>
      <c r="F1066" s="20">
        <f t="shared" si="17"/>
        <v>150991185</v>
      </c>
      <c r="G1066" s="7" t="s">
        <v>330</v>
      </c>
      <c r="H1066" s="24" t="s">
        <v>109</v>
      </c>
      <c r="I1066" s="32" t="s">
        <v>152</v>
      </c>
    </row>
    <row r="1067" spans="1:9" x14ac:dyDescent="0.35">
      <c r="A1067" s="19">
        <v>46096</v>
      </c>
      <c r="B1067" s="20"/>
      <c r="C1067" s="20"/>
      <c r="D1067" s="20">
        <v>25000</v>
      </c>
      <c r="E1067" s="234" t="s">
        <v>1204</v>
      </c>
      <c r="F1067" s="20">
        <f t="shared" si="17"/>
        <v>151016185</v>
      </c>
      <c r="G1067" s="7" t="s">
        <v>330</v>
      </c>
      <c r="H1067" s="24" t="s">
        <v>109</v>
      </c>
      <c r="I1067" s="32" t="s">
        <v>152</v>
      </c>
    </row>
    <row r="1068" spans="1:9" x14ac:dyDescent="0.35">
      <c r="A1068" s="19">
        <v>46096</v>
      </c>
      <c r="B1068" s="20"/>
      <c r="C1068" s="20"/>
      <c r="D1068" s="20">
        <v>3000</v>
      </c>
      <c r="E1068" s="234" t="s">
        <v>1204</v>
      </c>
      <c r="F1068" s="20">
        <f t="shared" si="17"/>
        <v>151019185</v>
      </c>
      <c r="G1068" s="7" t="s">
        <v>330</v>
      </c>
      <c r="H1068" s="24" t="s">
        <v>109</v>
      </c>
      <c r="I1068" s="32" t="s">
        <v>152</v>
      </c>
    </row>
    <row r="1069" spans="1:9" x14ac:dyDescent="0.35">
      <c r="A1069" s="19">
        <v>46096</v>
      </c>
      <c r="B1069" s="20"/>
      <c r="C1069" s="20"/>
      <c r="D1069" s="20">
        <v>2000</v>
      </c>
      <c r="E1069" s="234" t="s">
        <v>1204</v>
      </c>
      <c r="F1069" s="20">
        <f t="shared" si="17"/>
        <v>151021185</v>
      </c>
      <c r="G1069" s="7" t="s">
        <v>330</v>
      </c>
      <c r="H1069" s="24" t="s">
        <v>109</v>
      </c>
      <c r="I1069" s="32" t="s">
        <v>152</v>
      </c>
    </row>
    <row r="1070" spans="1:9" x14ac:dyDescent="0.35">
      <c r="A1070" s="19">
        <v>46096</v>
      </c>
      <c r="B1070" s="20"/>
      <c r="C1070" s="20"/>
      <c r="D1070" s="20">
        <v>30000</v>
      </c>
      <c r="E1070" s="234" t="s">
        <v>1204</v>
      </c>
      <c r="F1070" s="20">
        <f t="shared" si="17"/>
        <v>151051185</v>
      </c>
      <c r="G1070" s="7" t="s">
        <v>330</v>
      </c>
      <c r="H1070" s="24" t="s">
        <v>109</v>
      </c>
      <c r="I1070" s="32" t="s">
        <v>152</v>
      </c>
    </row>
    <row r="1071" spans="1:9" x14ac:dyDescent="0.35">
      <c r="A1071" s="19">
        <v>46096</v>
      </c>
      <c r="B1071" s="20"/>
      <c r="C1071" s="20"/>
      <c r="D1071" s="20">
        <v>50000</v>
      </c>
      <c r="E1071" s="234" t="s">
        <v>1204</v>
      </c>
      <c r="F1071" s="20">
        <f t="shared" si="17"/>
        <v>151101185</v>
      </c>
      <c r="G1071" s="7" t="s">
        <v>330</v>
      </c>
      <c r="H1071" s="24" t="s">
        <v>109</v>
      </c>
      <c r="I1071" s="32" t="s">
        <v>152</v>
      </c>
    </row>
    <row r="1072" spans="1:9" x14ac:dyDescent="0.35">
      <c r="A1072" s="19">
        <v>46096</v>
      </c>
      <c r="B1072" s="20"/>
      <c r="C1072" s="20"/>
      <c r="D1072" s="20">
        <v>2700</v>
      </c>
      <c r="E1072" s="234" t="s">
        <v>1204</v>
      </c>
      <c r="F1072" s="20">
        <f t="shared" si="17"/>
        <v>151103885</v>
      </c>
      <c r="G1072" s="7" t="s">
        <v>330</v>
      </c>
      <c r="H1072" s="24" t="s">
        <v>109</v>
      </c>
      <c r="I1072" s="32" t="s">
        <v>152</v>
      </c>
    </row>
    <row r="1073" spans="1:9" x14ac:dyDescent="0.35">
      <c r="A1073" s="19">
        <v>46096</v>
      </c>
      <c r="B1073" s="20"/>
      <c r="C1073" s="20"/>
      <c r="D1073" s="20">
        <v>20000</v>
      </c>
      <c r="E1073" s="234" t="s">
        <v>1204</v>
      </c>
      <c r="F1073" s="20">
        <f t="shared" si="17"/>
        <v>151123885</v>
      </c>
      <c r="G1073" s="7" t="s">
        <v>330</v>
      </c>
      <c r="H1073" s="24" t="s">
        <v>109</v>
      </c>
      <c r="I1073" s="32" t="s">
        <v>152</v>
      </c>
    </row>
    <row r="1074" spans="1:9" x14ac:dyDescent="0.35">
      <c r="A1074" s="19">
        <v>46096</v>
      </c>
      <c r="B1074" s="20"/>
      <c r="C1074" s="20"/>
      <c r="D1074" s="20">
        <v>50000</v>
      </c>
      <c r="E1074" s="234" t="s">
        <v>1204</v>
      </c>
      <c r="F1074" s="20">
        <f t="shared" si="17"/>
        <v>151173885</v>
      </c>
      <c r="G1074" s="7" t="s">
        <v>330</v>
      </c>
      <c r="H1074" s="24" t="s">
        <v>109</v>
      </c>
      <c r="I1074" s="32" t="s">
        <v>152</v>
      </c>
    </row>
    <row r="1075" spans="1:9" x14ac:dyDescent="0.35">
      <c r="A1075" s="19">
        <v>46096</v>
      </c>
      <c r="B1075" s="20"/>
      <c r="C1075" s="20"/>
      <c r="D1075" s="20">
        <v>10000</v>
      </c>
      <c r="E1075" s="234" t="s">
        <v>1204</v>
      </c>
      <c r="F1075" s="20">
        <f t="shared" si="17"/>
        <v>151183885</v>
      </c>
      <c r="G1075" s="7" t="s">
        <v>330</v>
      </c>
      <c r="H1075" s="24" t="s">
        <v>109</v>
      </c>
      <c r="I1075" s="32" t="s">
        <v>152</v>
      </c>
    </row>
    <row r="1076" spans="1:9" x14ac:dyDescent="0.35">
      <c r="A1076" s="19">
        <v>46096</v>
      </c>
      <c r="B1076" s="20"/>
      <c r="C1076" s="20"/>
      <c r="D1076" s="20">
        <v>35000</v>
      </c>
      <c r="E1076" s="234" t="s">
        <v>1204</v>
      </c>
      <c r="F1076" s="20">
        <f t="shared" si="17"/>
        <v>151218885</v>
      </c>
      <c r="G1076" s="7" t="s">
        <v>330</v>
      </c>
      <c r="H1076" s="24" t="s">
        <v>109</v>
      </c>
      <c r="I1076" s="32" t="s">
        <v>152</v>
      </c>
    </row>
    <row r="1077" spans="1:9" x14ac:dyDescent="0.35">
      <c r="A1077" s="19">
        <v>46096</v>
      </c>
      <c r="B1077" s="20"/>
      <c r="C1077" s="20"/>
      <c r="D1077" s="20">
        <v>10000</v>
      </c>
      <c r="E1077" s="234" t="s">
        <v>1204</v>
      </c>
      <c r="F1077" s="20">
        <f t="shared" si="17"/>
        <v>151228885</v>
      </c>
      <c r="G1077" s="7" t="s">
        <v>330</v>
      </c>
      <c r="H1077" s="24" t="s">
        <v>109</v>
      </c>
      <c r="I1077" s="32" t="s">
        <v>152</v>
      </c>
    </row>
    <row r="1078" spans="1:9" x14ac:dyDescent="0.35">
      <c r="A1078" s="19">
        <v>46096</v>
      </c>
      <c r="B1078" s="20"/>
      <c r="C1078" s="20"/>
      <c r="D1078" s="20">
        <v>25000</v>
      </c>
      <c r="E1078" s="234" t="s">
        <v>1204</v>
      </c>
      <c r="F1078" s="20">
        <f t="shared" si="17"/>
        <v>151253885</v>
      </c>
      <c r="G1078" s="7" t="s">
        <v>330</v>
      </c>
      <c r="H1078" s="24" t="s">
        <v>109</v>
      </c>
      <c r="I1078" s="32" t="s">
        <v>152</v>
      </c>
    </row>
    <row r="1079" spans="1:9" x14ac:dyDescent="0.35">
      <c r="A1079" s="19">
        <v>46096</v>
      </c>
      <c r="B1079" s="20"/>
      <c r="C1079" s="20"/>
      <c r="D1079" s="20">
        <v>50000</v>
      </c>
      <c r="E1079" s="234" t="s">
        <v>1204</v>
      </c>
      <c r="F1079" s="20">
        <f t="shared" si="17"/>
        <v>151303885</v>
      </c>
      <c r="G1079" s="7" t="s">
        <v>330</v>
      </c>
      <c r="H1079" s="24" t="s">
        <v>109</v>
      </c>
      <c r="I1079" s="32" t="s">
        <v>152</v>
      </c>
    </row>
    <row r="1080" spans="1:9" x14ac:dyDescent="0.35">
      <c r="A1080" s="19">
        <v>46096</v>
      </c>
      <c r="B1080" s="20"/>
      <c r="C1080" s="20"/>
      <c r="D1080" s="20">
        <v>50000</v>
      </c>
      <c r="E1080" s="234" t="s">
        <v>1204</v>
      </c>
      <c r="F1080" s="20">
        <f t="shared" si="17"/>
        <v>151353885</v>
      </c>
      <c r="G1080" s="7" t="s">
        <v>330</v>
      </c>
      <c r="H1080" s="24" t="s">
        <v>109</v>
      </c>
      <c r="I1080" s="32" t="s">
        <v>152</v>
      </c>
    </row>
    <row r="1081" spans="1:9" x14ac:dyDescent="0.35">
      <c r="A1081" s="19">
        <v>46096</v>
      </c>
      <c r="B1081" s="20"/>
      <c r="C1081" s="20"/>
      <c r="D1081" s="20">
        <v>300000</v>
      </c>
      <c r="E1081" s="234" t="s">
        <v>1204</v>
      </c>
      <c r="F1081" s="20">
        <f t="shared" si="17"/>
        <v>151653885</v>
      </c>
      <c r="G1081" s="7" t="s">
        <v>330</v>
      </c>
      <c r="H1081" s="24" t="s">
        <v>109</v>
      </c>
      <c r="I1081" s="32" t="s">
        <v>152</v>
      </c>
    </row>
    <row r="1082" spans="1:9" x14ac:dyDescent="0.35">
      <c r="A1082" s="19">
        <v>46096</v>
      </c>
      <c r="B1082" s="20"/>
      <c r="C1082" s="20"/>
      <c r="D1082" s="20">
        <v>100000</v>
      </c>
      <c r="E1082" s="234" t="s">
        <v>1204</v>
      </c>
      <c r="F1082" s="20">
        <f t="shared" si="17"/>
        <v>151753885</v>
      </c>
      <c r="G1082" s="7" t="s">
        <v>330</v>
      </c>
      <c r="H1082" s="24" t="s">
        <v>109</v>
      </c>
      <c r="I1082" s="32" t="s">
        <v>152</v>
      </c>
    </row>
    <row r="1083" spans="1:9" x14ac:dyDescent="0.35">
      <c r="A1083" s="19">
        <v>46096</v>
      </c>
      <c r="B1083" s="20"/>
      <c r="C1083" s="20"/>
      <c r="D1083" s="20">
        <v>20000000</v>
      </c>
      <c r="E1083" s="234" t="s">
        <v>1204</v>
      </c>
      <c r="F1083" s="20">
        <f t="shared" si="17"/>
        <v>171753885</v>
      </c>
      <c r="G1083" s="7" t="s">
        <v>1231</v>
      </c>
      <c r="H1083" s="24" t="s">
        <v>105</v>
      </c>
      <c r="I1083" s="32" t="s">
        <v>152</v>
      </c>
    </row>
    <row r="1084" spans="1:9" x14ac:dyDescent="0.35">
      <c r="A1084" s="19">
        <v>46096</v>
      </c>
      <c r="B1084" s="20"/>
      <c r="C1084" s="20"/>
      <c r="D1084" s="20">
        <v>2000000</v>
      </c>
      <c r="E1084" s="234" t="s">
        <v>1204</v>
      </c>
      <c r="F1084" s="20">
        <f t="shared" si="17"/>
        <v>173753885</v>
      </c>
      <c r="G1084" s="7" t="s">
        <v>1230</v>
      </c>
      <c r="H1084" s="24" t="s">
        <v>105</v>
      </c>
      <c r="I1084" s="32" t="s">
        <v>152</v>
      </c>
    </row>
    <row r="1085" spans="1:9" x14ac:dyDescent="0.35">
      <c r="A1085" s="19">
        <v>46096</v>
      </c>
      <c r="B1085" s="20"/>
      <c r="C1085" s="20"/>
      <c r="D1085" s="20">
        <v>2000000</v>
      </c>
      <c r="E1085" s="234" t="s">
        <v>1204</v>
      </c>
      <c r="F1085" s="20">
        <f t="shared" si="17"/>
        <v>175753885</v>
      </c>
      <c r="G1085" s="7" t="s">
        <v>1232</v>
      </c>
      <c r="H1085" s="24" t="s">
        <v>109</v>
      </c>
      <c r="I1085" s="32" t="s">
        <v>152</v>
      </c>
    </row>
    <row r="1086" spans="1:9" x14ac:dyDescent="0.35">
      <c r="A1086" s="19"/>
      <c r="B1086" s="20"/>
      <c r="C1086" s="20">
        <v>4000000</v>
      </c>
      <c r="D1086" s="20"/>
      <c r="E1086" s="234" t="s">
        <v>1204</v>
      </c>
      <c r="F1086" s="20">
        <f t="shared" si="17"/>
        <v>175753885</v>
      </c>
      <c r="G1086" s="7" t="s">
        <v>1230</v>
      </c>
      <c r="H1086" s="24"/>
      <c r="I1086" s="32"/>
    </row>
    <row r="1087" spans="1:9" x14ac:dyDescent="0.35">
      <c r="A1087" s="19">
        <v>46096</v>
      </c>
      <c r="B1087" s="20">
        <v>1800000</v>
      </c>
      <c r="C1087" s="20"/>
      <c r="D1087" s="20"/>
      <c r="E1087" s="234" t="s">
        <v>1204</v>
      </c>
      <c r="F1087" s="20">
        <f t="shared" si="17"/>
        <v>173953885</v>
      </c>
      <c r="G1087" s="7" t="s">
        <v>1215</v>
      </c>
      <c r="H1087" s="24" t="s">
        <v>322</v>
      </c>
      <c r="I1087" s="32" t="s">
        <v>152</v>
      </c>
    </row>
    <row r="1088" spans="1:9" x14ac:dyDescent="0.35">
      <c r="A1088" s="19">
        <v>46096</v>
      </c>
      <c r="B1088" s="20">
        <v>6500</v>
      </c>
      <c r="C1088" s="20"/>
      <c r="D1088" s="20"/>
      <c r="E1088" s="234" t="s">
        <v>1204</v>
      </c>
      <c r="F1088" s="20">
        <f t="shared" si="17"/>
        <v>173947385</v>
      </c>
      <c r="G1088" s="7" t="s">
        <v>1215</v>
      </c>
      <c r="H1088" s="24" t="s">
        <v>322</v>
      </c>
      <c r="I1088" s="32" t="s">
        <v>152</v>
      </c>
    </row>
    <row r="1089" spans="1:9" x14ac:dyDescent="0.35">
      <c r="A1089" s="19">
        <v>46096</v>
      </c>
      <c r="B1089" s="20"/>
      <c r="C1089" s="20"/>
      <c r="D1089" s="20">
        <v>10000</v>
      </c>
      <c r="E1089" s="234" t="s">
        <v>1204</v>
      </c>
      <c r="F1089" s="20">
        <f t="shared" si="17"/>
        <v>173957385</v>
      </c>
      <c r="G1089" s="7" t="s">
        <v>330</v>
      </c>
      <c r="H1089" s="24" t="s">
        <v>109</v>
      </c>
      <c r="I1089" s="32" t="s">
        <v>152</v>
      </c>
    </row>
    <row r="1090" spans="1:9" x14ac:dyDescent="0.35">
      <c r="A1090" s="19">
        <v>46096</v>
      </c>
      <c r="B1090" s="20"/>
      <c r="C1090" s="20"/>
      <c r="D1090" s="20">
        <v>800000</v>
      </c>
      <c r="E1090" s="234" t="s">
        <v>1204</v>
      </c>
      <c r="F1090" s="20">
        <f t="shared" si="17"/>
        <v>174757385</v>
      </c>
      <c r="G1090" s="7" t="s">
        <v>1060</v>
      </c>
      <c r="H1090" s="24" t="s">
        <v>109</v>
      </c>
      <c r="I1090" s="32" t="s">
        <v>152</v>
      </c>
    </row>
    <row r="1091" spans="1:9" x14ac:dyDescent="0.35">
      <c r="A1091" s="19">
        <v>46096</v>
      </c>
      <c r="B1091" s="20">
        <v>750000</v>
      </c>
      <c r="C1091" s="20"/>
      <c r="D1091" s="20"/>
      <c r="E1091" s="234" t="s">
        <v>1204</v>
      </c>
      <c r="F1091" s="20">
        <f t="shared" si="17"/>
        <v>174007385</v>
      </c>
      <c r="G1091" s="7" t="s">
        <v>1216</v>
      </c>
      <c r="H1091" s="24" t="s">
        <v>1158</v>
      </c>
      <c r="I1091" s="32" t="s">
        <v>152</v>
      </c>
    </row>
    <row r="1092" spans="1:9" x14ac:dyDescent="0.35">
      <c r="A1092" s="19">
        <v>46096</v>
      </c>
      <c r="B1092" s="20">
        <v>6500</v>
      </c>
      <c r="C1092" s="20"/>
      <c r="D1092" s="20"/>
      <c r="E1092" s="234" t="s">
        <v>1204</v>
      </c>
      <c r="F1092" s="20">
        <f t="shared" si="17"/>
        <v>174000885</v>
      </c>
      <c r="G1092" s="7" t="s">
        <v>1216</v>
      </c>
      <c r="H1092" s="24" t="s">
        <v>1158</v>
      </c>
      <c r="I1092" s="32" t="s">
        <v>152</v>
      </c>
    </row>
    <row r="1093" spans="1:9" x14ac:dyDescent="0.35">
      <c r="A1093" s="19">
        <v>46097</v>
      </c>
      <c r="B1093" s="20"/>
      <c r="C1093" s="20"/>
      <c r="D1093" s="20">
        <v>50000</v>
      </c>
      <c r="E1093" s="234" t="s">
        <v>1204</v>
      </c>
      <c r="F1093" s="20">
        <f t="shared" si="17"/>
        <v>174050885</v>
      </c>
      <c r="G1093" s="7" t="s">
        <v>330</v>
      </c>
      <c r="H1093" s="24" t="s">
        <v>109</v>
      </c>
      <c r="I1093" s="32" t="s">
        <v>152</v>
      </c>
    </row>
    <row r="1094" spans="1:9" x14ac:dyDescent="0.35">
      <c r="A1094" s="19">
        <v>46097</v>
      </c>
      <c r="B1094" s="20"/>
      <c r="C1094" s="20"/>
      <c r="D1094" s="20">
        <v>10000</v>
      </c>
      <c r="E1094" s="234" t="s">
        <v>1204</v>
      </c>
      <c r="F1094" s="20">
        <f t="shared" si="17"/>
        <v>174060885</v>
      </c>
      <c r="G1094" s="7" t="s">
        <v>330</v>
      </c>
      <c r="H1094" s="24" t="s">
        <v>109</v>
      </c>
      <c r="I1094" s="32" t="s">
        <v>152</v>
      </c>
    </row>
    <row r="1095" spans="1:9" x14ac:dyDescent="0.35">
      <c r="A1095" s="19">
        <v>46097</v>
      </c>
      <c r="B1095" s="20">
        <v>15950000</v>
      </c>
      <c r="C1095" s="20"/>
      <c r="D1095" s="20"/>
      <c r="E1095" s="234" t="s">
        <v>1204</v>
      </c>
      <c r="F1095" s="20">
        <f t="shared" si="17"/>
        <v>158110885</v>
      </c>
      <c r="G1095" s="7" t="s">
        <v>1217</v>
      </c>
      <c r="H1095" s="24" t="s">
        <v>499</v>
      </c>
      <c r="I1095" s="32" t="s">
        <v>152</v>
      </c>
    </row>
    <row r="1096" spans="1:9" x14ac:dyDescent="0.35">
      <c r="A1096" s="19">
        <v>46097</v>
      </c>
      <c r="B1096" s="20">
        <v>6500</v>
      </c>
      <c r="C1096" s="20"/>
      <c r="D1096" s="20"/>
      <c r="E1096" s="234" t="s">
        <v>1204</v>
      </c>
      <c r="F1096" s="20">
        <f t="shared" si="17"/>
        <v>158104385</v>
      </c>
      <c r="G1096" s="7" t="s">
        <v>1217</v>
      </c>
      <c r="H1096" s="24" t="s">
        <v>499</v>
      </c>
      <c r="I1096" s="32" t="s">
        <v>152</v>
      </c>
    </row>
    <row r="1097" spans="1:9" x14ac:dyDescent="0.35">
      <c r="A1097" s="19">
        <v>46097</v>
      </c>
      <c r="B1097" s="20"/>
      <c r="C1097" s="20"/>
      <c r="D1097" s="20">
        <f>3532000-1100000</f>
        <v>2432000</v>
      </c>
      <c r="E1097" s="234" t="s">
        <v>1204</v>
      </c>
      <c r="F1097" s="20">
        <f t="shared" si="17"/>
        <v>160536385</v>
      </c>
      <c r="G1097" s="7"/>
      <c r="H1097" s="24" t="s">
        <v>107</v>
      </c>
      <c r="I1097" s="32" t="s">
        <v>152</v>
      </c>
    </row>
    <row r="1098" spans="1:9" x14ac:dyDescent="0.35">
      <c r="A1098" s="19">
        <v>46097</v>
      </c>
      <c r="B1098" s="20"/>
      <c r="C1098" s="20"/>
      <c r="D1098" s="20">
        <v>3692000</v>
      </c>
      <c r="E1098" s="234" t="s">
        <v>1204</v>
      </c>
      <c r="F1098" s="20">
        <f t="shared" si="17"/>
        <v>164228385</v>
      </c>
      <c r="G1098" s="7"/>
      <c r="H1098" s="24" t="s">
        <v>109</v>
      </c>
      <c r="I1098" s="32" t="s">
        <v>152</v>
      </c>
    </row>
    <row r="1099" spans="1:9" x14ac:dyDescent="0.35">
      <c r="A1099" s="19">
        <v>46097</v>
      </c>
      <c r="B1099" s="20"/>
      <c r="C1099" s="20"/>
      <c r="D1099" s="20">
        <v>3231000</v>
      </c>
      <c r="E1099" s="234" t="s">
        <v>1204</v>
      </c>
      <c r="F1099" s="20">
        <f t="shared" si="17"/>
        <v>167459385</v>
      </c>
      <c r="G1099" s="7"/>
      <c r="H1099" s="24" t="s">
        <v>377</v>
      </c>
      <c r="I1099" s="32" t="s">
        <v>152</v>
      </c>
    </row>
    <row r="1100" spans="1:9" x14ac:dyDescent="0.35">
      <c r="A1100" s="19">
        <v>46097</v>
      </c>
      <c r="B1100" s="20"/>
      <c r="C1100" s="20"/>
      <c r="D1100" s="20">
        <v>21150000</v>
      </c>
      <c r="E1100" s="234" t="s">
        <v>1204</v>
      </c>
      <c r="F1100" s="20">
        <f t="shared" si="17"/>
        <v>188609385</v>
      </c>
      <c r="G1100" s="7"/>
      <c r="H1100" s="24" t="s">
        <v>105</v>
      </c>
      <c r="I1100" s="32" t="s">
        <v>152</v>
      </c>
    </row>
    <row r="1101" spans="1:9" x14ac:dyDescent="0.35">
      <c r="A1101" s="19">
        <v>46097</v>
      </c>
      <c r="B1101" s="20"/>
      <c r="C1101" s="20"/>
      <c r="D1101" s="20">
        <v>1000000</v>
      </c>
      <c r="E1101" s="234" t="s">
        <v>1204</v>
      </c>
      <c r="F1101" s="20">
        <f t="shared" si="17"/>
        <v>189609385</v>
      </c>
      <c r="G1101" s="7"/>
      <c r="H1101" s="24" t="s">
        <v>106</v>
      </c>
      <c r="I1101" s="32" t="s">
        <v>152</v>
      </c>
    </row>
    <row r="1102" spans="1:9" x14ac:dyDescent="0.35">
      <c r="A1102" s="19">
        <v>46097</v>
      </c>
      <c r="B1102" s="20"/>
      <c r="C1102" s="20"/>
      <c r="D1102" s="20">
        <v>825000</v>
      </c>
      <c r="E1102" s="234" t="s">
        <v>1204</v>
      </c>
      <c r="F1102" s="20">
        <f t="shared" si="17"/>
        <v>190434385</v>
      </c>
      <c r="G1102" s="7"/>
      <c r="H1102" s="24" t="s">
        <v>109</v>
      </c>
      <c r="I1102" s="32" t="s">
        <v>152</v>
      </c>
    </row>
    <row r="1103" spans="1:9" x14ac:dyDescent="0.35">
      <c r="A1103" s="19"/>
      <c r="B1103" s="20"/>
      <c r="C1103" s="20">
        <v>32330000</v>
      </c>
      <c r="D1103" s="20"/>
      <c r="E1103" s="234" t="s">
        <v>1204</v>
      </c>
      <c r="F1103" s="20">
        <f t="shared" si="17"/>
        <v>190434385</v>
      </c>
      <c r="G1103" s="7" t="s">
        <v>1218</v>
      </c>
      <c r="H1103" s="24"/>
      <c r="I1103" s="32"/>
    </row>
    <row r="1104" spans="1:9" x14ac:dyDescent="0.35">
      <c r="A1104" s="19">
        <v>46097</v>
      </c>
      <c r="B1104" s="20">
        <v>2500000</v>
      </c>
      <c r="C1104" s="20"/>
      <c r="D1104" s="20"/>
      <c r="E1104" s="234" t="s">
        <v>1204</v>
      </c>
      <c r="F1104" s="20">
        <f t="shared" si="17"/>
        <v>187934385</v>
      </c>
      <c r="G1104" s="7" t="s">
        <v>1219</v>
      </c>
      <c r="H1104" s="24" t="s">
        <v>325</v>
      </c>
      <c r="I1104" s="32" t="s">
        <v>152</v>
      </c>
    </row>
    <row r="1105" spans="1:9" x14ac:dyDescent="0.35">
      <c r="A1105" s="19">
        <v>46097</v>
      </c>
      <c r="B1105" s="20">
        <v>2500</v>
      </c>
      <c r="C1105" s="20"/>
      <c r="D1105" s="20"/>
      <c r="E1105" s="234" t="s">
        <v>1204</v>
      </c>
      <c r="F1105" s="20">
        <f t="shared" si="17"/>
        <v>187931885</v>
      </c>
      <c r="G1105" s="7" t="s">
        <v>1219</v>
      </c>
      <c r="H1105" s="24" t="s">
        <v>325</v>
      </c>
      <c r="I1105" s="32" t="s">
        <v>152</v>
      </c>
    </row>
    <row r="1106" spans="1:9" x14ac:dyDescent="0.35">
      <c r="A1106" s="19">
        <v>46097</v>
      </c>
      <c r="B1106" s="20">
        <v>12814500</v>
      </c>
      <c r="C1106" s="20"/>
      <c r="D1106" s="20"/>
      <c r="E1106" s="234" t="s">
        <v>1204</v>
      </c>
      <c r="F1106" s="20">
        <f t="shared" si="17"/>
        <v>175117385</v>
      </c>
      <c r="G1106" s="7" t="s">
        <v>1220</v>
      </c>
      <c r="H1106" s="24" t="s">
        <v>322</v>
      </c>
      <c r="I1106" s="32" t="s">
        <v>152</v>
      </c>
    </row>
    <row r="1107" spans="1:9" x14ac:dyDescent="0.35">
      <c r="A1107" s="19">
        <v>46097</v>
      </c>
      <c r="B1107" s="20">
        <v>2500</v>
      </c>
      <c r="C1107" s="20"/>
      <c r="D1107" s="20"/>
      <c r="E1107" s="234" t="s">
        <v>1204</v>
      </c>
      <c r="F1107" s="20">
        <f t="shared" si="17"/>
        <v>175114885</v>
      </c>
      <c r="G1107" s="7" t="s">
        <v>1220</v>
      </c>
      <c r="H1107" s="24" t="s">
        <v>322</v>
      </c>
      <c r="I1107" s="32" t="s">
        <v>152</v>
      </c>
    </row>
    <row r="1108" spans="1:9" x14ac:dyDescent="0.35">
      <c r="A1108" s="19">
        <v>46097</v>
      </c>
      <c r="B1108" s="20"/>
      <c r="C1108" s="20"/>
      <c r="D1108" s="20">
        <v>20000</v>
      </c>
      <c r="E1108" s="234" t="s">
        <v>1204</v>
      </c>
      <c r="F1108" s="20">
        <f t="shared" si="17"/>
        <v>175134885</v>
      </c>
      <c r="G1108" s="7" t="s">
        <v>330</v>
      </c>
      <c r="H1108" s="24" t="s">
        <v>109</v>
      </c>
      <c r="I1108" s="32" t="s">
        <v>152</v>
      </c>
    </row>
    <row r="1109" spans="1:9" x14ac:dyDescent="0.35">
      <c r="A1109" s="19">
        <v>46097</v>
      </c>
      <c r="B1109" s="20"/>
      <c r="C1109" s="20"/>
      <c r="D1109" s="20">
        <v>30000</v>
      </c>
      <c r="E1109" s="234" t="s">
        <v>1204</v>
      </c>
      <c r="F1109" s="20">
        <f t="shared" si="17"/>
        <v>175164885</v>
      </c>
      <c r="G1109" s="7" t="s">
        <v>330</v>
      </c>
      <c r="H1109" s="24" t="s">
        <v>109</v>
      </c>
      <c r="I1109" s="32" t="s">
        <v>152</v>
      </c>
    </row>
    <row r="1110" spans="1:9" x14ac:dyDescent="0.35">
      <c r="A1110" s="19">
        <v>46097</v>
      </c>
      <c r="B1110" s="20"/>
      <c r="C1110" s="20"/>
      <c r="D1110" s="20">
        <v>50000</v>
      </c>
      <c r="E1110" s="234" t="s">
        <v>1204</v>
      </c>
      <c r="F1110" s="20">
        <f t="shared" si="17"/>
        <v>175214885</v>
      </c>
      <c r="G1110" s="7" t="s">
        <v>330</v>
      </c>
      <c r="H1110" s="24" t="s">
        <v>109</v>
      </c>
      <c r="I1110" s="32" t="s">
        <v>152</v>
      </c>
    </row>
    <row r="1111" spans="1:9" x14ac:dyDescent="0.35">
      <c r="A1111" s="19">
        <v>46097</v>
      </c>
      <c r="B1111" s="20"/>
      <c r="C1111" s="20"/>
      <c r="D1111" s="20">
        <v>50000</v>
      </c>
      <c r="E1111" s="234" t="s">
        <v>1204</v>
      </c>
      <c r="F1111" s="20">
        <f t="shared" si="17"/>
        <v>175264885</v>
      </c>
      <c r="G1111" s="7" t="s">
        <v>330</v>
      </c>
      <c r="H1111" s="24" t="s">
        <v>109</v>
      </c>
      <c r="I1111" s="32" t="s">
        <v>152</v>
      </c>
    </row>
    <row r="1112" spans="1:9" x14ac:dyDescent="0.35">
      <c r="A1112" s="19">
        <v>46097</v>
      </c>
      <c r="B1112" s="20"/>
      <c r="C1112" s="20"/>
      <c r="D1112" s="20">
        <v>150000</v>
      </c>
      <c r="E1112" s="234" t="s">
        <v>1204</v>
      </c>
      <c r="F1112" s="20">
        <f t="shared" si="17"/>
        <v>175414885</v>
      </c>
      <c r="G1112" s="7" t="s">
        <v>330</v>
      </c>
      <c r="H1112" s="24" t="s">
        <v>109</v>
      </c>
      <c r="I1112" s="32" t="s">
        <v>152</v>
      </c>
    </row>
    <row r="1113" spans="1:9" x14ac:dyDescent="0.35">
      <c r="A1113" s="19">
        <v>46097</v>
      </c>
      <c r="B1113" s="20"/>
      <c r="C1113" s="20"/>
      <c r="D1113" s="20">
        <v>7000</v>
      </c>
      <c r="E1113" s="234" t="s">
        <v>1204</v>
      </c>
      <c r="F1113" s="20">
        <f t="shared" si="17"/>
        <v>175421885</v>
      </c>
      <c r="G1113" s="7" t="s">
        <v>330</v>
      </c>
      <c r="H1113" s="24" t="s">
        <v>109</v>
      </c>
      <c r="I1113" s="32" t="s">
        <v>152</v>
      </c>
    </row>
    <row r="1114" spans="1:9" x14ac:dyDescent="0.35">
      <c r="A1114" s="19">
        <v>46097</v>
      </c>
      <c r="B1114" s="20"/>
      <c r="C1114" s="20"/>
      <c r="D1114" s="20">
        <v>25000</v>
      </c>
      <c r="E1114" s="234" t="s">
        <v>1204</v>
      </c>
      <c r="F1114" s="20">
        <f t="shared" si="17"/>
        <v>175446885</v>
      </c>
      <c r="G1114" s="7" t="s">
        <v>330</v>
      </c>
      <c r="H1114" s="24" t="s">
        <v>109</v>
      </c>
      <c r="I1114" s="32" t="s">
        <v>152</v>
      </c>
    </row>
    <row r="1115" spans="1:9" x14ac:dyDescent="0.35">
      <c r="A1115" s="19">
        <v>46097</v>
      </c>
      <c r="B1115" s="20"/>
      <c r="C1115" s="20"/>
      <c r="D1115" s="20">
        <v>50000</v>
      </c>
      <c r="E1115" s="234" t="s">
        <v>1204</v>
      </c>
      <c r="F1115" s="20">
        <f t="shared" si="17"/>
        <v>175496885</v>
      </c>
      <c r="G1115" s="7" t="s">
        <v>330</v>
      </c>
      <c r="H1115" s="24" t="s">
        <v>109</v>
      </c>
      <c r="I1115" s="32" t="s">
        <v>152</v>
      </c>
    </row>
    <row r="1116" spans="1:9" x14ac:dyDescent="0.35">
      <c r="A1116" s="19">
        <v>46097</v>
      </c>
      <c r="B1116" s="20"/>
      <c r="C1116" s="20"/>
      <c r="D1116" s="20">
        <v>50000</v>
      </c>
      <c r="E1116" s="234" t="s">
        <v>1204</v>
      </c>
      <c r="F1116" s="20">
        <f t="shared" si="17"/>
        <v>175546885</v>
      </c>
      <c r="G1116" s="7" t="s">
        <v>330</v>
      </c>
      <c r="H1116" s="24" t="s">
        <v>109</v>
      </c>
      <c r="I1116" s="32" t="s">
        <v>152</v>
      </c>
    </row>
    <row r="1117" spans="1:9" x14ac:dyDescent="0.35">
      <c r="A1117" s="19">
        <v>46097</v>
      </c>
      <c r="B1117" s="20"/>
      <c r="C1117" s="20"/>
      <c r="D1117" s="20">
        <v>25000</v>
      </c>
      <c r="E1117" s="234" t="s">
        <v>1204</v>
      </c>
      <c r="F1117" s="20">
        <f t="shared" si="17"/>
        <v>175571885</v>
      </c>
      <c r="G1117" s="7" t="s">
        <v>330</v>
      </c>
      <c r="H1117" s="24" t="s">
        <v>109</v>
      </c>
      <c r="I1117" s="32" t="s">
        <v>152</v>
      </c>
    </row>
    <row r="1118" spans="1:9" x14ac:dyDescent="0.35">
      <c r="A1118" s="19">
        <v>46097</v>
      </c>
      <c r="B1118" s="20"/>
      <c r="C1118" s="20"/>
      <c r="D1118" s="20">
        <v>10000</v>
      </c>
      <c r="E1118" s="234" t="s">
        <v>1204</v>
      </c>
      <c r="F1118" s="20">
        <f t="shared" si="17"/>
        <v>175581885</v>
      </c>
      <c r="G1118" s="7" t="s">
        <v>330</v>
      </c>
      <c r="H1118" s="24" t="s">
        <v>109</v>
      </c>
      <c r="I1118" s="32" t="s">
        <v>152</v>
      </c>
    </row>
    <row r="1119" spans="1:9" x14ac:dyDescent="0.35">
      <c r="A1119" s="19">
        <v>46097</v>
      </c>
      <c r="B1119" s="20"/>
      <c r="C1119" s="20"/>
      <c r="D1119" s="20">
        <v>50000</v>
      </c>
      <c r="E1119" s="234" t="s">
        <v>1204</v>
      </c>
      <c r="F1119" s="20">
        <f t="shared" si="17"/>
        <v>175631885</v>
      </c>
      <c r="G1119" s="7" t="s">
        <v>330</v>
      </c>
      <c r="H1119" s="24" t="s">
        <v>109</v>
      </c>
      <c r="I1119" s="32" t="s">
        <v>152</v>
      </c>
    </row>
    <row r="1120" spans="1:9" x14ac:dyDescent="0.35">
      <c r="A1120" s="19">
        <v>46097</v>
      </c>
      <c r="B1120" s="20"/>
      <c r="C1120" s="20"/>
      <c r="D1120" s="20">
        <v>20000</v>
      </c>
      <c r="E1120" s="234" t="s">
        <v>1204</v>
      </c>
      <c r="F1120" s="20">
        <f t="shared" si="17"/>
        <v>175651885</v>
      </c>
      <c r="G1120" s="7" t="s">
        <v>330</v>
      </c>
      <c r="H1120" s="24" t="s">
        <v>109</v>
      </c>
      <c r="I1120" s="32" t="s">
        <v>152</v>
      </c>
    </row>
    <row r="1121" spans="1:9" x14ac:dyDescent="0.35">
      <c r="A1121" s="19">
        <v>46097</v>
      </c>
      <c r="B1121" s="20"/>
      <c r="C1121" s="20"/>
      <c r="D1121" s="20">
        <v>20000</v>
      </c>
      <c r="E1121" s="234" t="s">
        <v>1204</v>
      </c>
      <c r="F1121" s="20">
        <f t="shared" si="17"/>
        <v>175671885</v>
      </c>
      <c r="G1121" s="7" t="s">
        <v>330</v>
      </c>
      <c r="H1121" s="24" t="s">
        <v>109</v>
      </c>
      <c r="I1121" s="32" t="s">
        <v>152</v>
      </c>
    </row>
    <row r="1122" spans="1:9" x14ac:dyDescent="0.35">
      <c r="A1122" s="19">
        <v>46097</v>
      </c>
      <c r="B1122" s="20"/>
      <c r="C1122" s="20"/>
      <c r="D1122" s="20">
        <v>10000</v>
      </c>
      <c r="E1122" s="234" t="s">
        <v>1204</v>
      </c>
      <c r="F1122" s="20">
        <f t="shared" si="17"/>
        <v>175681885</v>
      </c>
      <c r="G1122" s="7" t="s">
        <v>330</v>
      </c>
      <c r="H1122" s="24" t="s">
        <v>109</v>
      </c>
      <c r="I1122" s="32" t="s">
        <v>152</v>
      </c>
    </row>
    <row r="1123" spans="1:9" x14ac:dyDescent="0.35">
      <c r="A1123" s="19">
        <v>46097</v>
      </c>
      <c r="B1123" s="20"/>
      <c r="C1123" s="20"/>
      <c r="D1123" s="20">
        <v>2500</v>
      </c>
      <c r="E1123" s="234" t="s">
        <v>1204</v>
      </c>
      <c r="F1123" s="20">
        <f t="shared" si="17"/>
        <v>175684385</v>
      </c>
      <c r="G1123" s="7" t="s">
        <v>330</v>
      </c>
      <c r="H1123" s="24" t="s">
        <v>109</v>
      </c>
      <c r="I1123" s="32" t="s">
        <v>152</v>
      </c>
    </row>
    <row r="1124" spans="1:9" x14ac:dyDescent="0.35">
      <c r="A1124" s="19">
        <v>46097</v>
      </c>
      <c r="B1124" s="20"/>
      <c r="C1124" s="20"/>
      <c r="D1124" s="20">
        <v>100000</v>
      </c>
      <c r="E1124" s="234" t="s">
        <v>1204</v>
      </c>
      <c r="F1124" s="20">
        <f t="shared" si="17"/>
        <v>175784385</v>
      </c>
      <c r="G1124" s="7" t="s">
        <v>330</v>
      </c>
      <c r="H1124" s="24" t="s">
        <v>109</v>
      </c>
      <c r="I1124" s="32" t="s">
        <v>152</v>
      </c>
    </row>
    <row r="1125" spans="1:9" x14ac:dyDescent="0.35">
      <c r="A1125" s="19">
        <v>46097</v>
      </c>
      <c r="B1125" s="20"/>
      <c r="C1125" s="20"/>
      <c r="D1125" s="20">
        <v>50000</v>
      </c>
      <c r="E1125" s="234" t="s">
        <v>1204</v>
      </c>
      <c r="F1125" s="20">
        <f t="shared" si="17"/>
        <v>175834385</v>
      </c>
      <c r="G1125" s="7" t="s">
        <v>330</v>
      </c>
      <c r="H1125" s="24" t="s">
        <v>109</v>
      </c>
      <c r="I1125" s="32" t="s">
        <v>152</v>
      </c>
    </row>
    <row r="1126" spans="1:9" x14ac:dyDescent="0.35">
      <c r="A1126" s="19">
        <v>46097</v>
      </c>
      <c r="B1126" s="20"/>
      <c r="C1126" s="20"/>
      <c r="D1126" s="20">
        <v>50000</v>
      </c>
      <c r="E1126" s="234" t="s">
        <v>1204</v>
      </c>
      <c r="F1126" s="20">
        <f t="shared" si="17"/>
        <v>175884385</v>
      </c>
      <c r="G1126" s="7" t="s">
        <v>330</v>
      </c>
      <c r="H1126" s="24" t="s">
        <v>109</v>
      </c>
      <c r="I1126" s="32" t="s">
        <v>152</v>
      </c>
    </row>
    <row r="1127" spans="1:9" x14ac:dyDescent="0.35">
      <c r="A1127" s="19">
        <v>46097</v>
      </c>
      <c r="B1127" s="20"/>
      <c r="C1127" s="20"/>
      <c r="D1127" s="20">
        <v>1000000</v>
      </c>
      <c r="E1127" s="234" t="s">
        <v>1204</v>
      </c>
      <c r="F1127" s="20">
        <f t="shared" ref="F1127:F1190" si="18">+F1126+D1127-B1127</f>
        <v>176884385</v>
      </c>
      <c r="G1127" s="7" t="s">
        <v>330</v>
      </c>
      <c r="H1127" s="24" t="s">
        <v>109</v>
      </c>
      <c r="I1127" s="32" t="s">
        <v>152</v>
      </c>
    </row>
    <row r="1128" spans="1:9" x14ac:dyDescent="0.35">
      <c r="A1128" s="19">
        <v>46097</v>
      </c>
      <c r="B1128" s="20"/>
      <c r="C1128" s="20"/>
      <c r="D1128" s="20">
        <v>50000</v>
      </c>
      <c r="E1128" s="234" t="s">
        <v>1204</v>
      </c>
      <c r="F1128" s="20">
        <f t="shared" si="18"/>
        <v>176934385</v>
      </c>
      <c r="G1128" s="7" t="s">
        <v>330</v>
      </c>
      <c r="H1128" s="24" t="s">
        <v>109</v>
      </c>
      <c r="I1128" s="32" t="s">
        <v>152</v>
      </c>
    </row>
    <row r="1129" spans="1:9" x14ac:dyDescent="0.35">
      <c r="A1129" s="19">
        <v>46097</v>
      </c>
      <c r="B1129" s="20"/>
      <c r="C1129" s="20"/>
      <c r="D1129" s="20">
        <v>10000</v>
      </c>
      <c r="E1129" s="234" t="s">
        <v>1204</v>
      </c>
      <c r="F1129" s="20">
        <f t="shared" si="18"/>
        <v>176944385</v>
      </c>
      <c r="G1129" s="7" t="s">
        <v>330</v>
      </c>
      <c r="H1129" s="24" t="s">
        <v>109</v>
      </c>
      <c r="I1129" s="32" t="s">
        <v>152</v>
      </c>
    </row>
    <row r="1130" spans="1:9" x14ac:dyDescent="0.35">
      <c r="A1130" s="19">
        <v>46097</v>
      </c>
      <c r="B1130" s="20"/>
      <c r="C1130" s="20"/>
      <c r="D1130" s="20">
        <v>100000</v>
      </c>
      <c r="E1130" s="234" t="s">
        <v>1204</v>
      </c>
      <c r="F1130" s="20">
        <f t="shared" si="18"/>
        <v>177044385</v>
      </c>
      <c r="G1130" s="7" t="s">
        <v>330</v>
      </c>
      <c r="H1130" s="24" t="s">
        <v>109</v>
      </c>
      <c r="I1130" s="32" t="s">
        <v>152</v>
      </c>
    </row>
    <row r="1131" spans="1:9" x14ac:dyDescent="0.35">
      <c r="A1131" s="19">
        <v>46097</v>
      </c>
      <c r="B1131" s="20"/>
      <c r="C1131" s="20"/>
      <c r="D1131" s="20">
        <v>5000000</v>
      </c>
      <c r="E1131" s="234" t="s">
        <v>1204</v>
      </c>
      <c r="F1131" s="20">
        <f t="shared" si="18"/>
        <v>182044385</v>
      </c>
      <c r="G1131" s="7" t="s">
        <v>429</v>
      </c>
      <c r="H1131" s="24" t="s">
        <v>105</v>
      </c>
      <c r="I1131" s="32" t="s">
        <v>152</v>
      </c>
    </row>
    <row r="1132" spans="1:9" x14ac:dyDescent="0.35">
      <c r="A1132" s="19">
        <v>46097</v>
      </c>
      <c r="B1132" s="20"/>
      <c r="C1132" s="20"/>
      <c r="D1132" s="20">
        <v>30000</v>
      </c>
      <c r="E1132" s="234" t="s">
        <v>1204</v>
      </c>
      <c r="F1132" s="20">
        <f t="shared" si="18"/>
        <v>182074385</v>
      </c>
      <c r="G1132" s="7" t="s">
        <v>330</v>
      </c>
      <c r="H1132" s="24" t="s">
        <v>109</v>
      </c>
      <c r="I1132" s="32" t="s">
        <v>152</v>
      </c>
    </row>
    <row r="1133" spans="1:9" x14ac:dyDescent="0.35">
      <c r="A1133" s="19">
        <v>46097</v>
      </c>
      <c r="B1133" s="20"/>
      <c r="C1133" s="20"/>
      <c r="D1133" s="20">
        <v>10000</v>
      </c>
      <c r="E1133" s="234" t="s">
        <v>1204</v>
      </c>
      <c r="F1133" s="20">
        <f t="shared" si="18"/>
        <v>182084385</v>
      </c>
      <c r="G1133" s="7" t="s">
        <v>330</v>
      </c>
      <c r="H1133" s="24" t="s">
        <v>109</v>
      </c>
      <c r="I1133" s="32" t="s">
        <v>152</v>
      </c>
    </row>
    <row r="1134" spans="1:9" x14ac:dyDescent="0.35">
      <c r="A1134" s="19">
        <v>46097</v>
      </c>
      <c r="B1134" s="20"/>
      <c r="C1134" s="20"/>
      <c r="D1134" s="20">
        <v>50000</v>
      </c>
      <c r="E1134" s="234" t="s">
        <v>1204</v>
      </c>
      <c r="F1134" s="20">
        <f t="shared" si="18"/>
        <v>182134385</v>
      </c>
      <c r="G1134" s="7" t="s">
        <v>330</v>
      </c>
      <c r="H1134" s="24" t="s">
        <v>109</v>
      </c>
      <c r="I1134" s="32" t="s">
        <v>152</v>
      </c>
    </row>
    <row r="1135" spans="1:9" x14ac:dyDescent="0.35">
      <c r="A1135" s="19">
        <v>46097</v>
      </c>
      <c r="B1135" s="20"/>
      <c r="C1135" s="20"/>
      <c r="D1135" s="20">
        <v>2000000</v>
      </c>
      <c r="E1135" s="234" t="s">
        <v>1204</v>
      </c>
      <c r="F1135" s="20">
        <f t="shared" si="18"/>
        <v>184134385</v>
      </c>
      <c r="G1135" s="7" t="s">
        <v>1221</v>
      </c>
      <c r="H1135" s="24" t="s">
        <v>105</v>
      </c>
      <c r="I1135" s="32" t="s">
        <v>152</v>
      </c>
    </row>
    <row r="1136" spans="1:9" x14ac:dyDescent="0.35">
      <c r="A1136" s="19">
        <v>46098</v>
      </c>
      <c r="B1136" s="20"/>
      <c r="C1136" s="20"/>
      <c r="D1136" s="20">
        <v>10000</v>
      </c>
      <c r="E1136" s="234" t="s">
        <v>1204</v>
      </c>
      <c r="F1136" s="20">
        <f t="shared" si="18"/>
        <v>184144385</v>
      </c>
      <c r="G1136" s="7" t="s">
        <v>330</v>
      </c>
      <c r="H1136" s="24" t="s">
        <v>109</v>
      </c>
      <c r="I1136" s="32" t="s">
        <v>152</v>
      </c>
    </row>
    <row r="1137" spans="1:9" x14ac:dyDescent="0.35">
      <c r="A1137" s="19">
        <v>46098</v>
      </c>
      <c r="B1137" s="20"/>
      <c r="C1137" s="20"/>
      <c r="D1137" s="20">
        <v>10000</v>
      </c>
      <c r="E1137" s="234" t="s">
        <v>1204</v>
      </c>
      <c r="F1137" s="20">
        <f t="shared" si="18"/>
        <v>184154385</v>
      </c>
      <c r="G1137" s="7" t="s">
        <v>330</v>
      </c>
      <c r="H1137" s="24" t="s">
        <v>109</v>
      </c>
      <c r="I1137" s="32" t="s">
        <v>152</v>
      </c>
    </row>
    <row r="1138" spans="1:9" x14ac:dyDescent="0.35">
      <c r="A1138" s="19">
        <v>46098</v>
      </c>
      <c r="B1138" s="20"/>
      <c r="C1138" s="20"/>
      <c r="D1138" s="20">
        <v>20000</v>
      </c>
      <c r="E1138" s="234" t="s">
        <v>1204</v>
      </c>
      <c r="F1138" s="20">
        <f t="shared" si="18"/>
        <v>184174385</v>
      </c>
      <c r="G1138" s="7" t="s">
        <v>330</v>
      </c>
      <c r="H1138" s="24" t="s">
        <v>109</v>
      </c>
      <c r="I1138" s="32" t="s">
        <v>152</v>
      </c>
    </row>
    <row r="1139" spans="1:9" x14ac:dyDescent="0.35">
      <c r="A1139" s="19">
        <v>46098</v>
      </c>
      <c r="B1139" s="20"/>
      <c r="C1139" s="20"/>
      <c r="D1139" s="20">
        <v>2000</v>
      </c>
      <c r="E1139" s="234" t="s">
        <v>1204</v>
      </c>
      <c r="F1139" s="20">
        <f t="shared" si="18"/>
        <v>184176385</v>
      </c>
      <c r="G1139" s="7" t="s">
        <v>330</v>
      </c>
      <c r="H1139" s="24" t="s">
        <v>109</v>
      </c>
      <c r="I1139" s="32" t="s">
        <v>152</v>
      </c>
    </row>
    <row r="1140" spans="1:9" x14ac:dyDescent="0.35">
      <c r="A1140" s="19">
        <v>46098</v>
      </c>
      <c r="B1140" s="20"/>
      <c r="C1140" s="20"/>
      <c r="D1140" s="20">
        <v>100000</v>
      </c>
      <c r="E1140" s="234" t="s">
        <v>1204</v>
      </c>
      <c r="F1140" s="20">
        <f t="shared" si="18"/>
        <v>184276385</v>
      </c>
      <c r="G1140" s="7" t="s">
        <v>330</v>
      </c>
      <c r="H1140" s="24" t="s">
        <v>109</v>
      </c>
      <c r="I1140" s="32" t="s">
        <v>152</v>
      </c>
    </row>
    <row r="1141" spans="1:9" x14ac:dyDescent="0.35">
      <c r="A1141" s="19">
        <v>46098</v>
      </c>
      <c r="B1141" s="20"/>
      <c r="C1141" s="20"/>
      <c r="D1141" s="20">
        <v>35000</v>
      </c>
      <c r="E1141" s="234" t="s">
        <v>1204</v>
      </c>
      <c r="F1141" s="20">
        <f t="shared" si="18"/>
        <v>184311385</v>
      </c>
      <c r="G1141" s="7" t="s">
        <v>330</v>
      </c>
      <c r="H1141" s="24" t="s">
        <v>109</v>
      </c>
      <c r="I1141" s="32" t="s">
        <v>152</v>
      </c>
    </row>
    <row r="1142" spans="1:9" x14ac:dyDescent="0.35">
      <c r="A1142" s="19">
        <v>46098</v>
      </c>
      <c r="B1142" s="20"/>
      <c r="C1142" s="20"/>
      <c r="D1142" s="20">
        <v>30000</v>
      </c>
      <c r="E1142" s="234" t="s">
        <v>1204</v>
      </c>
      <c r="F1142" s="20">
        <f t="shared" si="18"/>
        <v>184341385</v>
      </c>
      <c r="G1142" s="7" t="s">
        <v>330</v>
      </c>
      <c r="H1142" s="24" t="s">
        <v>109</v>
      </c>
      <c r="I1142" s="32" t="s">
        <v>152</v>
      </c>
    </row>
    <row r="1143" spans="1:9" x14ac:dyDescent="0.35">
      <c r="A1143" s="19">
        <v>46098</v>
      </c>
      <c r="B1143" s="20"/>
      <c r="C1143" s="20"/>
      <c r="D1143" s="20">
        <v>2542</v>
      </c>
      <c r="E1143" s="234" t="s">
        <v>1204</v>
      </c>
      <c r="F1143" s="20">
        <f t="shared" si="18"/>
        <v>184343927</v>
      </c>
      <c r="G1143" s="7" t="s">
        <v>330</v>
      </c>
      <c r="H1143" s="24" t="s">
        <v>109</v>
      </c>
      <c r="I1143" s="32" t="s">
        <v>152</v>
      </c>
    </row>
    <row r="1144" spans="1:9" x14ac:dyDescent="0.35">
      <c r="A1144" s="19">
        <v>46098</v>
      </c>
      <c r="B1144" s="20"/>
      <c r="C1144" s="20"/>
      <c r="D1144" s="20">
        <v>50000</v>
      </c>
      <c r="E1144" s="234" t="s">
        <v>1204</v>
      </c>
      <c r="F1144" s="20">
        <f t="shared" si="18"/>
        <v>184393927</v>
      </c>
      <c r="G1144" s="7" t="s">
        <v>330</v>
      </c>
      <c r="H1144" s="24" t="s">
        <v>109</v>
      </c>
      <c r="I1144" s="32" t="s">
        <v>152</v>
      </c>
    </row>
    <row r="1145" spans="1:9" x14ac:dyDescent="0.35">
      <c r="A1145" s="19">
        <v>46098</v>
      </c>
      <c r="B1145" s="20"/>
      <c r="C1145" s="20"/>
      <c r="D1145" s="20">
        <v>25000</v>
      </c>
      <c r="E1145" s="234" t="s">
        <v>1204</v>
      </c>
      <c r="F1145" s="20">
        <f t="shared" si="18"/>
        <v>184418927</v>
      </c>
      <c r="G1145" s="7" t="s">
        <v>330</v>
      </c>
      <c r="H1145" s="24" t="s">
        <v>109</v>
      </c>
      <c r="I1145" s="32" t="s">
        <v>152</v>
      </c>
    </row>
    <row r="1146" spans="1:9" x14ac:dyDescent="0.35">
      <c r="A1146" s="19">
        <v>46098</v>
      </c>
      <c r="B1146" s="20"/>
      <c r="C1146" s="20"/>
      <c r="D1146" s="20">
        <v>50000</v>
      </c>
      <c r="E1146" s="234" t="s">
        <v>1204</v>
      </c>
      <c r="F1146" s="20">
        <f t="shared" si="18"/>
        <v>184468927</v>
      </c>
      <c r="G1146" s="7" t="s">
        <v>330</v>
      </c>
      <c r="H1146" s="24" t="s">
        <v>109</v>
      </c>
      <c r="I1146" s="32" t="s">
        <v>152</v>
      </c>
    </row>
    <row r="1147" spans="1:9" x14ac:dyDescent="0.35">
      <c r="A1147" s="19">
        <v>46098</v>
      </c>
      <c r="B1147" s="20"/>
      <c r="C1147" s="20"/>
      <c r="D1147" s="20">
        <v>50000</v>
      </c>
      <c r="E1147" s="234" t="s">
        <v>1204</v>
      </c>
      <c r="F1147" s="20">
        <f t="shared" si="18"/>
        <v>184518927</v>
      </c>
      <c r="G1147" s="7" t="s">
        <v>330</v>
      </c>
      <c r="H1147" s="24" t="s">
        <v>109</v>
      </c>
      <c r="I1147" s="32" t="s">
        <v>152</v>
      </c>
    </row>
    <row r="1148" spans="1:9" x14ac:dyDescent="0.35">
      <c r="A1148" s="19">
        <v>46098</v>
      </c>
      <c r="B1148" s="20"/>
      <c r="C1148" s="20"/>
      <c r="D1148" s="20">
        <v>5000</v>
      </c>
      <c r="E1148" s="234" t="s">
        <v>1204</v>
      </c>
      <c r="F1148" s="20">
        <f t="shared" si="18"/>
        <v>184523927</v>
      </c>
      <c r="G1148" s="7" t="s">
        <v>330</v>
      </c>
      <c r="H1148" s="24" t="s">
        <v>109</v>
      </c>
      <c r="I1148" s="32" t="s">
        <v>152</v>
      </c>
    </row>
    <row r="1149" spans="1:9" x14ac:dyDescent="0.35">
      <c r="A1149" s="19">
        <v>46098</v>
      </c>
      <c r="B1149" s="20"/>
      <c r="C1149" s="20"/>
      <c r="D1149" s="20">
        <v>15000</v>
      </c>
      <c r="E1149" s="234" t="s">
        <v>1204</v>
      </c>
      <c r="F1149" s="20">
        <f t="shared" si="18"/>
        <v>184538927</v>
      </c>
      <c r="G1149" s="7" t="s">
        <v>330</v>
      </c>
      <c r="H1149" s="24" t="s">
        <v>109</v>
      </c>
      <c r="I1149" s="32" t="s">
        <v>152</v>
      </c>
    </row>
    <row r="1150" spans="1:9" x14ac:dyDescent="0.35">
      <c r="A1150" s="19">
        <v>46098</v>
      </c>
      <c r="B1150" s="20"/>
      <c r="C1150" s="20"/>
      <c r="D1150" s="20">
        <v>50000</v>
      </c>
      <c r="E1150" s="234" t="s">
        <v>1204</v>
      </c>
      <c r="F1150" s="20">
        <f t="shared" si="18"/>
        <v>184588927</v>
      </c>
      <c r="G1150" s="7" t="s">
        <v>330</v>
      </c>
      <c r="H1150" s="24" t="s">
        <v>109</v>
      </c>
      <c r="I1150" s="32" t="s">
        <v>152</v>
      </c>
    </row>
    <row r="1151" spans="1:9" x14ac:dyDescent="0.35">
      <c r="A1151" s="19">
        <v>46098</v>
      </c>
      <c r="B1151" s="20"/>
      <c r="C1151" s="20"/>
      <c r="D1151" s="20">
        <v>20000</v>
      </c>
      <c r="E1151" s="234" t="s">
        <v>1204</v>
      </c>
      <c r="F1151" s="20">
        <f t="shared" si="18"/>
        <v>184608927</v>
      </c>
      <c r="G1151" s="7" t="s">
        <v>330</v>
      </c>
      <c r="H1151" s="24" t="s">
        <v>109</v>
      </c>
      <c r="I1151" s="32" t="s">
        <v>152</v>
      </c>
    </row>
    <row r="1152" spans="1:9" x14ac:dyDescent="0.35">
      <c r="A1152" s="19">
        <v>46098</v>
      </c>
      <c r="B1152" s="20"/>
      <c r="C1152" s="20"/>
      <c r="D1152" s="20">
        <v>50000</v>
      </c>
      <c r="E1152" s="234" t="s">
        <v>1204</v>
      </c>
      <c r="F1152" s="20">
        <f t="shared" si="18"/>
        <v>184658927</v>
      </c>
      <c r="G1152" s="7" t="s">
        <v>330</v>
      </c>
      <c r="H1152" s="24" t="s">
        <v>109</v>
      </c>
      <c r="I1152" s="32" t="s">
        <v>152</v>
      </c>
    </row>
    <row r="1153" spans="1:9" x14ac:dyDescent="0.35">
      <c r="A1153" s="19">
        <v>46098</v>
      </c>
      <c r="B1153" s="20"/>
      <c r="C1153" s="20"/>
      <c r="D1153" s="20">
        <v>35000</v>
      </c>
      <c r="E1153" s="234" t="s">
        <v>1204</v>
      </c>
      <c r="F1153" s="20">
        <f t="shared" si="18"/>
        <v>184693927</v>
      </c>
      <c r="G1153" s="7" t="s">
        <v>330</v>
      </c>
      <c r="H1153" s="24" t="s">
        <v>109</v>
      </c>
      <c r="I1153" s="32" t="s">
        <v>152</v>
      </c>
    </row>
    <row r="1154" spans="1:9" x14ac:dyDescent="0.35">
      <c r="A1154" s="19">
        <v>46098</v>
      </c>
      <c r="B1154" s="20"/>
      <c r="C1154" s="20"/>
      <c r="D1154" s="20">
        <v>10000</v>
      </c>
      <c r="E1154" s="234" t="s">
        <v>1204</v>
      </c>
      <c r="F1154" s="20">
        <f t="shared" si="18"/>
        <v>184703927</v>
      </c>
      <c r="G1154" s="7" t="s">
        <v>330</v>
      </c>
      <c r="H1154" s="24" t="s">
        <v>109</v>
      </c>
      <c r="I1154" s="32" t="s">
        <v>152</v>
      </c>
    </row>
    <row r="1155" spans="1:9" x14ac:dyDescent="0.35">
      <c r="A1155" s="19">
        <v>46098</v>
      </c>
      <c r="B1155" s="20"/>
      <c r="C1155" s="20"/>
      <c r="D1155" s="20">
        <v>14000000</v>
      </c>
      <c r="E1155" s="234" t="s">
        <v>1204</v>
      </c>
      <c r="F1155" s="20">
        <f t="shared" si="18"/>
        <v>198703927</v>
      </c>
      <c r="G1155" s="7" t="s">
        <v>505</v>
      </c>
      <c r="H1155" s="24" t="s">
        <v>105</v>
      </c>
      <c r="I1155" s="32" t="s">
        <v>152</v>
      </c>
    </row>
    <row r="1156" spans="1:9" x14ac:dyDescent="0.35">
      <c r="A1156" s="19">
        <v>46098</v>
      </c>
      <c r="B1156" s="20"/>
      <c r="C1156" s="20"/>
      <c r="D1156" s="20">
        <v>5000000</v>
      </c>
      <c r="E1156" s="234" t="s">
        <v>1204</v>
      </c>
      <c r="F1156" s="20">
        <f t="shared" si="18"/>
        <v>203703927</v>
      </c>
      <c r="G1156" s="7" t="s">
        <v>1222</v>
      </c>
      <c r="H1156" s="24" t="s">
        <v>105</v>
      </c>
      <c r="I1156" s="32" t="s">
        <v>152</v>
      </c>
    </row>
    <row r="1157" spans="1:9" x14ac:dyDescent="0.35">
      <c r="A1157" s="19">
        <v>46098</v>
      </c>
      <c r="B1157" s="20"/>
      <c r="C1157" s="20"/>
      <c r="D1157" s="20">
        <v>6050000</v>
      </c>
      <c r="E1157" s="234" t="s">
        <v>1204</v>
      </c>
      <c r="F1157" s="20">
        <f t="shared" si="18"/>
        <v>209753927</v>
      </c>
      <c r="G1157" s="7" t="s">
        <v>1223</v>
      </c>
      <c r="H1157" s="24" t="s">
        <v>105</v>
      </c>
      <c r="I1157" s="32" t="s">
        <v>152</v>
      </c>
    </row>
    <row r="1158" spans="1:9" x14ac:dyDescent="0.35">
      <c r="A1158" s="19">
        <v>46098</v>
      </c>
      <c r="B1158" s="20">
        <v>10000</v>
      </c>
      <c r="C1158" s="20"/>
      <c r="D1158" s="20"/>
      <c r="E1158" s="234" t="s">
        <v>1204</v>
      </c>
      <c r="F1158" s="20">
        <f t="shared" si="18"/>
        <v>209743927</v>
      </c>
      <c r="G1158" s="7" t="s">
        <v>1224</v>
      </c>
      <c r="H1158" s="24" t="s">
        <v>320</v>
      </c>
      <c r="I1158" s="32" t="s">
        <v>152</v>
      </c>
    </row>
    <row r="1159" spans="1:9" x14ac:dyDescent="0.35">
      <c r="A1159" s="19">
        <v>46098</v>
      </c>
      <c r="B1159" s="20"/>
      <c r="C1159" s="20"/>
      <c r="D1159" s="20">
        <v>500000</v>
      </c>
      <c r="E1159" s="234" t="s">
        <v>1204</v>
      </c>
      <c r="F1159" s="20">
        <f t="shared" si="18"/>
        <v>210243927</v>
      </c>
      <c r="G1159" s="7" t="s">
        <v>1225</v>
      </c>
      <c r="H1159" s="24" t="s">
        <v>109</v>
      </c>
      <c r="I1159" s="32" t="s">
        <v>152</v>
      </c>
    </row>
    <row r="1160" spans="1:9" x14ac:dyDescent="0.35">
      <c r="A1160" s="19">
        <v>46099</v>
      </c>
      <c r="B1160" s="20"/>
      <c r="C1160" s="20"/>
      <c r="D1160" s="20">
        <v>20000</v>
      </c>
      <c r="E1160" s="234" t="s">
        <v>1204</v>
      </c>
      <c r="F1160" s="20">
        <f t="shared" si="18"/>
        <v>210263927</v>
      </c>
      <c r="G1160" s="7" t="s">
        <v>330</v>
      </c>
      <c r="H1160" s="24" t="s">
        <v>109</v>
      </c>
      <c r="I1160" s="32" t="s">
        <v>152</v>
      </c>
    </row>
    <row r="1161" spans="1:9" x14ac:dyDescent="0.35">
      <c r="A1161" s="19">
        <v>46099</v>
      </c>
      <c r="B1161" s="20">
        <v>59000000</v>
      </c>
      <c r="C1161" s="20"/>
      <c r="D1161" s="20"/>
      <c r="E1161" s="234" t="s">
        <v>1204</v>
      </c>
      <c r="F1161" s="20">
        <f t="shared" si="18"/>
        <v>151263927</v>
      </c>
      <c r="G1161" s="7" t="s">
        <v>1226</v>
      </c>
      <c r="H1161" s="24" t="s">
        <v>201</v>
      </c>
      <c r="I1161" s="32" t="s">
        <v>152</v>
      </c>
    </row>
    <row r="1162" spans="1:9" x14ac:dyDescent="0.35">
      <c r="A1162" s="19">
        <v>46099</v>
      </c>
      <c r="B1162" s="20">
        <v>2500</v>
      </c>
      <c r="C1162" s="20"/>
      <c r="D1162" s="20"/>
      <c r="E1162" s="234" t="s">
        <v>1204</v>
      </c>
      <c r="F1162" s="20">
        <f t="shared" si="18"/>
        <v>151261427</v>
      </c>
      <c r="G1162" s="7" t="s">
        <v>1226</v>
      </c>
      <c r="H1162" s="24" t="s">
        <v>201</v>
      </c>
      <c r="I1162" s="32" t="s">
        <v>152</v>
      </c>
    </row>
    <row r="1163" spans="1:9" x14ac:dyDescent="0.35">
      <c r="A1163" s="19">
        <v>46099</v>
      </c>
      <c r="B1163" s="20"/>
      <c r="C1163" s="20"/>
      <c r="D1163" s="20">
        <v>10000</v>
      </c>
      <c r="E1163" s="234" t="s">
        <v>1204</v>
      </c>
      <c r="F1163" s="20">
        <f t="shared" si="18"/>
        <v>151271427</v>
      </c>
      <c r="G1163" s="7" t="s">
        <v>330</v>
      </c>
      <c r="H1163" s="24" t="s">
        <v>109</v>
      </c>
      <c r="I1163" s="32" t="s">
        <v>152</v>
      </c>
    </row>
    <row r="1164" spans="1:9" x14ac:dyDescent="0.35">
      <c r="A1164" s="19">
        <v>46099</v>
      </c>
      <c r="B1164" s="20"/>
      <c r="C1164" s="20"/>
      <c r="D1164" s="20">
        <v>2500</v>
      </c>
      <c r="E1164" s="234" t="s">
        <v>1204</v>
      </c>
      <c r="F1164" s="20">
        <f t="shared" si="18"/>
        <v>151273927</v>
      </c>
      <c r="G1164" s="7" t="s">
        <v>330</v>
      </c>
      <c r="H1164" s="24" t="s">
        <v>109</v>
      </c>
      <c r="I1164" s="32" t="s">
        <v>152</v>
      </c>
    </row>
    <row r="1165" spans="1:9" x14ac:dyDescent="0.35">
      <c r="A1165" s="19">
        <v>46099</v>
      </c>
      <c r="B1165" s="20"/>
      <c r="C1165" s="20"/>
      <c r="D1165" s="20">
        <v>50000</v>
      </c>
      <c r="E1165" s="234" t="s">
        <v>1204</v>
      </c>
      <c r="F1165" s="20">
        <f t="shared" si="18"/>
        <v>151323927</v>
      </c>
      <c r="G1165" s="7" t="s">
        <v>330</v>
      </c>
      <c r="H1165" s="24" t="s">
        <v>109</v>
      </c>
      <c r="I1165" s="32" t="s">
        <v>152</v>
      </c>
    </row>
    <row r="1166" spans="1:9" x14ac:dyDescent="0.35">
      <c r="A1166" s="19">
        <v>46099</v>
      </c>
      <c r="B1166" s="20"/>
      <c r="C1166" s="20"/>
      <c r="D1166" s="20">
        <v>50000</v>
      </c>
      <c r="E1166" s="234" t="s">
        <v>1204</v>
      </c>
      <c r="F1166" s="20">
        <f t="shared" si="18"/>
        <v>151373927</v>
      </c>
      <c r="G1166" s="7" t="s">
        <v>330</v>
      </c>
      <c r="H1166" s="24" t="s">
        <v>109</v>
      </c>
      <c r="I1166" s="32" t="s">
        <v>152</v>
      </c>
    </row>
    <row r="1167" spans="1:9" x14ac:dyDescent="0.35">
      <c r="A1167" s="19">
        <v>46099</v>
      </c>
      <c r="B1167" s="20"/>
      <c r="C1167" s="20"/>
      <c r="D1167" s="20">
        <v>50000</v>
      </c>
      <c r="E1167" s="234" t="s">
        <v>1204</v>
      </c>
      <c r="F1167" s="20">
        <f t="shared" si="18"/>
        <v>151423927</v>
      </c>
      <c r="G1167" s="7" t="s">
        <v>330</v>
      </c>
      <c r="H1167" s="24" t="s">
        <v>109</v>
      </c>
      <c r="I1167" s="32" t="s">
        <v>152</v>
      </c>
    </row>
    <row r="1168" spans="1:9" x14ac:dyDescent="0.35">
      <c r="A1168" s="19">
        <v>46099</v>
      </c>
      <c r="B1168" s="20"/>
      <c r="C1168" s="20"/>
      <c r="D1168" s="20">
        <v>100000</v>
      </c>
      <c r="E1168" s="234" t="s">
        <v>1204</v>
      </c>
      <c r="F1168" s="20">
        <f t="shared" si="18"/>
        <v>151523927</v>
      </c>
      <c r="G1168" s="7" t="s">
        <v>330</v>
      </c>
      <c r="H1168" s="24" t="s">
        <v>109</v>
      </c>
      <c r="I1168" s="32" t="s">
        <v>152</v>
      </c>
    </row>
    <row r="1169" spans="1:9" x14ac:dyDescent="0.35">
      <c r="A1169" s="19">
        <v>46099</v>
      </c>
      <c r="B1169" s="20"/>
      <c r="C1169" s="20"/>
      <c r="D1169" s="20">
        <v>100000</v>
      </c>
      <c r="E1169" s="234" t="s">
        <v>1204</v>
      </c>
      <c r="F1169" s="20">
        <f t="shared" si="18"/>
        <v>151623927</v>
      </c>
      <c r="G1169" s="7" t="s">
        <v>330</v>
      </c>
      <c r="H1169" s="24" t="s">
        <v>109</v>
      </c>
      <c r="I1169" s="32" t="s">
        <v>152</v>
      </c>
    </row>
    <row r="1170" spans="1:9" x14ac:dyDescent="0.35">
      <c r="A1170" s="19">
        <v>46099</v>
      </c>
      <c r="B1170" s="20"/>
      <c r="C1170" s="20"/>
      <c r="D1170" s="20">
        <v>200000</v>
      </c>
      <c r="E1170" s="234" t="s">
        <v>1204</v>
      </c>
      <c r="F1170" s="20">
        <f t="shared" si="18"/>
        <v>151823927</v>
      </c>
      <c r="G1170" s="7" t="s">
        <v>330</v>
      </c>
      <c r="H1170" s="24" t="s">
        <v>109</v>
      </c>
      <c r="I1170" s="32" t="s">
        <v>152</v>
      </c>
    </row>
    <row r="1171" spans="1:9" x14ac:dyDescent="0.35">
      <c r="A1171" s="19">
        <v>46099</v>
      </c>
      <c r="B1171" s="20"/>
      <c r="C1171" s="20"/>
      <c r="D1171" s="20">
        <v>20000</v>
      </c>
      <c r="E1171" s="234" t="s">
        <v>1204</v>
      </c>
      <c r="F1171" s="20">
        <f t="shared" si="18"/>
        <v>151843927</v>
      </c>
      <c r="G1171" s="7" t="s">
        <v>330</v>
      </c>
      <c r="H1171" s="24" t="s">
        <v>109</v>
      </c>
      <c r="I1171" s="32" t="s">
        <v>152</v>
      </c>
    </row>
    <row r="1172" spans="1:9" x14ac:dyDescent="0.35">
      <c r="A1172" s="19">
        <v>46099</v>
      </c>
      <c r="B1172" s="20"/>
      <c r="C1172" s="20"/>
      <c r="D1172" s="20">
        <v>10000</v>
      </c>
      <c r="E1172" s="234" t="s">
        <v>1204</v>
      </c>
      <c r="F1172" s="20">
        <f t="shared" si="18"/>
        <v>151853927</v>
      </c>
      <c r="G1172" s="7" t="s">
        <v>330</v>
      </c>
      <c r="H1172" s="24" t="s">
        <v>109</v>
      </c>
      <c r="I1172" s="32" t="s">
        <v>152</v>
      </c>
    </row>
    <row r="1173" spans="1:9" x14ac:dyDescent="0.35">
      <c r="A1173" s="19">
        <v>46099</v>
      </c>
      <c r="B1173" s="20"/>
      <c r="C1173" s="20"/>
      <c r="D1173" s="20">
        <v>5000</v>
      </c>
      <c r="E1173" s="234" t="s">
        <v>1204</v>
      </c>
      <c r="F1173" s="20">
        <f t="shared" si="18"/>
        <v>151858927</v>
      </c>
      <c r="G1173" s="7" t="s">
        <v>330</v>
      </c>
      <c r="H1173" s="24" t="s">
        <v>109</v>
      </c>
      <c r="I1173" s="32" t="s">
        <v>152</v>
      </c>
    </row>
    <row r="1174" spans="1:9" x14ac:dyDescent="0.35">
      <c r="A1174" s="19">
        <v>46099</v>
      </c>
      <c r="B1174" s="20"/>
      <c r="C1174" s="20"/>
      <c r="D1174" s="20">
        <v>15000</v>
      </c>
      <c r="E1174" s="234" t="s">
        <v>1204</v>
      </c>
      <c r="F1174" s="20">
        <f t="shared" si="18"/>
        <v>151873927</v>
      </c>
      <c r="G1174" s="7" t="s">
        <v>330</v>
      </c>
      <c r="H1174" s="24" t="s">
        <v>109</v>
      </c>
      <c r="I1174" s="32" t="s">
        <v>152</v>
      </c>
    </row>
    <row r="1175" spans="1:9" x14ac:dyDescent="0.35">
      <c r="A1175" s="19">
        <v>46099</v>
      </c>
      <c r="B1175" s="20"/>
      <c r="C1175" s="20"/>
      <c r="D1175" s="20">
        <v>20000</v>
      </c>
      <c r="E1175" s="234" t="s">
        <v>1204</v>
      </c>
      <c r="F1175" s="20">
        <f t="shared" si="18"/>
        <v>151893927</v>
      </c>
      <c r="G1175" s="7" t="s">
        <v>330</v>
      </c>
      <c r="H1175" s="24" t="s">
        <v>109</v>
      </c>
      <c r="I1175" s="32" t="s">
        <v>152</v>
      </c>
    </row>
    <row r="1176" spans="1:9" x14ac:dyDescent="0.35">
      <c r="A1176" s="19">
        <v>46099</v>
      </c>
      <c r="B1176" s="20"/>
      <c r="C1176" s="20"/>
      <c r="D1176" s="20">
        <v>20000</v>
      </c>
      <c r="E1176" s="234" t="s">
        <v>1204</v>
      </c>
      <c r="F1176" s="20">
        <f t="shared" si="18"/>
        <v>151913927</v>
      </c>
      <c r="G1176" s="7" t="s">
        <v>330</v>
      </c>
      <c r="H1176" s="24" t="s">
        <v>109</v>
      </c>
      <c r="I1176" s="32" t="s">
        <v>152</v>
      </c>
    </row>
    <row r="1177" spans="1:9" x14ac:dyDescent="0.35">
      <c r="A1177" s="19">
        <v>46099</v>
      </c>
      <c r="B1177" s="20"/>
      <c r="C1177" s="20"/>
      <c r="D1177" s="20">
        <v>50000</v>
      </c>
      <c r="E1177" s="234" t="s">
        <v>1204</v>
      </c>
      <c r="F1177" s="20">
        <f t="shared" si="18"/>
        <v>151963927</v>
      </c>
      <c r="G1177" s="7" t="s">
        <v>330</v>
      </c>
      <c r="H1177" s="24" t="s">
        <v>109</v>
      </c>
      <c r="I1177" s="32" t="s">
        <v>152</v>
      </c>
    </row>
    <row r="1178" spans="1:9" x14ac:dyDescent="0.35">
      <c r="A1178" s="19">
        <v>46099</v>
      </c>
      <c r="B1178" s="20"/>
      <c r="C1178" s="20"/>
      <c r="D1178" s="20">
        <v>50000</v>
      </c>
      <c r="E1178" s="234" t="s">
        <v>1204</v>
      </c>
      <c r="F1178" s="20">
        <f t="shared" si="18"/>
        <v>152013927</v>
      </c>
      <c r="G1178" s="7" t="s">
        <v>330</v>
      </c>
      <c r="H1178" s="24" t="s">
        <v>109</v>
      </c>
      <c r="I1178" s="32" t="s">
        <v>152</v>
      </c>
    </row>
    <row r="1179" spans="1:9" x14ac:dyDescent="0.35">
      <c r="A1179" s="19">
        <v>46099</v>
      </c>
      <c r="B1179" s="20"/>
      <c r="C1179" s="20"/>
      <c r="D1179" s="20">
        <v>2000000</v>
      </c>
      <c r="E1179" s="234" t="s">
        <v>1204</v>
      </c>
      <c r="F1179" s="20">
        <f t="shared" si="18"/>
        <v>154013927</v>
      </c>
      <c r="G1179" s="7" t="s">
        <v>1229</v>
      </c>
      <c r="H1179" s="24" t="s">
        <v>105</v>
      </c>
      <c r="I1179" s="32" t="s">
        <v>152</v>
      </c>
    </row>
    <row r="1180" spans="1:9" x14ac:dyDescent="0.35">
      <c r="A1180" s="19">
        <v>46099</v>
      </c>
      <c r="B1180" s="20"/>
      <c r="C1180" s="20"/>
      <c r="D1180" s="20">
        <v>20000</v>
      </c>
      <c r="E1180" s="234" t="s">
        <v>1204</v>
      </c>
      <c r="F1180" s="20">
        <f t="shared" si="18"/>
        <v>154033927</v>
      </c>
      <c r="G1180" s="7" t="s">
        <v>330</v>
      </c>
      <c r="H1180" s="24" t="s">
        <v>109</v>
      </c>
      <c r="I1180" s="32" t="s">
        <v>152</v>
      </c>
    </row>
    <row r="1181" spans="1:9" x14ac:dyDescent="0.35">
      <c r="A1181" s="19">
        <v>46100</v>
      </c>
      <c r="B1181" s="20"/>
      <c r="C1181" s="20"/>
      <c r="D1181" s="20">
        <v>10000</v>
      </c>
      <c r="E1181" s="234" t="s">
        <v>1204</v>
      </c>
      <c r="F1181" s="20">
        <f t="shared" si="18"/>
        <v>154043927</v>
      </c>
      <c r="G1181" s="7" t="s">
        <v>330</v>
      </c>
      <c r="H1181" s="24" t="s">
        <v>109</v>
      </c>
      <c r="I1181" s="32" t="s">
        <v>152</v>
      </c>
    </row>
    <row r="1182" spans="1:9" x14ac:dyDescent="0.35">
      <c r="A1182" s="19">
        <v>46100</v>
      </c>
      <c r="B1182" s="20"/>
      <c r="C1182" s="20"/>
      <c r="D1182" s="20">
        <v>50000</v>
      </c>
      <c r="E1182" s="234" t="s">
        <v>1204</v>
      </c>
      <c r="F1182" s="20">
        <f t="shared" si="18"/>
        <v>154093927</v>
      </c>
      <c r="G1182" s="7" t="s">
        <v>330</v>
      </c>
      <c r="H1182" s="24" t="s">
        <v>109</v>
      </c>
      <c r="I1182" s="32" t="s">
        <v>152</v>
      </c>
    </row>
    <row r="1183" spans="1:9" x14ac:dyDescent="0.35">
      <c r="A1183" s="19">
        <v>46100</v>
      </c>
      <c r="B1183" s="20"/>
      <c r="C1183" s="20"/>
      <c r="D1183" s="20">
        <v>5000</v>
      </c>
      <c r="E1183" s="234" t="s">
        <v>1204</v>
      </c>
      <c r="F1183" s="20">
        <f t="shared" si="18"/>
        <v>154098927</v>
      </c>
      <c r="G1183" s="7" t="s">
        <v>330</v>
      </c>
      <c r="H1183" s="24" t="s">
        <v>109</v>
      </c>
      <c r="I1183" s="32" t="s">
        <v>152</v>
      </c>
    </row>
    <row r="1184" spans="1:9" x14ac:dyDescent="0.35">
      <c r="A1184" s="19">
        <v>46100</v>
      </c>
      <c r="B1184" s="20"/>
      <c r="C1184" s="20"/>
      <c r="D1184" s="20">
        <v>35000</v>
      </c>
      <c r="E1184" s="234" t="s">
        <v>1204</v>
      </c>
      <c r="F1184" s="20">
        <f t="shared" si="18"/>
        <v>154133927</v>
      </c>
      <c r="G1184" s="7" t="s">
        <v>330</v>
      </c>
      <c r="H1184" s="24" t="s">
        <v>109</v>
      </c>
      <c r="I1184" s="32" t="s">
        <v>152</v>
      </c>
    </row>
    <row r="1185" spans="1:9" x14ac:dyDescent="0.35">
      <c r="A1185" s="19">
        <v>46100</v>
      </c>
      <c r="B1185" s="20"/>
      <c r="C1185" s="20"/>
      <c r="D1185" s="20">
        <v>50000</v>
      </c>
      <c r="E1185" s="234" t="s">
        <v>1204</v>
      </c>
      <c r="F1185" s="20">
        <f t="shared" si="18"/>
        <v>154183927</v>
      </c>
      <c r="G1185" s="7" t="s">
        <v>330</v>
      </c>
      <c r="H1185" s="24" t="s">
        <v>109</v>
      </c>
      <c r="I1185" s="32" t="s">
        <v>152</v>
      </c>
    </row>
    <row r="1186" spans="1:9" x14ac:dyDescent="0.35">
      <c r="A1186" s="19">
        <v>46100</v>
      </c>
      <c r="B1186" s="20"/>
      <c r="C1186" s="20"/>
      <c r="D1186" s="20">
        <v>500000</v>
      </c>
      <c r="E1186" s="234" t="s">
        <v>1204</v>
      </c>
      <c r="F1186" s="20">
        <f t="shared" si="18"/>
        <v>154683927</v>
      </c>
      <c r="G1186" s="7" t="s">
        <v>330</v>
      </c>
      <c r="H1186" s="24" t="s">
        <v>109</v>
      </c>
      <c r="I1186" s="32" t="s">
        <v>152</v>
      </c>
    </row>
    <row r="1187" spans="1:9" x14ac:dyDescent="0.35">
      <c r="A1187" s="19">
        <v>46100</v>
      </c>
      <c r="B1187" s="20"/>
      <c r="C1187" s="20"/>
      <c r="D1187" s="20">
        <v>25000</v>
      </c>
      <c r="E1187" s="234" t="s">
        <v>1204</v>
      </c>
      <c r="F1187" s="20">
        <f t="shared" si="18"/>
        <v>154708927</v>
      </c>
      <c r="G1187" s="7" t="s">
        <v>330</v>
      </c>
      <c r="H1187" s="24" t="s">
        <v>109</v>
      </c>
      <c r="I1187" s="32" t="s">
        <v>152</v>
      </c>
    </row>
    <row r="1188" spans="1:9" x14ac:dyDescent="0.35">
      <c r="A1188" s="19">
        <v>46100</v>
      </c>
      <c r="B1188" s="20"/>
      <c r="C1188" s="20"/>
      <c r="D1188" s="20">
        <v>50000</v>
      </c>
      <c r="E1188" s="234" t="s">
        <v>1204</v>
      </c>
      <c r="F1188" s="20">
        <f t="shared" si="18"/>
        <v>154758927</v>
      </c>
      <c r="G1188" s="7" t="s">
        <v>330</v>
      </c>
      <c r="H1188" s="24" t="s">
        <v>109</v>
      </c>
      <c r="I1188" s="32" t="s">
        <v>152</v>
      </c>
    </row>
    <row r="1189" spans="1:9" x14ac:dyDescent="0.35">
      <c r="A1189" s="19">
        <v>46100</v>
      </c>
      <c r="B1189" s="20"/>
      <c r="C1189" s="20"/>
      <c r="D1189" s="20">
        <v>10000</v>
      </c>
      <c r="E1189" s="234" t="s">
        <v>1204</v>
      </c>
      <c r="F1189" s="20">
        <f t="shared" si="18"/>
        <v>154768927</v>
      </c>
      <c r="G1189" s="7" t="s">
        <v>330</v>
      </c>
      <c r="H1189" s="24" t="s">
        <v>109</v>
      </c>
      <c r="I1189" s="32" t="s">
        <v>152</v>
      </c>
    </row>
    <row r="1190" spans="1:9" x14ac:dyDescent="0.35">
      <c r="A1190" s="19">
        <v>46100</v>
      </c>
      <c r="B1190" s="20"/>
      <c r="C1190" s="20"/>
      <c r="D1190" s="20">
        <v>10000</v>
      </c>
      <c r="E1190" s="234" t="s">
        <v>1204</v>
      </c>
      <c r="F1190" s="20">
        <f t="shared" si="18"/>
        <v>154778927</v>
      </c>
      <c r="G1190" s="7" t="s">
        <v>330</v>
      </c>
      <c r="H1190" s="24" t="s">
        <v>109</v>
      </c>
      <c r="I1190" s="32" t="s">
        <v>152</v>
      </c>
    </row>
    <row r="1191" spans="1:9" x14ac:dyDescent="0.35">
      <c r="A1191" s="19">
        <v>46100</v>
      </c>
      <c r="B1191" s="20"/>
      <c r="C1191" s="20"/>
      <c r="D1191" s="20">
        <v>10000</v>
      </c>
      <c r="E1191" s="234" t="s">
        <v>1204</v>
      </c>
      <c r="F1191" s="20">
        <f t="shared" ref="F1191:F1256" si="19">+F1190+D1191-B1191</f>
        <v>154788927</v>
      </c>
      <c r="G1191" s="7" t="s">
        <v>330</v>
      </c>
      <c r="H1191" s="24" t="s">
        <v>109</v>
      </c>
      <c r="I1191" s="32" t="s">
        <v>152</v>
      </c>
    </row>
    <row r="1192" spans="1:9" x14ac:dyDescent="0.35">
      <c r="A1192" s="19">
        <v>46100</v>
      </c>
      <c r="B1192" s="20"/>
      <c r="C1192" s="20"/>
      <c r="D1192" s="20">
        <v>50000</v>
      </c>
      <c r="E1192" s="234" t="s">
        <v>1204</v>
      </c>
      <c r="F1192" s="20">
        <f t="shared" si="19"/>
        <v>154838927</v>
      </c>
      <c r="G1192" s="7" t="s">
        <v>330</v>
      </c>
      <c r="H1192" s="24" t="s">
        <v>109</v>
      </c>
      <c r="I1192" s="32" t="s">
        <v>152</v>
      </c>
    </row>
    <row r="1193" spans="1:9" x14ac:dyDescent="0.35">
      <c r="A1193" s="19">
        <v>46100</v>
      </c>
      <c r="B1193" s="20"/>
      <c r="C1193" s="20"/>
      <c r="D1193" s="20">
        <v>20000</v>
      </c>
      <c r="E1193" s="234" t="s">
        <v>1204</v>
      </c>
      <c r="F1193" s="20">
        <f t="shared" si="19"/>
        <v>154858927</v>
      </c>
      <c r="G1193" s="7" t="s">
        <v>330</v>
      </c>
      <c r="H1193" s="24" t="s">
        <v>109</v>
      </c>
      <c r="I1193" s="32" t="s">
        <v>152</v>
      </c>
    </row>
    <row r="1194" spans="1:9" x14ac:dyDescent="0.35">
      <c r="A1194" s="19">
        <v>46100</v>
      </c>
      <c r="B1194" s="20"/>
      <c r="C1194" s="20"/>
      <c r="D1194" s="20">
        <v>15000</v>
      </c>
      <c r="E1194" s="234" t="s">
        <v>1204</v>
      </c>
      <c r="F1194" s="20">
        <f t="shared" si="19"/>
        <v>154873927</v>
      </c>
      <c r="G1194" s="7" t="s">
        <v>330</v>
      </c>
      <c r="H1194" s="24" t="s">
        <v>109</v>
      </c>
      <c r="I1194" s="32" t="s">
        <v>152</v>
      </c>
    </row>
    <row r="1195" spans="1:9" x14ac:dyDescent="0.35">
      <c r="A1195" s="19">
        <v>46100</v>
      </c>
      <c r="B1195" s="20"/>
      <c r="C1195" s="20"/>
      <c r="D1195" s="20">
        <v>100000</v>
      </c>
      <c r="E1195" s="234" t="s">
        <v>1204</v>
      </c>
      <c r="F1195" s="20">
        <f t="shared" si="19"/>
        <v>154973927</v>
      </c>
      <c r="G1195" s="7" t="s">
        <v>330</v>
      </c>
      <c r="H1195" s="24" t="s">
        <v>109</v>
      </c>
      <c r="I1195" s="32" t="s">
        <v>152</v>
      </c>
    </row>
    <row r="1196" spans="1:9" x14ac:dyDescent="0.35">
      <c r="A1196" s="19">
        <v>46100</v>
      </c>
      <c r="B1196" s="20"/>
      <c r="C1196" s="20"/>
      <c r="D1196" s="20">
        <v>50000</v>
      </c>
      <c r="E1196" s="234" t="s">
        <v>1204</v>
      </c>
      <c r="F1196" s="20">
        <f t="shared" si="19"/>
        <v>155023927</v>
      </c>
      <c r="G1196" s="7" t="s">
        <v>330</v>
      </c>
      <c r="H1196" s="24" t="s">
        <v>109</v>
      </c>
      <c r="I1196" s="32" t="s">
        <v>152</v>
      </c>
    </row>
    <row r="1197" spans="1:9" x14ac:dyDescent="0.35">
      <c r="A1197" s="19">
        <v>46100</v>
      </c>
      <c r="B1197" s="20"/>
      <c r="C1197" s="20"/>
      <c r="D1197" s="20">
        <v>50000</v>
      </c>
      <c r="E1197" s="234" t="s">
        <v>1204</v>
      </c>
      <c r="F1197" s="20">
        <f t="shared" si="19"/>
        <v>155073927</v>
      </c>
      <c r="G1197" s="7" t="s">
        <v>330</v>
      </c>
      <c r="H1197" s="24" t="s">
        <v>109</v>
      </c>
      <c r="I1197" s="32" t="s">
        <v>152</v>
      </c>
    </row>
    <row r="1198" spans="1:9" x14ac:dyDescent="0.35">
      <c r="A1198" s="19">
        <v>46100</v>
      </c>
      <c r="B1198" s="20"/>
      <c r="C1198" s="20"/>
      <c r="D1198" s="20">
        <v>2500</v>
      </c>
      <c r="E1198" s="234" t="s">
        <v>1204</v>
      </c>
      <c r="F1198" s="20">
        <f t="shared" si="19"/>
        <v>155076427</v>
      </c>
      <c r="G1198" s="7" t="s">
        <v>330</v>
      </c>
      <c r="H1198" s="24" t="s">
        <v>109</v>
      </c>
      <c r="I1198" s="32" t="s">
        <v>152</v>
      </c>
    </row>
    <row r="1199" spans="1:9" x14ac:dyDescent="0.35">
      <c r="A1199" s="19">
        <v>46100</v>
      </c>
      <c r="B1199" s="20"/>
      <c r="C1199" s="20"/>
      <c r="D1199" s="20">
        <v>10000</v>
      </c>
      <c r="E1199" s="234" t="s">
        <v>1204</v>
      </c>
      <c r="F1199" s="20">
        <f t="shared" si="19"/>
        <v>155086427</v>
      </c>
      <c r="G1199" s="7" t="s">
        <v>330</v>
      </c>
      <c r="H1199" s="24" t="s">
        <v>109</v>
      </c>
      <c r="I1199" s="32" t="s">
        <v>152</v>
      </c>
    </row>
    <row r="1200" spans="1:9" x14ac:dyDescent="0.35">
      <c r="A1200" s="19">
        <v>46100</v>
      </c>
      <c r="B1200" s="20"/>
      <c r="C1200" s="20"/>
      <c r="D1200" s="20">
        <v>5000000</v>
      </c>
      <c r="E1200" s="234" t="s">
        <v>1204</v>
      </c>
      <c r="F1200" s="20">
        <f t="shared" si="19"/>
        <v>160086427</v>
      </c>
      <c r="G1200" s="7" t="s">
        <v>330</v>
      </c>
      <c r="H1200" s="24" t="s">
        <v>109</v>
      </c>
      <c r="I1200" s="32" t="s">
        <v>152</v>
      </c>
    </row>
    <row r="1201" spans="1:9" x14ac:dyDescent="0.35">
      <c r="A1201" s="19">
        <v>46100</v>
      </c>
      <c r="B1201" s="20"/>
      <c r="C1201" s="20"/>
      <c r="D1201" s="20">
        <v>5000</v>
      </c>
      <c r="E1201" s="234" t="s">
        <v>1204</v>
      </c>
      <c r="F1201" s="20">
        <f t="shared" si="19"/>
        <v>160091427</v>
      </c>
      <c r="G1201" s="7" t="s">
        <v>330</v>
      </c>
      <c r="H1201" s="24" t="s">
        <v>109</v>
      </c>
      <c r="I1201" s="32" t="s">
        <v>152</v>
      </c>
    </row>
    <row r="1202" spans="1:9" x14ac:dyDescent="0.35">
      <c r="A1202" s="19">
        <v>46100</v>
      </c>
      <c r="B1202" s="20"/>
      <c r="C1202" s="20"/>
      <c r="D1202" s="20">
        <v>30000</v>
      </c>
      <c r="E1202" s="234" t="s">
        <v>1204</v>
      </c>
      <c r="F1202" s="20">
        <f t="shared" si="19"/>
        <v>160121427</v>
      </c>
      <c r="G1202" s="7" t="s">
        <v>330</v>
      </c>
      <c r="H1202" s="24" t="s">
        <v>109</v>
      </c>
      <c r="I1202" s="32" t="s">
        <v>152</v>
      </c>
    </row>
    <row r="1203" spans="1:9" x14ac:dyDescent="0.35">
      <c r="A1203" s="19">
        <v>46100</v>
      </c>
      <c r="B1203" s="20"/>
      <c r="C1203" s="20"/>
      <c r="D1203" s="20">
        <v>20000</v>
      </c>
      <c r="E1203" s="234" t="s">
        <v>1204</v>
      </c>
      <c r="F1203" s="20">
        <f t="shared" si="19"/>
        <v>160141427</v>
      </c>
      <c r="G1203" s="7" t="s">
        <v>330</v>
      </c>
      <c r="H1203" s="24" t="s">
        <v>109</v>
      </c>
      <c r="I1203" s="32" t="s">
        <v>152</v>
      </c>
    </row>
    <row r="1204" spans="1:9" x14ac:dyDescent="0.35">
      <c r="A1204" s="19">
        <v>46100</v>
      </c>
      <c r="B1204" s="20"/>
      <c r="C1204" s="20"/>
      <c r="D1204" s="20">
        <v>20000000</v>
      </c>
      <c r="E1204" s="234" t="s">
        <v>1204</v>
      </c>
      <c r="F1204" s="20">
        <f t="shared" si="19"/>
        <v>180141427</v>
      </c>
      <c r="G1204" s="7" t="s">
        <v>1227</v>
      </c>
      <c r="H1204" s="24" t="s">
        <v>105</v>
      </c>
      <c r="I1204" s="32" t="s">
        <v>152</v>
      </c>
    </row>
    <row r="1205" spans="1:9" x14ac:dyDescent="0.35">
      <c r="A1205" s="19">
        <v>46100</v>
      </c>
      <c r="B1205" s="20">
        <v>481412</v>
      </c>
      <c r="C1205" s="20"/>
      <c r="D1205" s="20"/>
      <c r="E1205" s="234" t="s">
        <v>1204</v>
      </c>
      <c r="F1205" s="20">
        <f t="shared" si="19"/>
        <v>179660015</v>
      </c>
      <c r="G1205" s="7"/>
      <c r="H1205" s="24" t="s">
        <v>1051</v>
      </c>
      <c r="I1205" s="32" t="s">
        <v>152</v>
      </c>
    </row>
    <row r="1206" spans="1:9" x14ac:dyDescent="0.35">
      <c r="A1206" s="19">
        <v>46100</v>
      </c>
      <c r="B1206" s="20">
        <v>8268588</v>
      </c>
      <c r="C1206" s="20"/>
      <c r="D1206" s="20"/>
      <c r="E1206" s="234" t="s">
        <v>1204</v>
      </c>
      <c r="F1206" s="20">
        <f t="shared" si="19"/>
        <v>171391427</v>
      </c>
      <c r="G1206" s="7"/>
      <c r="H1206" s="24" t="s">
        <v>499</v>
      </c>
      <c r="I1206" s="32" t="s">
        <v>152</v>
      </c>
    </row>
    <row r="1207" spans="1:9" x14ac:dyDescent="0.35">
      <c r="A1207" s="19"/>
      <c r="B1207" s="20"/>
      <c r="C1207" s="20">
        <v>8750000</v>
      </c>
      <c r="D1207" s="20"/>
      <c r="E1207" s="234"/>
      <c r="F1207" s="20">
        <f t="shared" si="19"/>
        <v>171391427</v>
      </c>
      <c r="G1207" s="7" t="s">
        <v>1228</v>
      </c>
      <c r="H1207" s="24"/>
      <c r="I1207" s="32"/>
    </row>
    <row r="1208" spans="1:9" x14ac:dyDescent="0.35">
      <c r="A1208" s="19">
        <v>46100</v>
      </c>
      <c r="B1208" s="20">
        <v>6500</v>
      </c>
      <c r="C1208" s="20"/>
      <c r="D1208" s="20"/>
      <c r="E1208" s="234" t="s">
        <v>1204</v>
      </c>
      <c r="F1208" s="20">
        <f t="shared" si="19"/>
        <v>171384927</v>
      </c>
      <c r="G1208" s="7" t="s">
        <v>1228</v>
      </c>
      <c r="H1208" s="24" t="s">
        <v>320</v>
      </c>
      <c r="I1208" s="32" t="s">
        <v>152</v>
      </c>
    </row>
    <row r="1209" spans="1:9" x14ac:dyDescent="0.35">
      <c r="A1209" s="19">
        <v>46101</v>
      </c>
      <c r="B1209" s="20"/>
      <c r="C1209" s="20"/>
      <c r="D1209" s="20">
        <v>20000</v>
      </c>
      <c r="E1209" s="234" t="s">
        <v>1204</v>
      </c>
      <c r="F1209" s="20">
        <f t="shared" si="19"/>
        <v>171404927</v>
      </c>
      <c r="G1209" s="7" t="s">
        <v>330</v>
      </c>
      <c r="H1209" s="24" t="s">
        <v>109</v>
      </c>
      <c r="I1209" s="32" t="s">
        <v>152</v>
      </c>
    </row>
    <row r="1210" spans="1:9" x14ac:dyDescent="0.35">
      <c r="A1210" s="19">
        <v>46101</v>
      </c>
      <c r="B1210" s="20"/>
      <c r="C1210" s="20"/>
      <c r="D1210" s="20">
        <v>1500000</v>
      </c>
      <c r="E1210" s="234" t="s">
        <v>1204</v>
      </c>
      <c r="F1210" s="20">
        <f t="shared" si="19"/>
        <v>172904927</v>
      </c>
      <c r="G1210" s="7" t="s">
        <v>561</v>
      </c>
      <c r="H1210" s="24" t="s">
        <v>109</v>
      </c>
      <c r="I1210" s="32" t="s">
        <v>152</v>
      </c>
    </row>
    <row r="1211" spans="1:9" x14ac:dyDescent="0.35">
      <c r="A1211" s="19">
        <v>46101</v>
      </c>
      <c r="B1211" s="20"/>
      <c r="C1211" s="20"/>
      <c r="D1211" s="20">
        <v>4000000</v>
      </c>
      <c r="E1211" s="234" t="s">
        <v>1236</v>
      </c>
      <c r="F1211" s="20">
        <f t="shared" si="19"/>
        <v>176904927</v>
      </c>
      <c r="G1211" s="7" t="s">
        <v>330</v>
      </c>
      <c r="H1211" s="24" t="s">
        <v>109</v>
      </c>
      <c r="I1211" s="32" t="s">
        <v>152</v>
      </c>
    </row>
    <row r="1212" spans="1:9" x14ac:dyDescent="0.35">
      <c r="A1212" s="19">
        <v>46101</v>
      </c>
      <c r="B1212" s="20"/>
      <c r="C1212" s="20"/>
      <c r="D1212" s="20">
        <v>10000</v>
      </c>
      <c r="E1212" s="234" t="s">
        <v>1236</v>
      </c>
      <c r="F1212" s="20">
        <f t="shared" si="19"/>
        <v>176914927</v>
      </c>
      <c r="G1212" s="7" t="s">
        <v>330</v>
      </c>
      <c r="H1212" s="24" t="s">
        <v>109</v>
      </c>
      <c r="I1212" s="32" t="s">
        <v>152</v>
      </c>
    </row>
    <row r="1213" spans="1:9" x14ac:dyDescent="0.35">
      <c r="A1213" s="19">
        <v>46101</v>
      </c>
      <c r="B1213" s="20"/>
      <c r="C1213" s="20"/>
      <c r="D1213" s="20">
        <v>35000</v>
      </c>
      <c r="E1213" s="234" t="s">
        <v>1236</v>
      </c>
      <c r="F1213" s="20">
        <f t="shared" si="19"/>
        <v>176949927</v>
      </c>
      <c r="G1213" s="7" t="s">
        <v>330</v>
      </c>
      <c r="H1213" s="24" t="s">
        <v>109</v>
      </c>
      <c r="I1213" s="32" t="s">
        <v>152</v>
      </c>
    </row>
    <row r="1214" spans="1:9" x14ac:dyDescent="0.35">
      <c r="A1214" s="19">
        <v>46101</v>
      </c>
      <c r="B1214" s="20"/>
      <c r="C1214" s="20"/>
      <c r="D1214" s="20">
        <v>20000</v>
      </c>
      <c r="E1214" s="234" t="s">
        <v>1236</v>
      </c>
      <c r="F1214" s="20">
        <f t="shared" si="19"/>
        <v>176969927</v>
      </c>
      <c r="G1214" s="7" t="s">
        <v>330</v>
      </c>
      <c r="H1214" s="24" t="s">
        <v>109</v>
      </c>
      <c r="I1214" s="32" t="s">
        <v>152</v>
      </c>
    </row>
    <row r="1215" spans="1:9" x14ac:dyDescent="0.35">
      <c r="A1215" s="19">
        <v>46101</v>
      </c>
      <c r="B1215" s="20"/>
      <c r="C1215" s="20"/>
      <c r="D1215" s="20">
        <v>3500</v>
      </c>
      <c r="E1215" s="234" t="s">
        <v>1236</v>
      </c>
      <c r="F1215" s="20">
        <f t="shared" si="19"/>
        <v>176973427</v>
      </c>
      <c r="G1215" s="7" t="s">
        <v>330</v>
      </c>
      <c r="H1215" s="24" t="s">
        <v>109</v>
      </c>
      <c r="I1215" s="32" t="s">
        <v>152</v>
      </c>
    </row>
    <row r="1216" spans="1:9" x14ac:dyDescent="0.35">
      <c r="A1216" s="19">
        <v>46101</v>
      </c>
      <c r="B1216" s="20"/>
      <c r="C1216" s="20"/>
      <c r="D1216" s="20">
        <v>5000</v>
      </c>
      <c r="E1216" s="234" t="s">
        <v>1236</v>
      </c>
      <c r="F1216" s="20">
        <f t="shared" si="19"/>
        <v>176978427</v>
      </c>
      <c r="G1216" s="7" t="s">
        <v>330</v>
      </c>
      <c r="H1216" s="24" t="s">
        <v>109</v>
      </c>
      <c r="I1216" s="32" t="s">
        <v>152</v>
      </c>
    </row>
    <row r="1217" spans="1:9" x14ac:dyDescent="0.35">
      <c r="A1217" s="19">
        <v>46101</v>
      </c>
      <c r="B1217" s="20"/>
      <c r="C1217" s="20"/>
      <c r="D1217" s="20">
        <v>50000</v>
      </c>
      <c r="E1217" s="234" t="s">
        <v>1236</v>
      </c>
      <c r="F1217" s="20">
        <f t="shared" si="19"/>
        <v>177028427</v>
      </c>
      <c r="G1217" s="7" t="s">
        <v>330</v>
      </c>
      <c r="H1217" s="24" t="s">
        <v>109</v>
      </c>
      <c r="I1217" s="32" t="s">
        <v>152</v>
      </c>
    </row>
    <row r="1218" spans="1:9" x14ac:dyDescent="0.35">
      <c r="A1218" s="19">
        <v>46101</v>
      </c>
      <c r="B1218" s="20"/>
      <c r="C1218" s="20"/>
      <c r="D1218" s="20">
        <v>300000</v>
      </c>
      <c r="E1218" s="234" t="s">
        <v>1236</v>
      </c>
      <c r="F1218" s="20">
        <f t="shared" si="19"/>
        <v>177328427</v>
      </c>
      <c r="G1218" s="7" t="s">
        <v>330</v>
      </c>
      <c r="H1218" s="24" t="s">
        <v>109</v>
      </c>
      <c r="I1218" s="32" t="s">
        <v>152</v>
      </c>
    </row>
    <row r="1219" spans="1:9" x14ac:dyDescent="0.35">
      <c r="A1219" s="19">
        <v>46101</v>
      </c>
      <c r="B1219" s="20"/>
      <c r="C1219" s="20"/>
      <c r="D1219" s="20">
        <v>100000</v>
      </c>
      <c r="E1219" s="234" t="s">
        <v>1236</v>
      </c>
      <c r="F1219" s="20">
        <f t="shared" si="19"/>
        <v>177428427</v>
      </c>
      <c r="G1219" s="7" t="s">
        <v>330</v>
      </c>
      <c r="H1219" s="24" t="s">
        <v>109</v>
      </c>
      <c r="I1219" s="32" t="s">
        <v>152</v>
      </c>
    </row>
    <row r="1220" spans="1:9" x14ac:dyDescent="0.35">
      <c r="A1220" s="19">
        <v>46101</v>
      </c>
      <c r="B1220" s="20"/>
      <c r="C1220" s="20"/>
      <c r="D1220" s="20">
        <v>10000</v>
      </c>
      <c r="E1220" s="234" t="s">
        <v>1236</v>
      </c>
      <c r="F1220" s="20">
        <f t="shared" si="19"/>
        <v>177438427</v>
      </c>
      <c r="G1220" s="7" t="s">
        <v>330</v>
      </c>
      <c r="H1220" s="24" t="s">
        <v>109</v>
      </c>
      <c r="I1220" s="32" t="s">
        <v>152</v>
      </c>
    </row>
    <row r="1221" spans="1:9" x14ac:dyDescent="0.35">
      <c r="A1221" s="19">
        <v>46101</v>
      </c>
      <c r="B1221" s="20"/>
      <c r="C1221" s="20"/>
      <c r="D1221" s="20">
        <v>50000</v>
      </c>
      <c r="E1221" s="234" t="s">
        <v>1236</v>
      </c>
      <c r="F1221" s="20">
        <f t="shared" si="19"/>
        <v>177488427</v>
      </c>
      <c r="G1221" s="7" t="s">
        <v>330</v>
      </c>
      <c r="H1221" s="24" t="s">
        <v>109</v>
      </c>
      <c r="I1221" s="32" t="s">
        <v>152</v>
      </c>
    </row>
    <row r="1222" spans="1:9" x14ac:dyDescent="0.35">
      <c r="A1222" s="19">
        <v>46101</v>
      </c>
      <c r="B1222" s="20"/>
      <c r="C1222" s="20"/>
      <c r="D1222" s="20">
        <v>10000</v>
      </c>
      <c r="E1222" s="234" t="s">
        <v>1236</v>
      </c>
      <c r="F1222" s="20">
        <f t="shared" si="19"/>
        <v>177498427</v>
      </c>
      <c r="G1222" s="7" t="s">
        <v>330</v>
      </c>
      <c r="H1222" s="24" t="s">
        <v>109</v>
      </c>
      <c r="I1222" s="32" t="s">
        <v>152</v>
      </c>
    </row>
    <row r="1223" spans="1:9" x14ac:dyDescent="0.35">
      <c r="A1223" s="19">
        <v>46101</v>
      </c>
      <c r="B1223" s="20"/>
      <c r="C1223" s="20"/>
      <c r="D1223" s="20">
        <v>50000</v>
      </c>
      <c r="E1223" s="234" t="s">
        <v>1236</v>
      </c>
      <c r="F1223" s="20">
        <f t="shared" si="19"/>
        <v>177548427</v>
      </c>
      <c r="G1223" s="7" t="s">
        <v>330</v>
      </c>
      <c r="H1223" s="24" t="s">
        <v>109</v>
      </c>
      <c r="I1223" s="32" t="s">
        <v>152</v>
      </c>
    </row>
    <row r="1224" spans="1:9" x14ac:dyDescent="0.35">
      <c r="A1224" s="19">
        <v>46101</v>
      </c>
      <c r="B1224" s="20"/>
      <c r="C1224" s="20"/>
      <c r="D1224" s="20">
        <v>5000</v>
      </c>
      <c r="E1224" s="234" t="s">
        <v>1236</v>
      </c>
      <c r="F1224" s="20">
        <f t="shared" si="19"/>
        <v>177553427</v>
      </c>
      <c r="G1224" s="7" t="s">
        <v>330</v>
      </c>
      <c r="H1224" s="24" t="s">
        <v>109</v>
      </c>
      <c r="I1224" s="32" t="s">
        <v>152</v>
      </c>
    </row>
    <row r="1225" spans="1:9" x14ac:dyDescent="0.35">
      <c r="A1225" s="19">
        <v>46101</v>
      </c>
      <c r="B1225" s="20"/>
      <c r="C1225" s="20"/>
      <c r="D1225" s="20">
        <v>50000</v>
      </c>
      <c r="E1225" s="234" t="s">
        <v>1236</v>
      </c>
      <c r="F1225" s="20">
        <f t="shared" si="19"/>
        <v>177603427</v>
      </c>
      <c r="G1225" s="7" t="s">
        <v>330</v>
      </c>
      <c r="H1225" s="24" t="s">
        <v>109</v>
      </c>
      <c r="I1225" s="32" t="s">
        <v>152</v>
      </c>
    </row>
    <row r="1226" spans="1:9" x14ac:dyDescent="0.35">
      <c r="A1226" s="19">
        <v>46101</v>
      </c>
      <c r="B1226" s="20"/>
      <c r="C1226" s="20"/>
      <c r="D1226" s="20">
        <v>2000000</v>
      </c>
      <c r="E1226" s="234" t="s">
        <v>1236</v>
      </c>
      <c r="F1226" s="20">
        <f t="shared" si="19"/>
        <v>179603427</v>
      </c>
      <c r="G1226" s="7" t="s">
        <v>330</v>
      </c>
      <c r="H1226" s="24" t="s">
        <v>109</v>
      </c>
      <c r="I1226" s="32" t="s">
        <v>152</v>
      </c>
    </row>
    <row r="1227" spans="1:9" x14ac:dyDescent="0.35">
      <c r="A1227" s="19">
        <v>46101</v>
      </c>
      <c r="B1227" s="20"/>
      <c r="C1227" s="20"/>
      <c r="D1227" s="20">
        <v>50000</v>
      </c>
      <c r="E1227" s="234" t="s">
        <v>1236</v>
      </c>
      <c r="F1227" s="20">
        <f t="shared" si="19"/>
        <v>179653427</v>
      </c>
      <c r="G1227" s="7" t="s">
        <v>330</v>
      </c>
      <c r="H1227" s="24" t="s">
        <v>109</v>
      </c>
      <c r="I1227" s="32" t="s">
        <v>152</v>
      </c>
    </row>
    <row r="1228" spans="1:9" x14ac:dyDescent="0.35">
      <c r="A1228" s="19">
        <v>46101</v>
      </c>
      <c r="B1228" s="20"/>
      <c r="C1228" s="20"/>
      <c r="D1228" s="20">
        <v>1800000</v>
      </c>
      <c r="E1228" s="234" t="s">
        <v>1236</v>
      </c>
      <c r="F1228" s="20">
        <f t="shared" si="19"/>
        <v>181453427</v>
      </c>
      <c r="G1228" s="7" t="s">
        <v>330</v>
      </c>
      <c r="H1228" s="24" t="s">
        <v>109</v>
      </c>
      <c r="I1228" s="32" t="s">
        <v>152</v>
      </c>
    </row>
    <row r="1229" spans="1:9" x14ac:dyDescent="0.35">
      <c r="A1229" s="19">
        <v>46101</v>
      </c>
      <c r="B1229" s="20"/>
      <c r="C1229" s="20"/>
      <c r="D1229" s="20">
        <v>25000</v>
      </c>
      <c r="E1229" s="234" t="s">
        <v>1236</v>
      </c>
      <c r="F1229" s="20">
        <f t="shared" si="19"/>
        <v>181478427</v>
      </c>
      <c r="G1229" s="7" t="s">
        <v>330</v>
      </c>
      <c r="H1229" s="24" t="s">
        <v>109</v>
      </c>
      <c r="I1229" s="32" t="s">
        <v>152</v>
      </c>
    </row>
    <row r="1230" spans="1:9" x14ac:dyDescent="0.35">
      <c r="A1230" s="19">
        <v>46102</v>
      </c>
      <c r="B1230" s="20"/>
      <c r="C1230" s="20"/>
      <c r="D1230" s="20">
        <v>10000</v>
      </c>
      <c r="E1230" s="234" t="s">
        <v>1236</v>
      </c>
      <c r="F1230" s="20">
        <f t="shared" si="19"/>
        <v>181488427</v>
      </c>
      <c r="G1230" s="7" t="s">
        <v>330</v>
      </c>
      <c r="H1230" s="24" t="s">
        <v>109</v>
      </c>
      <c r="I1230" s="32" t="s">
        <v>152</v>
      </c>
    </row>
    <row r="1231" spans="1:9" x14ac:dyDescent="0.35">
      <c r="A1231" s="19">
        <v>46102</v>
      </c>
      <c r="B1231" s="20"/>
      <c r="C1231" s="20"/>
      <c r="D1231" s="20">
        <v>50000</v>
      </c>
      <c r="E1231" s="234" t="s">
        <v>1236</v>
      </c>
      <c r="F1231" s="20">
        <f t="shared" si="19"/>
        <v>181538427</v>
      </c>
      <c r="G1231" s="7" t="s">
        <v>330</v>
      </c>
      <c r="H1231" s="24" t="s">
        <v>109</v>
      </c>
      <c r="I1231" s="32" t="s">
        <v>152</v>
      </c>
    </row>
    <row r="1232" spans="1:9" x14ac:dyDescent="0.35">
      <c r="A1232" s="19">
        <v>46102</v>
      </c>
      <c r="B1232" s="20"/>
      <c r="C1232" s="20"/>
      <c r="D1232" s="20">
        <v>35000</v>
      </c>
      <c r="E1232" s="234" t="s">
        <v>1236</v>
      </c>
      <c r="F1232" s="20">
        <f t="shared" si="19"/>
        <v>181573427</v>
      </c>
      <c r="G1232" s="7" t="s">
        <v>330</v>
      </c>
      <c r="H1232" s="24" t="s">
        <v>109</v>
      </c>
      <c r="I1232" s="32" t="s">
        <v>152</v>
      </c>
    </row>
    <row r="1233" spans="1:9" x14ac:dyDescent="0.35">
      <c r="A1233" s="19">
        <v>46102</v>
      </c>
      <c r="B1233" s="20"/>
      <c r="C1233" s="20"/>
      <c r="D1233" s="20">
        <v>20000</v>
      </c>
      <c r="E1233" s="234" t="s">
        <v>1236</v>
      </c>
      <c r="F1233" s="20">
        <f t="shared" si="19"/>
        <v>181593427</v>
      </c>
      <c r="G1233" s="7" t="s">
        <v>330</v>
      </c>
      <c r="H1233" s="24" t="s">
        <v>109</v>
      </c>
      <c r="I1233" s="32" t="s">
        <v>152</v>
      </c>
    </row>
    <row r="1234" spans="1:9" x14ac:dyDescent="0.35">
      <c r="A1234" s="19">
        <v>46102</v>
      </c>
      <c r="B1234" s="20"/>
      <c r="C1234" s="20"/>
      <c r="D1234" s="20">
        <v>250000</v>
      </c>
      <c r="E1234" s="234" t="s">
        <v>1236</v>
      </c>
      <c r="F1234" s="20">
        <f t="shared" si="19"/>
        <v>181843427</v>
      </c>
      <c r="G1234" s="7" t="s">
        <v>330</v>
      </c>
      <c r="H1234" s="24" t="s">
        <v>109</v>
      </c>
      <c r="I1234" s="32" t="s">
        <v>152</v>
      </c>
    </row>
    <row r="1235" spans="1:9" x14ac:dyDescent="0.35">
      <c r="A1235" s="19">
        <v>46102</v>
      </c>
      <c r="B1235" s="20"/>
      <c r="C1235" s="20"/>
      <c r="D1235" s="20">
        <v>60000</v>
      </c>
      <c r="E1235" s="234" t="s">
        <v>1236</v>
      </c>
      <c r="F1235" s="20">
        <f t="shared" si="19"/>
        <v>181903427</v>
      </c>
      <c r="G1235" s="7" t="s">
        <v>330</v>
      </c>
      <c r="H1235" s="24" t="s">
        <v>109</v>
      </c>
      <c r="I1235" s="32" t="s">
        <v>152</v>
      </c>
    </row>
    <row r="1236" spans="1:9" x14ac:dyDescent="0.35">
      <c r="A1236" s="19">
        <v>46102</v>
      </c>
      <c r="B1236" s="20"/>
      <c r="C1236" s="20"/>
      <c r="D1236" s="20">
        <v>660000</v>
      </c>
      <c r="E1236" s="234" t="s">
        <v>1236</v>
      </c>
      <c r="F1236" s="20">
        <f t="shared" si="19"/>
        <v>182563427</v>
      </c>
      <c r="G1236" s="7" t="s">
        <v>330</v>
      </c>
      <c r="H1236" s="24" t="s">
        <v>109</v>
      </c>
      <c r="I1236" s="32" t="s">
        <v>152</v>
      </c>
    </row>
    <row r="1237" spans="1:9" x14ac:dyDescent="0.35">
      <c r="A1237" s="19">
        <v>46102</v>
      </c>
      <c r="B1237" s="20"/>
      <c r="C1237" s="20"/>
      <c r="D1237" s="20">
        <v>5416</v>
      </c>
      <c r="E1237" s="234" t="s">
        <v>1236</v>
      </c>
      <c r="F1237" s="20">
        <f t="shared" si="19"/>
        <v>182568843</v>
      </c>
      <c r="G1237" s="7" t="s">
        <v>330</v>
      </c>
      <c r="H1237" s="24" t="s">
        <v>109</v>
      </c>
      <c r="I1237" s="32" t="s">
        <v>152</v>
      </c>
    </row>
    <row r="1238" spans="1:9" x14ac:dyDescent="0.35">
      <c r="A1238" s="19">
        <v>46102</v>
      </c>
      <c r="B1238" s="20"/>
      <c r="C1238" s="20"/>
      <c r="D1238" s="20">
        <v>50000</v>
      </c>
      <c r="E1238" s="234" t="s">
        <v>1236</v>
      </c>
      <c r="F1238" s="20">
        <f t="shared" si="19"/>
        <v>182618843</v>
      </c>
      <c r="G1238" s="7" t="s">
        <v>330</v>
      </c>
      <c r="H1238" s="24" t="s">
        <v>109</v>
      </c>
      <c r="I1238" s="32" t="s">
        <v>152</v>
      </c>
    </row>
    <row r="1239" spans="1:9" x14ac:dyDescent="0.35">
      <c r="A1239" s="19">
        <v>46102</v>
      </c>
      <c r="B1239" s="20"/>
      <c r="C1239" s="20"/>
      <c r="D1239" s="20">
        <v>10000</v>
      </c>
      <c r="E1239" s="234" t="s">
        <v>1236</v>
      </c>
      <c r="F1239" s="20">
        <f t="shared" si="19"/>
        <v>182628843</v>
      </c>
      <c r="G1239" s="7" t="s">
        <v>330</v>
      </c>
      <c r="H1239" s="24" t="s">
        <v>109</v>
      </c>
      <c r="I1239" s="32" t="s">
        <v>152</v>
      </c>
    </row>
    <row r="1240" spans="1:9" x14ac:dyDescent="0.35">
      <c r="A1240" s="19">
        <v>46102</v>
      </c>
      <c r="B1240" s="20"/>
      <c r="C1240" s="20"/>
      <c r="D1240" s="20">
        <v>20000</v>
      </c>
      <c r="E1240" s="234" t="s">
        <v>1236</v>
      </c>
      <c r="F1240" s="20">
        <f t="shared" si="19"/>
        <v>182648843</v>
      </c>
      <c r="G1240" s="7" t="s">
        <v>330</v>
      </c>
      <c r="H1240" s="24" t="s">
        <v>109</v>
      </c>
      <c r="I1240" s="32" t="s">
        <v>152</v>
      </c>
    </row>
    <row r="1241" spans="1:9" x14ac:dyDescent="0.35">
      <c r="A1241" s="19">
        <v>46102</v>
      </c>
      <c r="B1241" s="20"/>
      <c r="C1241" s="20"/>
      <c r="D1241" s="20">
        <v>10000</v>
      </c>
      <c r="E1241" s="234" t="s">
        <v>1236</v>
      </c>
      <c r="F1241" s="20">
        <f t="shared" si="19"/>
        <v>182658843</v>
      </c>
      <c r="G1241" s="7" t="s">
        <v>330</v>
      </c>
      <c r="H1241" s="24" t="s">
        <v>109</v>
      </c>
      <c r="I1241" s="32" t="s">
        <v>152</v>
      </c>
    </row>
    <row r="1242" spans="1:9" x14ac:dyDescent="0.35">
      <c r="A1242" s="19">
        <v>46102</v>
      </c>
      <c r="B1242" s="20"/>
      <c r="C1242" s="20"/>
      <c r="D1242" s="20">
        <v>25000</v>
      </c>
      <c r="E1242" s="234" t="s">
        <v>1236</v>
      </c>
      <c r="F1242" s="20">
        <f t="shared" si="19"/>
        <v>182683843</v>
      </c>
      <c r="G1242" s="7" t="s">
        <v>330</v>
      </c>
      <c r="H1242" s="24" t="s">
        <v>109</v>
      </c>
      <c r="I1242" s="32" t="s">
        <v>152</v>
      </c>
    </row>
    <row r="1243" spans="1:9" x14ac:dyDescent="0.35">
      <c r="A1243" s="19">
        <v>46102</v>
      </c>
      <c r="B1243" s="20"/>
      <c r="C1243" s="20"/>
      <c r="D1243" s="20">
        <v>50000</v>
      </c>
      <c r="E1243" s="234" t="s">
        <v>1236</v>
      </c>
      <c r="F1243" s="20">
        <f t="shared" si="19"/>
        <v>182733843</v>
      </c>
      <c r="G1243" s="7" t="s">
        <v>330</v>
      </c>
      <c r="H1243" s="24" t="s">
        <v>109</v>
      </c>
      <c r="I1243" s="32" t="s">
        <v>152</v>
      </c>
    </row>
    <row r="1244" spans="1:9" x14ac:dyDescent="0.35">
      <c r="A1244" s="19">
        <v>46102</v>
      </c>
      <c r="B1244" s="20"/>
      <c r="C1244" s="20"/>
      <c r="D1244" s="20">
        <v>500000</v>
      </c>
      <c r="E1244" s="234" t="s">
        <v>1236</v>
      </c>
      <c r="F1244" s="20">
        <f t="shared" si="19"/>
        <v>183233843</v>
      </c>
      <c r="G1244" s="7" t="s">
        <v>330</v>
      </c>
      <c r="H1244" s="24" t="s">
        <v>109</v>
      </c>
      <c r="I1244" s="32" t="s">
        <v>152</v>
      </c>
    </row>
    <row r="1245" spans="1:9" x14ac:dyDescent="0.35">
      <c r="A1245" s="19">
        <v>46102</v>
      </c>
      <c r="B1245" s="20"/>
      <c r="C1245" s="20"/>
      <c r="D1245" s="20">
        <v>100000</v>
      </c>
      <c r="E1245" s="234" t="s">
        <v>1236</v>
      </c>
      <c r="F1245" s="20">
        <f t="shared" si="19"/>
        <v>183333843</v>
      </c>
      <c r="G1245" s="7" t="s">
        <v>330</v>
      </c>
      <c r="H1245" s="24" t="s">
        <v>109</v>
      </c>
      <c r="I1245" s="32" t="s">
        <v>152</v>
      </c>
    </row>
    <row r="1246" spans="1:9" x14ac:dyDescent="0.35">
      <c r="A1246" s="19">
        <v>46102</v>
      </c>
      <c r="B1246" s="20"/>
      <c r="C1246" s="20"/>
      <c r="D1246" s="20">
        <v>50000</v>
      </c>
      <c r="E1246" s="234" t="s">
        <v>1236</v>
      </c>
      <c r="F1246" s="20">
        <f t="shared" si="19"/>
        <v>183383843</v>
      </c>
      <c r="G1246" s="7" t="s">
        <v>330</v>
      </c>
      <c r="H1246" s="24" t="s">
        <v>109</v>
      </c>
      <c r="I1246" s="32" t="s">
        <v>152</v>
      </c>
    </row>
    <row r="1247" spans="1:9" x14ac:dyDescent="0.35">
      <c r="A1247" s="19">
        <v>46102</v>
      </c>
      <c r="B1247" s="20"/>
      <c r="C1247" s="20"/>
      <c r="D1247" s="20">
        <v>100000</v>
      </c>
      <c r="E1247" s="234" t="s">
        <v>1236</v>
      </c>
      <c r="F1247" s="20">
        <f t="shared" si="19"/>
        <v>183483843</v>
      </c>
      <c r="G1247" s="7" t="s">
        <v>330</v>
      </c>
      <c r="H1247" s="24" t="s">
        <v>109</v>
      </c>
      <c r="I1247" s="32" t="s">
        <v>152</v>
      </c>
    </row>
    <row r="1248" spans="1:9" x14ac:dyDescent="0.35">
      <c r="A1248" s="19">
        <v>46102</v>
      </c>
      <c r="B1248" s="20"/>
      <c r="C1248" s="20"/>
      <c r="D1248" s="20">
        <v>50000</v>
      </c>
      <c r="E1248" s="234" t="s">
        <v>1236</v>
      </c>
      <c r="F1248" s="20">
        <f t="shared" si="19"/>
        <v>183533843</v>
      </c>
      <c r="G1248" s="7" t="s">
        <v>330</v>
      </c>
      <c r="H1248" s="24" t="s">
        <v>109</v>
      </c>
      <c r="I1248" s="32" t="s">
        <v>152</v>
      </c>
    </row>
    <row r="1249" spans="1:9" x14ac:dyDescent="0.35">
      <c r="A1249" s="19">
        <v>46102</v>
      </c>
      <c r="B1249" s="20"/>
      <c r="C1249" s="20"/>
      <c r="D1249" s="20">
        <v>600000</v>
      </c>
      <c r="E1249" s="234" t="s">
        <v>1236</v>
      </c>
      <c r="F1249" s="20">
        <f t="shared" si="19"/>
        <v>184133843</v>
      </c>
      <c r="G1249" s="7" t="s">
        <v>330</v>
      </c>
      <c r="H1249" s="24" t="s">
        <v>109</v>
      </c>
      <c r="I1249" s="32" t="s">
        <v>152</v>
      </c>
    </row>
    <row r="1250" spans="1:9" x14ac:dyDescent="0.35">
      <c r="A1250" s="19">
        <v>46102</v>
      </c>
      <c r="B1250" s="20"/>
      <c r="C1250" s="20"/>
      <c r="D1250" s="20">
        <v>100000</v>
      </c>
      <c r="E1250" s="234" t="s">
        <v>1236</v>
      </c>
      <c r="F1250" s="20">
        <f t="shared" si="19"/>
        <v>184233843</v>
      </c>
      <c r="G1250" s="7" t="s">
        <v>330</v>
      </c>
      <c r="H1250" s="24" t="s">
        <v>109</v>
      </c>
      <c r="I1250" s="32" t="s">
        <v>152</v>
      </c>
    </row>
    <row r="1251" spans="1:9" x14ac:dyDescent="0.35">
      <c r="A1251" s="19">
        <v>46102</v>
      </c>
      <c r="B1251" s="20"/>
      <c r="C1251" s="20"/>
      <c r="D1251" s="20">
        <v>50000</v>
      </c>
      <c r="E1251" s="234" t="s">
        <v>1236</v>
      </c>
      <c r="F1251" s="20">
        <f t="shared" si="19"/>
        <v>184283843</v>
      </c>
      <c r="G1251" s="7" t="s">
        <v>330</v>
      </c>
      <c r="H1251" s="24" t="s">
        <v>109</v>
      </c>
      <c r="I1251" s="32" t="s">
        <v>152</v>
      </c>
    </row>
    <row r="1252" spans="1:9" x14ac:dyDescent="0.35">
      <c r="A1252" s="19">
        <v>46103</v>
      </c>
      <c r="B1252" s="20"/>
      <c r="C1252" s="20"/>
      <c r="D1252" s="20">
        <v>10000</v>
      </c>
      <c r="E1252" s="234" t="s">
        <v>1236</v>
      </c>
      <c r="F1252" s="20">
        <f t="shared" si="19"/>
        <v>184293843</v>
      </c>
      <c r="G1252" s="7" t="s">
        <v>330</v>
      </c>
      <c r="H1252" s="24" t="s">
        <v>109</v>
      </c>
      <c r="I1252" s="32" t="s">
        <v>152</v>
      </c>
    </row>
    <row r="1253" spans="1:9" x14ac:dyDescent="0.35">
      <c r="A1253" s="19">
        <v>46103</v>
      </c>
      <c r="B1253" s="20"/>
      <c r="C1253" s="20"/>
      <c r="D1253" s="20">
        <v>20000</v>
      </c>
      <c r="E1253" s="234" t="s">
        <v>1236</v>
      </c>
      <c r="F1253" s="20">
        <f t="shared" si="19"/>
        <v>184313843</v>
      </c>
      <c r="G1253" s="7" t="s">
        <v>330</v>
      </c>
      <c r="H1253" s="24" t="s">
        <v>109</v>
      </c>
      <c r="I1253" s="32" t="s">
        <v>152</v>
      </c>
    </row>
    <row r="1254" spans="1:9" x14ac:dyDescent="0.35">
      <c r="A1254" s="19">
        <v>46103</v>
      </c>
      <c r="B1254" s="20"/>
      <c r="C1254" s="20"/>
      <c r="D1254" s="20">
        <v>10000</v>
      </c>
      <c r="E1254" s="234" t="s">
        <v>1236</v>
      </c>
      <c r="F1254" s="20">
        <f t="shared" si="19"/>
        <v>184323843</v>
      </c>
      <c r="G1254" s="7" t="s">
        <v>330</v>
      </c>
      <c r="H1254" s="24" t="s">
        <v>109</v>
      </c>
      <c r="I1254" s="32" t="s">
        <v>152</v>
      </c>
    </row>
    <row r="1255" spans="1:9" x14ac:dyDescent="0.35">
      <c r="A1255" s="19">
        <v>46103</v>
      </c>
      <c r="B1255" s="20"/>
      <c r="C1255" s="20"/>
      <c r="D1255" s="20">
        <v>35000</v>
      </c>
      <c r="E1255" s="234" t="s">
        <v>1236</v>
      </c>
      <c r="F1255" s="20">
        <f t="shared" si="19"/>
        <v>184358843</v>
      </c>
      <c r="G1255" s="7" t="s">
        <v>330</v>
      </c>
      <c r="H1255" s="24" t="s">
        <v>109</v>
      </c>
      <c r="I1255" s="32" t="s">
        <v>152</v>
      </c>
    </row>
    <row r="1256" spans="1:9" x14ac:dyDescent="0.35">
      <c r="A1256" s="19">
        <v>46103</v>
      </c>
      <c r="B1256" s="20"/>
      <c r="C1256" s="20"/>
      <c r="D1256" s="20">
        <v>25000</v>
      </c>
      <c r="E1256" s="234" t="s">
        <v>1236</v>
      </c>
      <c r="F1256" s="20">
        <f t="shared" si="19"/>
        <v>184383843</v>
      </c>
      <c r="G1256" s="7" t="s">
        <v>330</v>
      </c>
      <c r="H1256" s="24" t="s">
        <v>109</v>
      </c>
      <c r="I1256" s="32" t="s">
        <v>152</v>
      </c>
    </row>
    <row r="1257" spans="1:9" x14ac:dyDescent="0.35">
      <c r="A1257" s="19">
        <v>46104</v>
      </c>
      <c r="B1257" s="20"/>
      <c r="C1257" s="20"/>
      <c r="D1257" s="20">
        <v>5000</v>
      </c>
      <c r="E1257" s="234" t="s">
        <v>1236</v>
      </c>
      <c r="F1257" s="20">
        <f t="shared" ref="F1257:F1322" si="20">+F1256+D1257-B1257</f>
        <v>184388843</v>
      </c>
      <c r="G1257" s="7" t="s">
        <v>330</v>
      </c>
      <c r="H1257" s="24" t="s">
        <v>109</v>
      </c>
      <c r="I1257" s="32" t="s">
        <v>152</v>
      </c>
    </row>
    <row r="1258" spans="1:9" x14ac:dyDescent="0.35">
      <c r="A1258" s="19">
        <v>46104</v>
      </c>
      <c r="B1258" s="20"/>
      <c r="C1258" s="20"/>
      <c r="D1258" s="20">
        <v>50000</v>
      </c>
      <c r="E1258" s="234" t="s">
        <v>1236</v>
      </c>
      <c r="F1258" s="20">
        <f t="shared" si="20"/>
        <v>184438843</v>
      </c>
      <c r="G1258" s="7" t="s">
        <v>330</v>
      </c>
      <c r="H1258" s="24" t="s">
        <v>109</v>
      </c>
      <c r="I1258" s="32" t="s">
        <v>152</v>
      </c>
    </row>
    <row r="1259" spans="1:9" x14ac:dyDescent="0.35">
      <c r="A1259" s="19">
        <v>46104</v>
      </c>
      <c r="B1259" s="20"/>
      <c r="C1259" s="20"/>
      <c r="D1259" s="20">
        <v>10000</v>
      </c>
      <c r="E1259" s="234" t="s">
        <v>1236</v>
      </c>
      <c r="F1259" s="20">
        <f t="shared" si="20"/>
        <v>184448843</v>
      </c>
      <c r="G1259" s="7" t="s">
        <v>330</v>
      </c>
      <c r="H1259" s="24" t="s">
        <v>109</v>
      </c>
      <c r="I1259" s="32" t="s">
        <v>152</v>
      </c>
    </row>
    <row r="1260" spans="1:9" x14ac:dyDescent="0.35">
      <c r="A1260" s="19">
        <v>46104</v>
      </c>
      <c r="B1260" s="20"/>
      <c r="C1260" s="20"/>
      <c r="D1260" s="20">
        <v>1000000</v>
      </c>
      <c r="E1260" s="234" t="s">
        <v>1236</v>
      </c>
      <c r="F1260" s="20">
        <f t="shared" si="20"/>
        <v>185448843</v>
      </c>
      <c r="G1260" s="7" t="s">
        <v>609</v>
      </c>
      <c r="H1260" s="24" t="s">
        <v>109</v>
      </c>
      <c r="I1260" s="32" t="s">
        <v>152</v>
      </c>
    </row>
    <row r="1261" spans="1:9" x14ac:dyDescent="0.35">
      <c r="A1261" s="19">
        <v>46105</v>
      </c>
      <c r="B1261" s="20"/>
      <c r="C1261" s="20"/>
      <c r="D1261" s="20">
        <v>10000</v>
      </c>
      <c r="E1261" s="234" t="s">
        <v>1236</v>
      </c>
      <c r="F1261" s="20">
        <f t="shared" si="20"/>
        <v>185458843</v>
      </c>
      <c r="G1261" s="7" t="s">
        <v>330</v>
      </c>
      <c r="H1261" s="24" t="s">
        <v>109</v>
      </c>
      <c r="I1261" s="32" t="s">
        <v>152</v>
      </c>
    </row>
    <row r="1262" spans="1:9" x14ac:dyDescent="0.35">
      <c r="A1262" s="19">
        <v>46106</v>
      </c>
      <c r="B1262" s="20"/>
      <c r="C1262" s="20"/>
      <c r="D1262" s="20">
        <v>30000</v>
      </c>
      <c r="E1262" s="234" t="s">
        <v>1236</v>
      </c>
      <c r="F1262" s="20">
        <f t="shared" si="20"/>
        <v>185488843</v>
      </c>
      <c r="G1262" s="7" t="s">
        <v>330</v>
      </c>
      <c r="H1262" s="24" t="s">
        <v>109</v>
      </c>
      <c r="I1262" s="32" t="s">
        <v>152</v>
      </c>
    </row>
    <row r="1263" spans="1:9" x14ac:dyDescent="0.35">
      <c r="A1263" s="19">
        <v>46106</v>
      </c>
      <c r="B1263" s="20"/>
      <c r="C1263" s="20"/>
      <c r="D1263" s="20">
        <v>200000</v>
      </c>
      <c r="E1263" s="234" t="s">
        <v>1236</v>
      </c>
      <c r="F1263" s="20">
        <f t="shared" si="20"/>
        <v>185688843</v>
      </c>
      <c r="G1263" s="7" t="s">
        <v>1162</v>
      </c>
      <c r="H1263" s="24" t="s">
        <v>140</v>
      </c>
      <c r="I1263" s="32" t="s">
        <v>152</v>
      </c>
    </row>
    <row r="1264" spans="1:9" x14ac:dyDescent="0.35">
      <c r="A1264" s="19">
        <v>46106</v>
      </c>
      <c r="B1264" s="20"/>
      <c r="C1264" s="20"/>
      <c r="D1264" s="20">
        <v>4960000</v>
      </c>
      <c r="E1264" s="234" t="s">
        <v>1236</v>
      </c>
      <c r="F1264" s="20">
        <f t="shared" si="20"/>
        <v>190648843</v>
      </c>
      <c r="G1264" s="7"/>
      <c r="H1264" s="24" t="s">
        <v>107</v>
      </c>
      <c r="I1264" s="32" t="s">
        <v>152</v>
      </c>
    </row>
    <row r="1265" spans="1:9" x14ac:dyDescent="0.35">
      <c r="A1265" s="19">
        <v>46106</v>
      </c>
      <c r="B1265" s="20"/>
      <c r="C1265" s="20"/>
      <c r="D1265" s="20">
        <v>3061000</v>
      </c>
      <c r="E1265" s="234" t="s">
        <v>1236</v>
      </c>
      <c r="F1265" s="20">
        <f t="shared" si="20"/>
        <v>193709843</v>
      </c>
      <c r="G1265" s="7"/>
      <c r="H1265" s="24" t="s">
        <v>109</v>
      </c>
      <c r="I1265" s="32" t="s">
        <v>152</v>
      </c>
    </row>
    <row r="1266" spans="1:9" x14ac:dyDescent="0.35">
      <c r="A1266" s="19">
        <v>46106</v>
      </c>
      <c r="B1266" s="20"/>
      <c r="C1266" s="20"/>
      <c r="D1266" s="20">
        <v>3048000</v>
      </c>
      <c r="E1266" s="234" t="s">
        <v>1236</v>
      </c>
      <c r="F1266" s="20">
        <f t="shared" si="20"/>
        <v>196757843</v>
      </c>
      <c r="G1266" s="7"/>
      <c r="H1266" s="24" t="s">
        <v>377</v>
      </c>
      <c r="I1266" s="32" t="s">
        <v>152</v>
      </c>
    </row>
    <row r="1267" spans="1:9" x14ac:dyDescent="0.35">
      <c r="A1267" s="19">
        <v>46106</v>
      </c>
      <c r="B1267" s="20"/>
      <c r="C1267" s="20"/>
      <c r="D1267" s="20">
        <v>2475000</v>
      </c>
      <c r="E1267" s="234" t="s">
        <v>1236</v>
      </c>
      <c r="F1267" s="20">
        <f t="shared" si="20"/>
        <v>199232843</v>
      </c>
      <c r="G1267" s="7"/>
      <c r="H1267" s="24" t="s">
        <v>105</v>
      </c>
      <c r="I1267" s="32" t="s">
        <v>152</v>
      </c>
    </row>
    <row r="1268" spans="1:9" x14ac:dyDescent="0.35">
      <c r="A1268" s="19">
        <v>46106</v>
      </c>
      <c r="B1268" s="20"/>
      <c r="C1268" s="20"/>
      <c r="D1268" s="20">
        <v>395000</v>
      </c>
      <c r="E1268" s="234" t="s">
        <v>1236</v>
      </c>
      <c r="F1268" s="20">
        <f t="shared" si="20"/>
        <v>199627843</v>
      </c>
      <c r="G1268" s="7"/>
      <c r="H1268" s="24" t="s">
        <v>109</v>
      </c>
      <c r="I1268" s="32" t="s">
        <v>152</v>
      </c>
    </row>
    <row r="1269" spans="1:9" x14ac:dyDescent="0.35">
      <c r="A1269" s="19">
        <v>46106</v>
      </c>
      <c r="B1269" s="20"/>
      <c r="C1269" s="20"/>
      <c r="D1269" s="20">
        <v>14915000</v>
      </c>
      <c r="E1269" s="234" t="s">
        <v>1236</v>
      </c>
      <c r="F1269" s="20">
        <f t="shared" si="20"/>
        <v>214542843</v>
      </c>
      <c r="G1269" s="7"/>
      <c r="H1269" s="24" t="s">
        <v>1157</v>
      </c>
      <c r="I1269" s="32" t="s">
        <v>152</v>
      </c>
    </row>
    <row r="1270" spans="1:9" x14ac:dyDescent="0.35">
      <c r="A1270" s="19"/>
      <c r="B1270" s="20"/>
      <c r="C1270" s="20">
        <v>28854000</v>
      </c>
      <c r="D1270" s="20"/>
      <c r="E1270" s="234"/>
      <c r="F1270" s="20">
        <f t="shared" si="20"/>
        <v>214542843</v>
      </c>
      <c r="G1270" s="7" t="s">
        <v>874</v>
      </c>
      <c r="H1270" s="24"/>
      <c r="I1270" s="32"/>
    </row>
    <row r="1271" spans="1:9" x14ac:dyDescent="0.35">
      <c r="A1271" s="19">
        <v>46107</v>
      </c>
      <c r="B1271" s="20"/>
      <c r="C1271" s="20"/>
      <c r="D1271" s="20">
        <v>10000</v>
      </c>
      <c r="E1271" s="234" t="s">
        <v>1236</v>
      </c>
      <c r="F1271" s="20">
        <f t="shared" si="20"/>
        <v>214552843</v>
      </c>
      <c r="G1271" s="7" t="s">
        <v>330</v>
      </c>
      <c r="H1271" s="24" t="s">
        <v>109</v>
      </c>
      <c r="I1271" s="32" t="s">
        <v>152</v>
      </c>
    </row>
    <row r="1272" spans="1:9" x14ac:dyDescent="0.35">
      <c r="A1272" s="19">
        <v>46108</v>
      </c>
      <c r="B1272" s="20"/>
      <c r="C1272" s="20"/>
      <c r="D1272" s="20">
        <v>30000</v>
      </c>
      <c r="E1272" s="234" t="s">
        <v>1257</v>
      </c>
      <c r="F1272" s="20">
        <f t="shared" si="20"/>
        <v>214582843</v>
      </c>
      <c r="G1272" s="7" t="s">
        <v>330</v>
      </c>
      <c r="H1272" s="24" t="s">
        <v>109</v>
      </c>
      <c r="I1272" s="32" t="s">
        <v>152</v>
      </c>
    </row>
    <row r="1273" spans="1:9" x14ac:dyDescent="0.35">
      <c r="A1273" s="19">
        <v>46108</v>
      </c>
      <c r="B1273" s="20"/>
      <c r="C1273" s="20"/>
      <c r="D1273" s="20">
        <v>10000</v>
      </c>
      <c r="E1273" s="234" t="s">
        <v>1257</v>
      </c>
      <c r="F1273" s="20">
        <f t="shared" si="20"/>
        <v>214592843</v>
      </c>
      <c r="G1273" s="7" t="s">
        <v>330</v>
      </c>
      <c r="H1273" s="24" t="s">
        <v>109</v>
      </c>
      <c r="I1273" s="32" t="s">
        <v>152</v>
      </c>
    </row>
    <row r="1274" spans="1:9" x14ac:dyDescent="0.35">
      <c r="A1274" s="19">
        <v>46108</v>
      </c>
      <c r="B1274" s="20">
        <v>1000000</v>
      </c>
      <c r="C1274" s="20"/>
      <c r="D1274" s="20"/>
      <c r="E1274" s="234" t="s">
        <v>1257</v>
      </c>
      <c r="F1274" s="20">
        <f t="shared" si="20"/>
        <v>213592843</v>
      </c>
      <c r="G1274" s="7" t="s">
        <v>1242</v>
      </c>
      <c r="H1274" s="24" t="s">
        <v>325</v>
      </c>
      <c r="I1274" s="32" t="s">
        <v>152</v>
      </c>
    </row>
    <row r="1275" spans="1:9" x14ac:dyDescent="0.35">
      <c r="A1275" s="19">
        <v>46108</v>
      </c>
      <c r="B1275" s="20">
        <v>6500</v>
      </c>
      <c r="C1275" s="20"/>
      <c r="D1275" s="20"/>
      <c r="E1275" s="234" t="s">
        <v>1257</v>
      </c>
      <c r="F1275" s="20">
        <f t="shared" si="20"/>
        <v>213586343</v>
      </c>
      <c r="G1275" s="7" t="s">
        <v>1242</v>
      </c>
      <c r="H1275" s="24" t="s">
        <v>325</v>
      </c>
      <c r="I1275" s="32" t="s">
        <v>152</v>
      </c>
    </row>
    <row r="1276" spans="1:9" x14ac:dyDescent="0.35">
      <c r="A1276" s="19">
        <v>46108</v>
      </c>
      <c r="B1276" s="20">
        <v>3500000</v>
      </c>
      <c r="C1276" s="20"/>
      <c r="D1276" s="20"/>
      <c r="E1276" s="234" t="s">
        <v>1257</v>
      </c>
      <c r="F1276" s="20">
        <f t="shared" si="20"/>
        <v>210086343</v>
      </c>
      <c r="G1276" s="7" t="s">
        <v>1243</v>
      </c>
      <c r="H1276" s="24" t="s">
        <v>325</v>
      </c>
      <c r="I1276" s="32" t="s">
        <v>152</v>
      </c>
    </row>
    <row r="1277" spans="1:9" x14ac:dyDescent="0.35">
      <c r="A1277" s="19">
        <v>46108</v>
      </c>
      <c r="B1277" s="20">
        <v>6500</v>
      </c>
      <c r="C1277" s="20"/>
      <c r="D1277" s="20"/>
      <c r="E1277" s="234" t="s">
        <v>1257</v>
      </c>
      <c r="F1277" s="20">
        <f t="shared" si="20"/>
        <v>210079843</v>
      </c>
      <c r="G1277" s="7" t="s">
        <v>1243</v>
      </c>
      <c r="H1277" s="24" t="s">
        <v>325</v>
      </c>
      <c r="I1277" s="32" t="s">
        <v>152</v>
      </c>
    </row>
    <row r="1278" spans="1:9" x14ac:dyDescent="0.35">
      <c r="A1278" s="19">
        <v>46108</v>
      </c>
      <c r="B1278" s="20">
        <v>2000000</v>
      </c>
      <c r="C1278" s="20"/>
      <c r="D1278" s="20"/>
      <c r="E1278" s="234" t="s">
        <v>1257</v>
      </c>
      <c r="F1278" s="20">
        <f t="shared" si="20"/>
        <v>208079843</v>
      </c>
      <c r="G1278" s="7" t="s">
        <v>1244</v>
      </c>
      <c r="H1278" s="24" t="s">
        <v>323</v>
      </c>
      <c r="I1278" s="32" t="s">
        <v>152</v>
      </c>
    </row>
    <row r="1279" spans="1:9" x14ac:dyDescent="0.35">
      <c r="A1279" s="19">
        <v>46108</v>
      </c>
      <c r="B1279" s="20">
        <v>6500</v>
      </c>
      <c r="C1279" s="20"/>
      <c r="D1279" s="20"/>
      <c r="E1279" s="234" t="s">
        <v>1257</v>
      </c>
      <c r="F1279" s="20">
        <f t="shared" si="20"/>
        <v>208073343</v>
      </c>
      <c r="G1279" s="7" t="s">
        <v>1244</v>
      </c>
      <c r="H1279" s="24" t="s">
        <v>323</v>
      </c>
      <c r="I1279" s="32" t="s">
        <v>152</v>
      </c>
    </row>
    <row r="1280" spans="1:9" x14ac:dyDescent="0.35">
      <c r="A1280" s="19">
        <v>46108</v>
      </c>
      <c r="B1280" s="20">
        <v>2700000</v>
      </c>
      <c r="C1280" s="20"/>
      <c r="D1280" s="20"/>
      <c r="E1280" s="234" t="s">
        <v>1257</v>
      </c>
      <c r="F1280" s="20">
        <f t="shared" si="20"/>
        <v>205373343</v>
      </c>
      <c r="G1280" s="7" t="s">
        <v>1245</v>
      </c>
      <c r="H1280" s="24" t="s">
        <v>201</v>
      </c>
      <c r="I1280" s="32" t="s">
        <v>152</v>
      </c>
    </row>
    <row r="1281" spans="1:9" x14ac:dyDescent="0.35">
      <c r="A1281" s="19">
        <v>46108</v>
      </c>
      <c r="B1281" s="20">
        <v>6500</v>
      </c>
      <c r="C1281" s="20"/>
      <c r="D1281" s="20"/>
      <c r="E1281" s="234" t="s">
        <v>1257</v>
      </c>
      <c r="F1281" s="20">
        <f t="shared" si="20"/>
        <v>205366843</v>
      </c>
      <c r="G1281" s="7" t="s">
        <v>1245</v>
      </c>
      <c r="H1281" s="24" t="s">
        <v>201</v>
      </c>
      <c r="I1281" s="32" t="s">
        <v>152</v>
      </c>
    </row>
    <row r="1282" spans="1:9" x14ac:dyDescent="0.35">
      <c r="A1282" s="19">
        <v>46108</v>
      </c>
      <c r="B1282" s="20">
        <v>2250000</v>
      </c>
      <c r="C1282" s="20"/>
      <c r="D1282" s="20"/>
      <c r="E1282" s="234" t="s">
        <v>1257</v>
      </c>
      <c r="F1282" s="20">
        <f t="shared" si="20"/>
        <v>203116843</v>
      </c>
      <c r="G1282" s="7" t="s">
        <v>1246</v>
      </c>
      <c r="H1282" s="24" t="s">
        <v>325</v>
      </c>
      <c r="I1282" s="32" t="s">
        <v>152</v>
      </c>
    </row>
    <row r="1283" spans="1:9" x14ac:dyDescent="0.35">
      <c r="A1283" s="19">
        <v>46108</v>
      </c>
      <c r="B1283" s="20">
        <v>6500</v>
      </c>
      <c r="C1283" s="20"/>
      <c r="D1283" s="20"/>
      <c r="E1283" s="234" t="s">
        <v>1257</v>
      </c>
      <c r="F1283" s="20">
        <f t="shared" si="20"/>
        <v>203110343</v>
      </c>
      <c r="G1283" s="7" t="s">
        <v>1246</v>
      </c>
      <c r="H1283" s="24" t="s">
        <v>325</v>
      </c>
      <c r="I1283" s="32" t="s">
        <v>152</v>
      </c>
    </row>
    <row r="1284" spans="1:9" x14ac:dyDescent="0.35">
      <c r="A1284" s="19">
        <v>46108</v>
      </c>
      <c r="B1284" s="20">
        <v>2500000</v>
      </c>
      <c r="C1284" s="20"/>
      <c r="D1284" s="20"/>
      <c r="E1284" s="234" t="s">
        <v>1257</v>
      </c>
      <c r="F1284" s="20">
        <f t="shared" si="20"/>
        <v>200610343</v>
      </c>
      <c r="G1284" s="7" t="s">
        <v>1247</v>
      </c>
      <c r="H1284" s="24" t="s">
        <v>201</v>
      </c>
      <c r="I1284" s="32" t="s">
        <v>152</v>
      </c>
    </row>
    <row r="1285" spans="1:9" x14ac:dyDescent="0.35">
      <c r="A1285" s="19">
        <v>46108</v>
      </c>
      <c r="B1285" s="20">
        <v>6500</v>
      </c>
      <c r="C1285" s="20"/>
      <c r="D1285" s="20"/>
      <c r="E1285" s="234" t="s">
        <v>1257</v>
      </c>
      <c r="F1285" s="20">
        <f t="shared" si="20"/>
        <v>200603843</v>
      </c>
      <c r="G1285" s="7" t="s">
        <v>1247</v>
      </c>
      <c r="H1285" s="24" t="s">
        <v>201</v>
      </c>
      <c r="I1285" s="32" t="s">
        <v>152</v>
      </c>
    </row>
    <row r="1286" spans="1:9" x14ac:dyDescent="0.35">
      <c r="A1286" s="19">
        <v>46108</v>
      </c>
      <c r="B1286" s="20">
        <v>550000</v>
      </c>
      <c r="C1286" s="20"/>
      <c r="D1286" s="20"/>
      <c r="E1286" s="234" t="s">
        <v>1257</v>
      </c>
      <c r="F1286" s="20">
        <f t="shared" si="20"/>
        <v>200053843</v>
      </c>
      <c r="G1286" s="7" t="s">
        <v>1248</v>
      </c>
      <c r="H1286" s="24" t="s">
        <v>325</v>
      </c>
      <c r="I1286" s="32" t="s">
        <v>152</v>
      </c>
    </row>
    <row r="1287" spans="1:9" x14ac:dyDescent="0.35">
      <c r="A1287" s="19">
        <v>46108</v>
      </c>
      <c r="B1287" s="20">
        <v>6500</v>
      </c>
      <c r="C1287" s="20"/>
      <c r="D1287" s="20"/>
      <c r="E1287" s="234" t="s">
        <v>1257</v>
      </c>
      <c r="F1287" s="20">
        <f t="shared" si="20"/>
        <v>200047343</v>
      </c>
      <c r="G1287" s="7" t="s">
        <v>1248</v>
      </c>
      <c r="H1287" s="24" t="s">
        <v>325</v>
      </c>
      <c r="I1287" s="32" t="s">
        <v>152</v>
      </c>
    </row>
    <row r="1288" spans="1:9" x14ac:dyDescent="0.35">
      <c r="A1288" s="19">
        <v>46108</v>
      </c>
      <c r="B1288" s="20">
        <v>2500000</v>
      </c>
      <c r="C1288" s="20"/>
      <c r="D1288" s="20"/>
      <c r="E1288" s="234" t="s">
        <v>1257</v>
      </c>
      <c r="F1288" s="20">
        <f t="shared" si="20"/>
        <v>197547343</v>
      </c>
      <c r="G1288" s="7" t="s">
        <v>1249</v>
      </c>
      <c r="H1288" s="24" t="s">
        <v>325</v>
      </c>
      <c r="I1288" s="32" t="s">
        <v>152</v>
      </c>
    </row>
    <row r="1289" spans="1:9" x14ac:dyDescent="0.35">
      <c r="A1289" s="19">
        <v>46108</v>
      </c>
      <c r="B1289" s="20">
        <v>6500</v>
      </c>
      <c r="C1289" s="20"/>
      <c r="D1289" s="20"/>
      <c r="E1289" s="234" t="s">
        <v>1257</v>
      </c>
      <c r="F1289" s="20">
        <f t="shared" si="20"/>
        <v>197540843</v>
      </c>
      <c r="G1289" s="7" t="s">
        <v>1249</v>
      </c>
      <c r="H1289" s="24" t="s">
        <v>325</v>
      </c>
      <c r="I1289" s="32" t="s">
        <v>152</v>
      </c>
    </row>
    <row r="1290" spans="1:9" x14ac:dyDescent="0.35">
      <c r="A1290" s="19">
        <v>46108</v>
      </c>
      <c r="B1290" s="20">
        <v>4000000</v>
      </c>
      <c r="C1290" s="20"/>
      <c r="D1290" s="20"/>
      <c r="E1290" s="234" t="s">
        <v>1257</v>
      </c>
      <c r="F1290" s="20">
        <f t="shared" si="20"/>
        <v>193540843</v>
      </c>
      <c r="G1290" s="7" t="s">
        <v>1250</v>
      </c>
      <c r="H1290" s="24" t="s">
        <v>201</v>
      </c>
      <c r="I1290" s="32" t="s">
        <v>152</v>
      </c>
    </row>
    <row r="1291" spans="1:9" x14ac:dyDescent="0.35">
      <c r="A1291" s="19">
        <v>46108</v>
      </c>
      <c r="B1291" s="20">
        <v>6500</v>
      </c>
      <c r="C1291" s="20"/>
      <c r="D1291" s="20"/>
      <c r="E1291" s="234" t="s">
        <v>1257</v>
      </c>
      <c r="F1291" s="20">
        <f t="shared" si="20"/>
        <v>193534343</v>
      </c>
      <c r="G1291" s="7" t="s">
        <v>1250</v>
      </c>
      <c r="H1291" s="24" t="s">
        <v>201</v>
      </c>
      <c r="I1291" s="32" t="s">
        <v>152</v>
      </c>
    </row>
    <row r="1292" spans="1:9" x14ac:dyDescent="0.35">
      <c r="A1292" s="19">
        <v>46108</v>
      </c>
      <c r="B1292" s="20">
        <v>2750000</v>
      </c>
      <c r="C1292" s="20"/>
      <c r="D1292" s="20"/>
      <c r="E1292" s="234" t="s">
        <v>1257</v>
      </c>
      <c r="F1292" s="20">
        <f t="shared" si="20"/>
        <v>190784343</v>
      </c>
      <c r="G1292" s="7" t="s">
        <v>887</v>
      </c>
      <c r="H1292" s="24" t="s">
        <v>325</v>
      </c>
      <c r="I1292" s="32" t="s">
        <v>152</v>
      </c>
    </row>
    <row r="1293" spans="1:9" x14ac:dyDescent="0.35">
      <c r="A1293" s="19">
        <v>46108</v>
      </c>
      <c r="B1293" s="20">
        <v>1000000</v>
      </c>
      <c r="C1293" s="20"/>
      <c r="D1293" s="20"/>
      <c r="E1293" s="234" t="s">
        <v>1257</v>
      </c>
      <c r="F1293" s="20">
        <f t="shared" si="20"/>
        <v>189784343</v>
      </c>
      <c r="G1293" s="7"/>
      <c r="H1293" s="24" t="s">
        <v>202</v>
      </c>
      <c r="I1293" s="32" t="s">
        <v>152</v>
      </c>
    </row>
    <row r="1294" spans="1:9" x14ac:dyDescent="0.35">
      <c r="A1294" s="19">
        <v>46108</v>
      </c>
      <c r="B1294" s="20">
        <v>1300000</v>
      </c>
      <c r="C1294" s="20"/>
      <c r="D1294" s="20"/>
      <c r="E1294" s="234" t="s">
        <v>1257</v>
      </c>
      <c r="F1294" s="20">
        <f t="shared" si="20"/>
        <v>188484343</v>
      </c>
      <c r="G1294" s="7"/>
      <c r="H1294" s="24" t="s">
        <v>322</v>
      </c>
      <c r="I1294" s="32" t="s">
        <v>152</v>
      </c>
    </row>
    <row r="1295" spans="1:9" x14ac:dyDescent="0.35">
      <c r="A1295" s="19"/>
      <c r="B1295" s="20"/>
      <c r="C1295" s="20">
        <v>2300000</v>
      </c>
      <c r="D1295" s="20"/>
      <c r="E1295" s="234" t="s">
        <v>1257</v>
      </c>
      <c r="F1295" s="20">
        <f t="shared" si="20"/>
        <v>188484343</v>
      </c>
      <c r="G1295" s="7" t="s">
        <v>1251</v>
      </c>
      <c r="H1295" s="24"/>
      <c r="I1295" s="32"/>
    </row>
    <row r="1296" spans="1:9" x14ac:dyDescent="0.35">
      <c r="A1296" s="19">
        <v>46108</v>
      </c>
      <c r="B1296" s="20">
        <v>6500</v>
      </c>
      <c r="C1296" s="20"/>
      <c r="D1296" s="20"/>
      <c r="E1296" s="234" t="s">
        <v>1257</v>
      </c>
      <c r="F1296" s="20">
        <f t="shared" si="20"/>
        <v>188477843</v>
      </c>
      <c r="G1296" s="7" t="s">
        <v>1251</v>
      </c>
      <c r="H1296" s="24" t="s">
        <v>322</v>
      </c>
      <c r="I1296" s="32" t="s">
        <v>152</v>
      </c>
    </row>
    <row r="1297" spans="1:9" x14ac:dyDescent="0.35">
      <c r="A1297" s="19">
        <v>46109</v>
      </c>
      <c r="B1297" s="20"/>
      <c r="C1297" s="20"/>
      <c r="D1297" s="20">
        <v>50000</v>
      </c>
      <c r="E1297" s="234" t="s">
        <v>1257</v>
      </c>
      <c r="F1297" s="20">
        <f t="shared" si="20"/>
        <v>188527843</v>
      </c>
      <c r="G1297" s="7" t="s">
        <v>330</v>
      </c>
      <c r="H1297" s="24" t="s">
        <v>109</v>
      </c>
      <c r="I1297" s="32" t="s">
        <v>152</v>
      </c>
    </row>
    <row r="1298" spans="1:9" x14ac:dyDescent="0.35">
      <c r="A1298" s="19">
        <v>46109</v>
      </c>
      <c r="B1298" s="20"/>
      <c r="C1298" s="20"/>
      <c r="D1298" s="20">
        <v>25000</v>
      </c>
      <c r="E1298" s="234" t="s">
        <v>1257</v>
      </c>
      <c r="F1298" s="20">
        <f t="shared" si="20"/>
        <v>188552843</v>
      </c>
      <c r="G1298" s="7" t="s">
        <v>330</v>
      </c>
      <c r="H1298" s="24" t="s">
        <v>109</v>
      </c>
      <c r="I1298" s="32" t="s">
        <v>152</v>
      </c>
    </row>
    <row r="1299" spans="1:9" x14ac:dyDescent="0.35">
      <c r="A1299" s="19">
        <v>46109</v>
      </c>
      <c r="B1299" s="20"/>
      <c r="C1299" s="20"/>
      <c r="D1299" s="20">
        <v>20000</v>
      </c>
      <c r="E1299" s="234" t="s">
        <v>1257</v>
      </c>
      <c r="F1299" s="20">
        <f t="shared" si="20"/>
        <v>188572843</v>
      </c>
      <c r="G1299" s="7" t="s">
        <v>330</v>
      </c>
      <c r="H1299" s="24" t="s">
        <v>109</v>
      </c>
      <c r="I1299" s="32" t="s">
        <v>152</v>
      </c>
    </row>
    <row r="1300" spans="1:9" x14ac:dyDescent="0.35">
      <c r="A1300" s="19">
        <v>46109</v>
      </c>
      <c r="B1300" s="20"/>
      <c r="C1300" s="20"/>
      <c r="D1300" s="20">
        <v>10000</v>
      </c>
      <c r="E1300" s="234" t="s">
        <v>1257</v>
      </c>
      <c r="F1300" s="20">
        <f t="shared" si="20"/>
        <v>188582843</v>
      </c>
      <c r="G1300" s="7" t="s">
        <v>330</v>
      </c>
      <c r="H1300" s="24" t="s">
        <v>109</v>
      </c>
      <c r="I1300" s="32" t="s">
        <v>152</v>
      </c>
    </row>
    <row r="1301" spans="1:9" x14ac:dyDescent="0.35">
      <c r="A1301" s="19">
        <v>46109</v>
      </c>
      <c r="B1301" s="20"/>
      <c r="C1301" s="20"/>
      <c r="D1301" s="20">
        <v>25000</v>
      </c>
      <c r="E1301" s="234" t="s">
        <v>1257</v>
      </c>
      <c r="F1301" s="20">
        <f t="shared" si="20"/>
        <v>188607843</v>
      </c>
      <c r="G1301" s="7" t="s">
        <v>330</v>
      </c>
      <c r="H1301" s="24" t="s">
        <v>109</v>
      </c>
      <c r="I1301" s="32" t="s">
        <v>152</v>
      </c>
    </row>
    <row r="1302" spans="1:9" x14ac:dyDescent="0.35">
      <c r="A1302" s="19">
        <v>46109</v>
      </c>
      <c r="B1302" s="20"/>
      <c r="C1302" s="20"/>
      <c r="D1302" s="20">
        <v>25000</v>
      </c>
      <c r="E1302" s="234" t="s">
        <v>1257</v>
      </c>
      <c r="F1302" s="20">
        <f t="shared" si="20"/>
        <v>188632843</v>
      </c>
      <c r="G1302" s="7" t="s">
        <v>330</v>
      </c>
      <c r="H1302" s="24" t="s">
        <v>109</v>
      </c>
      <c r="I1302" s="32" t="s">
        <v>152</v>
      </c>
    </row>
    <row r="1303" spans="1:9" x14ac:dyDescent="0.35">
      <c r="A1303" s="19">
        <v>46109</v>
      </c>
      <c r="B1303" s="20"/>
      <c r="C1303" s="20"/>
      <c r="D1303" s="20">
        <v>25000</v>
      </c>
      <c r="E1303" s="234" t="s">
        <v>1257</v>
      </c>
      <c r="F1303" s="20">
        <f t="shared" si="20"/>
        <v>188657843</v>
      </c>
      <c r="G1303" s="7" t="s">
        <v>330</v>
      </c>
      <c r="H1303" s="24" t="s">
        <v>109</v>
      </c>
      <c r="I1303" s="32" t="s">
        <v>152</v>
      </c>
    </row>
    <row r="1304" spans="1:9" x14ac:dyDescent="0.35">
      <c r="A1304" s="19">
        <v>46109</v>
      </c>
      <c r="B1304" s="20"/>
      <c r="C1304" s="20"/>
      <c r="D1304" s="20">
        <v>10000</v>
      </c>
      <c r="E1304" s="234" t="s">
        <v>1257</v>
      </c>
      <c r="F1304" s="20">
        <f t="shared" si="20"/>
        <v>188667843</v>
      </c>
      <c r="G1304" s="7" t="s">
        <v>330</v>
      </c>
      <c r="H1304" s="24" t="s">
        <v>109</v>
      </c>
      <c r="I1304" s="32" t="s">
        <v>152</v>
      </c>
    </row>
    <row r="1305" spans="1:9" x14ac:dyDescent="0.35">
      <c r="A1305" s="19">
        <v>46110</v>
      </c>
      <c r="B1305" s="20"/>
      <c r="C1305" s="20"/>
      <c r="D1305" s="20">
        <v>35000</v>
      </c>
      <c r="E1305" s="234" t="s">
        <v>1257</v>
      </c>
      <c r="F1305" s="20">
        <f t="shared" si="20"/>
        <v>188702843</v>
      </c>
      <c r="G1305" s="7" t="s">
        <v>330</v>
      </c>
      <c r="H1305" s="24" t="s">
        <v>109</v>
      </c>
      <c r="I1305" s="32" t="s">
        <v>152</v>
      </c>
    </row>
    <row r="1306" spans="1:9" x14ac:dyDescent="0.35">
      <c r="A1306" s="19">
        <v>46110</v>
      </c>
      <c r="B1306" s="20"/>
      <c r="C1306" s="20"/>
      <c r="D1306" s="20">
        <v>10000</v>
      </c>
      <c r="E1306" s="234" t="s">
        <v>1257</v>
      </c>
      <c r="F1306" s="20">
        <f t="shared" si="20"/>
        <v>188712843</v>
      </c>
      <c r="G1306" s="7" t="s">
        <v>330</v>
      </c>
      <c r="H1306" s="24" t="s">
        <v>109</v>
      </c>
      <c r="I1306" s="32" t="s">
        <v>152</v>
      </c>
    </row>
    <row r="1307" spans="1:9" x14ac:dyDescent="0.35">
      <c r="A1307" s="19">
        <v>46111</v>
      </c>
      <c r="B1307" s="20"/>
      <c r="C1307" s="20"/>
      <c r="D1307" s="20">
        <v>20000</v>
      </c>
      <c r="E1307" s="234" t="s">
        <v>1257</v>
      </c>
      <c r="F1307" s="20">
        <f t="shared" si="20"/>
        <v>188732843</v>
      </c>
      <c r="G1307" s="7" t="s">
        <v>330</v>
      </c>
      <c r="H1307" s="24" t="s">
        <v>109</v>
      </c>
      <c r="I1307" s="32" t="s">
        <v>152</v>
      </c>
    </row>
    <row r="1308" spans="1:9" x14ac:dyDescent="0.35">
      <c r="A1308" s="19">
        <v>46111</v>
      </c>
      <c r="B1308" s="20"/>
      <c r="C1308" s="20"/>
      <c r="D1308" s="20">
        <v>35000</v>
      </c>
      <c r="E1308" s="234" t="s">
        <v>1257</v>
      </c>
      <c r="F1308" s="20">
        <f t="shared" si="20"/>
        <v>188767843</v>
      </c>
      <c r="G1308" s="7" t="s">
        <v>330</v>
      </c>
      <c r="H1308" s="24" t="s">
        <v>109</v>
      </c>
      <c r="I1308" s="32" t="s">
        <v>152</v>
      </c>
    </row>
    <row r="1309" spans="1:9" x14ac:dyDescent="0.35">
      <c r="A1309" s="19">
        <v>46111</v>
      </c>
      <c r="B1309" s="20"/>
      <c r="C1309" s="20"/>
      <c r="D1309" s="20">
        <v>2750000</v>
      </c>
      <c r="E1309" s="234" t="s">
        <v>1257</v>
      </c>
      <c r="F1309" s="20">
        <f t="shared" si="20"/>
        <v>191517843</v>
      </c>
      <c r="G1309" s="7"/>
      <c r="H1309" s="24" t="s">
        <v>107</v>
      </c>
      <c r="I1309" s="32" t="s">
        <v>152</v>
      </c>
    </row>
    <row r="1310" spans="1:9" x14ac:dyDescent="0.35">
      <c r="A1310" s="19">
        <v>46111</v>
      </c>
      <c r="B1310" s="20"/>
      <c r="C1310" s="20"/>
      <c r="D1310" s="20">
        <v>2305000</v>
      </c>
      <c r="E1310" s="234" t="s">
        <v>1257</v>
      </c>
      <c r="F1310" s="20">
        <f t="shared" si="20"/>
        <v>193822843</v>
      </c>
      <c r="G1310" s="7"/>
      <c r="H1310" s="24" t="s">
        <v>109</v>
      </c>
      <c r="I1310" s="32" t="s">
        <v>152</v>
      </c>
    </row>
    <row r="1311" spans="1:9" x14ac:dyDescent="0.35">
      <c r="A1311" s="19"/>
      <c r="B1311" s="20"/>
      <c r="C1311" s="20">
        <v>5055000</v>
      </c>
      <c r="D1311" s="20"/>
      <c r="E1311" s="234" t="s">
        <v>1257</v>
      </c>
      <c r="F1311" s="20">
        <f t="shared" si="20"/>
        <v>193822843</v>
      </c>
      <c r="G1311" s="7" t="s">
        <v>1252</v>
      </c>
      <c r="H1311" s="24"/>
      <c r="I1311" s="32"/>
    </row>
    <row r="1312" spans="1:9" x14ac:dyDescent="0.35">
      <c r="A1312" s="19">
        <v>46112</v>
      </c>
      <c r="B1312" s="20"/>
      <c r="C1312" s="20"/>
      <c r="D1312" s="20">
        <v>10000</v>
      </c>
      <c r="E1312" s="234" t="s">
        <v>1257</v>
      </c>
      <c r="F1312" s="20">
        <f t="shared" si="20"/>
        <v>193832843</v>
      </c>
      <c r="G1312" s="7" t="s">
        <v>330</v>
      </c>
      <c r="H1312" s="24" t="s">
        <v>109</v>
      </c>
      <c r="I1312" s="32" t="s">
        <v>152</v>
      </c>
    </row>
    <row r="1313" spans="1:12" x14ac:dyDescent="0.35">
      <c r="A1313" s="19">
        <v>46112</v>
      </c>
      <c r="B1313" s="20"/>
      <c r="C1313" s="20"/>
      <c r="D1313" s="20">
        <v>20000</v>
      </c>
      <c r="E1313" s="234" t="s">
        <v>1257</v>
      </c>
      <c r="F1313" s="20">
        <f t="shared" si="20"/>
        <v>193852843</v>
      </c>
      <c r="G1313" s="7" t="s">
        <v>330</v>
      </c>
      <c r="H1313" s="24" t="s">
        <v>109</v>
      </c>
      <c r="I1313" s="32" t="s">
        <v>152</v>
      </c>
    </row>
    <row r="1314" spans="1:12" x14ac:dyDescent="0.35">
      <c r="A1314" s="19">
        <v>46112</v>
      </c>
      <c r="B1314" s="20"/>
      <c r="C1314" s="20"/>
      <c r="D1314" s="20">
        <v>10000</v>
      </c>
      <c r="E1314" s="234" t="s">
        <v>1257</v>
      </c>
      <c r="F1314" s="20">
        <f t="shared" si="20"/>
        <v>193862843</v>
      </c>
      <c r="G1314" s="7" t="s">
        <v>330</v>
      </c>
      <c r="H1314" s="24" t="s">
        <v>109</v>
      </c>
      <c r="I1314" s="32" t="s">
        <v>152</v>
      </c>
    </row>
    <row r="1315" spans="1:12" x14ac:dyDescent="0.35">
      <c r="A1315" s="19">
        <v>46112</v>
      </c>
      <c r="B1315" s="20"/>
      <c r="C1315" s="20"/>
      <c r="D1315" s="20">
        <v>500000</v>
      </c>
      <c r="E1315" s="234" t="s">
        <v>1257</v>
      </c>
      <c r="F1315" s="20">
        <f t="shared" si="20"/>
        <v>194362843</v>
      </c>
      <c r="G1315" s="7" t="s">
        <v>675</v>
      </c>
      <c r="H1315" s="24" t="s">
        <v>109</v>
      </c>
      <c r="I1315" s="32" t="s">
        <v>152</v>
      </c>
    </row>
    <row r="1316" spans="1:12" x14ac:dyDescent="0.35">
      <c r="A1316" s="19">
        <v>46113</v>
      </c>
      <c r="B1316" s="20"/>
      <c r="C1316" s="20"/>
      <c r="D1316" s="20">
        <v>200000</v>
      </c>
      <c r="E1316" s="234" t="s">
        <v>1241</v>
      </c>
      <c r="F1316" s="20">
        <f t="shared" si="20"/>
        <v>194562843</v>
      </c>
      <c r="G1316" s="7" t="s">
        <v>1253</v>
      </c>
      <c r="H1316" s="24" t="s">
        <v>109</v>
      </c>
      <c r="I1316" s="32" t="s">
        <v>152</v>
      </c>
    </row>
    <row r="1317" spans="1:12" x14ac:dyDescent="0.35">
      <c r="A1317" s="19">
        <v>46113</v>
      </c>
      <c r="B1317" s="20"/>
      <c r="C1317" s="20"/>
      <c r="D1317" s="20">
        <v>20000</v>
      </c>
      <c r="E1317" s="234" t="s">
        <v>1241</v>
      </c>
      <c r="F1317" s="20">
        <f t="shared" si="20"/>
        <v>194582843</v>
      </c>
      <c r="G1317" s="7" t="s">
        <v>330</v>
      </c>
      <c r="H1317" s="24" t="s">
        <v>109</v>
      </c>
      <c r="I1317" s="32" t="s">
        <v>152</v>
      </c>
    </row>
    <row r="1318" spans="1:12" x14ac:dyDescent="0.35">
      <c r="A1318" s="19">
        <v>46113</v>
      </c>
      <c r="B1318" s="20"/>
      <c r="C1318" s="20"/>
      <c r="D1318" s="20">
        <v>500000</v>
      </c>
      <c r="E1318" s="234" t="s">
        <v>1241</v>
      </c>
      <c r="F1318" s="20">
        <f t="shared" si="20"/>
        <v>195082843</v>
      </c>
      <c r="G1318" s="7" t="s">
        <v>579</v>
      </c>
      <c r="H1318" s="24" t="s">
        <v>109</v>
      </c>
      <c r="I1318" s="32" t="s">
        <v>152</v>
      </c>
    </row>
    <row r="1319" spans="1:12" x14ac:dyDescent="0.35">
      <c r="A1319" s="19">
        <v>46113</v>
      </c>
      <c r="B1319" s="20"/>
      <c r="C1319" s="20"/>
      <c r="D1319" s="20">
        <v>45000</v>
      </c>
      <c r="E1319" s="234" t="s">
        <v>1241</v>
      </c>
      <c r="F1319" s="20">
        <f t="shared" si="20"/>
        <v>195127843</v>
      </c>
      <c r="G1319" s="7" t="s">
        <v>330</v>
      </c>
      <c r="H1319" s="24" t="s">
        <v>109</v>
      </c>
      <c r="I1319" s="32" t="s">
        <v>152</v>
      </c>
    </row>
    <row r="1320" spans="1:12" x14ac:dyDescent="0.35">
      <c r="A1320" s="19">
        <v>46113</v>
      </c>
      <c r="B1320" s="20"/>
      <c r="C1320" s="20"/>
      <c r="D1320" s="20">
        <v>10000</v>
      </c>
      <c r="E1320" s="234" t="s">
        <v>1241</v>
      </c>
      <c r="F1320" s="20">
        <f t="shared" si="20"/>
        <v>195137843</v>
      </c>
      <c r="G1320" s="7" t="s">
        <v>330</v>
      </c>
      <c r="H1320" s="24" t="s">
        <v>109</v>
      </c>
      <c r="I1320" s="32" t="s">
        <v>152</v>
      </c>
    </row>
    <row r="1321" spans="1:12" x14ac:dyDescent="0.35">
      <c r="A1321" s="19">
        <v>46113</v>
      </c>
      <c r="B1321" s="20"/>
      <c r="C1321" s="20"/>
      <c r="D1321" s="20">
        <v>300000</v>
      </c>
      <c r="E1321" s="234" t="s">
        <v>1241</v>
      </c>
      <c r="F1321" s="20">
        <f t="shared" si="20"/>
        <v>195437843</v>
      </c>
      <c r="G1321" s="7" t="s">
        <v>1254</v>
      </c>
      <c r="H1321" s="24" t="s">
        <v>109</v>
      </c>
      <c r="I1321" s="32" t="s">
        <v>152</v>
      </c>
      <c r="J1321" s="36" t="s">
        <v>192</v>
      </c>
      <c r="K1321" t="s">
        <v>492</v>
      </c>
    </row>
    <row r="1322" spans="1:12" x14ac:dyDescent="0.35">
      <c r="A1322" s="19">
        <v>46114</v>
      </c>
      <c r="B1322" s="20"/>
      <c r="C1322" s="20"/>
      <c r="D1322" s="20">
        <v>20000</v>
      </c>
      <c r="E1322" s="234" t="s">
        <v>1241</v>
      </c>
      <c r="F1322" s="20">
        <f t="shared" si="20"/>
        <v>195457843</v>
      </c>
      <c r="G1322" s="7" t="s">
        <v>330</v>
      </c>
      <c r="H1322" s="24" t="s">
        <v>109</v>
      </c>
      <c r="I1322" s="32" t="s">
        <v>152</v>
      </c>
    </row>
    <row r="1323" spans="1:12" x14ac:dyDescent="0.35">
      <c r="A1323" s="19"/>
      <c r="B1323" s="20"/>
      <c r="C1323" s="20"/>
      <c r="D1323" s="20"/>
      <c r="E1323" s="99"/>
      <c r="F1323" s="242">
        <v>195457843</v>
      </c>
      <c r="G1323" s="7"/>
      <c r="H1323" s="24"/>
      <c r="I1323" s="32"/>
      <c r="J1323" s="36" t="s">
        <v>149</v>
      </c>
      <c r="K1323" t="s">
        <v>151</v>
      </c>
      <c r="L1323" t="s">
        <v>148</v>
      </c>
    </row>
    <row r="1324" spans="1:12" x14ac:dyDescent="0.35">
      <c r="A1324" s="6" t="s">
        <v>2</v>
      </c>
      <c r="B1324" s="6" t="s">
        <v>3</v>
      </c>
      <c r="C1324" s="6" t="s">
        <v>138</v>
      </c>
      <c r="D1324" s="6" t="s">
        <v>4</v>
      </c>
      <c r="E1324" s="6" t="s">
        <v>192</v>
      </c>
      <c r="F1324" s="6" t="s">
        <v>5</v>
      </c>
      <c r="G1324" s="6" t="s">
        <v>6</v>
      </c>
      <c r="H1324" s="34" t="s">
        <v>141</v>
      </c>
      <c r="I1324" s="34" t="s">
        <v>359</v>
      </c>
      <c r="J1324" s="13" t="s">
        <v>320</v>
      </c>
      <c r="K1324" s="160">
        <v>60000</v>
      </c>
      <c r="L1324" s="160"/>
    </row>
    <row r="1325" spans="1:12" x14ac:dyDescent="0.35">
      <c r="A1325" s="144">
        <v>46026</v>
      </c>
      <c r="B1325" s="135"/>
      <c r="C1325" s="134"/>
      <c r="D1325" s="135">
        <v>2000000</v>
      </c>
      <c r="E1325" s="235" t="s">
        <v>357</v>
      </c>
      <c r="F1325" s="135">
        <v>3343000</v>
      </c>
      <c r="G1325" s="136" t="s">
        <v>414</v>
      </c>
      <c r="H1325" s="133" t="s">
        <v>109</v>
      </c>
      <c r="I1325" s="134" t="s">
        <v>108</v>
      </c>
      <c r="J1325" s="13" t="s">
        <v>323</v>
      </c>
      <c r="K1325" s="160">
        <v>500000</v>
      </c>
      <c r="L1325" s="160"/>
    </row>
    <row r="1326" spans="1:12" x14ac:dyDescent="0.35">
      <c r="A1326" s="144">
        <v>46024</v>
      </c>
      <c r="B1326" s="135">
        <v>500000</v>
      </c>
      <c r="C1326" s="134"/>
      <c r="D1326" s="135"/>
      <c r="E1326" s="235" t="s">
        <v>357</v>
      </c>
      <c r="F1326" s="135">
        <f>F1325+D1326-B1326</f>
        <v>2843000</v>
      </c>
      <c r="G1326" s="136" t="s">
        <v>302</v>
      </c>
      <c r="H1326" s="133" t="s">
        <v>323</v>
      </c>
      <c r="I1326" s="134" t="s">
        <v>108</v>
      </c>
      <c r="J1326" s="13" t="s">
        <v>322</v>
      </c>
      <c r="K1326" s="160">
        <v>70000</v>
      </c>
      <c r="L1326" s="160"/>
    </row>
    <row r="1327" spans="1:12" x14ac:dyDescent="0.35">
      <c r="A1327" s="144">
        <v>46026</v>
      </c>
      <c r="B1327" s="135">
        <v>250000</v>
      </c>
      <c r="C1327" s="134"/>
      <c r="D1327" s="135"/>
      <c r="E1327" s="235" t="s">
        <v>357</v>
      </c>
      <c r="F1327" s="135">
        <f t="shared" ref="F1327:F1344" si="21">F1326+D1327-B1327</f>
        <v>2593000</v>
      </c>
      <c r="G1327" s="136" t="s">
        <v>1018</v>
      </c>
      <c r="H1327" s="133" t="s">
        <v>327</v>
      </c>
      <c r="I1327" s="134" t="s">
        <v>108</v>
      </c>
      <c r="J1327" s="13" t="s">
        <v>327</v>
      </c>
      <c r="K1327" s="160">
        <v>60000</v>
      </c>
      <c r="L1327" s="160"/>
    </row>
    <row r="1328" spans="1:12" x14ac:dyDescent="0.35">
      <c r="A1328" s="144">
        <v>46028</v>
      </c>
      <c r="B1328" s="135">
        <v>60000</v>
      </c>
      <c r="C1328" s="134"/>
      <c r="D1328" s="135"/>
      <c r="E1328" s="235" t="s">
        <v>357</v>
      </c>
      <c r="F1328" s="135">
        <f t="shared" si="21"/>
        <v>2533000</v>
      </c>
      <c r="G1328" s="136" t="s">
        <v>1034</v>
      </c>
      <c r="H1328" s="133" t="s">
        <v>322</v>
      </c>
      <c r="I1328" s="134" t="s">
        <v>108</v>
      </c>
      <c r="J1328" s="13" t="s">
        <v>109</v>
      </c>
      <c r="K1328" s="160"/>
      <c r="L1328" s="160">
        <v>3000000</v>
      </c>
    </row>
    <row r="1329" spans="1:12" x14ac:dyDescent="0.35">
      <c r="A1329" s="144">
        <v>46028</v>
      </c>
      <c r="B1329" s="135">
        <v>60000</v>
      </c>
      <c r="C1329" s="134"/>
      <c r="D1329" s="135"/>
      <c r="E1329" s="235" t="s">
        <v>357</v>
      </c>
      <c r="F1329" s="135">
        <f t="shared" si="21"/>
        <v>2473000</v>
      </c>
      <c r="G1329" s="136" t="s">
        <v>1035</v>
      </c>
      <c r="H1329" s="133" t="s">
        <v>327</v>
      </c>
      <c r="I1329" s="134" t="s">
        <v>108</v>
      </c>
      <c r="J1329" s="13" t="s">
        <v>150</v>
      </c>
      <c r="K1329" s="160">
        <v>690000</v>
      </c>
      <c r="L1329" s="160">
        <v>3000000</v>
      </c>
    </row>
    <row r="1330" spans="1:12" x14ac:dyDescent="0.35">
      <c r="A1330" s="144">
        <v>46031</v>
      </c>
      <c r="B1330" s="135">
        <v>500000</v>
      </c>
      <c r="C1330" s="134"/>
      <c r="D1330" s="135"/>
      <c r="E1330" s="235" t="s">
        <v>357</v>
      </c>
      <c r="F1330" s="135">
        <f t="shared" si="21"/>
        <v>1973000</v>
      </c>
      <c r="G1330" s="136" t="s">
        <v>302</v>
      </c>
      <c r="H1330" s="133" t="s">
        <v>323</v>
      </c>
      <c r="I1330" s="134" t="s">
        <v>108</v>
      </c>
    </row>
    <row r="1331" spans="1:12" x14ac:dyDescent="0.35">
      <c r="A1331" s="144">
        <v>46031</v>
      </c>
      <c r="B1331" s="135"/>
      <c r="C1331" s="134"/>
      <c r="D1331" s="135">
        <v>2000000</v>
      </c>
      <c r="E1331" s="235" t="s">
        <v>357</v>
      </c>
      <c r="F1331" s="135">
        <f t="shared" si="21"/>
        <v>3973000</v>
      </c>
      <c r="G1331" s="136" t="s">
        <v>414</v>
      </c>
      <c r="H1331" s="133" t="s">
        <v>109</v>
      </c>
      <c r="I1331" s="134" t="s">
        <v>108</v>
      </c>
    </row>
    <row r="1332" spans="1:12" x14ac:dyDescent="0.35">
      <c r="A1332" s="144">
        <v>46031</v>
      </c>
      <c r="B1332" s="135">
        <v>501000</v>
      </c>
      <c r="C1332" s="134"/>
      <c r="D1332" s="135"/>
      <c r="E1332" s="235" t="s">
        <v>357</v>
      </c>
      <c r="F1332" s="135">
        <f t="shared" si="21"/>
        <v>3472000</v>
      </c>
      <c r="G1332" s="136" t="s">
        <v>296</v>
      </c>
      <c r="H1332" s="133" t="s">
        <v>321</v>
      </c>
      <c r="I1332" s="134" t="s">
        <v>108</v>
      </c>
    </row>
    <row r="1333" spans="1:12" x14ac:dyDescent="0.35">
      <c r="A1333" s="144">
        <v>46032</v>
      </c>
      <c r="B1333" s="135">
        <v>540000</v>
      </c>
      <c r="C1333" s="134"/>
      <c r="D1333" s="135"/>
      <c r="E1333" s="235" t="s">
        <v>357</v>
      </c>
      <c r="F1333" s="135">
        <f t="shared" si="21"/>
        <v>2932000</v>
      </c>
      <c r="G1333" s="136" t="s">
        <v>1037</v>
      </c>
      <c r="H1333" s="133" t="s">
        <v>322</v>
      </c>
      <c r="I1333" s="134" t="s">
        <v>108</v>
      </c>
    </row>
    <row r="1334" spans="1:12" x14ac:dyDescent="0.35">
      <c r="A1334" s="144">
        <v>46032</v>
      </c>
      <c r="B1334" s="135">
        <v>250000</v>
      </c>
      <c r="C1334" s="134"/>
      <c r="D1334" s="135"/>
      <c r="E1334" s="235" t="s">
        <v>357</v>
      </c>
      <c r="F1334" s="135">
        <f t="shared" si="21"/>
        <v>2682000</v>
      </c>
      <c r="G1334" s="136" t="s">
        <v>1038</v>
      </c>
      <c r="H1334" s="133" t="s">
        <v>327</v>
      </c>
      <c r="I1334" s="134" t="s">
        <v>108</v>
      </c>
    </row>
    <row r="1335" spans="1:12" x14ac:dyDescent="0.35">
      <c r="A1335" s="144">
        <v>46035</v>
      </c>
      <c r="B1335" s="135">
        <v>60000</v>
      </c>
      <c r="C1335" s="134"/>
      <c r="D1335" s="135"/>
      <c r="E1335" s="235" t="s">
        <v>357</v>
      </c>
      <c r="F1335" s="135">
        <f t="shared" si="21"/>
        <v>2622000</v>
      </c>
      <c r="G1335" s="136" t="s">
        <v>1035</v>
      </c>
      <c r="H1335" s="133" t="s">
        <v>327</v>
      </c>
      <c r="I1335" s="134" t="s">
        <v>108</v>
      </c>
    </row>
    <row r="1336" spans="1:12" x14ac:dyDescent="0.35">
      <c r="A1336" s="144">
        <v>46036</v>
      </c>
      <c r="B1336" s="135">
        <v>140000</v>
      </c>
      <c r="C1336" s="134"/>
      <c r="D1336" s="135"/>
      <c r="E1336" s="235" t="s">
        <v>357</v>
      </c>
      <c r="F1336" s="135">
        <f t="shared" si="21"/>
        <v>2482000</v>
      </c>
      <c r="G1336" s="136" t="s">
        <v>1039</v>
      </c>
      <c r="H1336" s="133" t="s">
        <v>322</v>
      </c>
      <c r="I1336" s="134" t="s">
        <v>108</v>
      </c>
    </row>
    <row r="1337" spans="1:12" x14ac:dyDescent="0.35">
      <c r="A1337" s="144">
        <v>46038</v>
      </c>
      <c r="B1337" s="135">
        <v>500000</v>
      </c>
      <c r="C1337" s="134"/>
      <c r="D1337" s="135"/>
      <c r="E1337" s="235" t="s">
        <v>357</v>
      </c>
      <c r="F1337" s="135">
        <f t="shared" si="21"/>
        <v>1982000</v>
      </c>
      <c r="G1337" s="136" t="s">
        <v>302</v>
      </c>
      <c r="H1337" s="133" t="s">
        <v>323</v>
      </c>
      <c r="I1337" s="134" t="s">
        <v>108</v>
      </c>
    </row>
    <row r="1338" spans="1:12" x14ac:dyDescent="0.35">
      <c r="A1338" s="144">
        <v>46040</v>
      </c>
      <c r="B1338" s="135"/>
      <c r="C1338" s="134"/>
      <c r="D1338" s="135">
        <v>2000000</v>
      </c>
      <c r="E1338" s="235" t="s">
        <v>357</v>
      </c>
      <c r="F1338" s="135">
        <f t="shared" si="21"/>
        <v>3982000</v>
      </c>
      <c r="G1338" s="136" t="s">
        <v>414</v>
      </c>
      <c r="H1338" s="133" t="s">
        <v>109</v>
      </c>
      <c r="I1338" s="134" t="s">
        <v>108</v>
      </c>
    </row>
    <row r="1339" spans="1:12" x14ac:dyDescent="0.35">
      <c r="A1339" s="144">
        <v>46040</v>
      </c>
      <c r="B1339" s="135">
        <v>250000</v>
      </c>
      <c r="C1339" s="134"/>
      <c r="D1339" s="135"/>
      <c r="E1339" s="235" t="s">
        <v>357</v>
      </c>
      <c r="F1339" s="135">
        <f t="shared" si="21"/>
        <v>3732000</v>
      </c>
      <c r="G1339" s="136" t="s">
        <v>1038</v>
      </c>
      <c r="H1339" s="133" t="s">
        <v>327</v>
      </c>
      <c r="I1339" s="134" t="s">
        <v>108</v>
      </c>
    </row>
    <row r="1340" spans="1:12" x14ac:dyDescent="0.35">
      <c r="A1340" s="144">
        <v>46041</v>
      </c>
      <c r="B1340" s="135">
        <v>400000</v>
      </c>
      <c r="C1340" s="134"/>
      <c r="D1340" s="135"/>
      <c r="E1340" s="235" t="s">
        <v>357</v>
      </c>
      <c r="F1340" s="135">
        <f t="shared" si="21"/>
        <v>3332000</v>
      </c>
      <c r="G1340" s="136" t="s">
        <v>1044</v>
      </c>
      <c r="H1340" s="133" t="s">
        <v>322</v>
      </c>
      <c r="I1340" s="134" t="s">
        <v>108</v>
      </c>
    </row>
    <row r="1341" spans="1:12" x14ac:dyDescent="0.35">
      <c r="A1341" s="144">
        <v>46042</v>
      </c>
      <c r="B1341" s="135">
        <v>60000</v>
      </c>
      <c r="C1341" s="134"/>
      <c r="D1341" s="135"/>
      <c r="E1341" s="235" t="s">
        <v>357</v>
      </c>
      <c r="F1341" s="135">
        <f t="shared" si="21"/>
        <v>3272000</v>
      </c>
      <c r="G1341" s="136" t="s">
        <v>1035</v>
      </c>
      <c r="H1341" s="133" t="s">
        <v>320</v>
      </c>
      <c r="I1341" s="134" t="s">
        <v>108</v>
      </c>
    </row>
    <row r="1342" spans="1:12" x14ac:dyDescent="0.35">
      <c r="A1342" s="144">
        <v>46043</v>
      </c>
      <c r="B1342" s="135">
        <v>300000</v>
      </c>
      <c r="C1342" s="134"/>
      <c r="D1342" s="135"/>
      <c r="E1342" s="235" t="s">
        <v>357</v>
      </c>
      <c r="F1342" s="135">
        <f t="shared" si="21"/>
        <v>2972000</v>
      </c>
      <c r="G1342" s="136" t="s">
        <v>1045</v>
      </c>
      <c r="H1342" s="133" t="s">
        <v>203</v>
      </c>
      <c r="I1342" s="134" t="s">
        <v>108</v>
      </c>
    </row>
    <row r="1343" spans="1:12" x14ac:dyDescent="0.35">
      <c r="A1343" s="144">
        <v>46044</v>
      </c>
      <c r="B1343" s="135">
        <v>70000</v>
      </c>
      <c r="C1343" s="134"/>
      <c r="D1343" s="135"/>
      <c r="E1343" s="235" t="s">
        <v>357</v>
      </c>
      <c r="F1343" s="135">
        <f t="shared" si="21"/>
        <v>2902000</v>
      </c>
      <c r="G1343" s="136" t="s">
        <v>1046</v>
      </c>
      <c r="H1343" s="133" t="s">
        <v>327</v>
      </c>
      <c r="I1343" s="134" t="s">
        <v>108</v>
      </c>
    </row>
    <row r="1344" spans="1:12" x14ac:dyDescent="0.35">
      <c r="A1344" s="144">
        <v>46045</v>
      </c>
      <c r="B1344" s="135">
        <v>500000</v>
      </c>
      <c r="C1344" s="134"/>
      <c r="D1344" s="135"/>
      <c r="E1344" s="235" t="s">
        <v>357</v>
      </c>
      <c r="F1344" s="135">
        <f t="shared" si="21"/>
        <v>2402000</v>
      </c>
      <c r="G1344" s="136" t="s">
        <v>302</v>
      </c>
      <c r="H1344" s="133" t="s">
        <v>323</v>
      </c>
      <c r="I1344" s="134" t="s">
        <v>108</v>
      </c>
    </row>
    <row r="1345" spans="1:9" x14ac:dyDescent="0.35">
      <c r="A1345" s="144">
        <v>46046</v>
      </c>
      <c r="B1345" s="135"/>
      <c r="C1345" s="134"/>
      <c r="D1345" s="135">
        <v>2000000</v>
      </c>
      <c r="E1345" s="235" t="s">
        <v>357</v>
      </c>
      <c r="F1345" s="135">
        <f t="shared" ref="F1345:F1409" si="22">F1344+D1345-B1345</f>
        <v>4402000</v>
      </c>
      <c r="G1345" s="136" t="s">
        <v>414</v>
      </c>
      <c r="H1345" s="133" t="s">
        <v>109</v>
      </c>
      <c r="I1345" s="134" t="s">
        <v>108</v>
      </c>
    </row>
    <row r="1346" spans="1:9" x14ac:dyDescent="0.35">
      <c r="A1346" s="144">
        <v>46046</v>
      </c>
      <c r="B1346" s="135">
        <v>750000</v>
      </c>
      <c r="C1346" s="134"/>
      <c r="D1346" s="135"/>
      <c r="E1346" s="235" t="s">
        <v>357</v>
      </c>
      <c r="F1346" s="135">
        <f t="shared" si="22"/>
        <v>3652000</v>
      </c>
      <c r="G1346" s="136" t="s">
        <v>1075</v>
      </c>
      <c r="H1346" s="133" t="s">
        <v>323</v>
      </c>
      <c r="I1346" s="134" t="s">
        <v>108</v>
      </c>
    </row>
    <row r="1347" spans="1:9" x14ac:dyDescent="0.35">
      <c r="A1347" s="144">
        <v>46048</v>
      </c>
      <c r="B1347" s="135">
        <v>60000</v>
      </c>
      <c r="C1347" s="134"/>
      <c r="D1347" s="135"/>
      <c r="E1347" s="235" t="s">
        <v>357</v>
      </c>
      <c r="F1347" s="135">
        <f t="shared" si="22"/>
        <v>3592000</v>
      </c>
      <c r="G1347" s="136" t="s">
        <v>1035</v>
      </c>
      <c r="H1347" s="133" t="s">
        <v>320</v>
      </c>
      <c r="I1347" s="134" t="s">
        <v>108</v>
      </c>
    </row>
    <row r="1348" spans="1:9" x14ac:dyDescent="0.35">
      <c r="A1348" s="144">
        <v>46049</v>
      </c>
      <c r="B1348" s="135">
        <v>100000</v>
      </c>
      <c r="C1348" s="134"/>
      <c r="D1348" s="135"/>
      <c r="E1348" s="235" t="s">
        <v>357</v>
      </c>
      <c r="F1348" s="135">
        <f t="shared" si="22"/>
        <v>3492000</v>
      </c>
      <c r="G1348" s="136" t="s">
        <v>1076</v>
      </c>
      <c r="H1348" s="133" t="s">
        <v>327</v>
      </c>
      <c r="I1348" s="134" t="s">
        <v>108</v>
      </c>
    </row>
    <row r="1349" spans="1:9" x14ac:dyDescent="0.35">
      <c r="A1349" s="144">
        <v>46051</v>
      </c>
      <c r="B1349" s="135">
        <v>400000</v>
      </c>
      <c r="C1349" s="134"/>
      <c r="D1349" s="135"/>
      <c r="E1349" s="235" t="s">
        <v>357</v>
      </c>
      <c r="F1349" s="135">
        <f t="shared" si="22"/>
        <v>3092000</v>
      </c>
      <c r="G1349" s="136" t="s">
        <v>1077</v>
      </c>
      <c r="H1349" s="133" t="s">
        <v>323</v>
      </c>
      <c r="I1349" s="134" t="s">
        <v>108</v>
      </c>
    </row>
    <row r="1350" spans="1:9" x14ac:dyDescent="0.35">
      <c r="A1350" s="144">
        <v>46052</v>
      </c>
      <c r="B1350" s="135">
        <v>500000</v>
      </c>
      <c r="C1350" s="134"/>
      <c r="D1350" s="135"/>
      <c r="E1350" s="235" t="s">
        <v>357</v>
      </c>
      <c r="F1350" s="135">
        <f t="shared" si="22"/>
        <v>2592000</v>
      </c>
      <c r="G1350" s="136" t="s">
        <v>302</v>
      </c>
      <c r="H1350" s="133" t="s">
        <v>323</v>
      </c>
      <c r="I1350" s="134" t="s">
        <v>108</v>
      </c>
    </row>
    <row r="1351" spans="1:9" x14ac:dyDescent="0.35">
      <c r="A1351" s="144">
        <v>46052</v>
      </c>
      <c r="B1351" s="135">
        <v>130000</v>
      </c>
      <c r="C1351" s="134"/>
      <c r="D1351" s="135"/>
      <c r="E1351" s="235" t="s">
        <v>357</v>
      </c>
      <c r="F1351" s="135">
        <f t="shared" si="22"/>
        <v>2462000</v>
      </c>
      <c r="G1351" s="136" t="s">
        <v>497</v>
      </c>
      <c r="H1351" s="133" t="s">
        <v>322</v>
      </c>
      <c r="I1351" s="134" t="s">
        <v>108</v>
      </c>
    </row>
    <row r="1352" spans="1:9" x14ac:dyDescent="0.35">
      <c r="A1352" s="144">
        <v>46052</v>
      </c>
      <c r="B1352" s="135">
        <v>501000</v>
      </c>
      <c r="C1352" s="134"/>
      <c r="D1352" s="135"/>
      <c r="E1352" s="235" t="s">
        <v>357</v>
      </c>
      <c r="F1352" s="135">
        <f t="shared" si="22"/>
        <v>1961000</v>
      </c>
      <c r="G1352" s="136" t="s">
        <v>296</v>
      </c>
      <c r="H1352" s="133" t="s">
        <v>321</v>
      </c>
      <c r="I1352" s="134" t="s">
        <v>108</v>
      </c>
    </row>
    <row r="1353" spans="1:9" x14ac:dyDescent="0.35">
      <c r="A1353" s="144">
        <v>46053</v>
      </c>
      <c r="B1353" s="135">
        <v>300000</v>
      </c>
      <c r="C1353" s="134"/>
      <c r="D1353" s="135"/>
      <c r="E1353" s="235" t="s">
        <v>357</v>
      </c>
      <c r="F1353" s="135">
        <f t="shared" si="22"/>
        <v>1661000</v>
      </c>
      <c r="G1353" s="136" t="s">
        <v>1109</v>
      </c>
      <c r="H1353" s="133" t="s">
        <v>499</v>
      </c>
      <c r="I1353" s="134" t="s">
        <v>108</v>
      </c>
    </row>
    <row r="1354" spans="1:9" x14ac:dyDescent="0.35">
      <c r="A1354" s="144">
        <v>46054</v>
      </c>
      <c r="B1354" s="135">
        <v>250000</v>
      </c>
      <c r="C1354" s="134"/>
      <c r="D1354" s="135"/>
      <c r="E1354" s="235" t="s">
        <v>358</v>
      </c>
      <c r="F1354" s="135">
        <f t="shared" si="22"/>
        <v>1411000</v>
      </c>
      <c r="G1354" s="136" t="s">
        <v>1110</v>
      </c>
      <c r="H1354" s="133" t="s">
        <v>327</v>
      </c>
      <c r="I1354" s="134" t="s">
        <v>108</v>
      </c>
    </row>
    <row r="1355" spans="1:9" x14ac:dyDescent="0.35">
      <c r="A1355" s="144">
        <v>46054</v>
      </c>
      <c r="B1355" s="135">
        <v>385000</v>
      </c>
      <c r="C1355" s="134"/>
      <c r="D1355" s="135"/>
      <c r="E1355" s="235" t="s">
        <v>358</v>
      </c>
      <c r="F1355" s="135">
        <f t="shared" si="22"/>
        <v>1026000</v>
      </c>
      <c r="G1355" s="136" t="s">
        <v>1111</v>
      </c>
      <c r="H1355" s="133" t="s">
        <v>499</v>
      </c>
      <c r="I1355" s="134" t="s">
        <v>108</v>
      </c>
    </row>
    <row r="1356" spans="1:9" x14ac:dyDescent="0.35">
      <c r="A1356" s="144">
        <v>46055</v>
      </c>
      <c r="B1356" s="135"/>
      <c r="C1356" s="134"/>
      <c r="D1356" s="135">
        <v>2000000</v>
      </c>
      <c r="E1356" s="235" t="s">
        <v>358</v>
      </c>
      <c r="F1356" s="135">
        <f t="shared" si="22"/>
        <v>3026000</v>
      </c>
      <c r="G1356" s="136" t="s">
        <v>414</v>
      </c>
      <c r="H1356" s="133" t="s">
        <v>109</v>
      </c>
      <c r="I1356" s="134" t="s">
        <v>108</v>
      </c>
    </row>
    <row r="1357" spans="1:9" x14ac:dyDescent="0.35">
      <c r="A1357" s="144">
        <v>46055</v>
      </c>
      <c r="B1357" s="135">
        <v>60000</v>
      </c>
      <c r="C1357" s="134"/>
      <c r="D1357" s="135"/>
      <c r="E1357" s="235" t="s">
        <v>358</v>
      </c>
      <c r="F1357" s="135">
        <f t="shared" si="22"/>
        <v>2966000</v>
      </c>
      <c r="G1357" s="136" t="s">
        <v>1035</v>
      </c>
      <c r="H1357" s="133" t="s">
        <v>320</v>
      </c>
      <c r="I1357" s="134" t="s">
        <v>108</v>
      </c>
    </row>
    <row r="1358" spans="1:9" x14ac:dyDescent="0.35">
      <c r="A1358" s="144">
        <v>46058</v>
      </c>
      <c r="B1358" s="135">
        <v>45000</v>
      </c>
      <c r="C1358" s="134"/>
      <c r="D1358" s="135"/>
      <c r="E1358" s="235" t="s">
        <v>358</v>
      </c>
      <c r="F1358" s="135">
        <f t="shared" si="22"/>
        <v>2921000</v>
      </c>
      <c r="G1358" s="136" t="s">
        <v>1112</v>
      </c>
      <c r="H1358" s="133" t="s">
        <v>327</v>
      </c>
      <c r="I1358" s="134" t="s">
        <v>108</v>
      </c>
    </row>
    <row r="1359" spans="1:9" x14ac:dyDescent="0.35">
      <c r="A1359" s="144">
        <v>46058</v>
      </c>
      <c r="B1359" s="135">
        <v>500000</v>
      </c>
      <c r="C1359" s="134"/>
      <c r="D1359" s="135"/>
      <c r="E1359" s="235" t="s">
        <v>358</v>
      </c>
      <c r="F1359" s="135">
        <f t="shared" si="22"/>
        <v>2421000</v>
      </c>
      <c r="G1359" s="136" t="s">
        <v>302</v>
      </c>
      <c r="H1359" s="133" t="s">
        <v>323</v>
      </c>
      <c r="I1359" s="134" t="s">
        <v>108</v>
      </c>
    </row>
    <row r="1360" spans="1:9" x14ac:dyDescent="0.35">
      <c r="A1360" s="144">
        <v>46059</v>
      </c>
      <c r="B1360" s="135"/>
      <c r="C1360" s="134"/>
      <c r="D1360" s="135">
        <v>2000000</v>
      </c>
      <c r="E1360" s="235" t="s">
        <v>358</v>
      </c>
      <c r="F1360" s="135">
        <f t="shared" si="22"/>
        <v>4421000</v>
      </c>
      <c r="G1360" s="136" t="s">
        <v>414</v>
      </c>
      <c r="H1360" s="133" t="s">
        <v>109</v>
      </c>
      <c r="I1360" s="134" t="s">
        <v>108</v>
      </c>
    </row>
    <row r="1361" spans="1:9" x14ac:dyDescent="0.35">
      <c r="A1361" s="144">
        <v>46059</v>
      </c>
      <c r="B1361" s="135">
        <v>130000</v>
      </c>
      <c r="C1361" s="134"/>
      <c r="D1361" s="135"/>
      <c r="E1361" s="235" t="s">
        <v>358</v>
      </c>
      <c r="F1361" s="135">
        <f t="shared" si="22"/>
        <v>4291000</v>
      </c>
      <c r="G1361" s="136" t="s">
        <v>497</v>
      </c>
      <c r="H1361" s="133" t="s">
        <v>322</v>
      </c>
      <c r="I1361" s="134" t="s">
        <v>108</v>
      </c>
    </row>
    <row r="1362" spans="1:9" x14ac:dyDescent="0.35">
      <c r="A1362" s="144">
        <v>46059</v>
      </c>
      <c r="B1362" s="135">
        <v>250000</v>
      </c>
      <c r="C1362" s="134"/>
      <c r="D1362" s="135"/>
      <c r="E1362" s="235" t="s">
        <v>358</v>
      </c>
      <c r="F1362" s="135">
        <f t="shared" si="22"/>
        <v>4041000</v>
      </c>
      <c r="G1362" s="136" t="s">
        <v>1132</v>
      </c>
      <c r="H1362" s="133" t="s">
        <v>203</v>
      </c>
      <c r="I1362" s="134" t="s">
        <v>108</v>
      </c>
    </row>
    <row r="1363" spans="1:9" x14ac:dyDescent="0.35">
      <c r="A1363" s="144">
        <v>46061</v>
      </c>
      <c r="B1363" s="135">
        <v>100000</v>
      </c>
      <c r="C1363" s="134"/>
      <c r="D1363" s="135"/>
      <c r="E1363" s="235" t="s">
        <v>358</v>
      </c>
      <c r="F1363" s="135">
        <f t="shared" si="22"/>
        <v>3941000</v>
      </c>
      <c r="G1363" s="136" t="s">
        <v>1133</v>
      </c>
      <c r="H1363" s="133" t="s">
        <v>327</v>
      </c>
      <c r="I1363" s="134" t="s">
        <v>108</v>
      </c>
    </row>
    <row r="1364" spans="1:9" x14ac:dyDescent="0.35">
      <c r="A1364" s="144">
        <v>46062</v>
      </c>
      <c r="B1364" s="135">
        <v>155000</v>
      </c>
      <c r="C1364" s="134"/>
      <c r="D1364" s="135"/>
      <c r="E1364" s="235" t="s">
        <v>358</v>
      </c>
      <c r="F1364" s="135">
        <f t="shared" si="22"/>
        <v>3786000</v>
      </c>
      <c r="G1364" s="136" t="s">
        <v>1134</v>
      </c>
      <c r="H1364" s="133" t="s">
        <v>327</v>
      </c>
      <c r="I1364" s="134" t="s">
        <v>108</v>
      </c>
    </row>
    <row r="1365" spans="1:9" x14ac:dyDescent="0.35">
      <c r="A1365" s="144">
        <v>46062</v>
      </c>
      <c r="B1365" s="135">
        <v>70000</v>
      </c>
      <c r="C1365" s="134"/>
      <c r="D1365" s="135"/>
      <c r="E1365" s="235" t="s">
        <v>358</v>
      </c>
      <c r="F1365" s="135">
        <f t="shared" si="22"/>
        <v>3716000</v>
      </c>
      <c r="G1365" s="136" t="s">
        <v>1135</v>
      </c>
      <c r="H1365" s="133" t="s">
        <v>499</v>
      </c>
      <c r="I1365" s="134" t="s">
        <v>108</v>
      </c>
    </row>
    <row r="1366" spans="1:9" x14ac:dyDescent="0.35">
      <c r="A1366" s="144">
        <v>46062</v>
      </c>
      <c r="B1366" s="135">
        <v>224000</v>
      </c>
      <c r="C1366" s="134"/>
      <c r="D1366" s="135"/>
      <c r="E1366" s="235" t="s">
        <v>358</v>
      </c>
      <c r="F1366" s="135">
        <f t="shared" si="22"/>
        <v>3492000</v>
      </c>
      <c r="G1366" s="136" t="s">
        <v>1136</v>
      </c>
      <c r="H1366" s="133" t="s">
        <v>499</v>
      </c>
      <c r="I1366" s="134" t="s">
        <v>108</v>
      </c>
    </row>
    <row r="1367" spans="1:9" x14ac:dyDescent="0.35">
      <c r="A1367" s="144">
        <v>46062</v>
      </c>
      <c r="B1367" s="135">
        <v>200000</v>
      </c>
      <c r="C1367" s="134"/>
      <c r="D1367" s="135"/>
      <c r="E1367" s="235" t="s">
        <v>358</v>
      </c>
      <c r="F1367" s="135">
        <f t="shared" si="22"/>
        <v>3292000</v>
      </c>
      <c r="G1367" s="136" t="s">
        <v>1137</v>
      </c>
      <c r="H1367" s="133" t="s">
        <v>322</v>
      </c>
      <c r="I1367" s="134" t="s">
        <v>108</v>
      </c>
    </row>
    <row r="1368" spans="1:9" x14ac:dyDescent="0.35">
      <c r="A1368" s="144">
        <v>46066</v>
      </c>
      <c r="B1368" s="135">
        <v>500000</v>
      </c>
      <c r="C1368" s="134"/>
      <c r="D1368" s="135"/>
      <c r="E1368" s="235" t="s">
        <v>358</v>
      </c>
      <c r="F1368" s="135">
        <f t="shared" si="22"/>
        <v>2792000</v>
      </c>
      <c r="G1368" s="136" t="s">
        <v>302</v>
      </c>
      <c r="H1368" s="133" t="s">
        <v>323</v>
      </c>
      <c r="I1368" s="134" t="s">
        <v>108</v>
      </c>
    </row>
    <row r="1369" spans="1:9" x14ac:dyDescent="0.35">
      <c r="A1369" s="144">
        <v>46065</v>
      </c>
      <c r="B1369" s="135"/>
      <c r="C1369" s="134"/>
      <c r="D1369" s="135">
        <v>2000000</v>
      </c>
      <c r="E1369" s="235" t="s">
        <v>358</v>
      </c>
      <c r="F1369" s="135">
        <f t="shared" si="22"/>
        <v>4792000</v>
      </c>
      <c r="G1369" s="136" t="s">
        <v>414</v>
      </c>
      <c r="H1369" s="133" t="s">
        <v>109</v>
      </c>
      <c r="I1369" s="134" t="s">
        <v>108</v>
      </c>
    </row>
    <row r="1370" spans="1:9" x14ac:dyDescent="0.35">
      <c r="A1370" s="144">
        <v>46065</v>
      </c>
      <c r="B1370" s="135">
        <v>150000</v>
      </c>
      <c r="C1370" s="134"/>
      <c r="D1370" s="135"/>
      <c r="E1370" s="235" t="s">
        <v>358</v>
      </c>
      <c r="F1370" s="135">
        <f t="shared" si="22"/>
        <v>4642000</v>
      </c>
      <c r="G1370" s="136" t="s">
        <v>688</v>
      </c>
      <c r="H1370" s="133" t="s">
        <v>203</v>
      </c>
      <c r="I1370" s="134" t="s">
        <v>108</v>
      </c>
    </row>
    <row r="1371" spans="1:9" x14ac:dyDescent="0.35">
      <c r="A1371" s="144">
        <v>46066</v>
      </c>
      <c r="B1371" s="135">
        <v>200000</v>
      </c>
      <c r="C1371" s="134"/>
      <c r="D1371" s="135"/>
      <c r="E1371" s="235" t="s">
        <v>358</v>
      </c>
      <c r="F1371" s="135">
        <f t="shared" si="22"/>
        <v>4442000</v>
      </c>
      <c r="G1371" s="136" t="s">
        <v>688</v>
      </c>
      <c r="H1371" s="133" t="s">
        <v>203</v>
      </c>
      <c r="I1371" s="134" t="s">
        <v>108</v>
      </c>
    </row>
    <row r="1372" spans="1:9" x14ac:dyDescent="0.35">
      <c r="A1372" s="144">
        <v>46066</v>
      </c>
      <c r="B1372" s="135">
        <v>300000</v>
      </c>
      <c r="C1372" s="134"/>
      <c r="D1372" s="135"/>
      <c r="E1372" s="235" t="s">
        <v>358</v>
      </c>
      <c r="F1372" s="135">
        <f t="shared" si="22"/>
        <v>4142000</v>
      </c>
      <c r="G1372" s="136" t="s">
        <v>1147</v>
      </c>
      <c r="H1372" s="133" t="s">
        <v>322</v>
      </c>
      <c r="I1372" s="134" t="s">
        <v>108</v>
      </c>
    </row>
    <row r="1373" spans="1:9" x14ac:dyDescent="0.35">
      <c r="A1373" s="144">
        <v>46067</v>
      </c>
      <c r="B1373" s="135">
        <v>350000</v>
      </c>
      <c r="C1373" s="134"/>
      <c r="D1373" s="135"/>
      <c r="E1373" s="235" t="s">
        <v>358</v>
      </c>
      <c r="F1373" s="135">
        <f t="shared" si="22"/>
        <v>3792000</v>
      </c>
      <c r="G1373" s="136" t="s">
        <v>1148</v>
      </c>
      <c r="H1373" s="133" t="s">
        <v>327</v>
      </c>
      <c r="I1373" s="134" t="s">
        <v>108</v>
      </c>
    </row>
    <row r="1374" spans="1:9" x14ac:dyDescent="0.35">
      <c r="A1374" s="144">
        <v>46068</v>
      </c>
      <c r="B1374" s="135">
        <v>700000</v>
      </c>
      <c r="C1374" s="134"/>
      <c r="D1374" s="135"/>
      <c r="E1374" s="235" t="s">
        <v>358</v>
      </c>
      <c r="F1374" s="135">
        <f t="shared" si="22"/>
        <v>3092000</v>
      </c>
      <c r="G1374" s="136" t="s">
        <v>1149</v>
      </c>
      <c r="H1374" s="133" t="s">
        <v>323</v>
      </c>
      <c r="I1374" s="134" t="s">
        <v>108</v>
      </c>
    </row>
    <row r="1375" spans="1:9" x14ac:dyDescent="0.35">
      <c r="A1375" s="144">
        <v>46068</v>
      </c>
      <c r="B1375" s="135">
        <v>85000</v>
      </c>
      <c r="C1375" s="134"/>
      <c r="D1375" s="135"/>
      <c r="E1375" s="235" t="s">
        <v>358</v>
      </c>
      <c r="F1375" s="135">
        <f t="shared" si="22"/>
        <v>3007000</v>
      </c>
      <c r="G1375" s="136" t="s">
        <v>1150</v>
      </c>
      <c r="H1375" s="133" t="s">
        <v>322</v>
      </c>
      <c r="I1375" s="134" t="s">
        <v>108</v>
      </c>
    </row>
    <row r="1376" spans="1:9" x14ac:dyDescent="0.35">
      <c r="A1376" s="144">
        <v>46069</v>
      </c>
      <c r="B1376" s="135">
        <v>200000</v>
      </c>
      <c r="C1376" s="134"/>
      <c r="D1376" s="135"/>
      <c r="E1376" s="235" t="s">
        <v>358</v>
      </c>
      <c r="F1376" s="135">
        <f t="shared" si="22"/>
        <v>2807000</v>
      </c>
      <c r="G1376" s="136" t="s">
        <v>1151</v>
      </c>
      <c r="H1376" s="133" t="s">
        <v>322</v>
      </c>
      <c r="I1376" s="134" t="s">
        <v>108</v>
      </c>
    </row>
    <row r="1377" spans="1:9" x14ac:dyDescent="0.35">
      <c r="A1377" s="144">
        <v>46069</v>
      </c>
      <c r="B1377" s="135">
        <v>60000</v>
      </c>
      <c r="C1377" s="134"/>
      <c r="D1377" s="135"/>
      <c r="E1377" s="235" t="s">
        <v>358</v>
      </c>
      <c r="F1377" s="135">
        <f t="shared" si="22"/>
        <v>2747000</v>
      </c>
      <c r="G1377" s="136" t="s">
        <v>1152</v>
      </c>
      <c r="H1377" s="133" t="s">
        <v>320</v>
      </c>
      <c r="I1377" s="134" t="s">
        <v>108</v>
      </c>
    </row>
    <row r="1378" spans="1:9" x14ac:dyDescent="0.35">
      <c r="A1378" s="144">
        <v>46072</v>
      </c>
      <c r="B1378" s="135">
        <v>500000</v>
      </c>
      <c r="C1378" s="134"/>
      <c r="D1378" s="135"/>
      <c r="E1378" s="235" t="s">
        <v>358</v>
      </c>
      <c r="F1378" s="135">
        <f t="shared" si="22"/>
        <v>2247000</v>
      </c>
      <c r="G1378" s="136" t="s">
        <v>1153</v>
      </c>
      <c r="H1378" s="133" t="s">
        <v>322</v>
      </c>
      <c r="I1378" s="134" t="s">
        <v>108</v>
      </c>
    </row>
    <row r="1379" spans="1:9" x14ac:dyDescent="0.35">
      <c r="A1379" s="144">
        <v>46073</v>
      </c>
      <c r="B1379" s="135">
        <v>500000</v>
      </c>
      <c r="C1379" s="134"/>
      <c r="D1379" s="135"/>
      <c r="E1379" s="235" t="s">
        <v>358</v>
      </c>
      <c r="F1379" s="135">
        <f t="shared" si="22"/>
        <v>1747000</v>
      </c>
      <c r="G1379" s="136" t="s">
        <v>191</v>
      </c>
      <c r="H1379" s="133" t="s">
        <v>323</v>
      </c>
      <c r="I1379" s="134" t="s">
        <v>108</v>
      </c>
    </row>
    <row r="1380" spans="1:9" x14ac:dyDescent="0.35">
      <c r="A1380" s="144">
        <v>46072</v>
      </c>
      <c r="B1380" s="135"/>
      <c r="C1380" s="134"/>
      <c r="D1380" s="135">
        <v>3000000</v>
      </c>
      <c r="E1380" s="235" t="s">
        <v>358</v>
      </c>
      <c r="F1380" s="135">
        <f t="shared" si="22"/>
        <v>4747000</v>
      </c>
      <c r="G1380" s="136" t="s">
        <v>414</v>
      </c>
      <c r="H1380" s="133" t="s">
        <v>109</v>
      </c>
      <c r="I1380" s="134" t="s">
        <v>108</v>
      </c>
    </row>
    <row r="1381" spans="1:9" x14ac:dyDescent="0.35">
      <c r="A1381" s="144">
        <v>46072</v>
      </c>
      <c r="B1381" s="135">
        <v>150000</v>
      </c>
      <c r="C1381" s="134"/>
      <c r="D1381" s="135"/>
      <c r="E1381" s="235" t="s">
        <v>358</v>
      </c>
      <c r="F1381" s="135">
        <f t="shared" si="22"/>
        <v>4597000</v>
      </c>
      <c r="G1381" s="136" t="s">
        <v>1164</v>
      </c>
      <c r="H1381" s="133" t="s">
        <v>322</v>
      </c>
      <c r="I1381" s="134" t="s">
        <v>108</v>
      </c>
    </row>
    <row r="1382" spans="1:9" x14ac:dyDescent="0.35">
      <c r="A1382" s="144">
        <v>46074</v>
      </c>
      <c r="B1382" s="135">
        <v>100000</v>
      </c>
      <c r="C1382" s="134"/>
      <c r="D1382" s="135"/>
      <c r="E1382" s="235" t="s">
        <v>358</v>
      </c>
      <c r="F1382" s="135">
        <f t="shared" si="22"/>
        <v>4497000</v>
      </c>
      <c r="G1382" s="136" t="s">
        <v>1165</v>
      </c>
      <c r="H1382" s="133" t="s">
        <v>322</v>
      </c>
      <c r="I1382" s="134" t="s">
        <v>108</v>
      </c>
    </row>
    <row r="1383" spans="1:9" x14ac:dyDescent="0.35">
      <c r="A1383" s="144">
        <v>46074</v>
      </c>
      <c r="B1383" s="135">
        <v>550000</v>
      </c>
      <c r="C1383" s="134"/>
      <c r="D1383" s="135"/>
      <c r="E1383" s="235" t="s">
        <v>358</v>
      </c>
      <c r="F1383" s="135">
        <f t="shared" si="22"/>
        <v>3947000</v>
      </c>
      <c r="G1383" s="136" t="s">
        <v>1166</v>
      </c>
      <c r="H1383" s="133" t="s">
        <v>322</v>
      </c>
      <c r="I1383" s="134" t="s">
        <v>108</v>
      </c>
    </row>
    <row r="1384" spans="1:9" x14ac:dyDescent="0.35">
      <c r="A1384" s="144">
        <v>46074</v>
      </c>
      <c r="B1384" s="135">
        <v>150000</v>
      </c>
      <c r="C1384" s="134"/>
      <c r="D1384" s="135"/>
      <c r="E1384" s="235" t="s">
        <v>358</v>
      </c>
      <c r="F1384" s="135">
        <f t="shared" si="22"/>
        <v>3797000</v>
      </c>
      <c r="G1384" s="136" t="s">
        <v>1167</v>
      </c>
      <c r="H1384" s="133" t="s">
        <v>322</v>
      </c>
      <c r="I1384" s="134" t="s">
        <v>108</v>
      </c>
    </row>
    <row r="1385" spans="1:9" x14ac:dyDescent="0.35">
      <c r="A1385" s="144">
        <v>46077</v>
      </c>
      <c r="B1385" s="135">
        <v>500000</v>
      </c>
      <c r="C1385" s="134"/>
      <c r="D1385" s="135"/>
      <c r="E1385" s="235" t="s">
        <v>358</v>
      </c>
      <c r="F1385" s="135">
        <f t="shared" si="22"/>
        <v>3297000</v>
      </c>
      <c r="G1385" s="136" t="s">
        <v>1168</v>
      </c>
      <c r="H1385" s="133" t="s">
        <v>321</v>
      </c>
      <c r="I1385" s="134" t="s">
        <v>108</v>
      </c>
    </row>
    <row r="1386" spans="1:9" x14ac:dyDescent="0.35">
      <c r="A1386" s="144">
        <v>46077</v>
      </c>
      <c r="B1386" s="135">
        <v>850000</v>
      </c>
      <c r="C1386" s="134"/>
      <c r="D1386" s="135"/>
      <c r="E1386" s="235" t="s">
        <v>358</v>
      </c>
      <c r="F1386" s="135">
        <f t="shared" si="22"/>
        <v>2447000</v>
      </c>
      <c r="G1386" s="136" t="s">
        <v>1169</v>
      </c>
      <c r="H1386" s="133" t="s">
        <v>1159</v>
      </c>
      <c r="I1386" s="134" t="s">
        <v>108</v>
      </c>
    </row>
    <row r="1387" spans="1:9" x14ac:dyDescent="0.35">
      <c r="A1387" s="144">
        <v>46077</v>
      </c>
      <c r="B1387" s="135">
        <v>60000</v>
      </c>
      <c r="C1387" s="134"/>
      <c r="D1387" s="135"/>
      <c r="E1387" s="235" t="s">
        <v>358</v>
      </c>
      <c r="F1387" s="135">
        <f t="shared" si="22"/>
        <v>2387000</v>
      </c>
      <c r="G1387" s="136" t="s">
        <v>1152</v>
      </c>
      <c r="H1387" s="133" t="s">
        <v>320</v>
      </c>
      <c r="I1387" s="134" t="s">
        <v>108</v>
      </c>
    </row>
    <row r="1388" spans="1:9" x14ac:dyDescent="0.35">
      <c r="A1388" s="144">
        <v>46078</v>
      </c>
      <c r="B1388" s="135">
        <v>300000</v>
      </c>
      <c r="C1388" s="134"/>
      <c r="D1388" s="135"/>
      <c r="E1388" s="235" t="s">
        <v>358</v>
      </c>
      <c r="F1388" s="135">
        <f t="shared" si="22"/>
        <v>2087000</v>
      </c>
      <c r="G1388" s="136" t="s">
        <v>1170</v>
      </c>
      <c r="H1388" s="133" t="s">
        <v>322</v>
      </c>
      <c r="I1388" s="134" t="s">
        <v>108</v>
      </c>
    </row>
    <row r="1389" spans="1:9" x14ac:dyDescent="0.35">
      <c r="A1389" s="144">
        <v>46080</v>
      </c>
      <c r="B1389" s="135">
        <v>500000</v>
      </c>
      <c r="C1389" s="134"/>
      <c r="D1389" s="135"/>
      <c r="E1389" s="235" t="s">
        <v>358</v>
      </c>
      <c r="F1389" s="135">
        <f t="shared" si="22"/>
        <v>1587000</v>
      </c>
      <c r="G1389" s="136" t="s">
        <v>191</v>
      </c>
      <c r="H1389" s="133" t="s">
        <v>323</v>
      </c>
      <c r="I1389" s="134" t="s">
        <v>108</v>
      </c>
    </row>
    <row r="1390" spans="1:9" x14ac:dyDescent="0.35">
      <c r="A1390" s="144">
        <v>46079</v>
      </c>
      <c r="B1390" s="135"/>
      <c r="C1390" s="134"/>
      <c r="D1390" s="135">
        <v>3000000</v>
      </c>
      <c r="E1390" s="235" t="s">
        <v>358</v>
      </c>
      <c r="F1390" s="135">
        <f t="shared" si="22"/>
        <v>4587000</v>
      </c>
      <c r="G1390" s="136" t="s">
        <v>414</v>
      </c>
      <c r="H1390" s="133" t="s">
        <v>109</v>
      </c>
      <c r="I1390" s="134" t="s">
        <v>108</v>
      </c>
    </row>
    <row r="1391" spans="1:9" x14ac:dyDescent="0.35">
      <c r="A1391" s="144">
        <v>46079</v>
      </c>
      <c r="B1391" s="135">
        <v>500000</v>
      </c>
      <c r="C1391" s="134"/>
      <c r="D1391" s="135"/>
      <c r="E1391" s="235" t="s">
        <v>358</v>
      </c>
      <c r="F1391" s="135">
        <f t="shared" si="22"/>
        <v>4087000</v>
      </c>
      <c r="G1391" s="136" t="s">
        <v>1187</v>
      </c>
      <c r="H1391" s="133" t="s">
        <v>320</v>
      </c>
      <c r="I1391" s="134" t="s">
        <v>108</v>
      </c>
    </row>
    <row r="1392" spans="1:9" x14ac:dyDescent="0.35">
      <c r="A1392" s="144">
        <v>46080</v>
      </c>
      <c r="B1392" s="135">
        <v>80000</v>
      </c>
      <c r="C1392" s="134"/>
      <c r="D1392" s="135"/>
      <c r="E1392" s="235" t="s">
        <v>358</v>
      </c>
      <c r="F1392" s="135">
        <f t="shared" si="22"/>
        <v>4007000</v>
      </c>
      <c r="G1392" s="136" t="s">
        <v>1188</v>
      </c>
      <c r="H1392" s="133" t="s">
        <v>320</v>
      </c>
      <c r="I1392" s="134" t="s">
        <v>108</v>
      </c>
    </row>
    <row r="1393" spans="1:9" x14ac:dyDescent="0.35">
      <c r="A1393" s="144">
        <v>46081</v>
      </c>
      <c r="B1393" s="135">
        <v>250000</v>
      </c>
      <c r="C1393" s="134"/>
      <c r="D1393" s="135"/>
      <c r="E1393" s="235" t="s">
        <v>358</v>
      </c>
      <c r="F1393" s="135">
        <f t="shared" si="22"/>
        <v>3757000</v>
      </c>
      <c r="G1393" s="136" t="s">
        <v>1189</v>
      </c>
      <c r="H1393" s="133" t="s">
        <v>322</v>
      </c>
      <c r="I1393" s="134" t="s">
        <v>108</v>
      </c>
    </row>
    <row r="1394" spans="1:9" x14ac:dyDescent="0.35">
      <c r="A1394" s="144">
        <v>46081</v>
      </c>
      <c r="B1394" s="135">
        <v>400000</v>
      </c>
      <c r="C1394" s="134"/>
      <c r="D1394" s="135"/>
      <c r="E1394" s="235" t="s">
        <v>358</v>
      </c>
      <c r="F1394" s="135">
        <f t="shared" si="22"/>
        <v>3357000</v>
      </c>
      <c r="G1394" s="136" t="s">
        <v>1077</v>
      </c>
      <c r="H1394" s="133" t="s">
        <v>203</v>
      </c>
      <c r="I1394" s="134" t="s">
        <v>108</v>
      </c>
    </row>
    <row r="1395" spans="1:9" x14ac:dyDescent="0.35">
      <c r="A1395" s="144">
        <v>46083</v>
      </c>
      <c r="B1395" s="135">
        <v>60000</v>
      </c>
      <c r="C1395" s="134"/>
      <c r="D1395" s="135"/>
      <c r="E1395" s="235" t="s">
        <v>1184</v>
      </c>
      <c r="F1395" s="135">
        <f t="shared" si="22"/>
        <v>3297000</v>
      </c>
      <c r="G1395" s="136" t="s">
        <v>1152</v>
      </c>
      <c r="H1395" s="133" t="s">
        <v>320</v>
      </c>
      <c r="I1395" s="134" t="s">
        <v>108</v>
      </c>
    </row>
    <row r="1396" spans="1:9" x14ac:dyDescent="0.35">
      <c r="A1396" s="144">
        <v>46087</v>
      </c>
      <c r="B1396" s="135">
        <v>500000</v>
      </c>
      <c r="C1396" s="134"/>
      <c r="D1396" s="135"/>
      <c r="E1396" s="235" t="s">
        <v>1184</v>
      </c>
      <c r="F1396" s="135">
        <f t="shared" si="22"/>
        <v>2797000</v>
      </c>
      <c r="G1396" s="136" t="s">
        <v>191</v>
      </c>
      <c r="H1396" s="133" t="s">
        <v>323</v>
      </c>
      <c r="I1396" s="134" t="s">
        <v>108</v>
      </c>
    </row>
    <row r="1397" spans="1:9" x14ac:dyDescent="0.35">
      <c r="A1397" s="144">
        <v>46088</v>
      </c>
      <c r="B1397" s="135"/>
      <c r="C1397" s="134"/>
      <c r="D1397" s="135">
        <v>3000000</v>
      </c>
      <c r="E1397" s="235" t="s">
        <v>1190</v>
      </c>
      <c r="F1397" s="135">
        <f t="shared" si="22"/>
        <v>5797000</v>
      </c>
      <c r="G1397" s="136" t="s">
        <v>414</v>
      </c>
      <c r="H1397" s="133" t="s">
        <v>109</v>
      </c>
      <c r="I1397" s="134" t="s">
        <v>108</v>
      </c>
    </row>
    <row r="1398" spans="1:9" x14ac:dyDescent="0.35">
      <c r="A1398" s="144">
        <v>46088</v>
      </c>
      <c r="B1398" s="135">
        <v>487000</v>
      </c>
      <c r="C1398" s="134"/>
      <c r="D1398" s="135"/>
      <c r="E1398" s="235" t="s">
        <v>1190</v>
      </c>
      <c r="F1398" s="135">
        <f t="shared" si="22"/>
        <v>5310000</v>
      </c>
      <c r="G1398" s="136" t="s">
        <v>1201</v>
      </c>
      <c r="H1398" s="133" t="s">
        <v>322</v>
      </c>
      <c r="I1398" s="134" t="s">
        <v>108</v>
      </c>
    </row>
    <row r="1399" spans="1:9" x14ac:dyDescent="0.35">
      <c r="A1399" s="144">
        <v>46088</v>
      </c>
      <c r="B1399" s="135">
        <v>395000</v>
      </c>
      <c r="C1399" s="134"/>
      <c r="D1399" s="135"/>
      <c r="E1399" s="235" t="s">
        <v>1190</v>
      </c>
      <c r="F1399" s="135">
        <f t="shared" si="22"/>
        <v>4915000</v>
      </c>
      <c r="G1399" s="136" t="s">
        <v>1202</v>
      </c>
      <c r="H1399" s="133" t="s">
        <v>327</v>
      </c>
      <c r="I1399" s="134" t="s">
        <v>108</v>
      </c>
    </row>
    <row r="1400" spans="1:9" x14ac:dyDescent="0.35">
      <c r="A1400" s="144">
        <v>46088</v>
      </c>
      <c r="B1400" s="135">
        <v>60000</v>
      </c>
      <c r="C1400" s="134"/>
      <c r="D1400" s="135"/>
      <c r="E1400" s="235" t="s">
        <v>1190</v>
      </c>
      <c r="F1400" s="135">
        <f t="shared" si="22"/>
        <v>4855000</v>
      </c>
      <c r="G1400" s="136" t="s">
        <v>1203</v>
      </c>
      <c r="H1400" s="133" t="s">
        <v>203</v>
      </c>
      <c r="I1400" s="134" t="s">
        <v>108</v>
      </c>
    </row>
    <row r="1401" spans="1:9" x14ac:dyDescent="0.35">
      <c r="A1401" s="144">
        <v>46088</v>
      </c>
      <c r="B1401" s="135">
        <v>500000</v>
      </c>
      <c r="C1401" s="134"/>
      <c r="D1401" s="135"/>
      <c r="E1401" s="235" t="s">
        <v>1190</v>
      </c>
      <c r="F1401" s="135">
        <f t="shared" si="22"/>
        <v>4355000</v>
      </c>
      <c r="G1401" s="136" t="s">
        <v>191</v>
      </c>
      <c r="H1401" s="133" t="s">
        <v>323</v>
      </c>
      <c r="I1401" s="134" t="s">
        <v>108</v>
      </c>
    </row>
    <row r="1402" spans="1:9" x14ac:dyDescent="0.35">
      <c r="A1402" s="144">
        <v>46095</v>
      </c>
      <c r="B1402" s="135">
        <v>1000</v>
      </c>
      <c r="C1402" s="134"/>
      <c r="D1402" s="135"/>
      <c r="E1402" s="235" t="s">
        <v>1204</v>
      </c>
      <c r="F1402" s="135">
        <f t="shared" si="22"/>
        <v>4354000</v>
      </c>
      <c r="G1402" s="136" t="s">
        <v>1152</v>
      </c>
      <c r="H1402" s="133" t="s">
        <v>320</v>
      </c>
      <c r="I1402" s="134" t="s">
        <v>108</v>
      </c>
    </row>
    <row r="1403" spans="1:9" x14ac:dyDescent="0.35">
      <c r="A1403" s="144">
        <v>46095</v>
      </c>
      <c r="B1403" s="135">
        <v>1300000</v>
      </c>
      <c r="C1403" s="134"/>
      <c r="D1403" s="135"/>
      <c r="E1403" s="235" t="s">
        <v>1204</v>
      </c>
      <c r="F1403" s="135">
        <f t="shared" si="22"/>
        <v>3054000</v>
      </c>
      <c r="G1403" s="136" t="s">
        <v>1233</v>
      </c>
      <c r="H1403" s="133" t="s">
        <v>201</v>
      </c>
      <c r="I1403" s="134" t="s">
        <v>108</v>
      </c>
    </row>
    <row r="1404" spans="1:9" x14ac:dyDescent="0.35">
      <c r="A1404" s="144">
        <v>46095</v>
      </c>
      <c r="B1404" s="135">
        <v>270000</v>
      </c>
      <c r="C1404" s="134"/>
      <c r="D1404" s="135"/>
      <c r="E1404" s="235" t="s">
        <v>1204</v>
      </c>
      <c r="F1404" s="135">
        <f t="shared" si="22"/>
        <v>2784000</v>
      </c>
      <c r="G1404" s="136" t="s">
        <v>555</v>
      </c>
      <c r="H1404" s="133" t="s">
        <v>322</v>
      </c>
      <c r="I1404" s="134" t="s">
        <v>108</v>
      </c>
    </row>
    <row r="1405" spans="1:9" x14ac:dyDescent="0.35">
      <c r="A1405" s="144">
        <v>46096</v>
      </c>
      <c r="B1405" s="135">
        <v>60000</v>
      </c>
      <c r="C1405" s="134"/>
      <c r="D1405" s="135"/>
      <c r="E1405" s="235" t="s">
        <v>1204</v>
      </c>
      <c r="F1405" s="135">
        <f t="shared" si="22"/>
        <v>2724000</v>
      </c>
      <c r="G1405" s="136" t="s">
        <v>1152</v>
      </c>
      <c r="H1405" s="133" t="s">
        <v>320</v>
      </c>
      <c r="I1405" s="134" t="s">
        <v>108</v>
      </c>
    </row>
    <row r="1406" spans="1:9" x14ac:dyDescent="0.35">
      <c r="A1406" s="144">
        <v>46098</v>
      </c>
      <c r="B1406" s="135">
        <v>400000</v>
      </c>
      <c r="C1406" s="134"/>
      <c r="D1406" s="135"/>
      <c r="E1406" s="235" t="s">
        <v>1204</v>
      </c>
      <c r="F1406" s="135">
        <f t="shared" si="22"/>
        <v>2324000</v>
      </c>
      <c r="G1406" s="136" t="s">
        <v>1234</v>
      </c>
      <c r="H1406" s="133" t="s">
        <v>323</v>
      </c>
      <c r="I1406" s="134" t="s">
        <v>108</v>
      </c>
    </row>
    <row r="1407" spans="1:9" x14ac:dyDescent="0.35">
      <c r="A1407" s="144">
        <v>46098</v>
      </c>
      <c r="B1407" s="135">
        <v>150000</v>
      </c>
      <c r="C1407" s="134"/>
      <c r="D1407" s="135"/>
      <c r="E1407" s="235" t="s">
        <v>1204</v>
      </c>
      <c r="F1407" s="135">
        <f t="shared" si="22"/>
        <v>2174000</v>
      </c>
      <c r="G1407" s="136" t="s">
        <v>1235</v>
      </c>
      <c r="H1407" s="133" t="s">
        <v>320</v>
      </c>
      <c r="I1407" s="134" t="s">
        <v>108</v>
      </c>
    </row>
    <row r="1408" spans="1:9" x14ac:dyDescent="0.35">
      <c r="A1408" s="144">
        <v>46101</v>
      </c>
      <c r="B1408" s="135">
        <v>500000</v>
      </c>
      <c r="C1408" s="134"/>
      <c r="D1408" s="135"/>
      <c r="E1408" s="235" t="s">
        <v>1204</v>
      </c>
      <c r="F1408" s="135">
        <f t="shared" si="22"/>
        <v>1674000</v>
      </c>
      <c r="G1408" s="136" t="s">
        <v>191</v>
      </c>
      <c r="H1408" s="133" t="s">
        <v>323</v>
      </c>
      <c r="I1408" s="134" t="s">
        <v>108</v>
      </c>
    </row>
    <row r="1409" spans="1:9" x14ac:dyDescent="0.35">
      <c r="A1409" s="144">
        <v>46102</v>
      </c>
      <c r="B1409" s="135"/>
      <c r="C1409" s="134"/>
      <c r="D1409" s="135">
        <v>2000000</v>
      </c>
      <c r="E1409" s="235" t="s">
        <v>1236</v>
      </c>
      <c r="F1409" s="135">
        <f t="shared" si="22"/>
        <v>3674000</v>
      </c>
      <c r="G1409" s="136" t="s">
        <v>414</v>
      </c>
      <c r="H1409" s="133" t="s">
        <v>109</v>
      </c>
      <c r="I1409" s="134" t="s">
        <v>108</v>
      </c>
    </row>
    <row r="1410" spans="1:9" x14ac:dyDescent="0.35">
      <c r="A1410" s="144">
        <v>46102</v>
      </c>
      <c r="B1410" s="135">
        <v>1500000</v>
      </c>
      <c r="C1410" s="134"/>
      <c r="D1410" s="135"/>
      <c r="E1410" s="235" t="s">
        <v>1236</v>
      </c>
      <c r="F1410" s="135">
        <f t="shared" ref="F1410:F1420" si="23">F1409+D1410-B1410</f>
        <v>2174000</v>
      </c>
      <c r="G1410" s="136" t="s">
        <v>1237</v>
      </c>
      <c r="H1410" s="133" t="s">
        <v>1240</v>
      </c>
      <c r="I1410" s="134" t="s">
        <v>108</v>
      </c>
    </row>
    <row r="1411" spans="1:9" x14ac:dyDescent="0.35">
      <c r="A1411" s="144">
        <v>46102</v>
      </c>
      <c r="B1411" s="135">
        <v>160000</v>
      </c>
      <c r="C1411" s="134"/>
      <c r="D1411" s="135"/>
      <c r="E1411" s="235" t="s">
        <v>1236</v>
      </c>
      <c r="F1411" s="135">
        <f t="shared" si="23"/>
        <v>2014000</v>
      </c>
      <c r="G1411" s="136" t="s">
        <v>1238</v>
      </c>
      <c r="H1411" s="133" t="s">
        <v>327</v>
      </c>
      <c r="I1411" s="134" t="s">
        <v>108</v>
      </c>
    </row>
    <row r="1412" spans="1:9" x14ac:dyDescent="0.35">
      <c r="A1412" s="144">
        <v>46101</v>
      </c>
      <c r="B1412" s="135">
        <v>100000</v>
      </c>
      <c r="C1412" s="134"/>
      <c r="D1412" s="135"/>
      <c r="E1412" s="235" t="s">
        <v>1236</v>
      </c>
      <c r="F1412" s="135">
        <f t="shared" si="23"/>
        <v>1914000</v>
      </c>
      <c r="G1412" s="136" t="s">
        <v>296</v>
      </c>
      <c r="H1412" s="133" t="s">
        <v>321</v>
      </c>
      <c r="I1412" s="134" t="s">
        <v>108</v>
      </c>
    </row>
    <row r="1413" spans="1:9" x14ac:dyDescent="0.35">
      <c r="A1413" s="144">
        <v>46101</v>
      </c>
      <c r="B1413" s="135">
        <v>192000</v>
      </c>
      <c r="C1413" s="134"/>
      <c r="D1413" s="135"/>
      <c r="E1413" s="235" t="s">
        <v>1236</v>
      </c>
      <c r="F1413" s="135">
        <f t="shared" si="23"/>
        <v>1722000</v>
      </c>
      <c r="G1413" s="136" t="s">
        <v>1239</v>
      </c>
      <c r="H1413" s="133" t="s">
        <v>499</v>
      </c>
      <c r="I1413" s="134" t="s">
        <v>108</v>
      </c>
    </row>
    <row r="1414" spans="1:9" x14ac:dyDescent="0.35">
      <c r="A1414" s="144">
        <v>46106</v>
      </c>
      <c r="B1414" s="135">
        <v>60000</v>
      </c>
      <c r="C1414" s="134"/>
      <c r="D1414" s="135"/>
      <c r="E1414" s="235" t="s">
        <v>1236</v>
      </c>
      <c r="F1414" s="135">
        <f t="shared" si="23"/>
        <v>1662000</v>
      </c>
      <c r="G1414" s="136" t="s">
        <v>1035</v>
      </c>
      <c r="H1414" s="133" t="s">
        <v>320</v>
      </c>
      <c r="I1414" s="134" t="s">
        <v>108</v>
      </c>
    </row>
    <row r="1415" spans="1:9" x14ac:dyDescent="0.35">
      <c r="A1415" s="144">
        <v>46108</v>
      </c>
      <c r="B1415" s="135">
        <v>500000</v>
      </c>
      <c r="C1415" s="134"/>
      <c r="D1415" s="135"/>
      <c r="E1415" s="235" t="s">
        <v>1236</v>
      </c>
      <c r="F1415" s="135">
        <f t="shared" si="23"/>
        <v>1162000</v>
      </c>
      <c r="G1415" s="136" t="s">
        <v>191</v>
      </c>
      <c r="H1415" s="133" t="s">
        <v>323</v>
      </c>
      <c r="I1415" s="134" t="s">
        <v>108</v>
      </c>
    </row>
    <row r="1416" spans="1:9" x14ac:dyDescent="0.35">
      <c r="A1416" s="144">
        <v>46109</v>
      </c>
      <c r="B1416" s="135"/>
      <c r="C1416" s="134"/>
      <c r="D1416" s="135">
        <v>3000000</v>
      </c>
      <c r="E1416" s="235" t="s">
        <v>1257</v>
      </c>
      <c r="F1416" s="135">
        <f t="shared" si="23"/>
        <v>4162000</v>
      </c>
      <c r="G1416" s="136" t="s">
        <v>414</v>
      </c>
      <c r="H1416" s="133" t="s">
        <v>109</v>
      </c>
      <c r="I1416" s="134" t="s">
        <v>108</v>
      </c>
    </row>
    <row r="1417" spans="1:9" x14ac:dyDescent="0.35">
      <c r="A1417" s="144">
        <v>46109</v>
      </c>
      <c r="B1417" s="135">
        <v>60000</v>
      </c>
      <c r="C1417" s="134"/>
      <c r="D1417" s="135"/>
      <c r="E1417" s="235" t="s">
        <v>1257</v>
      </c>
      <c r="F1417" s="135">
        <f t="shared" si="23"/>
        <v>4102000</v>
      </c>
      <c r="G1417" s="136" t="s">
        <v>1255</v>
      </c>
      <c r="H1417" s="133" t="s">
        <v>327</v>
      </c>
      <c r="I1417" s="134" t="s">
        <v>108</v>
      </c>
    </row>
    <row r="1418" spans="1:9" x14ac:dyDescent="0.35">
      <c r="A1418" s="144">
        <v>46111</v>
      </c>
      <c r="B1418" s="135">
        <v>60000</v>
      </c>
      <c r="C1418" s="134"/>
      <c r="D1418" s="135"/>
      <c r="E1418" s="235" t="s">
        <v>1257</v>
      </c>
      <c r="F1418" s="135">
        <f t="shared" si="23"/>
        <v>4042000</v>
      </c>
      <c r="G1418" s="136" t="s">
        <v>1035</v>
      </c>
      <c r="H1418" s="133" t="s">
        <v>320</v>
      </c>
      <c r="I1418" s="134" t="s">
        <v>108</v>
      </c>
    </row>
    <row r="1419" spans="1:9" x14ac:dyDescent="0.35">
      <c r="A1419" s="144">
        <v>46113</v>
      </c>
      <c r="B1419" s="135">
        <v>70000</v>
      </c>
      <c r="C1419" s="134"/>
      <c r="D1419" s="135"/>
      <c r="E1419" s="235" t="s">
        <v>1241</v>
      </c>
      <c r="F1419" s="135">
        <f t="shared" si="23"/>
        <v>3972000</v>
      </c>
      <c r="G1419" s="136" t="s">
        <v>1256</v>
      </c>
      <c r="H1419" s="133" t="s">
        <v>322</v>
      </c>
      <c r="I1419" s="134" t="s">
        <v>108</v>
      </c>
    </row>
    <row r="1420" spans="1:9" x14ac:dyDescent="0.35">
      <c r="A1420" s="144">
        <v>46115</v>
      </c>
      <c r="B1420" s="135">
        <v>500000</v>
      </c>
      <c r="C1420" s="134"/>
      <c r="D1420" s="135"/>
      <c r="E1420" s="235" t="s">
        <v>1241</v>
      </c>
      <c r="F1420" s="135">
        <f t="shared" si="23"/>
        <v>3472000</v>
      </c>
      <c r="G1420" s="136" t="s">
        <v>191</v>
      </c>
      <c r="H1420" s="133" t="s">
        <v>323</v>
      </c>
      <c r="I1420" s="134" t="s">
        <v>108</v>
      </c>
    </row>
  </sheetData>
  <autoFilter ref="A7:I1401" xr:uid="{00000000-0009-0000-0000-000009000000}"/>
  <mergeCells count="1">
    <mergeCell ref="A1:G1"/>
  </mergeCells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Akun!$A$1:$A$34</xm:f>
          </x14:formula1>
          <xm:sqref>H8:H1322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74"/>
  <sheetViews>
    <sheetView zoomScale="85" zoomScaleNormal="85" workbookViewId="0">
      <pane xSplit="1" ySplit="7" topLeftCell="B146" activePane="bottomRight" state="frozen"/>
      <selection pane="topRight" activeCell="C1" sqref="C1"/>
      <selection pane="bottomLeft" activeCell="A8" sqref="A8"/>
      <selection pane="bottomRight" activeCell="G20" sqref="G20"/>
    </sheetView>
  </sheetViews>
  <sheetFormatPr defaultRowHeight="14.5" x14ac:dyDescent="0.35"/>
  <cols>
    <col min="1" max="1" width="12.1796875" style="18" bestFit="1" customWidth="1"/>
    <col min="2" max="2" width="12.81640625" style="18" bestFit="1" customWidth="1"/>
    <col min="3" max="3" width="11.81640625" style="18" bestFit="1" customWidth="1"/>
    <col min="4" max="4" width="12.54296875" style="18" bestFit="1" customWidth="1"/>
    <col min="5" max="5" width="11.54296875" style="18" customWidth="1"/>
    <col min="6" max="6" width="12.81640625" style="18" bestFit="1" customWidth="1"/>
    <col min="7" max="7" width="45.26953125" style="18" customWidth="1"/>
    <col min="8" max="8" width="29.1796875" style="18" customWidth="1"/>
    <col min="9" max="9" width="30.81640625" style="18" bestFit="1" customWidth="1"/>
    <col min="10" max="10" width="13.26953125" customWidth="1"/>
    <col min="11" max="11" width="19" bestFit="1" customWidth="1"/>
    <col min="12" max="12" width="13.1796875" bestFit="1" customWidth="1"/>
  </cols>
  <sheetData>
    <row r="1" spans="1:12" x14ac:dyDescent="0.35">
      <c r="A1" s="244" t="s">
        <v>104</v>
      </c>
      <c r="B1" s="244"/>
      <c r="C1" s="244"/>
      <c r="D1" s="244"/>
      <c r="E1" s="244"/>
      <c r="F1" s="244"/>
      <c r="G1" s="244"/>
      <c r="H1" s="37"/>
      <c r="I1" s="25"/>
    </row>
    <row r="2" spans="1:12" x14ac:dyDescent="0.35">
      <c r="A2" s="2"/>
      <c r="B2" s="2"/>
      <c r="C2" s="2"/>
      <c r="D2" s="2"/>
      <c r="E2" s="2"/>
      <c r="F2" s="2"/>
      <c r="G2" s="206"/>
      <c r="H2" s="37"/>
      <c r="I2" s="25"/>
    </row>
    <row r="3" spans="1:12" x14ac:dyDescent="0.35">
      <c r="A3" s="22" t="s">
        <v>49</v>
      </c>
      <c r="F3" s="182"/>
      <c r="G3" s="13"/>
      <c r="H3" s="37"/>
      <c r="I3" s="25"/>
    </row>
    <row r="4" spans="1:12" x14ac:dyDescent="0.35">
      <c r="A4" s="22" t="s">
        <v>50</v>
      </c>
      <c r="E4" s="18" t="s">
        <v>865</v>
      </c>
      <c r="F4" s="206">
        <v>188896356</v>
      </c>
      <c r="G4" s="206"/>
      <c r="H4" s="37"/>
      <c r="I4" s="25"/>
    </row>
    <row r="5" spans="1:12" ht="14.5" customHeight="1" x14ac:dyDescent="0.35">
      <c r="A5" s="22" t="s">
        <v>1032</v>
      </c>
      <c r="E5" s="18" t="s">
        <v>108</v>
      </c>
      <c r="F5" s="206">
        <v>1343000</v>
      </c>
      <c r="H5" s="37"/>
    </row>
    <row r="6" spans="1:12" x14ac:dyDescent="0.35">
      <c r="A6" s="22"/>
      <c r="F6" s="191">
        <f>F4+F5</f>
        <v>190239356</v>
      </c>
      <c r="G6" s="224"/>
      <c r="H6" s="37"/>
    </row>
    <row r="7" spans="1:12" x14ac:dyDescent="0.35">
      <c r="A7" s="6" t="s">
        <v>2</v>
      </c>
      <c r="B7" s="6" t="s">
        <v>3</v>
      </c>
      <c r="C7" s="6" t="s">
        <v>138</v>
      </c>
      <c r="D7" s="6" t="s">
        <v>4</v>
      </c>
      <c r="E7" s="6" t="s">
        <v>192</v>
      </c>
      <c r="F7" s="6" t="s">
        <v>5</v>
      </c>
      <c r="G7" s="6" t="s">
        <v>6</v>
      </c>
      <c r="H7" s="34" t="s">
        <v>141</v>
      </c>
      <c r="I7" s="34" t="s">
        <v>359</v>
      </c>
      <c r="J7" s="36" t="s">
        <v>192</v>
      </c>
      <c r="K7" t="s">
        <v>492</v>
      </c>
    </row>
    <row r="8" spans="1:12" x14ac:dyDescent="0.35">
      <c r="A8" s="19">
        <v>46024</v>
      </c>
      <c r="B8" s="20"/>
      <c r="C8" s="20"/>
      <c r="D8" s="20">
        <v>400000</v>
      </c>
      <c r="E8" s="234" t="s">
        <v>1033</v>
      </c>
      <c r="F8" s="20">
        <v>187527301</v>
      </c>
      <c r="G8" s="7" t="s">
        <v>515</v>
      </c>
      <c r="H8" s="24" t="s">
        <v>109</v>
      </c>
      <c r="I8" s="32" t="s">
        <v>152</v>
      </c>
    </row>
    <row r="9" spans="1:12" x14ac:dyDescent="0.35">
      <c r="A9" s="19">
        <v>46024</v>
      </c>
      <c r="B9" s="20"/>
      <c r="C9" s="20"/>
      <c r="D9" s="20">
        <v>200000</v>
      </c>
      <c r="E9" s="234" t="s">
        <v>1033</v>
      </c>
      <c r="F9" s="20">
        <f t="shared" ref="F9:F72" si="0">+F8+D9-B9</f>
        <v>187727301</v>
      </c>
      <c r="G9" s="7" t="s">
        <v>866</v>
      </c>
      <c r="H9" s="24" t="s">
        <v>109</v>
      </c>
      <c r="I9" s="32" t="s">
        <v>152</v>
      </c>
      <c r="J9" s="36" t="s">
        <v>149</v>
      </c>
      <c r="K9" t="s">
        <v>151</v>
      </c>
      <c r="L9" t="s">
        <v>148</v>
      </c>
    </row>
    <row r="10" spans="1:12" x14ac:dyDescent="0.35">
      <c r="A10" s="19">
        <v>46024</v>
      </c>
      <c r="B10" s="20"/>
      <c r="C10" s="20"/>
      <c r="D10" s="20">
        <v>10000</v>
      </c>
      <c r="E10" s="234" t="s">
        <v>1033</v>
      </c>
      <c r="F10" s="20">
        <f t="shared" si="0"/>
        <v>187737301</v>
      </c>
      <c r="G10" s="7" t="s">
        <v>330</v>
      </c>
      <c r="H10" s="24" t="s">
        <v>109</v>
      </c>
      <c r="I10" s="32" t="s">
        <v>152</v>
      </c>
      <c r="J10" s="13" t="s">
        <v>150</v>
      </c>
      <c r="K10" s="160"/>
      <c r="L10" s="160"/>
    </row>
    <row r="11" spans="1:12" x14ac:dyDescent="0.35">
      <c r="A11" s="19">
        <v>46024</v>
      </c>
      <c r="B11" s="20"/>
      <c r="C11" s="20"/>
      <c r="D11" s="20">
        <v>20000</v>
      </c>
      <c r="E11" s="234" t="s">
        <v>1033</v>
      </c>
      <c r="F11" s="20">
        <f t="shared" si="0"/>
        <v>187757301</v>
      </c>
      <c r="G11" s="7" t="s">
        <v>330</v>
      </c>
      <c r="H11" s="24" t="s">
        <v>109</v>
      </c>
      <c r="I11" s="32" t="s">
        <v>152</v>
      </c>
    </row>
    <row r="12" spans="1:12" x14ac:dyDescent="0.35">
      <c r="A12" s="19">
        <v>46024</v>
      </c>
      <c r="B12" s="20"/>
      <c r="C12" s="20"/>
      <c r="D12" s="20">
        <v>350000</v>
      </c>
      <c r="E12" s="234" t="s">
        <v>1033</v>
      </c>
      <c r="F12" s="20">
        <f t="shared" si="0"/>
        <v>188107301</v>
      </c>
      <c r="G12" s="7" t="s">
        <v>740</v>
      </c>
      <c r="H12" s="24" t="s">
        <v>109</v>
      </c>
      <c r="I12" s="32" t="s">
        <v>152</v>
      </c>
    </row>
    <row r="13" spans="1:12" x14ac:dyDescent="0.35">
      <c r="A13" s="19">
        <v>46024</v>
      </c>
      <c r="B13" s="20">
        <v>75000</v>
      </c>
      <c r="C13" s="20"/>
      <c r="D13" s="20"/>
      <c r="E13" s="234" t="s">
        <v>1033</v>
      </c>
      <c r="F13" s="20">
        <f t="shared" si="0"/>
        <v>188032301</v>
      </c>
      <c r="G13" s="7" t="s">
        <v>1029</v>
      </c>
      <c r="H13" s="24" t="s">
        <v>320</v>
      </c>
      <c r="I13" s="32" t="s">
        <v>152</v>
      </c>
    </row>
    <row r="14" spans="1:12" x14ac:dyDescent="0.35">
      <c r="A14" s="19">
        <v>46024</v>
      </c>
      <c r="B14" s="20">
        <v>2500</v>
      </c>
      <c r="C14" s="20"/>
      <c r="D14" s="20"/>
      <c r="E14" s="234" t="s">
        <v>1033</v>
      </c>
      <c r="F14" s="20">
        <f t="shared" si="0"/>
        <v>188029801</v>
      </c>
      <c r="G14" s="7" t="s">
        <v>1029</v>
      </c>
      <c r="H14" s="24" t="s">
        <v>320</v>
      </c>
      <c r="I14" s="32" t="s">
        <v>152</v>
      </c>
    </row>
    <row r="15" spans="1:12" x14ac:dyDescent="0.35">
      <c r="A15" s="19">
        <v>46024</v>
      </c>
      <c r="B15" s="20"/>
      <c r="C15" s="20"/>
      <c r="D15" s="20">
        <v>300000</v>
      </c>
      <c r="E15" s="234" t="s">
        <v>1033</v>
      </c>
      <c r="F15" s="20">
        <f t="shared" si="0"/>
        <v>188329801</v>
      </c>
      <c r="G15" s="7" t="s">
        <v>577</v>
      </c>
      <c r="H15" s="24" t="s">
        <v>109</v>
      </c>
      <c r="I15" s="32" t="s">
        <v>152</v>
      </c>
    </row>
    <row r="16" spans="1:12" x14ac:dyDescent="0.35">
      <c r="A16" s="19">
        <v>46024</v>
      </c>
      <c r="B16" s="20"/>
      <c r="C16" s="20"/>
      <c r="D16" s="20">
        <v>500000</v>
      </c>
      <c r="E16" s="234" t="s">
        <v>1033</v>
      </c>
      <c r="F16" s="20">
        <f t="shared" si="0"/>
        <v>188829801</v>
      </c>
      <c r="G16" s="7" t="s">
        <v>675</v>
      </c>
      <c r="H16" s="24" t="s">
        <v>109</v>
      </c>
      <c r="I16" s="32"/>
    </row>
    <row r="17" spans="1:9" x14ac:dyDescent="0.35">
      <c r="A17" s="19">
        <v>46027</v>
      </c>
      <c r="B17" s="20">
        <v>750000</v>
      </c>
      <c r="C17" s="20"/>
      <c r="D17" s="20"/>
      <c r="E17" s="234" t="s">
        <v>1033</v>
      </c>
      <c r="F17" s="20">
        <f t="shared" si="0"/>
        <v>188079801</v>
      </c>
      <c r="G17" s="7" t="s">
        <v>596</v>
      </c>
      <c r="H17" s="24" t="s">
        <v>323</v>
      </c>
      <c r="I17" s="32" t="s">
        <v>152</v>
      </c>
    </row>
    <row r="18" spans="1:9" x14ac:dyDescent="0.35">
      <c r="A18" s="19">
        <v>46027</v>
      </c>
      <c r="B18" s="20">
        <v>6500</v>
      </c>
      <c r="C18" s="20"/>
      <c r="D18" s="20"/>
      <c r="E18" s="234" t="s">
        <v>1033</v>
      </c>
      <c r="F18" s="20">
        <f t="shared" si="0"/>
        <v>188073301</v>
      </c>
      <c r="G18" s="7" t="s">
        <v>596</v>
      </c>
      <c r="H18" s="24" t="s">
        <v>323</v>
      </c>
      <c r="I18" s="32" t="s">
        <v>152</v>
      </c>
    </row>
    <row r="19" spans="1:9" x14ac:dyDescent="0.35">
      <c r="A19" s="19">
        <v>46027</v>
      </c>
      <c r="B19" s="20"/>
      <c r="C19" s="20"/>
      <c r="D19" s="20">
        <v>50000</v>
      </c>
      <c r="E19" s="234" t="s">
        <v>1033</v>
      </c>
      <c r="F19" s="20">
        <f t="shared" si="0"/>
        <v>188123301</v>
      </c>
      <c r="G19" s="7" t="s">
        <v>330</v>
      </c>
      <c r="H19" s="24" t="s">
        <v>109</v>
      </c>
      <c r="I19" s="32" t="s">
        <v>152</v>
      </c>
    </row>
    <row r="20" spans="1:9" x14ac:dyDescent="0.35">
      <c r="A20" s="19">
        <v>46027</v>
      </c>
      <c r="B20" s="20"/>
      <c r="C20" s="20"/>
      <c r="D20" s="20">
        <v>100000</v>
      </c>
      <c r="E20" s="234" t="s">
        <v>1033</v>
      </c>
      <c r="F20" s="20">
        <f t="shared" si="0"/>
        <v>188223301</v>
      </c>
      <c r="G20" s="7" t="s">
        <v>330</v>
      </c>
      <c r="H20" s="24" t="s">
        <v>109</v>
      </c>
      <c r="I20" s="32" t="s">
        <v>152</v>
      </c>
    </row>
    <row r="21" spans="1:9" x14ac:dyDescent="0.35">
      <c r="A21" s="19">
        <v>46027</v>
      </c>
      <c r="B21" s="20"/>
      <c r="C21" s="20"/>
      <c r="D21" s="20">
        <v>30000</v>
      </c>
      <c r="E21" s="234" t="s">
        <v>1033</v>
      </c>
      <c r="F21" s="20">
        <f t="shared" si="0"/>
        <v>188253301</v>
      </c>
      <c r="G21" s="7" t="s">
        <v>330</v>
      </c>
      <c r="H21" s="24" t="s">
        <v>109</v>
      </c>
      <c r="I21" s="32" t="s">
        <v>152</v>
      </c>
    </row>
    <row r="22" spans="1:9" x14ac:dyDescent="0.35">
      <c r="A22" s="19">
        <v>46027</v>
      </c>
      <c r="B22" s="20"/>
      <c r="C22" s="20"/>
      <c r="D22" s="20">
        <v>200000</v>
      </c>
      <c r="E22" s="234" t="s">
        <v>1033</v>
      </c>
      <c r="F22" s="20">
        <f t="shared" si="0"/>
        <v>188453301</v>
      </c>
      <c r="G22" s="7" t="s">
        <v>330</v>
      </c>
      <c r="H22" s="24" t="s">
        <v>109</v>
      </c>
      <c r="I22" s="32" t="s">
        <v>152</v>
      </c>
    </row>
    <row r="23" spans="1:9" x14ac:dyDescent="0.35">
      <c r="A23" s="19">
        <v>46027</v>
      </c>
      <c r="B23" s="20"/>
      <c r="C23" s="20"/>
      <c r="D23" s="20">
        <v>50000</v>
      </c>
      <c r="E23" s="234" t="s">
        <v>1033</v>
      </c>
      <c r="F23" s="20">
        <f t="shared" si="0"/>
        <v>188503301</v>
      </c>
      <c r="G23" s="7" t="s">
        <v>330</v>
      </c>
      <c r="H23" s="24" t="s">
        <v>109</v>
      </c>
      <c r="I23" s="32" t="s">
        <v>152</v>
      </c>
    </row>
    <row r="24" spans="1:9" x14ac:dyDescent="0.35">
      <c r="A24" s="19">
        <v>46027</v>
      </c>
      <c r="B24" s="20"/>
      <c r="C24" s="20"/>
      <c r="D24" s="20">
        <v>25000</v>
      </c>
      <c r="E24" s="234" t="s">
        <v>1033</v>
      </c>
      <c r="F24" s="20">
        <f t="shared" si="0"/>
        <v>188528301</v>
      </c>
      <c r="G24" s="7" t="s">
        <v>330</v>
      </c>
      <c r="H24" s="24" t="s">
        <v>109</v>
      </c>
      <c r="I24" s="32" t="s">
        <v>152</v>
      </c>
    </row>
    <row r="25" spans="1:9" x14ac:dyDescent="0.35">
      <c r="A25" s="19">
        <v>46027</v>
      </c>
      <c r="B25" s="20"/>
      <c r="C25" s="20"/>
      <c r="D25" s="20">
        <v>50000</v>
      </c>
      <c r="E25" s="234" t="s">
        <v>1033</v>
      </c>
      <c r="F25" s="20">
        <f t="shared" si="0"/>
        <v>188578301</v>
      </c>
      <c r="G25" s="7" t="s">
        <v>330</v>
      </c>
      <c r="H25" s="24" t="s">
        <v>109</v>
      </c>
      <c r="I25" s="32" t="s">
        <v>152</v>
      </c>
    </row>
    <row r="26" spans="1:9" x14ac:dyDescent="0.35">
      <c r="A26" s="19">
        <v>46027</v>
      </c>
      <c r="B26" s="20"/>
      <c r="C26" s="20"/>
      <c r="D26" s="20">
        <v>100000</v>
      </c>
      <c r="E26" s="234" t="s">
        <v>1033</v>
      </c>
      <c r="F26" s="20">
        <f t="shared" si="0"/>
        <v>188678301</v>
      </c>
      <c r="G26" s="7" t="s">
        <v>330</v>
      </c>
      <c r="H26" s="24" t="s">
        <v>109</v>
      </c>
      <c r="I26" s="32" t="s">
        <v>152</v>
      </c>
    </row>
    <row r="27" spans="1:9" x14ac:dyDescent="0.35">
      <c r="A27" s="19">
        <v>46027</v>
      </c>
      <c r="B27" s="20"/>
      <c r="C27" s="20"/>
      <c r="D27" s="20">
        <v>50000</v>
      </c>
      <c r="E27" s="234" t="s">
        <v>1033</v>
      </c>
      <c r="F27" s="20">
        <f t="shared" si="0"/>
        <v>188728301</v>
      </c>
      <c r="G27" s="7" t="s">
        <v>330</v>
      </c>
      <c r="H27" s="24" t="s">
        <v>109</v>
      </c>
      <c r="I27" s="32" t="s">
        <v>152</v>
      </c>
    </row>
    <row r="28" spans="1:9" x14ac:dyDescent="0.35">
      <c r="A28" s="19">
        <v>46027</v>
      </c>
      <c r="B28" s="20"/>
      <c r="C28" s="20"/>
      <c r="D28" s="20">
        <v>20000</v>
      </c>
      <c r="E28" s="234" t="s">
        <v>1033</v>
      </c>
      <c r="F28" s="20">
        <f t="shared" si="0"/>
        <v>188748301</v>
      </c>
      <c r="G28" s="7" t="s">
        <v>330</v>
      </c>
      <c r="H28" s="24" t="s">
        <v>109</v>
      </c>
      <c r="I28" s="32" t="s">
        <v>152</v>
      </c>
    </row>
    <row r="29" spans="1:9" x14ac:dyDescent="0.35">
      <c r="A29" s="19">
        <v>46027</v>
      </c>
      <c r="B29" s="20"/>
      <c r="C29" s="20"/>
      <c r="D29" s="20">
        <v>1011</v>
      </c>
      <c r="E29" s="234" t="s">
        <v>1033</v>
      </c>
      <c r="F29" s="20">
        <f t="shared" si="0"/>
        <v>188749312</v>
      </c>
      <c r="G29" s="7" t="s">
        <v>330</v>
      </c>
      <c r="H29" s="24" t="s">
        <v>109</v>
      </c>
      <c r="I29" s="32" t="s">
        <v>152</v>
      </c>
    </row>
    <row r="30" spans="1:9" x14ac:dyDescent="0.35">
      <c r="A30" s="19">
        <v>46027</v>
      </c>
      <c r="B30" s="20">
        <v>750000</v>
      </c>
      <c r="C30" s="20"/>
      <c r="D30" s="20"/>
      <c r="E30" s="234" t="s">
        <v>1033</v>
      </c>
      <c r="F30" s="20">
        <f t="shared" si="0"/>
        <v>187999312</v>
      </c>
      <c r="G30" s="7" t="s">
        <v>826</v>
      </c>
      <c r="H30" s="24" t="s">
        <v>323</v>
      </c>
      <c r="I30" s="32" t="s">
        <v>152</v>
      </c>
    </row>
    <row r="31" spans="1:9" x14ac:dyDescent="0.35">
      <c r="A31" s="19">
        <v>46027</v>
      </c>
      <c r="B31" s="20">
        <v>6500</v>
      </c>
      <c r="C31" s="20"/>
      <c r="D31" s="20"/>
      <c r="E31" s="234" t="s">
        <v>1033</v>
      </c>
      <c r="F31" s="20">
        <f t="shared" si="0"/>
        <v>187992812</v>
      </c>
      <c r="G31" s="7" t="s">
        <v>826</v>
      </c>
      <c r="H31" s="24" t="s">
        <v>323</v>
      </c>
      <c r="I31" s="32" t="s">
        <v>152</v>
      </c>
    </row>
    <row r="32" spans="1:9" x14ac:dyDescent="0.35">
      <c r="A32" s="19">
        <v>46027</v>
      </c>
      <c r="B32" s="20"/>
      <c r="C32" s="20"/>
      <c r="D32" s="20">
        <v>25000</v>
      </c>
      <c r="E32" s="234" t="s">
        <v>1033</v>
      </c>
      <c r="F32" s="20">
        <f t="shared" si="0"/>
        <v>188017812</v>
      </c>
      <c r="G32" s="7" t="s">
        <v>330</v>
      </c>
      <c r="H32" s="24" t="s">
        <v>109</v>
      </c>
      <c r="I32" s="32" t="s">
        <v>152</v>
      </c>
    </row>
    <row r="33" spans="1:9" x14ac:dyDescent="0.35">
      <c r="A33" s="19">
        <v>46027</v>
      </c>
      <c r="B33" s="20"/>
      <c r="C33" s="20"/>
      <c r="D33" s="20">
        <v>20000</v>
      </c>
      <c r="E33" s="234" t="s">
        <v>1033</v>
      </c>
      <c r="F33" s="20">
        <f t="shared" si="0"/>
        <v>188037812</v>
      </c>
      <c r="G33" s="7" t="s">
        <v>330</v>
      </c>
      <c r="H33" s="24" t="s">
        <v>109</v>
      </c>
      <c r="I33" s="32" t="s">
        <v>152</v>
      </c>
    </row>
    <row r="34" spans="1:9" x14ac:dyDescent="0.35">
      <c r="A34" s="19">
        <v>46027</v>
      </c>
      <c r="B34" s="20"/>
      <c r="C34" s="20"/>
      <c r="D34" s="20">
        <v>200000</v>
      </c>
      <c r="E34" s="234" t="s">
        <v>1033</v>
      </c>
      <c r="F34" s="20">
        <f t="shared" si="0"/>
        <v>188237812</v>
      </c>
      <c r="G34" s="7" t="s">
        <v>531</v>
      </c>
      <c r="H34" s="24" t="s">
        <v>109</v>
      </c>
      <c r="I34" s="32" t="s">
        <v>152</v>
      </c>
    </row>
    <row r="35" spans="1:9" x14ac:dyDescent="0.35">
      <c r="A35" s="19">
        <v>46027</v>
      </c>
      <c r="B35" s="20"/>
      <c r="C35" s="20"/>
      <c r="D35" s="20">
        <v>1011</v>
      </c>
      <c r="E35" s="234" t="s">
        <v>1033</v>
      </c>
      <c r="F35" s="20">
        <f t="shared" si="0"/>
        <v>188238823</v>
      </c>
      <c r="G35" s="7" t="s">
        <v>330</v>
      </c>
      <c r="H35" s="24" t="s">
        <v>109</v>
      </c>
      <c r="I35" s="32" t="s">
        <v>152</v>
      </c>
    </row>
    <row r="36" spans="1:9" x14ac:dyDescent="0.35">
      <c r="A36" s="19">
        <v>46027</v>
      </c>
      <c r="B36" s="20"/>
      <c r="C36" s="20"/>
      <c r="D36" s="20">
        <v>25000</v>
      </c>
      <c r="E36" s="234" t="s">
        <v>1033</v>
      </c>
      <c r="F36" s="20">
        <f t="shared" si="0"/>
        <v>188263823</v>
      </c>
      <c r="G36" s="7" t="s">
        <v>330</v>
      </c>
      <c r="H36" s="24" t="s">
        <v>109</v>
      </c>
      <c r="I36" s="32" t="s">
        <v>152</v>
      </c>
    </row>
    <row r="37" spans="1:9" x14ac:dyDescent="0.35">
      <c r="A37" s="19">
        <v>46027</v>
      </c>
      <c r="B37" s="20"/>
      <c r="C37" s="20"/>
      <c r="D37" s="20">
        <v>10000</v>
      </c>
      <c r="E37" s="234" t="s">
        <v>1033</v>
      </c>
      <c r="F37" s="20">
        <f t="shared" si="0"/>
        <v>188273823</v>
      </c>
      <c r="G37" s="7" t="s">
        <v>330</v>
      </c>
      <c r="H37" s="24" t="s">
        <v>109</v>
      </c>
      <c r="I37" s="32" t="s">
        <v>152</v>
      </c>
    </row>
    <row r="38" spans="1:9" x14ac:dyDescent="0.35">
      <c r="A38" s="19">
        <v>46027</v>
      </c>
      <c r="B38" s="20"/>
      <c r="C38" s="20"/>
      <c r="D38" s="20">
        <v>20000</v>
      </c>
      <c r="E38" s="234" t="s">
        <v>1033</v>
      </c>
      <c r="F38" s="20">
        <f t="shared" si="0"/>
        <v>188293823</v>
      </c>
      <c r="G38" s="7" t="s">
        <v>330</v>
      </c>
      <c r="H38" s="24" t="s">
        <v>109</v>
      </c>
      <c r="I38" s="32" t="s">
        <v>152</v>
      </c>
    </row>
    <row r="39" spans="1:9" x14ac:dyDescent="0.35">
      <c r="A39" s="19">
        <v>46027</v>
      </c>
      <c r="B39" s="20">
        <v>2500000</v>
      </c>
      <c r="C39" s="20"/>
      <c r="D39" s="20"/>
      <c r="E39" s="234" t="s">
        <v>1033</v>
      </c>
      <c r="F39" s="20">
        <f t="shared" si="0"/>
        <v>185793823</v>
      </c>
      <c r="G39" s="7" t="s">
        <v>1030</v>
      </c>
      <c r="H39" s="24" t="s">
        <v>201</v>
      </c>
      <c r="I39" s="32" t="s">
        <v>152</v>
      </c>
    </row>
    <row r="40" spans="1:9" x14ac:dyDescent="0.35">
      <c r="A40" s="19">
        <v>46027</v>
      </c>
      <c r="B40" s="20">
        <v>6500</v>
      </c>
      <c r="C40" s="20"/>
      <c r="D40" s="20"/>
      <c r="E40" s="234" t="s">
        <v>1033</v>
      </c>
      <c r="F40" s="20">
        <f t="shared" si="0"/>
        <v>185787323</v>
      </c>
      <c r="G40" s="7" t="s">
        <v>1030</v>
      </c>
      <c r="H40" s="24" t="s">
        <v>201</v>
      </c>
      <c r="I40" s="32" t="s">
        <v>152</v>
      </c>
    </row>
    <row r="41" spans="1:9" x14ac:dyDescent="0.35">
      <c r="A41" s="19">
        <v>46028</v>
      </c>
      <c r="B41" s="20"/>
      <c r="C41" s="20"/>
      <c r="D41" s="20">
        <v>20000</v>
      </c>
      <c r="E41" s="234" t="s">
        <v>1033</v>
      </c>
      <c r="F41" s="20">
        <f t="shared" si="0"/>
        <v>185807323</v>
      </c>
      <c r="G41" s="7" t="s">
        <v>330</v>
      </c>
      <c r="H41" s="24" t="s">
        <v>109</v>
      </c>
      <c r="I41" s="32" t="s">
        <v>152</v>
      </c>
    </row>
    <row r="42" spans="1:9" x14ac:dyDescent="0.35">
      <c r="A42" s="19">
        <v>46028</v>
      </c>
      <c r="B42" s="20"/>
      <c r="C42" s="20"/>
      <c r="D42" s="20">
        <v>1011</v>
      </c>
      <c r="E42" s="234" t="s">
        <v>1033</v>
      </c>
      <c r="F42" s="20">
        <f t="shared" si="0"/>
        <v>185808334</v>
      </c>
      <c r="G42" s="7" t="s">
        <v>330</v>
      </c>
      <c r="H42" s="24" t="s">
        <v>109</v>
      </c>
      <c r="I42" s="32" t="s">
        <v>152</v>
      </c>
    </row>
    <row r="43" spans="1:9" x14ac:dyDescent="0.35">
      <c r="A43" s="19">
        <v>46028</v>
      </c>
      <c r="B43" s="20"/>
      <c r="C43" s="20"/>
      <c r="D43" s="20">
        <v>1764000</v>
      </c>
      <c r="E43" s="234" t="s">
        <v>1033</v>
      </c>
      <c r="F43" s="20">
        <f t="shared" si="0"/>
        <v>187572334</v>
      </c>
      <c r="G43" s="7"/>
      <c r="H43" s="24" t="s">
        <v>107</v>
      </c>
      <c r="I43" s="32" t="s">
        <v>152</v>
      </c>
    </row>
    <row r="44" spans="1:9" x14ac:dyDescent="0.35">
      <c r="A44" s="19">
        <v>46028</v>
      </c>
      <c r="B44" s="20"/>
      <c r="C44" s="20"/>
      <c r="D44" s="20">
        <v>972000</v>
      </c>
      <c r="E44" s="234" t="s">
        <v>1033</v>
      </c>
      <c r="F44" s="20">
        <f t="shared" si="0"/>
        <v>188544334</v>
      </c>
      <c r="G44" s="7"/>
      <c r="H44" s="24" t="s">
        <v>109</v>
      </c>
      <c r="I44" s="32" t="s">
        <v>152</v>
      </c>
    </row>
    <row r="45" spans="1:9" x14ac:dyDescent="0.35">
      <c r="A45" s="19"/>
      <c r="B45" s="20"/>
      <c r="C45" s="20">
        <v>2736000</v>
      </c>
      <c r="D45" s="20"/>
      <c r="E45" s="99"/>
      <c r="F45" s="20">
        <f t="shared" si="0"/>
        <v>188544334</v>
      </c>
      <c r="G45" s="7" t="s">
        <v>1031</v>
      </c>
      <c r="H45" s="24"/>
      <c r="I45" s="32"/>
    </row>
    <row r="46" spans="1:9" x14ac:dyDescent="0.35">
      <c r="A46" s="19">
        <v>46029</v>
      </c>
      <c r="B46" s="20"/>
      <c r="C46" s="20"/>
      <c r="D46" s="20">
        <v>1011</v>
      </c>
      <c r="E46" s="234" t="s">
        <v>1033</v>
      </c>
      <c r="F46" s="20">
        <f t="shared" si="0"/>
        <v>188545345</v>
      </c>
      <c r="G46" s="7" t="s">
        <v>330</v>
      </c>
      <c r="H46" s="24" t="s">
        <v>109</v>
      </c>
      <c r="I46" s="32" t="s">
        <v>152</v>
      </c>
    </row>
    <row r="47" spans="1:9" x14ac:dyDescent="0.35">
      <c r="A47" s="19">
        <v>46029</v>
      </c>
      <c r="B47" s="20"/>
      <c r="C47" s="20"/>
      <c r="D47" s="20">
        <v>10000</v>
      </c>
      <c r="E47" s="234" t="s">
        <v>1033</v>
      </c>
      <c r="F47" s="20">
        <f t="shared" si="0"/>
        <v>188555345</v>
      </c>
      <c r="G47" s="7" t="s">
        <v>330</v>
      </c>
      <c r="H47" s="24" t="s">
        <v>109</v>
      </c>
      <c r="I47" s="32" t="s">
        <v>152</v>
      </c>
    </row>
    <row r="48" spans="1:9" x14ac:dyDescent="0.35">
      <c r="A48" s="19">
        <v>46029</v>
      </c>
      <c r="B48" s="20"/>
      <c r="C48" s="20"/>
      <c r="D48" s="20">
        <v>20000</v>
      </c>
      <c r="E48" s="234" t="s">
        <v>1033</v>
      </c>
      <c r="F48" s="20">
        <f t="shared" si="0"/>
        <v>188575345</v>
      </c>
      <c r="G48" s="7" t="s">
        <v>330</v>
      </c>
      <c r="H48" s="24" t="s">
        <v>109</v>
      </c>
      <c r="I48" s="32" t="s">
        <v>152</v>
      </c>
    </row>
    <row r="49" spans="1:9" x14ac:dyDescent="0.35">
      <c r="A49" s="19">
        <v>46029</v>
      </c>
      <c r="B49" s="20"/>
      <c r="C49" s="20"/>
      <c r="D49" s="20">
        <v>100000</v>
      </c>
      <c r="E49" s="234" t="s">
        <v>1033</v>
      </c>
      <c r="F49" s="20">
        <f t="shared" si="0"/>
        <v>188675345</v>
      </c>
      <c r="G49" s="7" t="s">
        <v>330</v>
      </c>
      <c r="H49" s="24" t="s">
        <v>109</v>
      </c>
      <c r="I49" s="32" t="s">
        <v>152</v>
      </c>
    </row>
    <row r="50" spans="1:9" x14ac:dyDescent="0.35">
      <c r="A50" s="19">
        <v>46030</v>
      </c>
      <c r="B50" s="20"/>
      <c r="C50" s="20"/>
      <c r="D50" s="20">
        <v>100000</v>
      </c>
      <c r="E50" s="234" t="s">
        <v>1033</v>
      </c>
      <c r="F50" s="20">
        <f t="shared" si="0"/>
        <v>188775345</v>
      </c>
      <c r="G50" s="7" t="s">
        <v>603</v>
      </c>
      <c r="H50" s="24" t="s">
        <v>109</v>
      </c>
      <c r="I50" s="32" t="s">
        <v>152</v>
      </c>
    </row>
    <row r="51" spans="1:9" x14ac:dyDescent="0.35">
      <c r="A51" s="19">
        <v>46030</v>
      </c>
      <c r="B51" s="20"/>
      <c r="C51" s="20"/>
      <c r="D51" s="20">
        <v>10000</v>
      </c>
      <c r="E51" s="234" t="s">
        <v>1033</v>
      </c>
      <c r="F51" s="20">
        <f t="shared" si="0"/>
        <v>188785345</v>
      </c>
      <c r="G51" s="7" t="s">
        <v>330</v>
      </c>
      <c r="H51" s="24" t="s">
        <v>109</v>
      </c>
      <c r="I51" s="32" t="s">
        <v>152</v>
      </c>
    </row>
    <row r="52" spans="1:9" x14ac:dyDescent="0.35">
      <c r="A52" s="19">
        <v>46030</v>
      </c>
      <c r="B52" s="20"/>
      <c r="C52" s="20"/>
      <c r="D52" s="20">
        <v>1011</v>
      </c>
      <c r="E52" s="234" t="s">
        <v>1033</v>
      </c>
      <c r="F52" s="20">
        <f t="shared" si="0"/>
        <v>188786356</v>
      </c>
      <c r="G52" s="7" t="s">
        <v>330</v>
      </c>
      <c r="H52" s="24" t="s">
        <v>109</v>
      </c>
      <c r="I52" s="32" t="s">
        <v>152</v>
      </c>
    </row>
    <row r="53" spans="1:9" x14ac:dyDescent="0.35">
      <c r="A53" s="19">
        <v>46030</v>
      </c>
      <c r="B53" s="20"/>
      <c r="C53" s="20"/>
      <c r="D53" s="20">
        <v>100000</v>
      </c>
      <c r="E53" s="234" t="s">
        <v>1033</v>
      </c>
      <c r="F53" s="20">
        <f t="shared" si="0"/>
        <v>188886356</v>
      </c>
      <c r="G53" s="7" t="s">
        <v>330</v>
      </c>
      <c r="H53" s="24" t="s">
        <v>109</v>
      </c>
      <c r="I53" s="32" t="s">
        <v>152</v>
      </c>
    </row>
    <row r="54" spans="1:9" x14ac:dyDescent="0.35">
      <c r="A54" s="19">
        <v>46030</v>
      </c>
      <c r="B54" s="20"/>
      <c r="C54" s="20"/>
      <c r="D54" s="20">
        <v>10000</v>
      </c>
      <c r="E54" s="234" t="s">
        <v>1033</v>
      </c>
      <c r="F54" s="20">
        <f t="shared" si="0"/>
        <v>188896356</v>
      </c>
      <c r="G54" s="7" t="s">
        <v>330</v>
      </c>
      <c r="H54" s="24" t="s">
        <v>109</v>
      </c>
      <c r="I54" s="32" t="s">
        <v>152</v>
      </c>
    </row>
    <row r="55" spans="1:9" x14ac:dyDescent="0.35">
      <c r="A55" s="19">
        <v>46031</v>
      </c>
      <c r="B55" s="20"/>
      <c r="C55" s="20"/>
      <c r="D55" s="20">
        <v>20000</v>
      </c>
      <c r="E55" s="234" t="s">
        <v>1036</v>
      </c>
      <c r="F55" s="20">
        <f t="shared" si="0"/>
        <v>188916356</v>
      </c>
      <c r="G55" s="7" t="s">
        <v>330</v>
      </c>
      <c r="H55" s="24" t="s">
        <v>109</v>
      </c>
      <c r="I55" s="32" t="s">
        <v>152</v>
      </c>
    </row>
    <row r="56" spans="1:9" x14ac:dyDescent="0.35">
      <c r="A56" s="19">
        <v>46031</v>
      </c>
      <c r="B56" s="20"/>
      <c r="C56" s="20"/>
      <c r="D56" s="20">
        <v>10000</v>
      </c>
      <c r="E56" s="234" t="s">
        <v>1036</v>
      </c>
      <c r="F56" s="20">
        <f t="shared" si="0"/>
        <v>188926356</v>
      </c>
      <c r="G56" s="7" t="s">
        <v>330</v>
      </c>
      <c r="H56" s="24" t="s">
        <v>109</v>
      </c>
      <c r="I56" s="32" t="s">
        <v>152</v>
      </c>
    </row>
    <row r="57" spans="1:9" x14ac:dyDescent="0.35">
      <c r="A57" s="19">
        <v>46031</v>
      </c>
      <c r="B57" s="20"/>
      <c r="C57" s="20"/>
      <c r="D57" s="20">
        <v>2000000</v>
      </c>
      <c r="E57" s="234" t="s">
        <v>1036</v>
      </c>
      <c r="F57" s="20">
        <f t="shared" si="0"/>
        <v>190926356</v>
      </c>
      <c r="G57" s="7" t="s">
        <v>425</v>
      </c>
      <c r="H57" s="24" t="s">
        <v>109</v>
      </c>
      <c r="I57" s="32" t="s">
        <v>152</v>
      </c>
    </row>
    <row r="58" spans="1:9" x14ac:dyDescent="0.35">
      <c r="A58" s="19">
        <v>46032</v>
      </c>
      <c r="B58" s="20">
        <v>750000</v>
      </c>
      <c r="C58" s="20"/>
      <c r="D58" s="20"/>
      <c r="E58" s="234" t="s">
        <v>1036</v>
      </c>
      <c r="F58" s="20">
        <f t="shared" si="0"/>
        <v>190176356</v>
      </c>
      <c r="G58" s="7" t="s">
        <v>620</v>
      </c>
      <c r="H58" s="24" t="s">
        <v>323</v>
      </c>
      <c r="I58" s="32" t="s">
        <v>152</v>
      </c>
    </row>
    <row r="59" spans="1:9" x14ac:dyDescent="0.35">
      <c r="A59" s="19">
        <v>46032</v>
      </c>
      <c r="B59" s="20">
        <v>6500</v>
      </c>
      <c r="C59" s="20"/>
      <c r="D59" s="20"/>
      <c r="E59" s="234" t="s">
        <v>1036</v>
      </c>
      <c r="F59" s="20">
        <f t="shared" si="0"/>
        <v>190169856</v>
      </c>
      <c r="G59" s="7" t="s">
        <v>620</v>
      </c>
      <c r="H59" s="24" t="s">
        <v>323</v>
      </c>
      <c r="I59" s="32" t="s">
        <v>152</v>
      </c>
    </row>
    <row r="60" spans="1:9" x14ac:dyDescent="0.35">
      <c r="A60" s="19">
        <v>46032</v>
      </c>
      <c r="B60" s="20"/>
      <c r="C60" s="20"/>
      <c r="D60" s="20">
        <v>50000</v>
      </c>
      <c r="E60" s="234" t="s">
        <v>1036</v>
      </c>
      <c r="F60" s="20">
        <f t="shared" si="0"/>
        <v>190219856</v>
      </c>
      <c r="G60" s="7" t="s">
        <v>330</v>
      </c>
      <c r="H60" s="24" t="s">
        <v>109</v>
      </c>
      <c r="I60" s="32" t="s">
        <v>152</v>
      </c>
    </row>
    <row r="61" spans="1:9" x14ac:dyDescent="0.35">
      <c r="A61" s="19">
        <v>46032</v>
      </c>
      <c r="B61" s="20"/>
      <c r="C61" s="20"/>
      <c r="D61" s="20">
        <v>20000</v>
      </c>
      <c r="E61" s="234" t="s">
        <v>1036</v>
      </c>
      <c r="F61" s="20">
        <f t="shared" si="0"/>
        <v>190239856</v>
      </c>
      <c r="G61" s="7" t="s">
        <v>330</v>
      </c>
      <c r="H61" s="24" t="s">
        <v>109</v>
      </c>
      <c r="I61" s="32" t="s">
        <v>152</v>
      </c>
    </row>
    <row r="62" spans="1:9" x14ac:dyDescent="0.35">
      <c r="A62" s="19">
        <v>46032</v>
      </c>
      <c r="B62" s="20"/>
      <c r="C62" s="20"/>
      <c r="D62" s="20">
        <v>10000</v>
      </c>
      <c r="E62" s="234" t="s">
        <v>1036</v>
      </c>
      <c r="F62" s="20">
        <f t="shared" si="0"/>
        <v>190249856</v>
      </c>
      <c r="G62" s="7" t="s">
        <v>330</v>
      </c>
      <c r="H62" s="24" t="s">
        <v>109</v>
      </c>
      <c r="I62" s="32" t="s">
        <v>152</v>
      </c>
    </row>
    <row r="63" spans="1:9" x14ac:dyDescent="0.35">
      <c r="A63" s="19">
        <v>46032</v>
      </c>
      <c r="B63" s="20"/>
      <c r="C63" s="20"/>
      <c r="D63" s="20">
        <v>20000</v>
      </c>
      <c r="E63" s="234" t="s">
        <v>1036</v>
      </c>
      <c r="F63" s="20">
        <f t="shared" si="0"/>
        <v>190269856</v>
      </c>
      <c r="G63" s="7" t="s">
        <v>330</v>
      </c>
      <c r="H63" s="24" t="s">
        <v>109</v>
      </c>
      <c r="I63" s="32" t="s">
        <v>152</v>
      </c>
    </row>
    <row r="64" spans="1:9" x14ac:dyDescent="0.35">
      <c r="A64" s="19">
        <v>46032</v>
      </c>
      <c r="B64" s="20"/>
      <c r="C64" s="20"/>
      <c r="D64" s="20">
        <v>10000</v>
      </c>
      <c r="E64" s="234" t="s">
        <v>1036</v>
      </c>
      <c r="F64" s="20">
        <f t="shared" si="0"/>
        <v>190279856</v>
      </c>
      <c r="G64" s="7" t="s">
        <v>330</v>
      </c>
      <c r="H64" s="24" t="s">
        <v>109</v>
      </c>
      <c r="I64" s="32" t="s">
        <v>152</v>
      </c>
    </row>
    <row r="65" spans="1:9" x14ac:dyDescent="0.35">
      <c r="A65" s="19">
        <v>46032</v>
      </c>
      <c r="B65" s="20"/>
      <c r="C65" s="20"/>
      <c r="D65" s="20">
        <v>600000</v>
      </c>
      <c r="E65" s="234" t="s">
        <v>1036</v>
      </c>
      <c r="F65" s="20">
        <f t="shared" si="0"/>
        <v>190879856</v>
      </c>
      <c r="G65" s="7" t="s">
        <v>1040</v>
      </c>
      <c r="H65" s="24" t="s">
        <v>109</v>
      </c>
      <c r="I65" s="32" t="s">
        <v>152</v>
      </c>
    </row>
    <row r="66" spans="1:9" x14ac:dyDescent="0.35">
      <c r="A66" s="19">
        <v>46033</v>
      </c>
      <c r="B66" s="20"/>
      <c r="C66" s="20"/>
      <c r="D66" s="20">
        <v>10000</v>
      </c>
      <c r="E66" s="234" t="s">
        <v>1036</v>
      </c>
      <c r="F66" s="20">
        <f t="shared" si="0"/>
        <v>190889856</v>
      </c>
      <c r="G66" s="7" t="s">
        <v>330</v>
      </c>
      <c r="H66" s="24" t="s">
        <v>109</v>
      </c>
      <c r="I66" s="32" t="s">
        <v>152</v>
      </c>
    </row>
    <row r="67" spans="1:9" x14ac:dyDescent="0.35">
      <c r="A67" s="19">
        <v>46033</v>
      </c>
      <c r="B67" s="20"/>
      <c r="C67" s="20"/>
      <c r="D67" s="20">
        <v>5000</v>
      </c>
      <c r="E67" s="234" t="s">
        <v>1036</v>
      </c>
      <c r="F67" s="20">
        <f t="shared" si="0"/>
        <v>190894856</v>
      </c>
      <c r="G67" s="7" t="s">
        <v>330</v>
      </c>
      <c r="H67" s="24" t="s">
        <v>109</v>
      </c>
      <c r="I67" s="32" t="s">
        <v>152</v>
      </c>
    </row>
    <row r="68" spans="1:9" x14ac:dyDescent="0.35">
      <c r="A68" s="19">
        <v>46034</v>
      </c>
      <c r="B68" s="20"/>
      <c r="C68" s="20"/>
      <c r="D68" s="20">
        <v>10000</v>
      </c>
      <c r="E68" s="234" t="s">
        <v>1036</v>
      </c>
      <c r="F68" s="20">
        <f t="shared" si="0"/>
        <v>190904856</v>
      </c>
      <c r="G68" s="7" t="s">
        <v>330</v>
      </c>
      <c r="H68" s="24" t="s">
        <v>109</v>
      </c>
      <c r="I68" s="32" t="s">
        <v>152</v>
      </c>
    </row>
    <row r="69" spans="1:9" x14ac:dyDescent="0.35">
      <c r="A69" s="19">
        <v>46035</v>
      </c>
      <c r="B69" s="20"/>
      <c r="C69" s="20"/>
      <c r="D69" s="20">
        <v>20000</v>
      </c>
      <c r="E69" s="234" t="s">
        <v>1036</v>
      </c>
      <c r="F69" s="20">
        <f t="shared" si="0"/>
        <v>190924856</v>
      </c>
      <c r="G69" s="7" t="s">
        <v>330</v>
      </c>
      <c r="H69" s="24" t="s">
        <v>109</v>
      </c>
      <c r="I69" s="32" t="s">
        <v>152</v>
      </c>
    </row>
    <row r="70" spans="1:9" x14ac:dyDescent="0.35">
      <c r="A70" s="19">
        <v>46035</v>
      </c>
      <c r="B70" s="20"/>
      <c r="C70" s="20"/>
      <c r="D70" s="20">
        <v>10000</v>
      </c>
      <c r="E70" s="234" t="s">
        <v>1036</v>
      </c>
      <c r="F70" s="20">
        <f t="shared" si="0"/>
        <v>190934856</v>
      </c>
      <c r="G70" s="7" t="s">
        <v>330</v>
      </c>
      <c r="H70" s="24" t="s">
        <v>109</v>
      </c>
      <c r="I70" s="32" t="s">
        <v>152</v>
      </c>
    </row>
    <row r="71" spans="1:9" x14ac:dyDescent="0.35">
      <c r="A71" s="19">
        <v>46035</v>
      </c>
      <c r="B71" s="20"/>
      <c r="C71" s="20"/>
      <c r="D71" s="20">
        <f>2092000-850000</f>
        <v>1242000</v>
      </c>
      <c r="E71" s="234" t="s">
        <v>1036</v>
      </c>
      <c r="F71" s="20">
        <f t="shared" si="0"/>
        <v>192176856</v>
      </c>
      <c r="G71" s="7"/>
      <c r="H71" s="24" t="s">
        <v>107</v>
      </c>
      <c r="I71" s="32" t="s">
        <v>152</v>
      </c>
    </row>
    <row r="72" spans="1:9" x14ac:dyDescent="0.35">
      <c r="A72" s="19">
        <v>46035</v>
      </c>
      <c r="B72" s="20"/>
      <c r="C72" s="20"/>
      <c r="D72" s="20">
        <v>1106000</v>
      </c>
      <c r="E72" s="234" t="s">
        <v>1036</v>
      </c>
      <c r="F72" s="20">
        <f t="shared" si="0"/>
        <v>193282856</v>
      </c>
      <c r="G72" s="7"/>
      <c r="H72" s="24" t="s">
        <v>109</v>
      </c>
      <c r="I72" s="32" t="s">
        <v>152</v>
      </c>
    </row>
    <row r="73" spans="1:9" x14ac:dyDescent="0.35">
      <c r="A73" s="19"/>
      <c r="B73" s="20"/>
      <c r="C73" s="20">
        <v>2348000</v>
      </c>
      <c r="D73" s="20"/>
      <c r="E73" s="234"/>
      <c r="F73" s="20">
        <f t="shared" ref="F73:F136" si="1">+F72+D73-B73</f>
        <v>193282856</v>
      </c>
      <c r="G73" s="7" t="s">
        <v>1041</v>
      </c>
      <c r="H73" s="24"/>
      <c r="I73" s="32"/>
    </row>
    <row r="74" spans="1:9" x14ac:dyDescent="0.35">
      <c r="A74" s="19">
        <v>46036</v>
      </c>
      <c r="B74" s="20"/>
      <c r="C74" s="20"/>
      <c r="D74" s="20">
        <v>10000</v>
      </c>
      <c r="E74" s="234" t="s">
        <v>1036</v>
      </c>
      <c r="F74" s="20">
        <f t="shared" si="1"/>
        <v>193292856</v>
      </c>
      <c r="G74" s="7" t="s">
        <v>330</v>
      </c>
      <c r="H74" s="24" t="s">
        <v>109</v>
      </c>
      <c r="I74" s="32" t="s">
        <v>152</v>
      </c>
    </row>
    <row r="75" spans="1:9" x14ac:dyDescent="0.35">
      <c r="A75" s="19">
        <v>46036</v>
      </c>
      <c r="B75" s="20"/>
      <c r="C75" s="20"/>
      <c r="D75" s="20">
        <v>20000</v>
      </c>
      <c r="E75" s="234" t="s">
        <v>1036</v>
      </c>
      <c r="F75" s="20">
        <f t="shared" si="1"/>
        <v>193312856</v>
      </c>
      <c r="G75" s="7" t="s">
        <v>330</v>
      </c>
      <c r="H75" s="24" t="s">
        <v>109</v>
      </c>
      <c r="I75" s="32" t="s">
        <v>152</v>
      </c>
    </row>
    <row r="76" spans="1:9" x14ac:dyDescent="0.35">
      <c r="A76" s="19">
        <v>46037</v>
      </c>
      <c r="B76" s="20"/>
      <c r="C76" s="20"/>
      <c r="D76" s="20">
        <v>20000</v>
      </c>
      <c r="E76" s="234" t="s">
        <v>1036</v>
      </c>
      <c r="F76" s="20">
        <f t="shared" si="1"/>
        <v>193332856</v>
      </c>
      <c r="G76" s="7" t="s">
        <v>330</v>
      </c>
      <c r="H76" s="24" t="s">
        <v>109</v>
      </c>
      <c r="I76" s="32" t="s">
        <v>152</v>
      </c>
    </row>
    <row r="77" spans="1:9" x14ac:dyDescent="0.35">
      <c r="A77" s="19">
        <v>46037</v>
      </c>
      <c r="B77" s="20">
        <v>700000</v>
      </c>
      <c r="C77" s="20"/>
      <c r="D77" s="20"/>
      <c r="E77" s="234" t="s">
        <v>1036</v>
      </c>
      <c r="F77" s="20">
        <f t="shared" si="1"/>
        <v>192632856</v>
      </c>
      <c r="G77" s="7" t="s">
        <v>1042</v>
      </c>
      <c r="H77" s="24" t="s">
        <v>323</v>
      </c>
      <c r="I77" s="32" t="s">
        <v>152</v>
      </c>
    </row>
    <row r="78" spans="1:9" x14ac:dyDescent="0.35">
      <c r="A78" s="19">
        <v>46037</v>
      </c>
      <c r="B78" s="20">
        <v>6500</v>
      </c>
      <c r="C78" s="20"/>
      <c r="D78" s="20"/>
      <c r="E78" s="234" t="s">
        <v>1036</v>
      </c>
      <c r="F78" s="20">
        <f t="shared" si="1"/>
        <v>192626356</v>
      </c>
      <c r="G78" s="7" t="s">
        <v>1042</v>
      </c>
      <c r="H78" s="24" t="s">
        <v>323</v>
      </c>
      <c r="I78" s="32" t="s">
        <v>152</v>
      </c>
    </row>
    <row r="79" spans="1:9" x14ac:dyDescent="0.35">
      <c r="A79" s="19">
        <v>46038</v>
      </c>
      <c r="B79" s="20"/>
      <c r="C79" s="20"/>
      <c r="D79" s="20">
        <v>10000</v>
      </c>
      <c r="E79" s="234" t="s">
        <v>1043</v>
      </c>
      <c r="F79" s="20">
        <f t="shared" si="1"/>
        <v>192636356</v>
      </c>
      <c r="G79" s="7" t="s">
        <v>330</v>
      </c>
      <c r="H79" s="24" t="s">
        <v>109</v>
      </c>
      <c r="I79" s="32" t="s">
        <v>152</v>
      </c>
    </row>
    <row r="80" spans="1:9" x14ac:dyDescent="0.35">
      <c r="A80" s="19">
        <v>46038</v>
      </c>
      <c r="B80" s="20"/>
      <c r="C80" s="20"/>
      <c r="D80" s="20">
        <v>1011</v>
      </c>
      <c r="E80" s="234" t="s">
        <v>1043</v>
      </c>
      <c r="F80" s="20">
        <f t="shared" si="1"/>
        <v>192637367</v>
      </c>
      <c r="G80" s="7" t="s">
        <v>330</v>
      </c>
      <c r="H80" s="24" t="s">
        <v>109</v>
      </c>
      <c r="I80" s="32" t="s">
        <v>152</v>
      </c>
    </row>
    <row r="81" spans="1:9" x14ac:dyDescent="0.35">
      <c r="A81" s="19">
        <v>46038</v>
      </c>
      <c r="B81" s="20"/>
      <c r="C81" s="20"/>
      <c r="D81" s="20">
        <v>50000</v>
      </c>
      <c r="E81" s="234" t="s">
        <v>1043</v>
      </c>
      <c r="F81" s="20">
        <f t="shared" si="1"/>
        <v>192687367</v>
      </c>
      <c r="G81" s="7" t="s">
        <v>330</v>
      </c>
      <c r="H81" s="24" t="s">
        <v>109</v>
      </c>
      <c r="I81" s="32" t="s">
        <v>152</v>
      </c>
    </row>
    <row r="82" spans="1:9" x14ac:dyDescent="0.35">
      <c r="A82" s="19">
        <v>46038</v>
      </c>
      <c r="B82" s="20"/>
      <c r="C82" s="20"/>
      <c r="D82" s="20">
        <v>20000</v>
      </c>
      <c r="E82" s="234" t="s">
        <v>1043</v>
      </c>
      <c r="F82" s="20">
        <f t="shared" si="1"/>
        <v>192707367</v>
      </c>
      <c r="G82" s="7" t="s">
        <v>330</v>
      </c>
      <c r="H82" s="24" t="s">
        <v>109</v>
      </c>
      <c r="I82" s="32" t="s">
        <v>152</v>
      </c>
    </row>
    <row r="83" spans="1:9" x14ac:dyDescent="0.35">
      <c r="A83" s="19">
        <v>46038</v>
      </c>
      <c r="B83" s="20"/>
      <c r="C83" s="20"/>
      <c r="D83" s="20">
        <v>10000</v>
      </c>
      <c r="E83" s="234" t="s">
        <v>1043</v>
      </c>
      <c r="F83" s="20">
        <f t="shared" si="1"/>
        <v>192717367</v>
      </c>
      <c r="G83" s="7" t="s">
        <v>330</v>
      </c>
      <c r="H83" s="24" t="s">
        <v>109</v>
      </c>
      <c r="I83" s="32" t="s">
        <v>152</v>
      </c>
    </row>
    <row r="84" spans="1:9" x14ac:dyDescent="0.35">
      <c r="A84" s="19">
        <v>46038</v>
      </c>
      <c r="B84" s="20"/>
      <c r="C84" s="20"/>
      <c r="D84" s="20">
        <v>1260000</v>
      </c>
      <c r="E84" s="234" t="s">
        <v>1043</v>
      </c>
      <c r="F84" s="20">
        <f t="shared" si="1"/>
        <v>193977367</v>
      </c>
      <c r="G84" s="7" t="s">
        <v>1047</v>
      </c>
      <c r="H84" s="24" t="s">
        <v>1052</v>
      </c>
      <c r="I84" s="32" t="s">
        <v>152</v>
      </c>
    </row>
    <row r="85" spans="1:9" x14ac:dyDescent="0.35">
      <c r="A85" s="19">
        <v>46038</v>
      </c>
      <c r="B85" s="20"/>
      <c r="C85" s="20"/>
      <c r="D85" s="20">
        <v>100000</v>
      </c>
      <c r="E85" s="234" t="s">
        <v>1043</v>
      </c>
      <c r="F85" s="20">
        <f t="shared" si="1"/>
        <v>194077367</v>
      </c>
      <c r="G85" s="7" t="s">
        <v>330</v>
      </c>
      <c r="H85" s="24" t="s">
        <v>109</v>
      </c>
      <c r="I85" s="32" t="s">
        <v>152</v>
      </c>
    </row>
    <row r="86" spans="1:9" x14ac:dyDescent="0.35">
      <c r="A86" s="19">
        <v>46038</v>
      </c>
      <c r="B86" s="20"/>
      <c r="C86" s="20"/>
      <c r="D86" s="20">
        <v>12600005</v>
      </c>
      <c r="E86" s="234" t="s">
        <v>1043</v>
      </c>
      <c r="F86" s="20">
        <f t="shared" si="1"/>
        <v>206677372</v>
      </c>
      <c r="G86" s="7" t="s">
        <v>1047</v>
      </c>
      <c r="H86" s="24" t="s">
        <v>1052</v>
      </c>
      <c r="I86" s="32" t="s">
        <v>152</v>
      </c>
    </row>
    <row r="87" spans="1:9" x14ac:dyDescent="0.35">
      <c r="A87" s="19">
        <v>46039</v>
      </c>
      <c r="B87" s="20">
        <v>750000</v>
      </c>
      <c r="C87" s="20"/>
      <c r="D87" s="20"/>
      <c r="E87" s="234" t="s">
        <v>1043</v>
      </c>
      <c r="F87" s="20">
        <f t="shared" si="1"/>
        <v>205927372</v>
      </c>
      <c r="G87" s="7" t="s">
        <v>968</v>
      </c>
      <c r="H87" s="24" t="s">
        <v>323</v>
      </c>
      <c r="I87" s="32" t="s">
        <v>152</v>
      </c>
    </row>
    <row r="88" spans="1:9" x14ac:dyDescent="0.35">
      <c r="A88" s="19">
        <v>46039</v>
      </c>
      <c r="B88" s="20"/>
      <c r="C88" s="20"/>
      <c r="D88" s="20">
        <v>20000</v>
      </c>
      <c r="E88" s="234" t="s">
        <v>1043</v>
      </c>
      <c r="F88" s="20">
        <f t="shared" si="1"/>
        <v>205947372</v>
      </c>
      <c r="G88" s="7" t="s">
        <v>330</v>
      </c>
      <c r="H88" s="24" t="s">
        <v>109</v>
      </c>
      <c r="I88" s="32" t="s">
        <v>152</v>
      </c>
    </row>
    <row r="89" spans="1:9" x14ac:dyDescent="0.35">
      <c r="A89" s="19">
        <v>46039</v>
      </c>
      <c r="B89" s="20"/>
      <c r="C89" s="20"/>
      <c r="D89" s="20">
        <v>10000</v>
      </c>
      <c r="E89" s="234" t="s">
        <v>1043</v>
      </c>
      <c r="F89" s="20">
        <f t="shared" si="1"/>
        <v>205957372</v>
      </c>
      <c r="G89" s="7" t="s">
        <v>330</v>
      </c>
      <c r="H89" s="24" t="s">
        <v>109</v>
      </c>
      <c r="I89" s="32" t="s">
        <v>152</v>
      </c>
    </row>
    <row r="90" spans="1:9" x14ac:dyDescent="0.35">
      <c r="A90" s="19">
        <v>46039</v>
      </c>
      <c r="B90" s="20"/>
      <c r="C90" s="20"/>
      <c r="D90" s="20">
        <v>100000</v>
      </c>
      <c r="E90" s="234" t="s">
        <v>1043</v>
      </c>
      <c r="F90" s="20">
        <f t="shared" si="1"/>
        <v>206057372</v>
      </c>
      <c r="G90" s="7" t="s">
        <v>330</v>
      </c>
      <c r="H90" s="24" t="s">
        <v>109</v>
      </c>
      <c r="I90" s="32" t="s">
        <v>152</v>
      </c>
    </row>
    <row r="91" spans="1:9" x14ac:dyDescent="0.35">
      <c r="A91" s="19">
        <v>46039</v>
      </c>
      <c r="B91" s="20"/>
      <c r="C91" s="20"/>
      <c r="D91" s="20">
        <v>25000</v>
      </c>
      <c r="E91" s="234" t="s">
        <v>1043</v>
      </c>
      <c r="F91" s="20">
        <f t="shared" si="1"/>
        <v>206082372</v>
      </c>
      <c r="G91" s="7" t="s">
        <v>330</v>
      </c>
      <c r="H91" s="24" t="s">
        <v>109</v>
      </c>
      <c r="I91" s="32" t="s">
        <v>152</v>
      </c>
    </row>
    <row r="92" spans="1:9" x14ac:dyDescent="0.35">
      <c r="A92" s="19">
        <v>46039</v>
      </c>
      <c r="B92" s="20"/>
      <c r="C92" s="20"/>
      <c r="D92" s="20">
        <v>25000</v>
      </c>
      <c r="E92" s="234" t="s">
        <v>1043</v>
      </c>
      <c r="F92" s="20">
        <f t="shared" si="1"/>
        <v>206107372</v>
      </c>
      <c r="G92" s="7" t="s">
        <v>330</v>
      </c>
      <c r="H92" s="24" t="s">
        <v>109</v>
      </c>
      <c r="I92" s="32" t="s">
        <v>152</v>
      </c>
    </row>
    <row r="93" spans="1:9" x14ac:dyDescent="0.35">
      <c r="A93" s="19">
        <v>46039</v>
      </c>
      <c r="B93" s="20"/>
      <c r="C93" s="20"/>
      <c r="D93" s="20">
        <v>20000</v>
      </c>
      <c r="E93" s="234" t="s">
        <v>1043</v>
      </c>
      <c r="F93" s="20">
        <f t="shared" si="1"/>
        <v>206127372</v>
      </c>
      <c r="G93" s="7" t="s">
        <v>330</v>
      </c>
      <c r="H93" s="24" t="s">
        <v>109</v>
      </c>
      <c r="I93" s="32" t="s">
        <v>152</v>
      </c>
    </row>
    <row r="94" spans="1:9" x14ac:dyDescent="0.35">
      <c r="A94" s="19">
        <v>46039</v>
      </c>
      <c r="B94" s="20"/>
      <c r="C94" s="20"/>
      <c r="D94" s="20">
        <v>50000</v>
      </c>
      <c r="E94" s="234" t="s">
        <v>1043</v>
      </c>
      <c r="F94" s="20">
        <f t="shared" si="1"/>
        <v>206177372</v>
      </c>
      <c r="G94" s="7" t="s">
        <v>330</v>
      </c>
      <c r="H94" s="24" t="s">
        <v>109</v>
      </c>
      <c r="I94" s="32" t="s">
        <v>152</v>
      </c>
    </row>
    <row r="95" spans="1:9" x14ac:dyDescent="0.35">
      <c r="A95" s="19">
        <v>46039</v>
      </c>
      <c r="B95" s="20"/>
      <c r="C95" s="20"/>
      <c r="D95" s="20">
        <v>50000</v>
      </c>
      <c r="E95" s="234" t="s">
        <v>1043</v>
      </c>
      <c r="F95" s="20">
        <f t="shared" si="1"/>
        <v>206227372</v>
      </c>
      <c r="G95" s="7" t="s">
        <v>330</v>
      </c>
      <c r="H95" s="24" t="s">
        <v>109</v>
      </c>
      <c r="I95" s="32" t="s">
        <v>152</v>
      </c>
    </row>
    <row r="96" spans="1:9" x14ac:dyDescent="0.35">
      <c r="A96" s="19">
        <v>46039</v>
      </c>
      <c r="B96" s="20"/>
      <c r="C96" s="20"/>
      <c r="D96" s="20">
        <v>1011</v>
      </c>
      <c r="E96" s="234" t="s">
        <v>1043</v>
      </c>
      <c r="F96" s="20">
        <f t="shared" si="1"/>
        <v>206228383</v>
      </c>
      <c r="G96" s="7" t="s">
        <v>330</v>
      </c>
      <c r="H96" s="24" t="s">
        <v>109</v>
      </c>
      <c r="I96" s="32" t="s">
        <v>152</v>
      </c>
    </row>
    <row r="97" spans="1:9" x14ac:dyDescent="0.35">
      <c r="A97" s="19">
        <v>46039</v>
      </c>
      <c r="B97" s="20"/>
      <c r="C97" s="20"/>
      <c r="D97" s="20">
        <v>630005</v>
      </c>
      <c r="E97" s="234" t="s">
        <v>1043</v>
      </c>
      <c r="F97" s="20">
        <f t="shared" si="1"/>
        <v>206858388</v>
      </c>
      <c r="G97" s="7" t="s">
        <v>1047</v>
      </c>
      <c r="H97" s="24" t="s">
        <v>1052</v>
      </c>
      <c r="I97" s="32" t="s">
        <v>152</v>
      </c>
    </row>
    <row r="98" spans="1:9" x14ac:dyDescent="0.35">
      <c r="A98" s="19">
        <v>46039</v>
      </c>
      <c r="B98" s="20"/>
      <c r="C98" s="20"/>
      <c r="D98" s="20">
        <v>150005</v>
      </c>
      <c r="E98" s="234" t="s">
        <v>1043</v>
      </c>
      <c r="F98" s="20">
        <f t="shared" si="1"/>
        <v>207008393</v>
      </c>
      <c r="G98" s="7" t="s">
        <v>1047</v>
      </c>
      <c r="H98" s="24" t="s">
        <v>1052</v>
      </c>
      <c r="I98" s="32" t="s">
        <v>152</v>
      </c>
    </row>
    <row r="99" spans="1:9" x14ac:dyDescent="0.35">
      <c r="A99" s="19">
        <v>46039</v>
      </c>
      <c r="B99" s="20"/>
      <c r="C99" s="20"/>
      <c r="D99" s="20">
        <v>6000000</v>
      </c>
      <c r="E99" s="234" t="s">
        <v>1043</v>
      </c>
      <c r="F99" s="20">
        <f t="shared" si="1"/>
        <v>213008393</v>
      </c>
      <c r="G99" s="7" t="s">
        <v>1048</v>
      </c>
      <c r="H99" s="24" t="s">
        <v>109</v>
      </c>
      <c r="I99" s="32" t="s">
        <v>152</v>
      </c>
    </row>
    <row r="100" spans="1:9" x14ac:dyDescent="0.35">
      <c r="A100" s="19">
        <v>46039</v>
      </c>
      <c r="B100" s="20"/>
      <c r="C100" s="20"/>
      <c r="D100" s="20">
        <v>1260005</v>
      </c>
      <c r="E100" s="234" t="s">
        <v>1043</v>
      </c>
      <c r="F100" s="20">
        <f t="shared" si="1"/>
        <v>214268398</v>
      </c>
      <c r="G100" s="7" t="s">
        <v>1047</v>
      </c>
      <c r="H100" s="24" t="s">
        <v>1052</v>
      </c>
      <c r="I100" s="32" t="s">
        <v>152</v>
      </c>
    </row>
    <row r="101" spans="1:9" x14ac:dyDescent="0.35">
      <c r="A101" s="19">
        <v>46039</v>
      </c>
      <c r="B101" s="20"/>
      <c r="C101" s="20"/>
      <c r="D101" s="20">
        <v>500005</v>
      </c>
      <c r="E101" s="234" t="s">
        <v>1043</v>
      </c>
      <c r="F101" s="20">
        <f t="shared" si="1"/>
        <v>214768403</v>
      </c>
      <c r="G101" s="7" t="s">
        <v>1047</v>
      </c>
      <c r="H101" s="24" t="s">
        <v>1052</v>
      </c>
      <c r="I101" s="32" t="s">
        <v>152</v>
      </c>
    </row>
    <row r="102" spans="1:9" x14ac:dyDescent="0.35">
      <c r="A102" s="19">
        <v>46039</v>
      </c>
      <c r="B102" s="20"/>
      <c r="C102" s="20"/>
      <c r="D102" s="20">
        <v>1260000</v>
      </c>
      <c r="E102" s="234" t="s">
        <v>1043</v>
      </c>
      <c r="F102" s="20">
        <f t="shared" si="1"/>
        <v>216028403</v>
      </c>
      <c r="G102" s="7" t="s">
        <v>1047</v>
      </c>
      <c r="H102" s="24" t="s">
        <v>1052</v>
      </c>
      <c r="I102" s="32" t="s">
        <v>152</v>
      </c>
    </row>
    <row r="103" spans="1:9" x14ac:dyDescent="0.35">
      <c r="A103" s="19">
        <v>46040</v>
      </c>
      <c r="B103" s="20">
        <v>750000</v>
      </c>
      <c r="C103" s="20"/>
      <c r="D103" s="20"/>
      <c r="E103" s="234" t="s">
        <v>1043</v>
      </c>
      <c r="F103" s="20">
        <f t="shared" si="1"/>
        <v>215278403</v>
      </c>
      <c r="G103" s="7" t="s">
        <v>969</v>
      </c>
      <c r="H103" s="24" t="s">
        <v>323</v>
      </c>
      <c r="I103" s="32" t="s">
        <v>152</v>
      </c>
    </row>
    <row r="104" spans="1:9" x14ac:dyDescent="0.35">
      <c r="A104" s="19">
        <v>46040</v>
      </c>
      <c r="B104" s="20">
        <v>6500</v>
      </c>
      <c r="C104" s="20"/>
      <c r="D104" s="20"/>
      <c r="E104" s="234" t="s">
        <v>1043</v>
      </c>
      <c r="F104" s="20">
        <f t="shared" si="1"/>
        <v>215271903</v>
      </c>
      <c r="G104" s="7" t="s">
        <v>969</v>
      </c>
      <c r="H104" s="24" t="s">
        <v>323</v>
      </c>
      <c r="I104" s="32" t="s">
        <v>152</v>
      </c>
    </row>
    <row r="105" spans="1:9" x14ac:dyDescent="0.35">
      <c r="A105" s="19">
        <v>46040</v>
      </c>
      <c r="B105" s="20"/>
      <c r="C105" s="20"/>
      <c r="D105" s="20">
        <v>10000</v>
      </c>
      <c r="E105" s="234" t="s">
        <v>1043</v>
      </c>
      <c r="F105" s="20">
        <f t="shared" si="1"/>
        <v>215281903</v>
      </c>
      <c r="G105" s="7" t="s">
        <v>330</v>
      </c>
      <c r="H105" s="24" t="s">
        <v>109</v>
      </c>
      <c r="I105" s="32" t="s">
        <v>152</v>
      </c>
    </row>
    <row r="106" spans="1:9" x14ac:dyDescent="0.35">
      <c r="A106" s="19">
        <v>46040</v>
      </c>
      <c r="B106" s="20"/>
      <c r="C106" s="20"/>
      <c r="D106" s="20">
        <v>20000</v>
      </c>
      <c r="E106" s="234" t="s">
        <v>1043</v>
      </c>
      <c r="F106" s="20">
        <f t="shared" si="1"/>
        <v>215301903</v>
      </c>
      <c r="G106" s="7" t="s">
        <v>330</v>
      </c>
      <c r="H106" s="24" t="s">
        <v>109</v>
      </c>
      <c r="I106" s="32" t="s">
        <v>152</v>
      </c>
    </row>
    <row r="107" spans="1:9" x14ac:dyDescent="0.35">
      <c r="A107" s="19">
        <v>46040</v>
      </c>
      <c r="B107" s="20"/>
      <c r="C107" s="20"/>
      <c r="D107" s="20">
        <v>1011</v>
      </c>
      <c r="E107" s="234" t="s">
        <v>1043</v>
      </c>
      <c r="F107" s="20">
        <f t="shared" si="1"/>
        <v>215302914</v>
      </c>
      <c r="G107" s="7" t="s">
        <v>330</v>
      </c>
      <c r="H107" s="24" t="s">
        <v>109</v>
      </c>
      <c r="I107" s="32" t="s">
        <v>152</v>
      </c>
    </row>
    <row r="108" spans="1:9" x14ac:dyDescent="0.35">
      <c r="A108" s="19">
        <v>46040</v>
      </c>
      <c r="B108" s="20"/>
      <c r="C108" s="20"/>
      <c r="D108" s="20">
        <v>5040005</v>
      </c>
      <c r="E108" s="234" t="s">
        <v>1043</v>
      </c>
      <c r="F108" s="20">
        <f t="shared" si="1"/>
        <v>220342919</v>
      </c>
      <c r="G108" s="7" t="s">
        <v>1047</v>
      </c>
      <c r="H108" s="24" t="s">
        <v>1052</v>
      </c>
      <c r="I108" s="32" t="s">
        <v>152</v>
      </c>
    </row>
    <row r="109" spans="1:9" x14ac:dyDescent="0.35">
      <c r="A109" s="19">
        <v>46040</v>
      </c>
      <c r="B109" s="20"/>
      <c r="C109" s="20"/>
      <c r="D109" s="20">
        <v>6300005</v>
      </c>
      <c r="E109" s="234" t="s">
        <v>1043</v>
      </c>
      <c r="F109" s="20">
        <f t="shared" si="1"/>
        <v>226642924</v>
      </c>
      <c r="G109" s="7" t="s">
        <v>1047</v>
      </c>
      <c r="H109" s="24" t="s">
        <v>1052</v>
      </c>
      <c r="I109" s="32" t="s">
        <v>152</v>
      </c>
    </row>
    <row r="110" spans="1:9" x14ac:dyDescent="0.35">
      <c r="A110" s="19">
        <v>46041</v>
      </c>
      <c r="B110" s="20"/>
      <c r="C110" s="20"/>
      <c r="D110" s="20">
        <v>1011</v>
      </c>
      <c r="E110" s="234" t="s">
        <v>1043</v>
      </c>
      <c r="F110" s="20">
        <f t="shared" si="1"/>
        <v>226643935</v>
      </c>
      <c r="G110" s="7" t="s">
        <v>330</v>
      </c>
      <c r="H110" s="24" t="s">
        <v>109</v>
      </c>
      <c r="I110" s="32" t="s">
        <v>152</v>
      </c>
    </row>
    <row r="111" spans="1:9" x14ac:dyDescent="0.35">
      <c r="A111" s="19">
        <v>46041</v>
      </c>
      <c r="B111" s="20"/>
      <c r="C111" s="20"/>
      <c r="D111" s="20">
        <v>1260005</v>
      </c>
      <c r="E111" s="234" t="s">
        <v>1043</v>
      </c>
      <c r="F111" s="20">
        <f t="shared" si="1"/>
        <v>227903940</v>
      </c>
      <c r="G111" s="7" t="s">
        <v>1047</v>
      </c>
      <c r="H111" s="24" t="s">
        <v>1052</v>
      </c>
      <c r="I111" s="32" t="s">
        <v>152</v>
      </c>
    </row>
    <row r="112" spans="1:9" x14ac:dyDescent="0.35">
      <c r="A112" s="19">
        <v>46041</v>
      </c>
      <c r="B112" s="20"/>
      <c r="C112" s="20"/>
      <c r="D112" s="20">
        <v>1260000</v>
      </c>
      <c r="E112" s="234" t="s">
        <v>1043</v>
      </c>
      <c r="F112" s="20">
        <f t="shared" si="1"/>
        <v>229163940</v>
      </c>
      <c r="G112" s="7" t="s">
        <v>1047</v>
      </c>
      <c r="H112" s="24" t="s">
        <v>1052</v>
      </c>
      <c r="I112" s="32" t="s">
        <v>152</v>
      </c>
    </row>
    <row r="113" spans="1:9" x14ac:dyDescent="0.35">
      <c r="A113" s="19">
        <v>46041</v>
      </c>
      <c r="B113" s="20"/>
      <c r="C113" s="20"/>
      <c r="D113" s="20">
        <v>3780005</v>
      </c>
      <c r="E113" s="234" t="s">
        <v>1043</v>
      </c>
      <c r="F113" s="20">
        <f t="shared" si="1"/>
        <v>232943945</v>
      </c>
      <c r="G113" s="7" t="s">
        <v>1047</v>
      </c>
      <c r="H113" s="24" t="s">
        <v>1052</v>
      </c>
      <c r="I113" s="32" t="s">
        <v>152</v>
      </c>
    </row>
    <row r="114" spans="1:9" x14ac:dyDescent="0.35">
      <c r="A114" s="19">
        <v>46041</v>
      </c>
      <c r="B114" s="20"/>
      <c r="C114" s="20"/>
      <c r="D114" s="20">
        <v>100000</v>
      </c>
      <c r="E114" s="234" t="s">
        <v>1043</v>
      </c>
      <c r="F114" s="20">
        <f t="shared" si="1"/>
        <v>233043945</v>
      </c>
      <c r="G114" s="7" t="s">
        <v>970</v>
      </c>
      <c r="H114" s="24" t="s">
        <v>109</v>
      </c>
      <c r="I114" s="32" t="s">
        <v>152</v>
      </c>
    </row>
    <row r="115" spans="1:9" x14ac:dyDescent="0.35">
      <c r="A115" s="19">
        <v>46041</v>
      </c>
      <c r="B115" s="20"/>
      <c r="C115" s="20"/>
      <c r="D115" s="20">
        <v>1800000</v>
      </c>
      <c r="E115" s="234" t="s">
        <v>1043</v>
      </c>
      <c r="F115" s="20">
        <f t="shared" si="1"/>
        <v>234843945</v>
      </c>
      <c r="G115" s="7" t="s">
        <v>1049</v>
      </c>
      <c r="H115" s="24" t="s">
        <v>109</v>
      </c>
      <c r="I115" s="32" t="s">
        <v>152</v>
      </c>
    </row>
    <row r="116" spans="1:9" x14ac:dyDescent="0.35">
      <c r="A116" s="19">
        <v>46042</v>
      </c>
      <c r="B116" s="20"/>
      <c r="C116" s="20"/>
      <c r="D116" s="20">
        <v>1011</v>
      </c>
      <c r="E116" s="234" t="s">
        <v>1043</v>
      </c>
      <c r="F116" s="20">
        <f t="shared" si="1"/>
        <v>234844956</v>
      </c>
      <c r="G116" s="7" t="s">
        <v>330</v>
      </c>
      <c r="H116" s="24" t="s">
        <v>109</v>
      </c>
      <c r="I116" s="32" t="s">
        <v>152</v>
      </c>
    </row>
    <row r="117" spans="1:9" x14ac:dyDescent="0.35">
      <c r="A117" s="19">
        <v>46042</v>
      </c>
      <c r="B117" s="20"/>
      <c r="C117" s="20"/>
      <c r="D117" s="20">
        <v>10000</v>
      </c>
      <c r="E117" s="234" t="s">
        <v>1043</v>
      </c>
      <c r="F117" s="20">
        <f t="shared" si="1"/>
        <v>234854956</v>
      </c>
      <c r="G117" s="7" t="s">
        <v>330</v>
      </c>
      <c r="H117" s="24" t="s">
        <v>109</v>
      </c>
      <c r="I117" s="32" t="s">
        <v>152</v>
      </c>
    </row>
    <row r="118" spans="1:9" x14ac:dyDescent="0.35">
      <c r="A118" s="19">
        <v>46042</v>
      </c>
      <c r="B118" s="20"/>
      <c r="C118" s="20"/>
      <c r="D118" s="20">
        <v>20000</v>
      </c>
      <c r="E118" s="234" t="s">
        <v>1043</v>
      </c>
      <c r="F118" s="20">
        <f t="shared" si="1"/>
        <v>234874956</v>
      </c>
      <c r="G118" s="7" t="s">
        <v>330</v>
      </c>
      <c r="H118" s="24" t="s">
        <v>109</v>
      </c>
      <c r="I118" s="32" t="s">
        <v>152</v>
      </c>
    </row>
    <row r="119" spans="1:9" x14ac:dyDescent="0.35">
      <c r="A119" s="19">
        <v>46042</v>
      </c>
      <c r="B119" s="20"/>
      <c r="C119" s="20"/>
      <c r="D119" s="20">
        <v>1800000</v>
      </c>
      <c r="E119" s="234" t="s">
        <v>1043</v>
      </c>
      <c r="F119" s="20">
        <f t="shared" si="1"/>
        <v>236674956</v>
      </c>
      <c r="G119" s="7" t="s">
        <v>1047</v>
      </c>
      <c r="H119" s="24" t="s">
        <v>1052</v>
      </c>
      <c r="I119" s="32" t="s">
        <v>152</v>
      </c>
    </row>
    <row r="120" spans="1:9" x14ac:dyDescent="0.35">
      <c r="A120" s="19">
        <v>46042</v>
      </c>
      <c r="B120" s="20"/>
      <c r="C120" s="20"/>
      <c r="D120" s="20">
        <f>3306000-850000</f>
        <v>2456000</v>
      </c>
      <c r="E120" s="234" t="s">
        <v>1043</v>
      </c>
      <c r="F120" s="20">
        <f t="shared" si="1"/>
        <v>239130956</v>
      </c>
      <c r="G120" s="7"/>
      <c r="H120" s="24" t="s">
        <v>107</v>
      </c>
      <c r="I120" s="32" t="s">
        <v>152</v>
      </c>
    </row>
    <row r="121" spans="1:9" x14ac:dyDescent="0.35">
      <c r="A121" s="19">
        <v>46042</v>
      </c>
      <c r="B121" s="20"/>
      <c r="C121" s="20"/>
      <c r="D121" s="20">
        <v>2981000</v>
      </c>
      <c r="E121" s="234" t="s">
        <v>1043</v>
      </c>
      <c r="F121" s="20">
        <f t="shared" si="1"/>
        <v>242111956</v>
      </c>
      <c r="G121" s="7"/>
      <c r="H121" s="24" t="s">
        <v>109</v>
      </c>
      <c r="I121" s="32" t="s">
        <v>152</v>
      </c>
    </row>
    <row r="122" spans="1:9" x14ac:dyDescent="0.35">
      <c r="A122" s="19"/>
      <c r="B122" s="20"/>
      <c r="C122" s="20">
        <v>5437000</v>
      </c>
      <c r="D122" s="20"/>
      <c r="E122" s="234"/>
      <c r="F122" s="20">
        <f t="shared" si="1"/>
        <v>242111956</v>
      </c>
      <c r="G122" s="7" t="s">
        <v>1053</v>
      </c>
      <c r="H122" s="24"/>
      <c r="I122" s="32"/>
    </row>
    <row r="123" spans="1:9" x14ac:dyDescent="0.35">
      <c r="A123" s="19">
        <v>46042</v>
      </c>
      <c r="B123" s="20">
        <v>11500000</v>
      </c>
      <c r="C123" s="20"/>
      <c r="D123" s="20"/>
      <c r="E123" s="234" t="s">
        <v>1043</v>
      </c>
      <c r="F123" s="20">
        <f t="shared" si="1"/>
        <v>230611956</v>
      </c>
      <c r="G123" s="7" t="s">
        <v>1050</v>
      </c>
      <c r="H123" s="24" t="s">
        <v>202</v>
      </c>
      <c r="I123" s="32" t="s">
        <v>152</v>
      </c>
    </row>
    <row r="124" spans="1:9" x14ac:dyDescent="0.35">
      <c r="A124" s="19">
        <v>46042</v>
      </c>
      <c r="B124" s="20">
        <v>6500</v>
      </c>
      <c r="C124" s="20"/>
      <c r="D124" s="20"/>
      <c r="E124" s="234" t="s">
        <v>1043</v>
      </c>
      <c r="F124" s="20">
        <f t="shared" si="1"/>
        <v>230605456</v>
      </c>
      <c r="G124" s="7" t="s">
        <v>1050</v>
      </c>
      <c r="H124" s="24" t="s">
        <v>202</v>
      </c>
      <c r="I124" s="32" t="s">
        <v>152</v>
      </c>
    </row>
    <row r="125" spans="1:9" x14ac:dyDescent="0.35">
      <c r="A125" s="19">
        <v>46042</v>
      </c>
      <c r="B125" s="20"/>
      <c r="C125" s="20"/>
      <c r="D125" s="20">
        <v>5040005</v>
      </c>
      <c r="E125" s="234" t="s">
        <v>1043</v>
      </c>
      <c r="F125" s="20">
        <f t="shared" si="1"/>
        <v>235645461</v>
      </c>
      <c r="G125" s="7" t="s">
        <v>1047</v>
      </c>
      <c r="H125" s="24" t="s">
        <v>1052</v>
      </c>
      <c r="I125" s="32" t="s">
        <v>152</v>
      </c>
    </row>
    <row r="126" spans="1:9" x14ac:dyDescent="0.35">
      <c r="A126" s="19">
        <v>46042</v>
      </c>
      <c r="B126" s="20"/>
      <c r="C126" s="20"/>
      <c r="D126" s="20">
        <v>1260000</v>
      </c>
      <c r="E126" s="234" t="s">
        <v>1043</v>
      </c>
      <c r="F126" s="20">
        <f t="shared" si="1"/>
        <v>236905461</v>
      </c>
      <c r="G126" s="7" t="s">
        <v>1047</v>
      </c>
      <c r="H126" s="24" t="s">
        <v>1052</v>
      </c>
      <c r="I126" s="32" t="s">
        <v>152</v>
      </c>
    </row>
    <row r="127" spans="1:9" x14ac:dyDescent="0.35">
      <c r="A127" s="19">
        <v>46042</v>
      </c>
      <c r="B127" s="20"/>
      <c r="C127" s="20"/>
      <c r="D127" s="20">
        <v>1260005</v>
      </c>
      <c r="E127" s="234" t="s">
        <v>1043</v>
      </c>
      <c r="F127" s="20">
        <f t="shared" si="1"/>
        <v>238165466</v>
      </c>
      <c r="G127" s="7" t="s">
        <v>1047</v>
      </c>
      <c r="H127" s="24" t="s">
        <v>1052</v>
      </c>
      <c r="I127" s="32" t="s">
        <v>152</v>
      </c>
    </row>
    <row r="128" spans="1:9" x14ac:dyDescent="0.35">
      <c r="A128" s="19">
        <v>46042</v>
      </c>
      <c r="B128" s="20"/>
      <c r="C128" s="20"/>
      <c r="D128" s="20">
        <v>2520000</v>
      </c>
      <c r="E128" s="234" t="s">
        <v>1043</v>
      </c>
      <c r="F128" s="20">
        <f t="shared" si="1"/>
        <v>240685466</v>
      </c>
      <c r="G128" s="7" t="s">
        <v>1047</v>
      </c>
      <c r="H128" s="24" t="s">
        <v>1052</v>
      </c>
      <c r="I128" s="32" t="s">
        <v>152</v>
      </c>
    </row>
    <row r="129" spans="1:9" x14ac:dyDescent="0.35">
      <c r="A129" s="19">
        <v>46042</v>
      </c>
      <c r="B129" s="20"/>
      <c r="C129" s="20"/>
      <c r="D129" s="20">
        <v>5040005</v>
      </c>
      <c r="E129" s="234" t="s">
        <v>1043</v>
      </c>
      <c r="F129" s="20">
        <f t="shared" si="1"/>
        <v>245725471</v>
      </c>
      <c r="G129" s="7" t="s">
        <v>1047</v>
      </c>
      <c r="H129" s="24" t="s">
        <v>1052</v>
      </c>
      <c r="I129" s="32" t="s">
        <v>152</v>
      </c>
    </row>
    <row r="130" spans="1:9" x14ac:dyDescent="0.35">
      <c r="A130" s="19">
        <v>46043</v>
      </c>
      <c r="B130" s="20"/>
      <c r="C130" s="20"/>
      <c r="D130" s="20">
        <v>1011</v>
      </c>
      <c r="E130" s="234" t="s">
        <v>1043</v>
      </c>
      <c r="F130" s="20">
        <f t="shared" si="1"/>
        <v>245726482</v>
      </c>
      <c r="G130" s="7" t="s">
        <v>330</v>
      </c>
      <c r="H130" s="24" t="s">
        <v>109</v>
      </c>
      <c r="I130" s="32" t="s">
        <v>152</v>
      </c>
    </row>
    <row r="131" spans="1:9" x14ac:dyDescent="0.35">
      <c r="A131" s="19">
        <v>46043</v>
      </c>
      <c r="B131" s="20"/>
      <c r="C131" s="20"/>
      <c r="D131" s="20">
        <v>10000</v>
      </c>
      <c r="E131" s="234" t="s">
        <v>1043</v>
      </c>
      <c r="F131" s="20">
        <f t="shared" si="1"/>
        <v>245736482</v>
      </c>
      <c r="G131" s="7" t="s">
        <v>330</v>
      </c>
      <c r="H131" s="24" t="s">
        <v>109</v>
      </c>
      <c r="I131" s="32" t="s">
        <v>152</v>
      </c>
    </row>
    <row r="132" spans="1:9" x14ac:dyDescent="0.35">
      <c r="A132" s="19">
        <v>46043</v>
      </c>
      <c r="B132" s="20"/>
      <c r="C132" s="20"/>
      <c r="D132" s="20">
        <v>10000</v>
      </c>
      <c r="E132" s="234" t="s">
        <v>1043</v>
      </c>
      <c r="F132" s="20">
        <f t="shared" si="1"/>
        <v>245746482</v>
      </c>
      <c r="G132" s="7" t="s">
        <v>330</v>
      </c>
      <c r="H132" s="24" t="s">
        <v>109</v>
      </c>
      <c r="I132" s="32" t="s">
        <v>152</v>
      </c>
    </row>
    <row r="133" spans="1:9" x14ac:dyDescent="0.35">
      <c r="A133" s="19">
        <v>46043</v>
      </c>
      <c r="B133" s="20"/>
      <c r="C133" s="20"/>
      <c r="D133" s="20">
        <v>20000</v>
      </c>
      <c r="E133" s="234" t="s">
        <v>1043</v>
      </c>
      <c r="F133" s="20">
        <f t="shared" si="1"/>
        <v>245766482</v>
      </c>
      <c r="G133" s="7" t="s">
        <v>330</v>
      </c>
      <c r="H133" s="24" t="s">
        <v>109</v>
      </c>
      <c r="I133" s="32" t="s">
        <v>152</v>
      </c>
    </row>
    <row r="134" spans="1:9" x14ac:dyDescent="0.35">
      <c r="A134" s="19">
        <v>46043</v>
      </c>
      <c r="B134" s="20"/>
      <c r="C134" s="20"/>
      <c r="D134" s="20">
        <v>1260005</v>
      </c>
      <c r="E134" s="234" t="s">
        <v>1043</v>
      </c>
      <c r="F134" s="20">
        <f t="shared" si="1"/>
        <v>247026487</v>
      </c>
      <c r="G134" s="7" t="s">
        <v>1047</v>
      </c>
      <c r="H134" s="24" t="s">
        <v>1052</v>
      </c>
      <c r="I134" s="32" t="s">
        <v>152</v>
      </c>
    </row>
    <row r="135" spans="1:9" x14ac:dyDescent="0.35">
      <c r="A135" s="19">
        <v>46043</v>
      </c>
      <c r="B135" s="20"/>
      <c r="C135" s="20"/>
      <c r="D135" s="20">
        <v>1260005</v>
      </c>
      <c r="E135" s="234" t="s">
        <v>1043</v>
      </c>
      <c r="F135" s="20">
        <f t="shared" si="1"/>
        <v>248286492</v>
      </c>
      <c r="G135" s="7" t="s">
        <v>1047</v>
      </c>
      <c r="H135" s="24" t="s">
        <v>1052</v>
      </c>
      <c r="I135" s="32" t="s">
        <v>152</v>
      </c>
    </row>
    <row r="136" spans="1:9" x14ac:dyDescent="0.35">
      <c r="A136" s="19">
        <v>46043</v>
      </c>
      <c r="B136" s="20"/>
      <c r="C136" s="20"/>
      <c r="D136" s="20">
        <v>750005</v>
      </c>
      <c r="E136" s="234" t="s">
        <v>1043</v>
      </c>
      <c r="F136" s="20">
        <f t="shared" si="1"/>
        <v>249036497</v>
      </c>
      <c r="G136" s="7" t="s">
        <v>1047</v>
      </c>
      <c r="H136" s="24" t="s">
        <v>1052</v>
      </c>
      <c r="I136" s="32" t="s">
        <v>152</v>
      </c>
    </row>
    <row r="137" spans="1:9" x14ac:dyDescent="0.35">
      <c r="A137" s="19">
        <v>46043</v>
      </c>
      <c r="B137" s="20"/>
      <c r="C137" s="20"/>
      <c r="D137" s="20">
        <v>5000005</v>
      </c>
      <c r="E137" s="234" t="s">
        <v>1043</v>
      </c>
      <c r="F137" s="20">
        <f t="shared" ref="F137:F200" si="2">+F136+D137-B137</f>
        <v>254036502</v>
      </c>
      <c r="G137" s="7" t="s">
        <v>1047</v>
      </c>
      <c r="H137" s="24" t="s">
        <v>1052</v>
      </c>
      <c r="I137" s="32" t="s">
        <v>152</v>
      </c>
    </row>
    <row r="138" spans="1:9" x14ac:dyDescent="0.35">
      <c r="A138" s="19">
        <v>46043</v>
      </c>
      <c r="B138" s="20"/>
      <c r="C138" s="20"/>
      <c r="D138" s="20">
        <v>630005</v>
      </c>
      <c r="E138" s="234" t="s">
        <v>1043</v>
      </c>
      <c r="F138" s="20">
        <f t="shared" si="2"/>
        <v>254666507</v>
      </c>
      <c r="G138" s="7" t="s">
        <v>1047</v>
      </c>
      <c r="H138" s="24" t="s">
        <v>1052</v>
      </c>
      <c r="I138" s="32" t="s">
        <v>152</v>
      </c>
    </row>
    <row r="139" spans="1:9" x14ac:dyDescent="0.35">
      <c r="A139" s="19">
        <v>46043</v>
      </c>
      <c r="B139" s="20"/>
      <c r="C139" s="20"/>
      <c r="D139" s="20">
        <v>315005</v>
      </c>
      <c r="E139" s="234" t="s">
        <v>1043</v>
      </c>
      <c r="F139" s="20">
        <f t="shared" si="2"/>
        <v>254981512</v>
      </c>
      <c r="G139" s="7" t="s">
        <v>1047</v>
      </c>
      <c r="H139" s="24" t="s">
        <v>1052</v>
      </c>
      <c r="I139" s="32" t="s">
        <v>152</v>
      </c>
    </row>
    <row r="140" spans="1:9" x14ac:dyDescent="0.35">
      <c r="A140" s="19">
        <v>46043</v>
      </c>
      <c r="B140" s="20"/>
      <c r="C140" s="20"/>
      <c r="D140" s="20">
        <v>12600005</v>
      </c>
      <c r="E140" s="234" t="s">
        <v>1043</v>
      </c>
      <c r="F140" s="20">
        <f t="shared" si="2"/>
        <v>267581517</v>
      </c>
      <c r="G140" s="7" t="s">
        <v>1047</v>
      </c>
      <c r="H140" s="24" t="s">
        <v>1052</v>
      </c>
      <c r="I140" s="32" t="s">
        <v>152</v>
      </c>
    </row>
    <row r="141" spans="1:9" x14ac:dyDescent="0.35">
      <c r="A141" s="19">
        <v>46044</v>
      </c>
      <c r="B141" s="20"/>
      <c r="C141" s="20"/>
      <c r="D141" s="20">
        <v>5040005</v>
      </c>
      <c r="E141" s="234" t="s">
        <v>1043</v>
      </c>
      <c r="F141" s="20">
        <f t="shared" si="2"/>
        <v>272621522</v>
      </c>
      <c r="G141" s="7" t="s">
        <v>1047</v>
      </c>
      <c r="H141" s="24" t="s">
        <v>1052</v>
      </c>
      <c r="I141" s="32" t="s">
        <v>152</v>
      </c>
    </row>
    <row r="142" spans="1:9" x14ac:dyDescent="0.35">
      <c r="A142" s="19">
        <v>46044</v>
      </c>
      <c r="B142" s="20"/>
      <c r="C142" s="20"/>
      <c r="D142" s="20">
        <v>1890005</v>
      </c>
      <c r="E142" s="234" t="s">
        <v>1043</v>
      </c>
      <c r="F142" s="20">
        <f t="shared" si="2"/>
        <v>274511527</v>
      </c>
      <c r="G142" s="7" t="s">
        <v>1047</v>
      </c>
      <c r="H142" s="24" t="s">
        <v>1052</v>
      </c>
      <c r="I142" s="32" t="s">
        <v>152</v>
      </c>
    </row>
    <row r="143" spans="1:9" x14ac:dyDescent="0.35">
      <c r="A143" s="19">
        <v>46044</v>
      </c>
      <c r="B143" s="20"/>
      <c r="C143" s="20"/>
      <c r="D143" s="20">
        <v>3100000</v>
      </c>
      <c r="E143" s="234" t="s">
        <v>1043</v>
      </c>
      <c r="F143" s="20">
        <f t="shared" si="2"/>
        <v>277611527</v>
      </c>
      <c r="G143" s="7" t="s">
        <v>1047</v>
      </c>
      <c r="H143" s="24" t="s">
        <v>1052</v>
      </c>
      <c r="I143" s="32" t="s">
        <v>152</v>
      </c>
    </row>
    <row r="144" spans="1:9" x14ac:dyDescent="0.35">
      <c r="A144" s="19">
        <v>46044</v>
      </c>
      <c r="B144" s="20"/>
      <c r="C144" s="20"/>
      <c r="D144" s="20">
        <v>20000</v>
      </c>
      <c r="E144" s="234" t="s">
        <v>1043</v>
      </c>
      <c r="F144" s="20">
        <f t="shared" si="2"/>
        <v>277631527</v>
      </c>
      <c r="G144" s="7" t="s">
        <v>330</v>
      </c>
      <c r="H144" s="24" t="s">
        <v>109</v>
      </c>
      <c r="I144" s="32" t="s">
        <v>152</v>
      </c>
    </row>
    <row r="145" spans="1:9" x14ac:dyDescent="0.35">
      <c r="A145" s="19">
        <v>46044</v>
      </c>
      <c r="B145" s="20"/>
      <c r="C145" s="20"/>
      <c r="D145" s="20">
        <v>10000005</v>
      </c>
      <c r="E145" s="234" t="s">
        <v>1043</v>
      </c>
      <c r="F145" s="20">
        <f t="shared" si="2"/>
        <v>287631532</v>
      </c>
      <c r="G145" s="7" t="s">
        <v>1047</v>
      </c>
      <c r="H145" s="24" t="s">
        <v>1052</v>
      </c>
      <c r="I145" s="32" t="s">
        <v>152</v>
      </c>
    </row>
    <row r="146" spans="1:9" x14ac:dyDescent="0.35">
      <c r="A146" s="19">
        <v>46044</v>
      </c>
      <c r="B146" s="20"/>
      <c r="C146" s="20"/>
      <c r="D146" s="20">
        <v>630005</v>
      </c>
      <c r="E146" s="234" t="s">
        <v>1043</v>
      </c>
      <c r="F146" s="20">
        <f t="shared" si="2"/>
        <v>288261537</v>
      </c>
      <c r="G146" s="7" t="s">
        <v>1047</v>
      </c>
      <c r="H146" s="24" t="s">
        <v>1052</v>
      </c>
      <c r="I146" s="32" t="s">
        <v>152</v>
      </c>
    </row>
    <row r="147" spans="1:9" x14ac:dyDescent="0.35">
      <c r="A147" s="19">
        <v>46044</v>
      </c>
      <c r="B147" s="20"/>
      <c r="C147" s="20"/>
      <c r="D147" s="20">
        <v>12600000</v>
      </c>
      <c r="E147" s="234" t="s">
        <v>1043</v>
      </c>
      <c r="F147" s="20">
        <f t="shared" si="2"/>
        <v>300861537</v>
      </c>
      <c r="G147" s="7" t="s">
        <v>1047</v>
      </c>
      <c r="H147" s="24" t="s">
        <v>1052</v>
      </c>
      <c r="I147" s="32" t="s">
        <v>152</v>
      </c>
    </row>
    <row r="148" spans="1:9" x14ac:dyDescent="0.35">
      <c r="A148" s="19">
        <v>46044</v>
      </c>
      <c r="B148" s="20"/>
      <c r="C148" s="20"/>
      <c r="D148" s="20">
        <v>1000000</v>
      </c>
      <c r="E148" s="234" t="s">
        <v>1043</v>
      </c>
      <c r="F148" s="20">
        <f t="shared" si="2"/>
        <v>301861537</v>
      </c>
      <c r="G148" s="7" t="s">
        <v>1047</v>
      </c>
      <c r="H148" s="24" t="s">
        <v>1052</v>
      </c>
      <c r="I148" s="32" t="s">
        <v>152</v>
      </c>
    </row>
    <row r="149" spans="1:9" x14ac:dyDescent="0.35">
      <c r="A149" s="19">
        <v>46044</v>
      </c>
      <c r="B149" s="20"/>
      <c r="C149" s="20"/>
      <c r="D149" s="20">
        <v>6300005</v>
      </c>
      <c r="E149" s="234" t="s">
        <v>1054</v>
      </c>
      <c r="F149" s="20">
        <f t="shared" si="2"/>
        <v>308161542</v>
      </c>
      <c r="G149" s="7" t="s">
        <v>1047</v>
      </c>
      <c r="H149" s="24" t="s">
        <v>1052</v>
      </c>
      <c r="I149" s="32" t="s">
        <v>152</v>
      </c>
    </row>
    <row r="150" spans="1:9" x14ac:dyDescent="0.35">
      <c r="A150" s="19">
        <v>46045</v>
      </c>
      <c r="B150" s="20"/>
      <c r="C150" s="20"/>
      <c r="D150" s="20">
        <v>2520005</v>
      </c>
      <c r="E150" s="234" t="s">
        <v>1054</v>
      </c>
      <c r="F150" s="20">
        <f t="shared" si="2"/>
        <v>310681547</v>
      </c>
      <c r="G150" s="7" t="s">
        <v>1047</v>
      </c>
      <c r="H150" s="24" t="s">
        <v>1052</v>
      </c>
      <c r="I150" s="32" t="s">
        <v>152</v>
      </c>
    </row>
    <row r="151" spans="1:9" x14ac:dyDescent="0.35">
      <c r="A151" s="19">
        <v>46045</v>
      </c>
      <c r="B151" s="20"/>
      <c r="C151" s="20"/>
      <c r="D151" s="20">
        <v>1620005</v>
      </c>
      <c r="E151" s="234" t="s">
        <v>1054</v>
      </c>
      <c r="F151" s="20">
        <f t="shared" si="2"/>
        <v>312301552</v>
      </c>
      <c r="G151" s="7" t="s">
        <v>1047</v>
      </c>
      <c r="H151" s="24" t="s">
        <v>1052</v>
      </c>
      <c r="I151" s="32" t="s">
        <v>152</v>
      </c>
    </row>
    <row r="152" spans="1:9" x14ac:dyDescent="0.35">
      <c r="A152" s="19">
        <v>46045</v>
      </c>
      <c r="B152" s="20"/>
      <c r="C152" s="20"/>
      <c r="D152" s="20">
        <v>12600005</v>
      </c>
      <c r="E152" s="234" t="s">
        <v>1054</v>
      </c>
      <c r="F152" s="20">
        <f t="shared" si="2"/>
        <v>324901557</v>
      </c>
      <c r="G152" s="7" t="s">
        <v>1047</v>
      </c>
      <c r="H152" s="24" t="s">
        <v>1052</v>
      </c>
      <c r="I152" s="32" t="s">
        <v>152</v>
      </c>
    </row>
    <row r="153" spans="1:9" x14ac:dyDescent="0.35">
      <c r="A153" s="19">
        <v>46045</v>
      </c>
      <c r="B153" s="20"/>
      <c r="C153" s="20"/>
      <c r="D153" s="20">
        <v>1260005</v>
      </c>
      <c r="E153" s="234" t="s">
        <v>1054</v>
      </c>
      <c r="F153" s="20">
        <f t="shared" si="2"/>
        <v>326161562</v>
      </c>
      <c r="G153" s="7" t="s">
        <v>1047</v>
      </c>
      <c r="H153" s="24" t="s">
        <v>1052</v>
      </c>
      <c r="I153" s="32" t="s">
        <v>152</v>
      </c>
    </row>
    <row r="154" spans="1:9" x14ac:dyDescent="0.35">
      <c r="A154" s="19">
        <v>46045</v>
      </c>
      <c r="B154" s="20"/>
      <c r="C154" s="20"/>
      <c r="D154" s="20">
        <v>20000</v>
      </c>
      <c r="E154" s="234" t="s">
        <v>1054</v>
      </c>
      <c r="F154" s="20">
        <f t="shared" si="2"/>
        <v>326181562</v>
      </c>
      <c r="G154" s="7" t="s">
        <v>330</v>
      </c>
      <c r="H154" s="24" t="s">
        <v>109</v>
      </c>
      <c r="I154" s="32" t="s">
        <v>152</v>
      </c>
    </row>
    <row r="155" spans="1:9" x14ac:dyDescent="0.35">
      <c r="A155" s="19">
        <v>46045</v>
      </c>
      <c r="B155" s="20"/>
      <c r="C155" s="20"/>
      <c r="D155" s="20">
        <v>1011</v>
      </c>
      <c r="E155" s="234" t="s">
        <v>1054</v>
      </c>
      <c r="F155" s="20">
        <f t="shared" si="2"/>
        <v>326182573</v>
      </c>
      <c r="G155" s="7" t="s">
        <v>330</v>
      </c>
      <c r="H155" s="24" t="s">
        <v>109</v>
      </c>
      <c r="I155" s="32" t="s">
        <v>152</v>
      </c>
    </row>
    <row r="156" spans="1:9" x14ac:dyDescent="0.35">
      <c r="A156" s="19">
        <v>46045</v>
      </c>
      <c r="B156" s="20"/>
      <c r="C156" s="20"/>
      <c r="D156" s="20">
        <v>1500000</v>
      </c>
      <c r="E156" s="234" t="s">
        <v>1054</v>
      </c>
      <c r="F156" s="20">
        <f t="shared" si="2"/>
        <v>327682573</v>
      </c>
      <c r="G156" s="7" t="s">
        <v>1047</v>
      </c>
      <c r="H156" s="24" t="s">
        <v>1052</v>
      </c>
      <c r="I156" s="32" t="s">
        <v>152</v>
      </c>
    </row>
    <row r="157" spans="1:9" x14ac:dyDescent="0.35">
      <c r="A157" s="19">
        <v>46045</v>
      </c>
      <c r="B157" s="20"/>
      <c r="C157" s="20"/>
      <c r="D157" s="20">
        <v>2525000</v>
      </c>
      <c r="E157" s="234" t="s">
        <v>1054</v>
      </c>
      <c r="F157" s="20">
        <f t="shared" si="2"/>
        <v>330207573</v>
      </c>
      <c r="G157" s="7" t="s">
        <v>1047</v>
      </c>
      <c r="H157" s="24" t="s">
        <v>1052</v>
      </c>
      <c r="I157" s="32" t="s">
        <v>152</v>
      </c>
    </row>
    <row r="158" spans="1:9" x14ac:dyDescent="0.35">
      <c r="A158" s="19">
        <v>46045</v>
      </c>
      <c r="B158" s="20"/>
      <c r="C158" s="20"/>
      <c r="D158" s="20">
        <v>5000005</v>
      </c>
      <c r="E158" s="234" t="s">
        <v>1054</v>
      </c>
      <c r="F158" s="20">
        <f t="shared" si="2"/>
        <v>335207578</v>
      </c>
      <c r="G158" s="7" t="s">
        <v>1047</v>
      </c>
      <c r="H158" s="24" t="s">
        <v>1052</v>
      </c>
      <c r="I158" s="32" t="s">
        <v>152</v>
      </c>
    </row>
    <row r="159" spans="1:9" x14ac:dyDescent="0.35">
      <c r="A159" s="19">
        <v>46045</v>
      </c>
      <c r="B159" s="20">
        <v>3000000</v>
      </c>
      <c r="C159" s="20"/>
      <c r="D159" s="20"/>
      <c r="E159" s="234" t="s">
        <v>1054</v>
      </c>
      <c r="F159" s="20">
        <f t="shared" si="2"/>
        <v>332207578</v>
      </c>
      <c r="G159" s="7" t="s">
        <v>1055</v>
      </c>
      <c r="H159" s="24" t="s">
        <v>203</v>
      </c>
      <c r="I159" s="32" t="s">
        <v>152</v>
      </c>
    </row>
    <row r="160" spans="1:9" x14ac:dyDescent="0.35">
      <c r="A160" s="19">
        <v>46045</v>
      </c>
      <c r="B160" s="20">
        <v>6500</v>
      </c>
      <c r="C160" s="20"/>
      <c r="D160" s="20"/>
      <c r="E160" s="234" t="s">
        <v>1054</v>
      </c>
      <c r="F160" s="20">
        <f t="shared" si="2"/>
        <v>332201078</v>
      </c>
      <c r="G160" s="7" t="s">
        <v>1055</v>
      </c>
      <c r="H160" s="24" t="s">
        <v>203</v>
      </c>
      <c r="I160" s="32" t="s">
        <v>152</v>
      </c>
    </row>
    <row r="161" spans="1:9" x14ac:dyDescent="0.35">
      <c r="A161" s="19">
        <v>46045</v>
      </c>
      <c r="B161" s="20"/>
      <c r="C161" s="20"/>
      <c r="D161" s="20">
        <v>5000005</v>
      </c>
      <c r="E161" s="234" t="s">
        <v>1054</v>
      </c>
      <c r="F161" s="20">
        <f t="shared" si="2"/>
        <v>337201083</v>
      </c>
      <c r="G161" s="7" t="s">
        <v>1047</v>
      </c>
      <c r="H161" s="24" t="s">
        <v>1052</v>
      </c>
      <c r="I161" s="32" t="s">
        <v>152</v>
      </c>
    </row>
    <row r="162" spans="1:9" x14ac:dyDescent="0.35">
      <c r="A162" s="19">
        <v>46045</v>
      </c>
      <c r="B162" s="20"/>
      <c r="C162" s="20"/>
      <c r="D162" s="20">
        <v>10000000</v>
      </c>
      <c r="E162" s="234" t="s">
        <v>1054</v>
      </c>
      <c r="F162" s="20">
        <f t="shared" si="2"/>
        <v>347201083</v>
      </c>
      <c r="G162" s="7" t="s">
        <v>1047</v>
      </c>
      <c r="H162" s="24" t="s">
        <v>1052</v>
      </c>
      <c r="I162" s="32" t="s">
        <v>152</v>
      </c>
    </row>
    <row r="163" spans="1:9" x14ac:dyDescent="0.35">
      <c r="A163" s="19">
        <v>46045</v>
      </c>
      <c r="B163" s="20"/>
      <c r="C163" s="20"/>
      <c r="D163" s="20">
        <v>6300005</v>
      </c>
      <c r="E163" s="234" t="s">
        <v>1054</v>
      </c>
      <c r="F163" s="20">
        <f t="shared" si="2"/>
        <v>353501088</v>
      </c>
      <c r="G163" s="7" t="s">
        <v>1047</v>
      </c>
      <c r="H163" s="24" t="s">
        <v>1052</v>
      </c>
      <c r="I163" s="32" t="s">
        <v>152</v>
      </c>
    </row>
    <row r="164" spans="1:9" x14ac:dyDescent="0.35">
      <c r="A164" s="19">
        <v>46045</v>
      </c>
      <c r="B164" s="20"/>
      <c r="C164" s="20"/>
      <c r="D164" s="20">
        <v>1260005</v>
      </c>
      <c r="E164" s="234" t="s">
        <v>1054</v>
      </c>
      <c r="F164" s="20">
        <f t="shared" si="2"/>
        <v>354761093</v>
      </c>
      <c r="G164" s="7" t="s">
        <v>1047</v>
      </c>
      <c r="H164" s="24" t="s">
        <v>1052</v>
      </c>
      <c r="I164" s="32" t="s">
        <v>152</v>
      </c>
    </row>
    <row r="165" spans="1:9" x14ac:dyDescent="0.35">
      <c r="A165" s="19">
        <v>46045</v>
      </c>
      <c r="B165" s="20"/>
      <c r="C165" s="20"/>
      <c r="D165" s="20">
        <v>1260005</v>
      </c>
      <c r="E165" s="234" t="s">
        <v>1054</v>
      </c>
      <c r="F165" s="20">
        <f t="shared" si="2"/>
        <v>356021098</v>
      </c>
      <c r="G165" s="7" t="s">
        <v>1047</v>
      </c>
      <c r="H165" s="24" t="s">
        <v>1052</v>
      </c>
      <c r="I165" s="32" t="s">
        <v>152</v>
      </c>
    </row>
    <row r="166" spans="1:9" x14ac:dyDescent="0.35">
      <c r="A166" s="19">
        <v>46045</v>
      </c>
      <c r="B166" s="20"/>
      <c r="C166" s="20"/>
      <c r="D166" s="20">
        <v>5000000</v>
      </c>
      <c r="E166" s="234" t="s">
        <v>1054</v>
      </c>
      <c r="F166" s="20">
        <f t="shared" si="2"/>
        <v>361021098</v>
      </c>
      <c r="G166" s="7" t="s">
        <v>1047</v>
      </c>
      <c r="H166" s="24" t="s">
        <v>1052</v>
      </c>
      <c r="I166" s="32" t="s">
        <v>152</v>
      </c>
    </row>
    <row r="167" spans="1:9" x14ac:dyDescent="0.35">
      <c r="A167" s="19">
        <v>46045</v>
      </c>
      <c r="B167" s="20"/>
      <c r="C167" s="20"/>
      <c r="D167" s="20">
        <v>2520005</v>
      </c>
      <c r="E167" s="234" t="s">
        <v>1054</v>
      </c>
      <c r="F167" s="20">
        <f t="shared" si="2"/>
        <v>363541103</v>
      </c>
      <c r="G167" s="7" t="s">
        <v>1047</v>
      </c>
      <c r="H167" s="24" t="s">
        <v>1052</v>
      </c>
      <c r="I167" s="32" t="s">
        <v>152</v>
      </c>
    </row>
    <row r="168" spans="1:9" x14ac:dyDescent="0.35">
      <c r="A168" s="19">
        <v>46045</v>
      </c>
      <c r="B168" s="20"/>
      <c r="C168" s="20"/>
      <c r="D168" s="20">
        <v>2520005</v>
      </c>
      <c r="E168" s="234" t="s">
        <v>1054</v>
      </c>
      <c r="F168" s="20">
        <f t="shared" si="2"/>
        <v>366061108</v>
      </c>
      <c r="G168" s="7" t="s">
        <v>1047</v>
      </c>
      <c r="H168" s="24" t="s">
        <v>1052</v>
      </c>
      <c r="I168" s="32" t="s">
        <v>152</v>
      </c>
    </row>
    <row r="169" spans="1:9" x14ac:dyDescent="0.35">
      <c r="A169" s="19">
        <v>46045</v>
      </c>
      <c r="B169" s="20"/>
      <c r="C169" s="20"/>
      <c r="D169" s="20">
        <v>2505000</v>
      </c>
      <c r="E169" s="234" t="s">
        <v>1054</v>
      </c>
      <c r="F169" s="20">
        <f t="shared" si="2"/>
        <v>368566108</v>
      </c>
      <c r="G169" s="7" t="s">
        <v>1047</v>
      </c>
      <c r="H169" s="24" t="s">
        <v>1052</v>
      </c>
      <c r="I169" s="32" t="s">
        <v>152</v>
      </c>
    </row>
    <row r="170" spans="1:9" x14ac:dyDescent="0.35">
      <c r="A170" s="19">
        <v>46045</v>
      </c>
      <c r="B170" s="20"/>
      <c r="C170" s="20"/>
      <c r="D170" s="20">
        <v>200005</v>
      </c>
      <c r="E170" s="234" t="s">
        <v>1054</v>
      </c>
      <c r="F170" s="20">
        <f t="shared" si="2"/>
        <v>368766113</v>
      </c>
      <c r="G170" s="7" t="s">
        <v>1047</v>
      </c>
      <c r="H170" s="24" t="s">
        <v>1052</v>
      </c>
      <c r="I170" s="32" t="s">
        <v>152</v>
      </c>
    </row>
    <row r="171" spans="1:9" x14ac:dyDescent="0.35">
      <c r="A171" s="19">
        <v>46045</v>
      </c>
      <c r="B171" s="20">
        <v>500000</v>
      </c>
      <c r="C171" s="20"/>
      <c r="D171" s="20"/>
      <c r="E171" s="234" t="s">
        <v>1054</v>
      </c>
      <c r="F171" s="20">
        <f t="shared" si="2"/>
        <v>368266113</v>
      </c>
      <c r="G171" s="7" t="s">
        <v>1056</v>
      </c>
      <c r="H171" s="24" t="s">
        <v>203</v>
      </c>
      <c r="I171" s="32" t="s">
        <v>152</v>
      </c>
    </row>
    <row r="172" spans="1:9" x14ac:dyDescent="0.35">
      <c r="A172" s="19">
        <v>46045</v>
      </c>
      <c r="B172" s="20">
        <v>6500</v>
      </c>
      <c r="C172" s="20"/>
      <c r="D172" s="20"/>
      <c r="E172" s="234" t="s">
        <v>1054</v>
      </c>
      <c r="F172" s="20">
        <f t="shared" si="2"/>
        <v>368259613</v>
      </c>
      <c r="G172" s="7" t="s">
        <v>1056</v>
      </c>
      <c r="H172" s="24" t="s">
        <v>203</v>
      </c>
      <c r="I172" s="32" t="s">
        <v>152</v>
      </c>
    </row>
    <row r="173" spans="1:9" x14ac:dyDescent="0.35">
      <c r="A173" s="19">
        <v>46045</v>
      </c>
      <c r="B173" s="20"/>
      <c r="C173" s="20"/>
      <c r="D173" s="20">
        <v>1000000</v>
      </c>
      <c r="E173" s="234" t="s">
        <v>1054</v>
      </c>
      <c r="F173" s="20">
        <f t="shared" si="2"/>
        <v>369259613</v>
      </c>
      <c r="G173" s="7" t="s">
        <v>609</v>
      </c>
      <c r="H173" s="24" t="s">
        <v>109</v>
      </c>
      <c r="I173" s="32" t="s">
        <v>152</v>
      </c>
    </row>
    <row r="174" spans="1:9" x14ac:dyDescent="0.35">
      <c r="A174" s="19">
        <v>46045</v>
      </c>
      <c r="B174" s="20"/>
      <c r="C174" s="20"/>
      <c r="D174" s="20">
        <v>7560005</v>
      </c>
      <c r="E174" s="234" t="s">
        <v>1054</v>
      </c>
      <c r="F174" s="20">
        <f t="shared" si="2"/>
        <v>376819618</v>
      </c>
      <c r="G174" s="7" t="s">
        <v>1047</v>
      </c>
      <c r="H174" s="24" t="s">
        <v>1052</v>
      </c>
      <c r="I174" s="32" t="s">
        <v>152</v>
      </c>
    </row>
    <row r="175" spans="1:9" x14ac:dyDescent="0.35">
      <c r="A175" s="19">
        <v>46045</v>
      </c>
      <c r="B175" s="20"/>
      <c r="C175" s="20"/>
      <c r="D175" s="20">
        <v>500005</v>
      </c>
      <c r="E175" s="234" t="s">
        <v>1054</v>
      </c>
      <c r="F175" s="20">
        <f t="shared" si="2"/>
        <v>377319623</v>
      </c>
      <c r="G175" s="7" t="s">
        <v>1047</v>
      </c>
      <c r="H175" s="24" t="s">
        <v>1052</v>
      </c>
      <c r="I175" s="32" t="s">
        <v>152</v>
      </c>
    </row>
    <row r="176" spans="1:9" x14ac:dyDescent="0.35">
      <c r="A176" s="19">
        <v>46046</v>
      </c>
      <c r="B176" s="20"/>
      <c r="C176" s="20"/>
      <c r="D176" s="20">
        <v>1260000</v>
      </c>
      <c r="E176" s="234" t="s">
        <v>1054</v>
      </c>
      <c r="F176" s="20">
        <f t="shared" si="2"/>
        <v>378579623</v>
      </c>
      <c r="G176" s="7" t="s">
        <v>1047</v>
      </c>
      <c r="H176" s="24" t="s">
        <v>1052</v>
      </c>
      <c r="I176" s="32" t="s">
        <v>152</v>
      </c>
    </row>
    <row r="177" spans="1:9" x14ac:dyDescent="0.35">
      <c r="A177" s="19">
        <v>46046</v>
      </c>
      <c r="B177" s="20"/>
      <c r="C177" s="20"/>
      <c r="D177" s="20">
        <v>500000</v>
      </c>
      <c r="E177" s="234" t="s">
        <v>1054</v>
      </c>
      <c r="F177" s="20">
        <f t="shared" si="2"/>
        <v>379079623</v>
      </c>
      <c r="G177" s="7" t="s">
        <v>1057</v>
      </c>
      <c r="H177" s="24" t="s">
        <v>109</v>
      </c>
      <c r="I177" s="32" t="s">
        <v>152</v>
      </c>
    </row>
    <row r="178" spans="1:9" x14ac:dyDescent="0.35">
      <c r="A178" s="19">
        <v>46046</v>
      </c>
      <c r="B178" s="20"/>
      <c r="C178" s="20"/>
      <c r="D178" s="20">
        <v>1260005</v>
      </c>
      <c r="E178" s="234" t="s">
        <v>1054</v>
      </c>
      <c r="F178" s="20">
        <f t="shared" si="2"/>
        <v>380339628</v>
      </c>
      <c r="G178" s="7" t="s">
        <v>1047</v>
      </c>
      <c r="H178" s="24" t="s">
        <v>1052</v>
      </c>
      <c r="I178" s="32" t="s">
        <v>152</v>
      </c>
    </row>
    <row r="179" spans="1:9" x14ac:dyDescent="0.35">
      <c r="A179" s="19">
        <v>46046</v>
      </c>
      <c r="B179" s="20"/>
      <c r="C179" s="20"/>
      <c r="D179" s="20">
        <v>1260005</v>
      </c>
      <c r="E179" s="234" t="s">
        <v>1054</v>
      </c>
      <c r="F179" s="20">
        <f t="shared" si="2"/>
        <v>381599633</v>
      </c>
      <c r="G179" s="7" t="s">
        <v>1047</v>
      </c>
      <c r="H179" s="24" t="s">
        <v>1052</v>
      </c>
      <c r="I179" s="32" t="s">
        <v>152</v>
      </c>
    </row>
    <row r="180" spans="1:9" x14ac:dyDescent="0.35">
      <c r="A180" s="19">
        <v>46046</v>
      </c>
      <c r="B180" s="20"/>
      <c r="C180" s="20"/>
      <c r="D180" s="20">
        <v>10000</v>
      </c>
      <c r="E180" s="234" t="s">
        <v>1054</v>
      </c>
      <c r="F180" s="20">
        <f t="shared" si="2"/>
        <v>381609633</v>
      </c>
      <c r="G180" s="7" t="s">
        <v>330</v>
      </c>
      <c r="H180" s="24" t="s">
        <v>109</v>
      </c>
      <c r="I180" s="32" t="s">
        <v>152</v>
      </c>
    </row>
    <row r="181" spans="1:9" x14ac:dyDescent="0.35">
      <c r="A181" s="19">
        <v>46046</v>
      </c>
      <c r="B181" s="20"/>
      <c r="C181" s="20"/>
      <c r="D181" s="20">
        <v>100000</v>
      </c>
      <c r="E181" s="234" t="s">
        <v>1054</v>
      </c>
      <c r="F181" s="20">
        <f t="shared" si="2"/>
        <v>381709633</v>
      </c>
      <c r="G181" s="7" t="s">
        <v>330</v>
      </c>
      <c r="H181" s="24" t="s">
        <v>109</v>
      </c>
      <c r="I181" s="32" t="s">
        <v>152</v>
      </c>
    </row>
    <row r="182" spans="1:9" x14ac:dyDescent="0.35">
      <c r="A182" s="19">
        <v>46046</v>
      </c>
      <c r="B182" s="20"/>
      <c r="C182" s="20"/>
      <c r="D182" s="20">
        <v>20000</v>
      </c>
      <c r="E182" s="234" t="s">
        <v>1054</v>
      </c>
      <c r="F182" s="20">
        <f t="shared" si="2"/>
        <v>381729633</v>
      </c>
      <c r="G182" s="7" t="s">
        <v>330</v>
      </c>
      <c r="H182" s="24" t="s">
        <v>109</v>
      </c>
      <c r="I182" s="32" t="s">
        <v>152</v>
      </c>
    </row>
    <row r="183" spans="1:9" x14ac:dyDescent="0.35">
      <c r="A183" s="19">
        <v>46046</v>
      </c>
      <c r="B183" s="20"/>
      <c r="C183" s="20"/>
      <c r="D183" s="20">
        <v>20000</v>
      </c>
      <c r="E183" s="234" t="s">
        <v>1054</v>
      </c>
      <c r="F183" s="20">
        <f t="shared" si="2"/>
        <v>381749633</v>
      </c>
      <c r="G183" s="7" t="s">
        <v>330</v>
      </c>
      <c r="H183" s="24" t="s">
        <v>109</v>
      </c>
      <c r="I183" s="32" t="s">
        <v>152</v>
      </c>
    </row>
    <row r="184" spans="1:9" x14ac:dyDescent="0.35">
      <c r="A184" s="19">
        <v>46046</v>
      </c>
      <c r="B184" s="20"/>
      <c r="C184" s="20"/>
      <c r="D184" s="20">
        <v>1500005</v>
      </c>
      <c r="E184" s="234" t="s">
        <v>1054</v>
      </c>
      <c r="F184" s="20">
        <f t="shared" si="2"/>
        <v>383249638</v>
      </c>
      <c r="G184" s="7" t="s">
        <v>1047</v>
      </c>
      <c r="H184" s="24" t="s">
        <v>1052</v>
      </c>
      <c r="I184" s="32" t="s">
        <v>152</v>
      </c>
    </row>
    <row r="185" spans="1:9" x14ac:dyDescent="0.35">
      <c r="A185" s="19">
        <v>46046</v>
      </c>
      <c r="B185" s="20"/>
      <c r="C185" s="20"/>
      <c r="D185" s="20">
        <v>500005</v>
      </c>
      <c r="E185" s="234" t="s">
        <v>1054</v>
      </c>
      <c r="F185" s="20">
        <f t="shared" si="2"/>
        <v>383749643</v>
      </c>
      <c r="G185" s="7" t="s">
        <v>1047</v>
      </c>
      <c r="H185" s="24" t="s">
        <v>1052</v>
      </c>
      <c r="I185" s="32" t="s">
        <v>152</v>
      </c>
    </row>
    <row r="186" spans="1:9" x14ac:dyDescent="0.35">
      <c r="A186" s="19">
        <v>46046</v>
      </c>
      <c r="B186" s="20"/>
      <c r="C186" s="20"/>
      <c r="D186" s="20">
        <v>2520000</v>
      </c>
      <c r="E186" s="234" t="s">
        <v>1054</v>
      </c>
      <c r="F186" s="20">
        <f t="shared" si="2"/>
        <v>386269643</v>
      </c>
      <c r="G186" s="7" t="s">
        <v>1047</v>
      </c>
      <c r="H186" s="24" t="s">
        <v>1052</v>
      </c>
      <c r="I186" s="32" t="s">
        <v>152</v>
      </c>
    </row>
    <row r="187" spans="1:9" x14ac:dyDescent="0.35">
      <c r="A187" s="19">
        <v>46046</v>
      </c>
      <c r="B187" s="20"/>
      <c r="C187" s="20"/>
      <c r="D187" s="20">
        <v>1260005</v>
      </c>
      <c r="E187" s="234" t="s">
        <v>1054</v>
      </c>
      <c r="F187" s="20">
        <f t="shared" si="2"/>
        <v>387529648</v>
      </c>
      <c r="G187" s="7" t="s">
        <v>1047</v>
      </c>
      <c r="H187" s="24" t="s">
        <v>1052</v>
      </c>
      <c r="I187" s="32" t="s">
        <v>152</v>
      </c>
    </row>
    <row r="188" spans="1:9" x14ac:dyDescent="0.35">
      <c r="A188" s="19">
        <v>46046</v>
      </c>
      <c r="B188" s="20"/>
      <c r="C188" s="20"/>
      <c r="D188" s="20">
        <v>5000005</v>
      </c>
      <c r="E188" s="234" t="s">
        <v>1054</v>
      </c>
      <c r="F188" s="20">
        <f t="shared" si="2"/>
        <v>392529653</v>
      </c>
      <c r="G188" s="7" t="s">
        <v>1047</v>
      </c>
      <c r="H188" s="24" t="s">
        <v>1052</v>
      </c>
      <c r="I188" s="32" t="s">
        <v>152</v>
      </c>
    </row>
    <row r="189" spans="1:9" x14ac:dyDescent="0.35">
      <c r="A189" s="19">
        <v>46046</v>
      </c>
      <c r="B189" s="20"/>
      <c r="C189" s="20"/>
      <c r="D189" s="20">
        <v>2000005</v>
      </c>
      <c r="E189" s="234" t="s">
        <v>1054</v>
      </c>
      <c r="F189" s="20">
        <f t="shared" si="2"/>
        <v>394529658</v>
      </c>
      <c r="G189" s="7" t="s">
        <v>1047</v>
      </c>
      <c r="H189" s="24" t="s">
        <v>1052</v>
      </c>
      <c r="I189" s="32" t="s">
        <v>152</v>
      </c>
    </row>
    <row r="190" spans="1:9" x14ac:dyDescent="0.35">
      <c r="A190" s="19">
        <v>46046</v>
      </c>
      <c r="B190" s="20"/>
      <c r="C190" s="20"/>
      <c r="D190" s="20">
        <v>630005</v>
      </c>
      <c r="E190" s="234" t="s">
        <v>1054</v>
      </c>
      <c r="F190" s="20">
        <f t="shared" si="2"/>
        <v>395159663</v>
      </c>
      <c r="G190" s="7" t="s">
        <v>1047</v>
      </c>
      <c r="H190" s="24" t="s">
        <v>1052</v>
      </c>
      <c r="I190" s="32" t="s">
        <v>152</v>
      </c>
    </row>
    <row r="191" spans="1:9" x14ac:dyDescent="0.35">
      <c r="A191" s="19">
        <v>46047</v>
      </c>
      <c r="B191" s="20">
        <v>1000000</v>
      </c>
      <c r="C191" s="20"/>
      <c r="D191" s="20"/>
      <c r="E191" s="234" t="s">
        <v>1054</v>
      </c>
      <c r="F191" s="20">
        <f t="shared" si="2"/>
        <v>394159663</v>
      </c>
      <c r="G191" s="7" t="s">
        <v>772</v>
      </c>
      <c r="H191" s="24" t="s">
        <v>323</v>
      </c>
      <c r="I191" s="32" t="s">
        <v>152</v>
      </c>
    </row>
    <row r="192" spans="1:9" x14ac:dyDescent="0.35">
      <c r="A192" s="19">
        <v>46047</v>
      </c>
      <c r="B192" s="20">
        <v>6500</v>
      </c>
      <c r="C192" s="20"/>
      <c r="D192" s="20"/>
      <c r="E192" s="234" t="s">
        <v>1054</v>
      </c>
      <c r="F192" s="20">
        <f t="shared" si="2"/>
        <v>394153163</v>
      </c>
      <c r="G192" s="7" t="s">
        <v>772</v>
      </c>
      <c r="H192" s="24" t="s">
        <v>323</v>
      </c>
      <c r="I192" s="32" t="s">
        <v>152</v>
      </c>
    </row>
    <row r="193" spans="1:9" x14ac:dyDescent="0.35">
      <c r="A193" s="19">
        <v>46047</v>
      </c>
      <c r="B193" s="20"/>
      <c r="C193" s="20"/>
      <c r="D193" s="20">
        <v>200000</v>
      </c>
      <c r="E193" s="234" t="s">
        <v>1054</v>
      </c>
      <c r="F193" s="20">
        <f t="shared" si="2"/>
        <v>394353163</v>
      </c>
      <c r="G193" s="7" t="s">
        <v>1058</v>
      </c>
      <c r="H193" s="24" t="s">
        <v>140</v>
      </c>
      <c r="I193" s="32" t="s">
        <v>152</v>
      </c>
    </row>
    <row r="194" spans="1:9" x14ac:dyDescent="0.35">
      <c r="A194" s="19">
        <v>46047</v>
      </c>
      <c r="B194" s="20"/>
      <c r="C194" s="20"/>
      <c r="D194" s="20">
        <v>20000</v>
      </c>
      <c r="E194" s="234" t="s">
        <v>1054</v>
      </c>
      <c r="F194" s="20">
        <f t="shared" si="2"/>
        <v>394373163</v>
      </c>
      <c r="G194" s="7" t="s">
        <v>330</v>
      </c>
      <c r="H194" s="24" t="s">
        <v>109</v>
      </c>
      <c r="I194" s="32" t="s">
        <v>152</v>
      </c>
    </row>
    <row r="195" spans="1:9" x14ac:dyDescent="0.35">
      <c r="A195" s="19">
        <v>46047</v>
      </c>
      <c r="B195" s="20"/>
      <c r="C195" s="20"/>
      <c r="D195" s="20">
        <v>25000</v>
      </c>
      <c r="E195" s="234" t="s">
        <v>1054</v>
      </c>
      <c r="F195" s="20">
        <f t="shared" si="2"/>
        <v>394398163</v>
      </c>
      <c r="G195" s="7" t="s">
        <v>330</v>
      </c>
      <c r="H195" s="24" t="s">
        <v>109</v>
      </c>
      <c r="I195" s="32" t="s">
        <v>152</v>
      </c>
    </row>
    <row r="196" spans="1:9" x14ac:dyDescent="0.35">
      <c r="A196" s="19">
        <v>46047</v>
      </c>
      <c r="B196" s="20"/>
      <c r="C196" s="20"/>
      <c r="D196" s="20">
        <v>100005</v>
      </c>
      <c r="E196" s="234" t="s">
        <v>1054</v>
      </c>
      <c r="F196" s="20">
        <f t="shared" si="2"/>
        <v>394498168</v>
      </c>
      <c r="G196" s="7" t="s">
        <v>1047</v>
      </c>
      <c r="H196" s="24" t="s">
        <v>1052</v>
      </c>
      <c r="I196" s="32" t="s">
        <v>152</v>
      </c>
    </row>
    <row r="197" spans="1:9" x14ac:dyDescent="0.35">
      <c r="A197" s="19">
        <v>46047</v>
      </c>
      <c r="B197" s="20">
        <v>9650000</v>
      </c>
      <c r="C197" s="20"/>
      <c r="D197" s="20"/>
      <c r="E197" s="234" t="s">
        <v>1054</v>
      </c>
      <c r="F197" s="20">
        <f t="shared" si="2"/>
        <v>384848168</v>
      </c>
      <c r="G197" s="7" t="s">
        <v>1059</v>
      </c>
      <c r="H197" s="24" t="s">
        <v>202</v>
      </c>
      <c r="I197" s="32" t="s">
        <v>152</v>
      </c>
    </row>
    <row r="198" spans="1:9" x14ac:dyDescent="0.35">
      <c r="A198" s="19">
        <v>46047</v>
      </c>
      <c r="B198" s="20">
        <v>6500</v>
      </c>
      <c r="C198" s="20"/>
      <c r="D198" s="20"/>
      <c r="E198" s="234" t="s">
        <v>1054</v>
      </c>
      <c r="F198" s="20">
        <f t="shared" si="2"/>
        <v>384841668</v>
      </c>
      <c r="G198" s="7" t="s">
        <v>1059</v>
      </c>
      <c r="H198" s="24" t="s">
        <v>202</v>
      </c>
      <c r="I198" s="32" t="s">
        <v>152</v>
      </c>
    </row>
    <row r="199" spans="1:9" x14ac:dyDescent="0.35">
      <c r="A199" s="19">
        <v>46047</v>
      </c>
      <c r="B199" s="20"/>
      <c r="C199" s="20"/>
      <c r="D199" s="20">
        <v>630005</v>
      </c>
      <c r="E199" s="234" t="s">
        <v>1054</v>
      </c>
      <c r="F199" s="20">
        <f t="shared" si="2"/>
        <v>385471673</v>
      </c>
      <c r="G199" s="7" t="s">
        <v>1047</v>
      </c>
      <c r="H199" s="24" t="s">
        <v>1052</v>
      </c>
      <c r="I199" s="32" t="s">
        <v>152</v>
      </c>
    </row>
    <row r="200" spans="1:9" x14ac:dyDescent="0.35">
      <c r="A200" s="19">
        <v>46047</v>
      </c>
      <c r="B200" s="20"/>
      <c r="C200" s="20"/>
      <c r="D200" s="20">
        <v>800000</v>
      </c>
      <c r="E200" s="234" t="s">
        <v>1054</v>
      </c>
      <c r="F200" s="20">
        <f t="shared" si="2"/>
        <v>386271673</v>
      </c>
      <c r="G200" s="7" t="s">
        <v>1060</v>
      </c>
      <c r="H200" s="24" t="s">
        <v>109</v>
      </c>
      <c r="I200" s="32" t="s">
        <v>152</v>
      </c>
    </row>
    <row r="201" spans="1:9" x14ac:dyDescent="0.35">
      <c r="A201" s="19">
        <v>46047</v>
      </c>
      <c r="B201" s="20"/>
      <c r="C201" s="20"/>
      <c r="D201" s="20">
        <v>1350005</v>
      </c>
      <c r="E201" s="234" t="s">
        <v>1054</v>
      </c>
      <c r="F201" s="20">
        <f t="shared" ref="F201:F247" si="3">+F200+D201-B201</f>
        <v>387621678</v>
      </c>
      <c r="G201" s="7" t="s">
        <v>1047</v>
      </c>
      <c r="H201" s="24" t="s">
        <v>1052</v>
      </c>
      <c r="I201" s="32" t="s">
        <v>152</v>
      </c>
    </row>
    <row r="202" spans="1:9" x14ac:dyDescent="0.35">
      <c r="A202" s="19">
        <v>46048</v>
      </c>
      <c r="B202" s="20"/>
      <c r="C202" s="20"/>
      <c r="D202" s="20">
        <v>25000</v>
      </c>
      <c r="E202" s="234" t="s">
        <v>1054</v>
      </c>
      <c r="F202" s="20">
        <f t="shared" si="3"/>
        <v>387646678</v>
      </c>
      <c r="G202" s="7" t="s">
        <v>330</v>
      </c>
      <c r="H202" s="24" t="s">
        <v>109</v>
      </c>
      <c r="I202" s="32" t="s">
        <v>152</v>
      </c>
    </row>
    <row r="203" spans="1:9" x14ac:dyDescent="0.35">
      <c r="A203" s="19">
        <v>46048</v>
      </c>
      <c r="B203" s="20"/>
      <c r="C203" s="20"/>
      <c r="D203" s="20">
        <v>1011</v>
      </c>
      <c r="E203" s="234" t="s">
        <v>1054</v>
      </c>
      <c r="F203" s="20">
        <f t="shared" si="3"/>
        <v>387647689</v>
      </c>
      <c r="G203" s="7" t="s">
        <v>330</v>
      </c>
      <c r="H203" s="24" t="s">
        <v>109</v>
      </c>
      <c r="I203" s="32" t="s">
        <v>152</v>
      </c>
    </row>
    <row r="204" spans="1:9" x14ac:dyDescent="0.35">
      <c r="A204" s="19">
        <v>46048</v>
      </c>
      <c r="B204" s="20"/>
      <c r="C204" s="20"/>
      <c r="D204" s="20">
        <v>20000</v>
      </c>
      <c r="E204" s="234" t="s">
        <v>1054</v>
      </c>
      <c r="F204" s="20">
        <f t="shared" si="3"/>
        <v>387667689</v>
      </c>
      <c r="G204" s="7" t="s">
        <v>330</v>
      </c>
      <c r="H204" s="24" t="s">
        <v>109</v>
      </c>
      <c r="I204" s="32" t="s">
        <v>152</v>
      </c>
    </row>
    <row r="205" spans="1:9" x14ac:dyDescent="0.35">
      <c r="A205" s="19">
        <v>46048</v>
      </c>
      <c r="B205" s="20"/>
      <c r="C205" s="20"/>
      <c r="D205" s="20">
        <v>1000005</v>
      </c>
      <c r="E205" s="234" t="s">
        <v>1054</v>
      </c>
      <c r="F205" s="20">
        <f t="shared" si="3"/>
        <v>388667694</v>
      </c>
      <c r="G205" s="7" t="s">
        <v>1047</v>
      </c>
      <c r="H205" s="24" t="s">
        <v>1052</v>
      </c>
      <c r="I205" s="32" t="s">
        <v>152</v>
      </c>
    </row>
    <row r="206" spans="1:9" x14ac:dyDescent="0.35">
      <c r="A206" s="19">
        <v>46048</v>
      </c>
      <c r="B206" s="20"/>
      <c r="C206" s="20"/>
      <c r="D206" s="20">
        <v>5000000</v>
      </c>
      <c r="E206" s="234" t="s">
        <v>1054</v>
      </c>
      <c r="F206" s="20">
        <f t="shared" si="3"/>
        <v>393667694</v>
      </c>
      <c r="G206" s="7" t="s">
        <v>1047</v>
      </c>
      <c r="H206" s="24" t="s">
        <v>1052</v>
      </c>
      <c r="I206" s="32" t="s">
        <v>152</v>
      </c>
    </row>
    <row r="207" spans="1:9" x14ac:dyDescent="0.35">
      <c r="A207" s="19">
        <v>46048</v>
      </c>
      <c r="B207" s="20"/>
      <c r="C207" s="20"/>
      <c r="D207" s="20">
        <v>350000</v>
      </c>
      <c r="E207" s="234" t="s">
        <v>1054</v>
      </c>
      <c r="F207" s="20">
        <f t="shared" si="3"/>
        <v>394017694</v>
      </c>
      <c r="G207" s="7" t="s">
        <v>1047</v>
      </c>
      <c r="H207" s="24" t="s">
        <v>1052</v>
      </c>
      <c r="I207" s="32" t="s">
        <v>152</v>
      </c>
    </row>
    <row r="208" spans="1:9" x14ac:dyDescent="0.35">
      <c r="A208" s="19">
        <v>46048</v>
      </c>
      <c r="B208" s="20"/>
      <c r="C208" s="20"/>
      <c r="D208" s="20">
        <v>650000</v>
      </c>
      <c r="E208" s="234" t="s">
        <v>1054</v>
      </c>
      <c r="F208" s="20">
        <f t="shared" si="3"/>
        <v>394667694</v>
      </c>
      <c r="G208" s="7" t="s">
        <v>1047</v>
      </c>
      <c r="H208" s="24" t="s">
        <v>1052</v>
      </c>
      <c r="I208" s="32" t="s">
        <v>152</v>
      </c>
    </row>
    <row r="209" spans="1:9" x14ac:dyDescent="0.35">
      <c r="A209" s="19">
        <v>46048</v>
      </c>
      <c r="B209" s="20"/>
      <c r="C209" s="20"/>
      <c r="D209" s="20">
        <f>2539000-850000</f>
        <v>1689000</v>
      </c>
      <c r="E209" s="234" t="s">
        <v>1054</v>
      </c>
      <c r="F209" s="20">
        <f t="shared" si="3"/>
        <v>396356694</v>
      </c>
      <c r="G209" s="7"/>
      <c r="H209" s="24" t="s">
        <v>107</v>
      </c>
      <c r="I209" s="32" t="s">
        <v>152</v>
      </c>
    </row>
    <row r="210" spans="1:9" x14ac:dyDescent="0.35">
      <c r="A210" s="19">
        <v>46048</v>
      </c>
      <c r="B210" s="20"/>
      <c r="C210" s="20"/>
      <c r="D210" s="20">
        <v>1177000</v>
      </c>
      <c r="E210" s="234" t="s">
        <v>1054</v>
      </c>
      <c r="F210" s="20">
        <f t="shared" si="3"/>
        <v>397533694</v>
      </c>
      <c r="G210" s="7"/>
      <c r="H210" s="24" t="s">
        <v>109</v>
      </c>
      <c r="I210" s="32" t="s">
        <v>152</v>
      </c>
    </row>
    <row r="211" spans="1:9" x14ac:dyDescent="0.35">
      <c r="A211" s="19">
        <v>46048</v>
      </c>
      <c r="B211" s="20"/>
      <c r="C211" s="20"/>
      <c r="D211" s="20">
        <v>3500000</v>
      </c>
      <c r="E211" s="234" t="s">
        <v>1054</v>
      </c>
      <c r="F211" s="20">
        <f t="shared" si="3"/>
        <v>401033694</v>
      </c>
      <c r="G211" s="7"/>
      <c r="H211" s="24" t="s">
        <v>1052</v>
      </c>
      <c r="I211" s="32" t="s">
        <v>152</v>
      </c>
    </row>
    <row r="212" spans="1:9" x14ac:dyDescent="0.35">
      <c r="A212" s="19">
        <v>46048</v>
      </c>
      <c r="B212" s="20"/>
      <c r="C212" s="20"/>
      <c r="D212" s="20">
        <v>1250000</v>
      </c>
      <c r="E212" s="234" t="s">
        <v>1054</v>
      </c>
      <c r="F212" s="20">
        <f t="shared" si="3"/>
        <v>402283694</v>
      </c>
      <c r="G212" s="7"/>
      <c r="H212" s="24" t="s">
        <v>1052</v>
      </c>
      <c r="I212" s="32" t="s">
        <v>152</v>
      </c>
    </row>
    <row r="213" spans="1:9" x14ac:dyDescent="0.35">
      <c r="A213" s="19">
        <v>46048</v>
      </c>
      <c r="B213" s="20"/>
      <c r="C213" s="20"/>
      <c r="D213" s="20">
        <v>600000</v>
      </c>
      <c r="E213" s="234" t="s">
        <v>1054</v>
      </c>
      <c r="F213" s="20">
        <f t="shared" si="3"/>
        <v>402883694</v>
      </c>
      <c r="G213" s="7"/>
      <c r="H213" s="24" t="s">
        <v>1052</v>
      </c>
      <c r="I213" s="32" t="s">
        <v>152</v>
      </c>
    </row>
    <row r="214" spans="1:9" x14ac:dyDescent="0.35">
      <c r="A214" s="19"/>
      <c r="B214" s="20"/>
      <c r="C214" s="20">
        <v>8216000</v>
      </c>
      <c r="D214" s="20"/>
      <c r="E214" s="234"/>
      <c r="F214" s="20">
        <f t="shared" si="3"/>
        <v>402883694</v>
      </c>
      <c r="G214" s="7" t="s">
        <v>874</v>
      </c>
      <c r="H214" s="24"/>
      <c r="I214" s="32"/>
    </row>
    <row r="215" spans="1:9" x14ac:dyDescent="0.35">
      <c r="A215" s="19">
        <v>46049</v>
      </c>
      <c r="B215" s="20"/>
      <c r="C215" s="20"/>
      <c r="D215" s="20">
        <v>1011</v>
      </c>
      <c r="E215" s="234" t="s">
        <v>1054</v>
      </c>
      <c r="F215" s="20">
        <f t="shared" si="3"/>
        <v>402884705</v>
      </c>
      <c r="G215" s="7" t="s">
        <v>330</v>
      </c>
      <c r="H215" s="24" t="s">
        <v>109</v>
      </c>
      <c r="I215" s="32" t="s">
        <v>152</v>
      </c>
    </row>
    <row r="216" spans="1:9" x14ac:dyDescent="0.35">
      <c r="A216" s="19">
        <v>46049</v>
      </c>
      <c r="B216" s="20"/>
      <c r="C216" s="20"/>
      <c r="D216" s="20">
        <v>200000</v>
      </c>
      <c r="E216" s="234" t="s">
        <v>1054</v>
      </c>
      <c r="F216" s="20">
        <f t="shared" si="3"/>
        <v>403084705</v>
      </c>
      <c r="G216" s="7" t="s">
        <v>330</v>
      </c>
      <c r="H216" s="24" t="s">
        <v>109</v>
      </c>
      <c r="I216" s="32" t="s">
        <v>152</v>
      </c>
    </row>
    <row r="217" spans="1:9" x14ac:dyDescent="0.35">
      <c r="A217" s="19">
        <v>46049</v>
      </c>
      <c r="B217" s="20">
        <v>2500000</v>
      </c>
      <c r="C217" s="20"/>
      <c r="D217" s="20"/>
      <c r="E217" s="234" t="s">
        <v>1054</v>
      </c>
      <c r="F217" s="20">
        <f t="shared" si="3"/>
        <v>400584705</v>
      </c>
      <c r="G217" s="7" t="s">
        <v>1061</v>
      </c>
      <c r="H217" s="24" t="s">
        <v>201</v>
      </c>
      <c r="I217" s="32" t="s">
        <v>152</v>
      </c>
    </row>
    <row r="218" spans="1:9" x14ac:dyDescent="0.35">
      <c r="A218" s="19">
        <v>46049</v>
      </c>
      <c r="B218" s="20">
        <v>6500</v>
      </c>
      <c r="C218" s="20"/>
      <c r="D218" s="20"/>
      <c r="E218" s="234" t="s">
        <v>1054</v>
      </c>
      <c r="F218" s="20">
        <f t="shared" si="3"/>
        <v>400578205</v>
      </c>
      <c r="G218" s="7" t="s">
        <v>1061</v>
      </c>
      <c r="H218" s="24" t="s">
        <v>201</v>
      </c>
      <c r="I218" s="32" t="s">
        <v>152</v>
      </c>
    </row>
    <row r="219" spans="1:9" x14ac:dyDescent="0.35">
      <c r="A219" s="19">
        <v>46049</v>
      </c>
      <c r="B219" s="20">
        <v>2250000</v>
      </c>
      <c r="C219" s="20"/>
      <c r="D219" s="20"/>
      <c r="E219" s="234" t="s">
        <v>1054</v>
      </c>
      <c r="F219" s="20">
        <f t="shared" si="3"/>
        <v>398328205</v>
      </c>
      <c r="G219" s="7" t="s">
        <v>1062</v>
      </c>
      <c r="H219" s="24" t="s">
        <v>325</v>
      </c>
      <c r="I219" s="32" t="s">
        <v>152</v>
      </c>
    </row>
    <row r="220" spans="1:9" x14ac:dyDescent="0.35">
      <c r="A220" s="19">
        <v>46049</v>
      </c>
      <c r="B220" s="20">
        <v>6500</v>
      </c>
      <c r="C220" s="20"/>
      <c r="D220" s="20"/>
      <c r="E220" s="234" t="s">
        <v>1054</v>
      </c>
      <c r="F220" s="20">
        <f t="shared" si="3"/>
        <v>398321705</v>
      </c>
      <c r="G220" s="7" t="s">
        <v>1062</v>
      </c>
      <c r="H220" s="24" t="s">
        <v>325</v>
      </c>
      <c r="I220" s="32" t="s">
        <v>152</v>
      </c>
    </row>
    <row r="221" spans="1:9" x14ac:dyDescent="0.35">
      <c r="A221" s="19">
        <v>46049</v>
      </c>
      <c r="B221" s="20">
        <v>550000</v>
      </c>
      <c r="C221" s="20"/>
      <c r="D221" s="20"/>
      <c r="E221" s="234" t="s">
        <v>1054</v>
      </c>
      <c r="F221" s="20">
        <f t="shared" si="3"/>
        <v>397771705</v>
      </c>
      <c r="G221" s="7" t="s">
        <v>1063</v>
      </c>
      <c r="H221" s="24" t="s">
        <v>325</v>
      </c>
      <c r="I221" s="32" t="s">
        <v>152</v>
      </c>
    </row>
    <row r="222" spans="1:9" x14ac:dyDescent="0.35">
      <c r="A222" s="19">
        <v>46049</v>
      </c>
      <c r="B222" s="20">
        <v>6500</v>
      </c>
      <c r="C222" s="20"/>
      <c r="D222" s="20"/>
      <c r="E222" s="234" t="s">
        <v>1054</v>
      </c>
      <c r="F222" s="20">
        <f t="shared" si="3"/>
        <v>397765205</v>
      </c>
      <c r="G222" s="7" t="s">
        <v>1063</v>
      </c>
      <c r="H222" s="24" t="s">
        <v>325</v>
      </c>
      <c r="I222" s="32" t="s">
        <v>152</v>
      </c>
    </row>
    <row r="223" spans="1:9" x14ac:dyDescent="0.35">
      <c r="A223" s="19">
        <v>46049</v>
      </c>
      <c r="B223" s="20">
        <v>2700000</v>
      </c>
      <c r="C223" s="20"/>
      <c r="D223" s="20"/>
      <c r="E223" s="234" t="s">
        <v>1054</v>
      </c>
      <c r="F223" s="20">
        <f t="shared" si="3"/>
        <v>395065205</v>
      </c>
      <c r="G223" s="7" t="s">
        <v>1064</v>
      </c>
      <c r="H223" s="24" t="s">
        <v>201</v>
      </c>
      <c r="I223" s="32" t="s">
        <v>152</v>
      </c>
    </row>
    <row r="224" spans="1:9" x14ac:dyDescent="0.35">
      <c r="A224" s="19">
        <v>46049</v>
      </c>
      <c r="B224" s="20">
        <v>6500</v>
      </c>
      <c r="C224" s="20"/>
      <c r="D224" s="20"/>
      <c r="E224" s="234" t="s">
        <v>1054</v>
      </c>
      <c r="F224" s="20">
        <f t="shared" si="3"/>
        <v>395058705</v>
      </c>
      <c r="G224" s="7" t="s">
        <v>1064</v>
      </c>
      <c r="H224" s="24" t="s">
        <v>201</v>
      </c>
      <c r="I224" s="32" t="s">
        <v>152</v>
      </c>
    </row>
    <row r="225" spans="1:9" x14ac:dyDescent="0.35">
      <c r="A225" s="19">
        <v>46049</v>
      </c>
      <c r="B225" s="20">
        <v>4000000</v>
      </c>
      <c r="C225" s="20"/>
      <c r="D225" s="20"/>
      <c r="E225" s="234" t="s">
        <v>1054</v>
      </c>
      <c r="F225" s="20">
        <f t="shared" si="3"/>
        <v>391058705</v>
      </c>
      <c r="G225" s="7" t="s">
        <v>1065</v>
      </c>
      <c r="H225" s="24" t="s">
        <v>201</v>
      </c>
      <c r="I225" s="32" t="s">
        <v>152</v>
      </c>
    </row>
    <row r="226" spans="1:9" x14ac:dyDescent="0.35">
      <c r="A226" s="19">
        <v>46049</v>
      </c>
      <c r="B226" s="20">
        <v>6500</v>
      </c>
      <c r="C226" s="20"/>
      <c r="D226" s="20"/>
      <c r="E226" s="234" t="s">
        <v>1054</v>
      </c>
      <c r="F226" s="20">
        <f t="shared" si="3"/>
        <v>391052205</v>
      </c>
      <c r="G226" s="7" t="s">
        <v>1065</v>
      </c>
      <c r="H226" s="24" t="s">
        <v>201</v>
      </c>
      <c r="I226" s="32" t="s">
        <v>152</v>
      </c>
    </row>
    <row r="227" spans="1:9" x14ac:dyDescent="0.35">
      <c r="A227" s="19">
        <v>46049</v>
      </c>
      <c r="B227" s="20">
        <v>1000000</v>
      </c>
      <c r="C227" s="20"/>
      <c r="D227" s="20"/>
      <c r="E227" s="234" t="s">
        <v>1054</v>
      </c>
      <c r="F227" s="20">
        <f t="shared" si="3"/>
        <v>390052205</v>
      </c>
      <c r="G227" s="7" t="s">
        <v>1066</v>
      </c>
      <c r="H227" s="24" t="s">
        <v>325</v>
      </c>
      <c r="I227" s="32" t="s">
        <v>152</v>
      </c>
    </row>
    <row r="228" spans="1:9" x14ac:dyDescent="0.35">
      <c r="A228" s="19">
        <v>46049</v>
      </c>
      <c r="B228" s="20">
        <v>6500</v>
      </c>
      <c r="C228" s="20"/>
      <c r="D228" s="20"/>
      <c r="E228" s="234" t="s">
        <v>1054</v>
      </c>
      <c r="F228" s="20">
        <f t="shared" si="3"/>
        <v>390045705</v>
      </c>
      <c r="G228" s="7" t="s">
        <v>1066</v>
      </c>
      <c r="H228" s="24" t="s">
        <v>325</v>
      </c>
      <c r="I228" s="32" t="s">
        <v>152</v>
      </c>
    </row>
    <row r="229" spans="1:9" x14ac:dyDescent="0.35">
      <c r="A229" s="19">
        <v>46049</v>
      </c>
      <c r="B229" s="20">
        <v>3500000</v>
      </c>
      <c r="C229" s="20"/>
      <c r="D229" s="20"/>
      <c r="E229" s="234" t="s">
        <v>1054</v>
      </c>
      <c r="F229" s="20">
        <f t="shared" si="3"/>
        <v>386545705</v>
      </c>
      <c r="G229" s="7" t="s">
        <v>1067</v>
      </c>
      <c r="H229" s="24" t="s">
        <v>325</v>
      </c>
      <c r="I229" s="32" t="s">
        <v>152</v>
      </c>
    </row>
    <row r="230" spans="1:9" x14ac:dyDescent="0.35">
      <c r="A230" s="19">
        <v>46049</v>
      </c>
      <c r="B230" s="20">
        <v>6500</v>
      </c>
      <c r="C230" s="20"/>
      <c r="D230" s="20"/>
      <c r="E230" s="234" t="s">
        <v>1054</v>
      </c>
      <c r="F230" s="20">
        <f t="shared" si="3"/>
        <v>386539205</v>
      </c>
      <c r="G230" s="7" t="s">
        <v>1067</v>
      </c>
      <c r="H230" s="24" t="s">
        <v>325</v>
      </c>
      <c r="I230" s="32" t="s">
        <v>152</v>
      </c>
    </row>
    <row r="231" spans="1:9" x14ac:dyDescent="0.35">
      <c r="A231" s="19">
        <v>46049</v>
      </c>
      <c r="B231" s="20">
        <v>2500000</v>
      </c>
      <c r="C231" s="20"/>
      <c r="D231" s="20"/>
      <c r="E231" s="234" t="s">
        <v>1054</v>
      </c>
      <c r="F231" s="20">
        <f t="shared" si="3"/>
        <v>384039205</v>
      </c>
      <c r="G231" s="7" t="s">
        <v>1068</v>
      </c>
      <c r="H231" s="24" t="s">
        <v>325</v>
      </c>
      <c r="I231" s="32" t="s">
        <v>152</v>
      </c>
    </row>
    <row r="232" spans="1:9" x14ac:dyDescent="0.35">
      <c r="A232" s="19">
        <v>46049</v>
      </c>
      <c r="B232" s="20">
        <v>6500</v>
      </c>
      <c r="C232" s="20"/>
      <c r="D232" s="20"/>
      <c r="E232" s="234" t="s">
        <v>1054</v>
      </c>
      <c r="F232" s="20">
        <f t="shared" si="3"/>
        <v>384032705</v>
      </c>
      <c r="G232" s="7" t="s">
        <v>1068</v>
      </c>
      <c r="H232" s="24" t="s">
        <v>325</v>
      </c>
      <c r="I232" s="32" t="s">
        <v>152</v>
      </c>
    </row>
    <row r="233" spans="1:9" x14ac:dyDescent="0.35">
      <c r="A233" s="19">
        <v>46049</v>
      </c>
      <c r="B233" s="20">
        <v>2000000</v>
      </c>
      <c r="C233" s="20"/>
      <c r="D233" s="20"/>
      <c r="E233" s="234" t="s">
        <v>1054</v>
      </c>
      <c r="F233" s="20">
        <f t="shared" si="3"/>
        <v>382032705</v>
      </c>
      <c r="G233" s="7" t="s">
        <v>1069</v>
      </c>
      <c r="H233" s="24" t="s">
        <v>323</v>
      </c>
      <c r="I233" s="32" t="s">
        <v>152</v>
      </c>
    </row>
    <row r="234" spans="1:9" x14ac:dyDescent="0.35">
      <c r="A234" s="19">
        <v>46049</v>
      </c>
      <c r="B234" s="20">
        <v>6500</v>
      </c>
      <c r="C234" s="20"/>
      <c r="D234" s="20"/>
      <c r="E234" s="234" t="s">
        <v>1054</v>
      </c>
      <c r="F234" s="20">
        <f t="shared" si="3"/>
        <v>382026205</v>
      </c>
      <c r="G234" s="7" t="s">
        <v>1069</v>
      </c>
      <c r="H234" s="24" t="s">
        <v>323</v>
      </c>
      <c r="I234" s="32" t="s">
        <v>152</v>
      </c>
    </row>
    <row r="235" spans="1:9" x14ac:dyDescent="0.35">
      <c r="A235" s="19">
        <v>46049</v>
      </c>
      <c r="B235" s="20">
        <v>2750000</v>
      </c>
      <c r="C235" s="20"/>
      <c r="D235" s="20"/>
      <c r="E235" s="234" t="s">
        <v>1054</v>
      </c>
      <c r="F235" s="20">
        <f t="shared" si="3"/>
        <v>379276205</v>
      </c>
      <c r="G235" s="7" t="s">
        <v>1070</v>
      </c>
      <c r="H235" s="24" t="s">
        <v>325</v>
      </c>
      <c r="I235" s="32" t="s">
        <v>152</v>
      </c>
    </row>
    <row r="236" spans="1:9" x14ac:dyDescent="0.35">
      <c r="A236" s="19">
        <v>46049</v>
      </c>
      <c r="B236" s="20"/>
      <c r="C236" s="20"/>
      <c r="D236" s="20">
        <v>5000000</v>
      </c>
      <c r="E236" s="234" t="s">
        <v>1054</v>
      </c>
      <c r="F236" s="20">
        <f t="shared" si="3"/>
        <v>384276205</v>
      </c>
      <c r="G236" s="7" t="s">
        <v>1071</v>
      </c>
      <c r="H236" s="24" t="s">
        <v>109</v>
      </c>
      <c r="I236" s="32" t="s">
        <v>152</v>
      </c>
    </row>
    <row r="237" spans="1:9" x14ac:dyDescent="0.35">
      <c r="A237" s="19">
        <v>46050</v>
      </c>
      <c r="B237" s="20"/>
      <c r="C237" s="20"/>
      <c r="D237" s="20">
        <v>1011</v>
      </c>
      <c r="E237" s="234" t="s">
        <v>1054</v>
      </c>
      <c r="F237" s="20">
        <f t="shared" si="3"/>
        <v>384277216</v>
      </c>
      <c r="G237" s="7" t="s">
        <v>330</v>
      </c>
      <c r="H237" s="24" t="s">
        <v>109</v>
      </c>
      <c r="I237" s="32" t="s">
        <v>152</v>
      </c>
    </row>
    <row r="238" spans="1:9" x14ac:dyDescent="0.35">
      <c r="A238" s="19">
        <v>46050</v>
      </c>
      <c r="B238" s="20"/>
      <c r="C238" s="20"/>
      <c r="D238" s="20">
        <v>20000</v>
      </c>
      <c r="E238" s="234" t="s">
        <v>1054</v>
      </c>
      <c r="F238" s="20">
        <f t="shared" si="3"/>
        <v>384297216</v>
      </c>
      <c r="G238" s="7" t="s">
        <v>330</v>
      </c>
      <c r="H238" s="24" t="s">
        <v>109</v>
      </c>
      <c r="I238" s="32" t="s">
        <v>152</v>
      </c>
    </row>
    <row r="239" spans="1:9" x14ac:dyDescent="0.35">
      <c r="A239" s="19">
        <v>46051</v>
      </c>
      <c r="B239" s="20"/>
      <c r="C239" s="20"/>
      <c r="D239" s="20">
        <v>20000</v>
      </c>
      <c r="E239" s="234" t="s">
        <v>1054</v>
      </c>
      <c r="F239" s="20">
        <f t="shared" si="3"/>
        <v>384317216</v>
      </c>
      <c r="G239" s="7" t="s">
        <v>330</v>
      </c>
      <c r="H239" s="24" t="s">
        <v>109</v>
      </c>
      <c r="I239" s="32" t="s">
        <v>152</v>
      </c>
    </row>
    <row r="240" spans="1:9" x14ac:dyDescent="0.35">
      <c r="A240" s="19">
        <v>46051</v>
      </c>
      <c r="B240" s="20"/>
      <c r="C240" s="20"/>
      <c r="D240" s="20">
        <v>1011</v>
      </c>
      <c r="E240" s="234" t="s">
        <v>1054</v>
      </c>
      <c r="F240" s="20">
        <f t="shared" si="3"/>
        <v>384318227</v>
      </c>
      <c r="G240" s="7" t="s">
        <v>330</v>
      </c>
      <c r="H240" s="24" t="s">
        <v>109</v>
      </c>
      <c r="I240" s="32" t="s">
        <v>152</v>
      </c>
    </row>
    <row r="241" spans="1:10" x14ac:dyDescent="0.35">
      <c r="A241" s="19">
        <v>46051</v>
      </c>
      <c r="B241" s="20"/>
      <c r="C241" s="20"/>
      <c r="D241" s="20">
        <v>500000</v>
      </c>
      <c r="E241" s="234" t="s">
        <v>1054</v>
      </c>
      <c r="F241" s="20">
        <f t="shared" si="3"/>
        <v>384818227</v>
      </c>
      <c r="G241" s="7" t="s">
        <v>1047</v>
      </c>
      <c r="H241" s="24" t="s">
        <v>1052</v>
      </c>
      <c r="I241" s="32" t="s">
        <v>152</v>
      </c>
    </row>
    <row r="242" spans="1:10" x14ac:dyDescent="0.35">
      <c r="A242" s="19">
        <v>46051</v>
      </c>
      <c r="B242" s="20">
        <v>16960000</v>
      </c>
      <c r="C242" s="20"/>
      <c r="D242" s="20"/>
      <c r="E242" s="234" t="s">
        <v>1054</v>
      </c>
      <c r="F242" s="20">
        <f t="shared" si="3"/>
        <v>367858227</v>
      </c>
      <c r="G242" s="7" t="s">
        <v>1072</v>
      </c>
      <c r="H242" s="24" t="s">
        <v>202</v>
      </c>
      <c r="I242" s="32" t="s">
        <v>152</v>
      </c>
    </row>
    <row r="243" spans="1:10" x14ac:dyDescent="0.35">
      <c r="A243" s="19">
        <v>46051</v>
      </c>
      <c r="B243" s="20">
        <v>6500</v>
      </c>
      <c r="C243" s="20"/>
      <c r="D243" s="20"/>
      <c r="E243" s="234" t="s">
        <v>1054</v>
      </c>
      <c r="F243" s="20">
        <f t="shared" si="3"/>
        <v>367851727</v>
      </c>
      <c r="G243" s="7" t="s">
        <v>1072</v>
      </c>
      <c r="H243" s="24" t="s">
        <v>202</v>
      </c>
      <c r="I243" s="32" t="s">
        <v>152</v>
      </c>
    </row>
    <row r="244" spans="1:10" x14ac:dyDescent="0.35">
      <c r="A244" s="19">
        <v>46051</v>
      </c>
      <c r="B244" s="20">
        <v>1500000</v>
      </c>
      <c r="C244" s="20"/>
      <c r="D244" s="20"/>
      <c r="E244" s="234" t="s">
        <v>1054</v>
      </c>
      <c r="F244" s="20">
        <f t="shared" si="3"/>
        <v>366351727</v>
      </c>
      <c r="G244" s="7" t="s">
        <v>1073</v>
      </c>
      <c r="H244" s="24" t="s">
        <v>322</v>
      </c>
      <c r="I244" s="32" t="s">
        <v>152</v>
      </c>
    </row>
    <row r="245" spans="1:10" x14ac:dyDescent="0.35">
      <c r="A245" s="19">
        <v>46051</v>
      </c>
      <c r="B245" s="20">
        <v>6500</v>
      </c>
      <c r="C245" s="20"/>
      <c r="D245" s="20"/>
      <c r="E245" s="234" t="s">
        <v>1054</v>
      </c>
      <c r="F245" s="20">
        <f t="shared" si="3"/>
        <v>366345227</v>
      </c>
      <c r="G245" s="7" t="s">
        <v>1073</v>
      </c>
      <c r="H245" s="24" t="s">
        <v>322</v>
      </c>
      <c r="I245" s="32" t="s">
        <v>152</v>
      </c>
    </row>
    <row r="246" spans="1:10" x14ac:dyDescent="0.35">
      <c r="A246" s="19">
        <v>46051</v>
      </c>
      <c r="B246" s="20">
        <v>4025000</v>
      </c>
      <c r="C246" s="20"/>
      <c r="D246" s="20"/>
      <c r="E246" s="234" t="s">
        <v>1054</v>
      </c>
      <c r="F246" s="20">
        <f t="shared" si="3"/>
        <v>362320227</v>
      </c>
      <c r="G246" s="7" t="s">
        <v>1074</v>
      </c>
      <c r="H246" s="24" t="s">
        <v>499</v>
      </c>
      <c r="I246" s="32" t="s">
        <v>152</v>
      </c>
    </row>
    <row r="247" spans="1:10" x14ac:dyDescent="0.35">
      <c r="A247" s="19">
        <v>46051</v>
      </c>
      <c r="B247" s="20">
        <v>6500</v>
      </c>
      <c r="C247" s="20"/>
      <c r="D247" s="20"/>
      <c r="E247" s="234" t="s">
        <v>1054</v>
      </c>
      <c r="F247" s="20">
        <f t="shared" si="3"/>
        <v>362313727</v>
      </c>
      <c r="G247" s="7" t="s">
        <v>1074</v>
      </c>
      <c r="H247" s="24" t="s">
        <v>499</v>
      </c>
      <c r="I247" s="32" t="s">
        <v>152</v>
      </c>
    </row>
    <row r="248" spans="1:10" x14ac:dyDescent="0.35">
      <c r="A248" s="19"/>
      <c r="B248" s="20"/>
      <c r="C248" s="20"/>
      <c r="D248" s="20"/>
      <c r="E248" s="99"/>
      <c r="F248" s="236">
        <v>362313727</v>
      </c>
      <c r="G248" s="7"/>
      <c r="H248" s="24"/>
      <c r="I248" s="32"/>
    </row>
    <row r="249" spans="1:10" x14ac:dyDescent="0.35">
      <c r="A249" s="144">
        <v>46026</v>
      </c>
      <c r="B249" s="135"/>
      <c r="C249" s="134"/>
      <c r="D249" s="135">
        <v>2000000</v>
      </c>
      <c r="E249" s="235" t="s">
        <v>1033</v>
      </c>
      <c r="F249" s="135">
        <v>3343000</v>
      </c>
      <c r="G249" s="136" t="s">
        <v>414</v>
      </c>
      <c r="H249" s="133" t="s">
        <v>109</v>
      </c>
      <c r="I249" s="134" t="s">
        <v>108</v>
      </c>
    </row>
    <row r="250" spans="1:10" x14ac:dyDescent="0.35">
      <c r="A250" s="144">
        <v>46024</v>
      </c>
      <c r="B250" s="135">
        <v>500000</v>
      </c>
      <c r="C250" s="134"/>
      <c r="D250" s="135"/>
      <c r="E250" s="235" t="s">
        <v>1033</v>
      </c>
      <c r="F250" s="135">
        <f>F249+D250-B250</f>
        <v>2843000</v>
      </c>
      <c r="G250" s="136" t="s">
        <v>302</v>
      </c>
      <c r="H250" s="133" t="s">
        <v>323</v>
      </c>
      <c r="I250" s="134" t="s">
        <v>108</v>
      </c>
    </row>
    <row r="251" spans="1:10" x14ac:dyDescent="0.35">
      <c r="A251" s="144">
        <v>46026</v>
      </c>
      <c r="B251" s="135">
        <v>250000</v>
      </c>
      <c r="C251" s="134"/>
      <c r="D251" s="135"/>
      <c r="E251" s="235" t="s">
        <v>1033</v>
      </c>
      <c r="F251" s="135">
        <f t="shared" ref="F251:F274" si="4">F250+D251-B251</f>
        <v>2593000</v>
      </c>
      <c r="G251" s="136" t="s">
        <v>1018</v>
      </c>
      <c r="H251" s="133" t="s">
        <v>327</v>
      </c>
      <c r="I251" s="134" t="s">
        <v>108</v>
      </c>
      <c r="J251" s="18"/>
    </row>
    <row r="252" spans="1:10" x14ac:dyDescent="0.35">
      <c r="A252" s="144">
        <v>46028</v>
      </c>
      <c r="B252" s="135">
        <v>60000</v>
      </c>
      <c r="C252" s="134"/>
      <c r="D252" s="135"/>
      <c r="E252" s="235" t="s">
        <v>1033</v>
      </c>
      <c r="F252" s="135">
        <f t="shared" si="4"/>
        <v>2533000</v>
      </c>
      <c r="G252" s="136" t="s">
        <v>1034</v>
      </c>
      <c r="H252" s="133" t="s">
        <v>322</v>
      </c>
      <c r="I252" s="134" t="s">
        <v>108</v>
      </c>
    </row>
    <row r="253" spans="1:10" x14ac:dyDescent="0.35">
      <c r="A253" s="144">
        <v>46028</v>
      </c>
      <c r="B253" s="135">
        <v>60000</v>
      </c>
      <c r="C253" s="134"/>
      <c r="D253" s="135"/>
      <c r="E253" s="235" t="s">
        <v>1033</v>
      </c>
      <c r="F253" s="135">
        <f t="shared" si="4"/>
        <v>2473000</v>
      </c>
      <c r="G253" s="136" t="s">
        <v>1035</v>
      </c>
      <c r="H253" s="133" t="s">
        <v>327</v>
      </c>
      <c r="I253" s="134" t="s">
        <v>108</v>
      </c>
    </row>
    <row r="254" spans="1:10" x14ac:dyDescent="0.35">
      <c r="A254" s="144">
        <v>46031</v>
      </c>
      <c r="B254" s="135">
        <v>500000</v>
      </c>
      <c r="C254" s="134"/>
      <c r="D254" s="135"/>
      <c r="E254" s="235" t="s">
        <v>1033</v>
      </c>
      <c r="F254" s="135">
        <f t="shared" si="4"/>
        <v>1973000</v>
      </c>
      <c r="G254" s="136" t="s">
        <v>302</v>
      </c>
      <c r="H254" s="133" t="s">
        <v>323</v>
      </c>
      <c r="I254" s="134" t="s">
        <v>108</v>
      </c>
    </row>
    <row r="255" spans="1:10" x14ac:dyDescent="0.35">
      <c r="A255" s="144">
        <v>46031</v>
      </c>
      <c r="B255" s="135"/>
      <c r="C255" s="134"/>
      <c r="D255" s="135">
        <v>2000000</v>
      </c>
      <c r="E255" s="235" t="s">
        <v>1036</v>
      </c>
      <c r="F255" s="135">
        <f t="shared" si="4"/>
        <v>3973000</v>
      </c>
      <c r="G255" s="136" t="s">
        <v>414</v>
      </c>
      <c r="H255" s="133" t="s">
        <v>109</v>
      </c>
      <c r="I255" s="134" t="s">
        <v>108</v>
      </c>
    </row>
    <row r="256" spans="1:10" x14ac:dyDescent="0.35">
      <c r="A256" s="144">
        <v>46031</v>
      </c>
      <c r="B256" s="135">
        <v>501000</v>
      </c>
      <c r="C256" s="134"/>
      <c r="D256" s="135"/>
      <c r="E256" s="235" t="s">
        <v>1036</v>
      </c>
      <c r="F256" s="135">
        <f t="shared" si="4"/>
        <v>3472000</v>
      </c>
      <c r="G256" s="136" t="s">
        <v>296</v>
      </c>
      <c r="H256" s="133" t="s">
        <v>321</v>
      </c>
      <c r="I256" s="134" t="s">
        <v>108</v>
      </c>
    </row>
    <row r="257" spans="1:9" x14ac:dyDescent="0.35">
      <c r="A257" s="144">
        <v>46032</v>
      </c>
      <c r="B257" s="135">
        <v>540000</v>
      </c>
      <c r="C257" s="134"/>
      <c r="D257" s="135"/>
      <c r="E257" s="235" t="s">
        <v>1036</v>
      </c>
      <c r="F257" s="135">
        <f t="shared" si="4"/>
        <v>2932000</v>
      </c>
      <c r="G257" s="136" t="s">
        <v>1037</v>
      </c>
      <c r="H257" s="133" t="s">
        <v>322</v>
      </c>
      <c r="I257" s="134" t="s">
        <v>108</v>
      </c>
    </row>
    <row r="258" spans="1:9" x14ac:dyDescent="0.35">
      <c r="A258" s="144">
        <v>46032</v>
      </c>
      <c r="B258" s="135">
        <v>250000</v>
      </c>
      <c r="C258" s="134"/>
      <c r="D258" s="135"/>
      <c r="E258" s="235" t="s">
        <v>1036</v>
      </c>
      <c r="F258" s="135">
        <f t="shared" si="4"/>
        <v>2682000</v>
      </c>
      <c r="G258" s="136" t="s">
        <v>1038</v>
      </c>
      <c r="H258" s="133" t="s">
        <v>327</v>
      </c>
      <c r="I258" s="134" t="s">
        <v>108</v>
      </c>
    </row>
    <row r="259" spans="1:9" x14ac:dyDescent="0.35">
      <c r="A259" s="144">
        <v>46035</v>
      </c>
      <c r="B259" s="135">
        <v>60000</v>
      </c>
      <c r="C259" s="134"/>
      <c r="D259" s="135"/>
      <c r="E259" s="235" t="s">
        <v>1036</v>
      </c>
      <c r="F259" s="135">
        <f t="shared" si="4"/>
        <v>2622000</v>
      </c>
      <c r="G259" s="136" t="s">
        <v>1035</v>
      </c>
      <c r="H259" s="133" t="s">
        <v>327</v>
      </c>
      <c r="I259" s="134" t="s">
        <v>108</v>
      </c>
    </row>
    <row r="260" spans="1:9" x14ac:dyDescent="0.35">
      <c r="A260" s="144">
        <v>46036</v>
      </c>
      <c r="B260" s="135">
        <v>140000</v>
      </c>
      <c r="C260" s="134"/>
      <c r="D260" s="135"/>
      <c r="E260" s="235" t="s">
        <v>1036</v>
      </c>
      <c r="F260" s="135">
        <f t="shared" si="4"/>
        <v>2482000</v>
      </c>
      <c r="G260" s="136" t="s">
        <v>1039</v>
      </c>
      <c r="H260" s="133" t="s">
        <v>322</v>
      </c>
      <c r="I260" s="134" t="s">
        <v>108</v>
      </c>
    </row>
    <row r="261" spans="1:9" x14ac:dyDescent="0.35">
      <c r="A261" s="144">
        <v>46038</v>
      </c>
      <c r="B261" s="135">
        <v>500000</v>
      </c>
      <c r="C261" s="134"/>
      <c r="D261" s="135"/>
      <c r="E261" s="235" t="s">
        <v>1036</v>
      </c>
      <c r="F261" s="135">
        <f t="shared" si="4"/>
        <v>1982000</v>
      </c>
      <c r="G261" s="136" t="s">
        <v>302</v>
      </c>
      <c r="H261" s="133" t="s">
        <v>323</v>
      </c>
      <c r="I261" s="134" t="s">
        <v>108</v>
      </c>
    </row>
    <row r="262" spans="1:9" x14ac:dyDescent="0.35">
      <c r="A262" s="144">
        <v>46040</v>
      </c>
      <c r="B262" s="135"/>
      <c r="C262" s="134"/>
      <c r="D262" s="135">
        <v>2000000</v>
      </c>
      <c r="E262" s="235" t="s">
        <v>1043</v>
      </c>
      <c r="F262" s="135">
        <f t="shared" si="4"/>
        <v>3982000</v>
      </c>
      <c r="G262" s="136" t="s">
        <v>414</v>
      </c>
      <c r="H262" s="133" t="s">
        <v>109</v>
      </c>
      <c r="I262" s="134" t="s">
        <v>108</v>
      </c>
    </row>
    <row r="263" spans="1:9" x14ac:dyDescent="0.35">
      <c r="A263" s="144">
        <v>46040</v>
      </c>
      <c r="B263" s="135">
        <v>250000</v>
      </c>
      <c r="C263" s="134"/>
      <c r="D263" s="135"/>
      <c r="E263" s="235" t="s">
        <v>1043</v>
      </c>
      <c r="F263" s="135">
        <f t="shared" si="4"/>
        <v>3732000</v>
      </c>
      <c r="G263" s="136" t="s">
        <v>1038</v>
      </c>
      <c r="H263" s="133" t="s">
        <v>327</v>
      </c>
      <c r="I263" s="134" t="s">
        <v>108</v>
      </c>
    </row>
    <row r="264" spans="1:9" x14ac:dyDescent="0.35">
      <c r="A264" s="144">
        <v>46041</v>
      </c>
      <c r="B264" s="135">
        <v>400000</v>
      </c>
      <c r="C264" s="134"/>
      <c r="D264" s="135"/>
      <c r="E264" s="235" t="s">
        <v>1043</v>
      </c>
      <c r="F264" s="135">
        <f t="shared" si="4"/>
        <v>3332000</v>
      </c>
      <c r="G264" s="136" t="s">
        <v>1044</v>
      </c>
      <c r="H264" s="133" t="s">
        <v>322</v>
      </c>
      <c r="I264" s="134" t="s">
        <v>108</v>
      </c>
    </row>
    <row r="265" spans="1:9" x14ac:dyDescent="0.35">
      <c r="A265" s="144">
        <v>46042</v>
      </c>
      <c r="B265" s="135">
        <v>60000</v>
      </c>
      <c r="C265" s="134"/>
      <c r="D265" s="135"/>
      <c r="E265" s="235" t="s">
        <v>1043</v>
      </c>
      <c r="F265" s="135">
        <f t="shared" si="4"/>
        <v>3272000</v>
      </c>
      <c r="G265" s="136" t="s">
        <v>1035</v>
      </c>
      <c r="H265" s="133" t="s">
        <v>320</v>
      </c>
      <c r="I265" s="134" t="s">
        <v>108</v>
      </c>
    </row>
    <row r="266" spans="1:9" x14ac:dyDescent="0.35">
      <c r="A266" s="144">
        <v>46043</v>
      </c>
      <c r="B266" s="135">
        <v>300000</v>
      </c>
      <c r="C266" s="134"/>
      <c r="D266" s="135"/>
      <c r="E266" s="235" t="s">
        <v>1043</v>
      </c>
      <c r="F266" s="135">
        <f t="shared" si="4"/>
        <v>2972000</v>
      </c>
      <c r="G266" s="136" t="s">
        <v>1045</v>
      </c>
      <c r="H266" s="133" t="s">
        <v>203</v>
      </c>
      <c r="I266" s="134" t="s">
        <v>108</v>
      </c>
    </row>
    <row r="267" spans="1:9" x14ac:dyDescent="0.35">
      <c r="A267" s="144">
        <v>46044</v>
      </c>
      <c r="B267" s="135">
        <v>70000</v>
      </c>
      <c r="C267" s="134"/>
      <c r="D267" s="135"/>
      <c r="E267" s="235" t="s">
        <v>1043</v>
      </c>
      <c r="F267" s="135">
        <f t="shared" si="4"/>
        <v>2902000</v>
      </c>
      <c r="G267" s="136" t="s">
        <v>1046</v>
      </c>
      <c r="H267" s="133" t="s">
        <v>327</v>
      </c>
      <c r="I267" s="134" t="s">
        <v>108</v>
      </c>
    </row>
    <row r="268" spans="1:9" x14ac:dyDescent="0.35">
      <c r="A268" s="144">
        <v>46045</v>
      </c>
      <c r="B268" s="135">
        <v>500000</v>
      </c>
      <c r="C268" s="134"/>
      <c r="D268" s="135"/>
      <c r="E268" s="235" t="s">
        <v>1043</v>
      </c>
      <c r="F268" s="135">
        <f t="shared" si="4"/>
        <v>2402000</v>
      </c>
      <c r="G268" s="136" t="s">
        <v>302</v>
      </c>
      <c r="H268" s="133" t="s">
        <v>323</v>
      </c>
      <c r="I268" s="134" t="s">
        <v>108</v>
      </c>
    </row>
    <row r="269" spans="1:9" x14ac:dyDescent="0.35">
      <c r="A269" s="144">
        <v>46046</v>
      </c>
      <c r="B269" s="135"/>
      <c r="C269" s="134"/>
      <c r="D269" s="135">
        <v>2000000</v>
      </c>
      <c r="E269" s="235" t="s">
        <v>1054</v>
      </c>
      <c r="F269" s="135">
        <f t="shared" si="4"/>
        <v>4402000</v>
      </c>
      <c r="G269" s="136" t="s">
        <v>414</v>
      </c>
      <c r="H269" s="133" t="s">
        <v>109</v>
      </c>
      <c r="I269" s="134" t="s">
        <v>108</v>
      </c>
    </row>
    <row r="270" spans="1:9" x14ac:dyDescent="0.35">
      <c r="A270" s="144">
        <v>46046</v>
      </c>
      <c r="B270" s="135">
        <v>750000</v>
      </c>
      <c r="C270" s="134"/>
      <c r="D270" s="135"/>
      <c r="E270" s="235" t="s">
        <v>1054</v>
      </c>
      <c r="F270" s="135">
        <f t="shared" si="4"/>
        <v>3652000</v>
      </c>
      <c r="G270" s="136" t="s">
        <v>1075</v>
      </c>
      <c r="H270" s="133" t="s">
        <v>323</v>
      </c>
      <c r="I270" s="134" t="s">
        <v>108</v>
      </c>
    </row>
    <row r="271" spans="1:9" x14ac:dyDescent="0.35">
      <c r="A271" s="144">
        <v>46048</v>
      </c>
      <c r="B271" s="135">
        <v>60000</v>
      </c>
      <c r="C271" s="134"/>
      <c r="D271" s="135"/>
      <c r="E271" s="235" t="s">
        <v>1054</v>
      </c>
      <c r="F271" s="135">
        <f t="shared" si="4"/>
        <v>3592000</v>
      </c>
      <c r="G271" s="136" t="s">
        <v>1035</v>
      </c>
      <c r="H271" s="133" t="s">
        <v>320</v>
      </c>
      <c r="I271" s="134" t="s">
        <v>108</v>
      </c>
    </row>
    <row r="272" spans="1:9" x14ac:dyDescent="0.35">
      <c r="A272" s="144">
        <v>46049</v>
      </c>
      <c r="B272" s="135">
        <v>100000</v>
      </c>
      <c r="C272" s="134"/>
      <c r="D272" s="135"/>
      <c r="E272" s="235" t="s">
        <v>1054</v>
      </c>
      <c r="F272" s="135">
        <f t="shared" si="4"/>
        <v>3492000</v>
      </c>
      <c r="G272" s="136" t="s">
        <v>1076</v>
      </c>
      <c r="H272" s="133" t="s">
        <v>327</v>
      </c>
      <c r="I272" s="134" t="s">
        <v>108</v>
      </c>
    </row>
    <row r="273" spans="1:9" x14ac:dyDescent="0.35">
      <c r="A273" s="144">
        <v>46051</v>
      </c>
      <c r="B273" s="135">
        <v>400000</v>
      </c>
      <c r="C273" s="134"/>
      <c r="D273" s="135"/>
      <c r="E273" s="235" t="s">
        <v>1054</v>
      </c>
      <c r="F273" s="135">
        <f t="shared" si="4"/>
        <v>3092000</v>
      </c>
      <c r="G273" s="136" t="s">
        <v>1077</v>
      </c>
      <c r="H273" s="133" t="s">
        <v>323</v>
      </c>
      <c r="I273" s="134" t="s">
        <v>108</v>
      </c>
    </row>
    <row r="274" spans="1:9" x14ac:dyDescent="0.35">
      <c r="A274" s="144">
        <v>46052</v>
      </c>
      <c r="B274" s="135">
        <v>500000</v>
      </c>
      <c r="C274" s="134"/>
      <c r="D274" s="135"/>
      <c r="E274" s="235" t="s">
        <v>1054</v>
      </c>
      <c r="F274" s="135">
        <f t="shared" si="4"/>
        <v>2592000</v>
      </c>
      <c r="G274" s="136" t="s">
        <v>302</v>
      </c>
      <c r="H274" s="133" t="s">
        <v>323</v>
      </c>
      <c r="I274" s="134" t="s">
        <v>108</v>
      </c>
    </row>
  </sheetData>
  <autoFilter ref="A7:I254" xr:uid="{00000000-0009-0000-0000-00000A000000}"/>
  <mergeCells count="1">
    <mergeCell ref="A1:G1"/>
  </mergeCell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>
    <pageSetUpPr fitToPage="1"/>
  </sheetPr>
  <dimension ref="B1:AR61"/>
  <sheetViews>
    <sheetView showGridLines="0" tabSelected="1" topLeftCell="C34" zoomScale="85" zoomScaleNormal="85" workbookViewId="0">
      <selection activeCell="A2" sqref="A2:AP52"/>
    </sheetView>
  </sheetViews>
  <sheetFormatPr defaultRowHeight="14.5" x14ac:dyDescent="0.35"/>
  <cols>
    <col min="1" max="1" width="2" customWidth="1"/>
    <col min="2" max="2" width="35.26953125" bestFit="1" customWidth="1"/>
    <col min="3" max="3" width="12.54296875" customWidth="1"/>
    <col min="4" max="4" width="14.1796875" customWidth="1"/>
    <col min="5" max="5" width="12.81640625" customWidth="1"/>
    <col min="6" max="6" width="12.54296875" customWidth="1"/>
    <col min="7" max="7" width="14.1796875" customWidth="1"/>
    <col min="8" max="9" width="12.81640625" customWidth="1"/>
    <col min="10" max="10" width="15" customWidth="1"/>
    <col min="11" max="11" width="12.81640625" customWidth="1"/>
    <col min="12" max="12" width="12.81640625" hidden="1" customWidth="1"/>
    <col min="13" max="13" width="15" hidden="1" customWidth="1"/>
    <col min="14" max="15" width="12.81640625" hidden="1" customWidth="1"/>
    <col min="16" max="16" width="15" hidden="1" customWidth="1"/>
    <col min="17" max="17" width="12.81640625" hidden="1" customWidth="1"/>
    <col min="18" max="18" width="12.54296875" hidden="1" customWidth="1"/>
    <col min="19" max="19" width="14.1796875" hidden="1" customWidth="1"/>
    <col min="20" max="21" width="12.81640625" hidden="1" customWidth="1"/>
    <col min="22" max="22" width="15" hidden="1" customWidth="1"/>
    <col min="23" max="24" width="12.81640625" hidden="1" customWidth="1"/>
    <col min="25" max="25" width="15" hidden="1" customWidth="1"/>
    <col min="26" max="26" width="12.81640625" hidden="1" customWidth="1"/>
    <col min="27" max="27" width="12.54296875" hidden="1" customWidth="1"/>
    <col min="28" max="28" width="14.1796875" hidden="1" customWidth="1"/>
    <col min="29" max="29" width="12.81640625" hidden="1" customWidth="1"/>
    <col min="30" max="30" width="12.54296875" hidden="1" customWidth="1"/>
    <col min="31" max="31" width="14.1796875" hidden="1" customWidth="1"/>
    <col min="32" max="32" width="12.81640625" hidden="1" customWidth="1"/>
    <col min="33" max="33" width="12.54296875" hidden="1" customWidth="1"/>
    <col min="34" max="34" width="14.1796875" hidden="1" customWidth="1"/>
    <col min="35" max="35" width="12.81640625" hidden="1" customWidth="1"/>
    <col min="36" max="36" width="12.54296875" hidden="1" customWidth="1"/>
    <col min="37" max="37" width="14.1796875" hidden="1" customWidth="1"/>
    <col min="38" max="38" width="12.81640625" hidden="1" customWidth="1"/>
    <col min="39" max="39" width="16.7265625" customWidth="1"/>
    <col min="40" max="40" width="15.453125" customWidth="1"/>
    <col min="41" max="41" width="16.453125" customWidth="1"/>
    <col min="42" max="42" width="2.1796875" customWidth="1"/>
    <col min="43" max="43" width="14.81640625" bestFit="1" customWidth="1"/>
    <col min="44" max="44" width="14.7265625" bestFit="1" customWidth="1"/>
  </cols>
  <sheetData>
    <row r="1" spans="2:42" ht="11.25" customHeight="1" x14ac:dyDescent="0.35"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</row>
    <row r="2" spans="2:42" ht="11.25" customHeight="1" thickBot="1" x14ac:dyDescent="0.4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</row>
    <row r="3" spans="2:42" ht="15" thickBot="1" x14ac:dyDescent="0.4">
      <c r="B3" s="248" t="s">
        <v>6</v>
      </c>
      <c r="C3" s="252" t="s">
        <v>360</v>
      </c>
      <c r="D3" s="252"/>
      <c r="E3" s="253"/>
      <c r="F3" s="250" t="s">
        <v>361</v>
      </c>
      <c r="G3" s="250"/>
      <c r="H3" s="251"/>
      <c r="I3" s="254" t="s">
        <v>420</v>
      </c>
      <c r="J3" s="255"/>
      <c r="K3" s="256"/>
      <c r="L3" s="257" t="s">
        <v>590</v>
      </c>
      <c r="M3" s="258"/>
      <c r="N3" s="259"/>
      <c r="O3" s="260" t="s">
        <v>667</v>
      </c>
      <c r="P3" s="261"/>
      <c r="Q3" s="262"/>
      <c r="R3" s="252" t="s">
        <v>742</v>
      </c>
      <c r="S3" s="252"/>
      <c r="T3" s="253"/>
      <c r="U3" s="257" t="s">
        <v>862</v>
      </c>
      <c r="V3" s="258"/>
      <c r="W3" s="259"/>
      <c r="X3" s="260" t="s">
        <v>863</v>
      </c>
      <c r="Y3" s="261"/>
      <c r="Z3" s="262"/>
      <c r="AA3" s="252" t="s">
        <v>864</v>
      </c>
      <c r="AB3" s="252"/>
      <c r="AC3" s="253"/>
      <c r="AD3" s="272" t="s">
        <v>903</v>
      </c>
      <c r="AE3" s="272"/>
      <c r="AF3" s="273"/>
      <c r="AG3" s="257" t="s">
        <v>991</v>
      </c>
      <c r="AH3" s="258"/>
      <c r="AI3" s="259"/>
      <c r="AJ3" s="276" t="s">
        <v>1021</v>
      </c>
      <c r="AK3" s="276"/>
      <c r="AL3" s="277"/>
      <c r="AM3" s="265" t="s">
        <v>1258</v>
      </c>
      <c r="AN3" s="266"/>
      <c r="AO3" s="267"/>
    </row>
    <row r="4" spans="2:42" ht="29.5" thickBot="1" x14ac:dyDescent="0.4">
      <c r="B4" s="249"/>
      <c r="C4" s="114" t="s">
        <v>222</v>
      </c>
      <c r="D4" s="114" t="s">
        <v>221</v>
      </c>
      <c r="E4" s="115" t="s">
        <v>362</v>
      </c>
      <c r="F4" s="117" t="s">
        <v>222</v>
      </c>
      <c r="G4" s="117" t="s">
        <v>221</v>
      </c>
      <c r="H4" s="118" t="s">
        <v>363</v>
      </c>
      <c r="I4" s="126" t="s">
        <v>222</v>
      </c>
      <c r="J4" s="126" t="s">
        <v>221</v>
      </c>
      <c r="K4" s="126" t="s">
        <v>421</v>
      </c>
      <c r="L4" s="193" t="s">
        <v>222</v>
      </c>
      <c r="M4" s="193" t="s">
        <v>221</v>
      </c>
      <c r="N4" s="193" t="s">
        <v>591</v>
      </c>
      <c r="O4" s="201" t="s">
        <v>222</v>
      </c>
      <c r="P4" s="201" t="s">
        <v>221</v>
      </c>
      <c r="Q4" s="201" t="s">
        <v>907</v>
      </c>
      <c r="R4" s="114" t="s">
        <v>222</v>
      </c>
      <c r="S4" s="114" t="s">
        <v>221</v>
      </c>
      <c r="T4" s="115" t="s">
        <v>743</v>
      </c>
      <c r="U4" s="193" t="s">
        <v>222</v>
      </c>
      <c r="V4" s="193" t="s">
        <v>221</v>
      </c>
      <c r="W4" s="193" t="s">
        <v>906</v>
      </c>
      <c r="X4" s="201" t="s">
        <v>222</v>
      </c>
      <c r="Y4" s="201" t="s">
        <v>221</v>
      </c>
      <c r="Z4" s="201" t="s">
        <v>904</v>
      </c>
      <c r="AA4" s="114" t="s">
        <v>222</v>
      </c>
      <c r="AB4" s="114" t="s">
        <v>221</v>
      </c>
      <c r="AC4" s="115" t="s">
        <v>905</v>
      </c>
      <c r="AD4" s="225" t="s">
        <v>222</v>
      </c>
      <c r="AE4" s="225" t="s">
        <v>221</v>
      </c>
      <c r="AF4" s="226" t="s">
        <v>908</v>
      </c>
      <c r="AG4" s="193" t="s">
        <v>222</v>
      </c>
      <c r="AH4" s="193" t="s">
        <v>221</v>
      </c>
      <c r="AI4" s="193" t="s">
        <v>992</v>
      </c>
      <c r="AJ4" s="228" t="s">
        <v>222</v>
      </c>
      <c r="AK4" s="228" t="s">
        <v>221</v>
      </c>
      <c r="AL4" s="229" t="s">
        <v>1022</v>
      </c>
      <c r="AM4" s="119" t="s">
        <v>222</v>
      </c>
      <c r="AN4" s="119" t="s">
        <v>221</v>
      </c>
      <c r="AO4" s="120" t="s">
        <v>223</v>
      </c>
      <c r="AP4" s="37"/>
    </row>
    <row r="5" spans="2:42" x14ac:dyDescent="0.35">
      <c r="B5" s="71" t="s">
        <v>204</v>
      </c>
      <c r="C5" s="207"/>
      <c r="D5" s="208">
        <v>38399060</v>
      </c>
      <c r="E5" s="77"/>
      <c r="F5" s="75"/>
      <c r="G5" s="76"/>
      <c r="H5" s="77"/>
      <c r="I5" s="75"/>
      <c r="J5" s="75"/>
      <c r="K5" s="77"/>
      <c r="L5" s="75"/>
      <c r="M5" s="75"/>
      <c r="N5" s="77"/>
      <c r="O5" s="75"/>
      <c r="P5" s="75"/>
      <c r="Q5" s="77"/>
      <c r="R5" s="75"/>
      <c r="S5" s="76"/>
      <c r="T5" s="77"/>
      <c r="U5" s="75"/>
      <c r="V5" s="75"/>
      <c r="W5" s="77"/>
      <c r="X5" s="75"/>
      <c r="Y5" s="75"/>
      <c r="Z5" s="77"/>
      <c r="AA5" s="75"/>
      <c r="AB5" s="76"/>
      <c r="AC5" s="77"/>
      <c r="AD5" s="75"/>
      <c r="AE5" s="76"/>
      <c r="AF5" s="77"/>
      <c r="AG5" s="75"/>
      <c r="AH5" s="76"/>
      <c r="AI5" s="77"/>
      <c r="AJ5" s="75"/>
      <c r="AK5" s="76"/>
      <c r="AL5" s="77"/>
      <c r="AM5" s="75">
        <f t="shared" ref="AM5:AN7" si="0">+C5+F5+I5+L5+O5+R5+U5+X5+AA5+AD5+AG5+AJ5</f>
        <v>0</v>
      </c>
      <c r="AN5" s="76">
        <f t="shared" si="0"/>
        <v>38399060</v>
      </c>
      <c r="AO5" s="77"/>
      <c r="AP5" s="37"/>
    </row>
    <row r="6" spans="2:42" x14ac:dyDescent="0.35">
      <c r="B6" s="71" t="s">
        <v>105</v>
      </c>
      <c r="C6" s="209"/>
      <c r="D6" s="210"/>
      <c r="E6" s="77"/>
      <c r="F6" s="79"/>
      <c r="G6" s="80"/>
      <c r="H6" s="77"/>
      <c r="I6" s="75"/>
      <c r="J6" s="75">
        <v>171175000</v>
      </c>
      <c r="K6" s="77"/>
      <c r="L6" s="75"/>
      <c r="M6" s="75"/>
      <c r="N6" s="77"/>
      <c r="O6" s="75"/>
      <c r="P6" s="75"/>
      <c r="Q6" s="77"/>
      <c r="R6" s="79"/>
      <c r="S6" s="80"/>
      <c r="T6" s="77"/>
      <c r="U6" s="75"/>
      <c r="V6" s="75"/>
      <c r="W6" s="77"/>
      <c r="X6" s="75"/>
      <c r="Y6" s="75"/>
      <c r="Z6" s="77"/>
      <c r="AA6" s="79"/>
      <c r="AB6" s="80"/>
      <c r="AC6" s="77"/>
      <c r="AD6" s="79"/>
      <c r="AE6" s="80"/>
      <c r="AF6" s="77"/>
      <c r="AG6" s="79"/>
      <c r="AH6" s="80"/>
      <c r="AI6" s="77"/>
      <c r="AJ6" s="79"/>
      <c r="AK6" s="80"/>
      <c r="AL6" s="77"/>
      <c r="AM6" s="75">
        <f t="shared" si="0"/>
        <v>0</v>
      </c>
      <c r="AN6" s="76">
        <f t="shared" si="0"/>
        <v>171175000</v>
      </c>
      <c r="AO6" s="77"/>
    </row>
    <row r="7" spans="2:42" x14ac:dyDescent="0.35">
      <c r="B7" s="71" t="s">
        <v>201</v>
      </c>
      <c r="C7" s="209">
        <v>11726000</v>
      </c>
      <c r="D7" s="210"/>
      <c r="E7" s="77"/>
      <c r="F7" s="79">
        <v>9219500</v>
      </c>
      <c r="G7" s="80"/>
      <c r="H7" s="77"/>
      <c r="I7" s="75">
        <f>71935000+1300000</f>
        <v>73235000</v>
      </c>
      <c r="J7" s="75"/>
      <c r="K7" s="77"/>
      <c r="L7" s="75"/>
      <c r="M7" s="75"/>
      <c r="N7" s="77"/>
      <c r="O7" s="75"/>
      <c r="P7" s="75"/>
      <c r="Q7" s="77"/>
      <c r="R7" s="79"/>
      <c r="S7" s="80"/>
      <c r="T7" s="77"/>
      <c r="U7" s="75"/>
      <c r="V7" s="75"/>
      <c r="W7" s="77"/>
      <c r="X7" s="75"/>
      <c r="Y7" s="75"/>
      <c r="Z7" s="77"/>
      <c r="AA7" s="79"/>
      <c r="AB7" s="80"/>
      <c r="AC7" s="77"/>
      <c r="AD7" s="79"/>
      <c r="AE7" s="80"/>
      <c r="AF7" s="77"/>
      <c r="AG7" s="79"/>
      <c r="AH7" s="80"/>
      <c r="AI7" s="77"/>
      <c r="AJ7" s="79"/>
      <c r="AK7" s="80"/>
      <c r="AL7" s="77"/>
      <c r="AM7" s="75">
        <f t="shared" si="0"/>
        <v>94180500</v>
      </c>
      <c r="AN7" s="76">
        <f t="shared" si="0"/>
        <v>0</v>
      </c>
      <c r="AO7" s="77"/>
    </row>
    <row r="8" spans="2:42" x14ac:dyDescent="0.35">
      <c r="B8" s="72" t="s">
        <v>224</v>
      </c>
      <c r="C8" s="81">
        <f>SUM(C5:C7)</f>
        <v>11726000</v>
      </c>
      <c r="D8" s="81">
        <f>SUM(D5:D7)</f>
        <v>38399060</v>
      </c>
      <c r="E8" s="77"/>
      <c r="F8" s="81">
        <f>SUM(F5:F7)</f>
        <v>9219500</v>
      </c>
      <c r="G8" s="81">
        <f>SUM(G5:G7)</f>
        <v>0</v>
      </c>
      <c r="H8" s="77"/>
      <c r="I8" s="81">
        <f>SUM(I5:I7)</f>
        <v>73235000</v>
      </c>
      <c r="J8" s="81">
        <f>SUM(J5:J7)</f>
        <v>171175000</v>
      </c>
      <c r="K8" s="77"/>
      <c r="L8" s="81">
        <f>SUM(L5:L7)</f>
        <v>0</v>
      </c>
      <c r="M8" s="81">
        <f>SUM(M5:M7)</f>
        <v>0</v>
      </c>
      <c r="N8" s="77"/>
      <c r="O8" s="81">
        <f>SUM(O5:O7)</f>
        <v>0</v>
      </c>
      <c r="P8" s="81">
        <f>SUM(P5:P7)</f>
        <v>0</v>
      </c>
      <c r="Q8" s="77"/>
      <c r="R8" s="81">
        <f>SUM(R5:R7)</f>
        <v>0</v>
      </c>
      <c r="S8" s="81">
        <f>SUM(S5:S7)</f>
        <v>0</v>
      </c>
      <c r="T8" s="77"/>
      <c r="U8" s="81">
        <f>SUM(U5:U7)</f>
        <v>0</v>
      </c>
      <c r="V8" s="81">
        <f>SUM(V5:V7)</f>
        <v>0</v>
      </c>
      <c r="W8" s="77"/>
      <c r="X8" s="81">
        <f>SUM(X5:X7)</f>
        <v>0</v>
      </c>
      <c r="Y8" s="81">
        <f>SUM(Y5:Y7)</f>
        <v>0</v>
      </c>
      <c r="Z8" s="77"/>
      <c r="AA8" s="81">
        <f>SUM(AA5:AA7)</f>
        <v>0</v>
      </c>
      <c r="AB8" s="81">
        <f>SUM(AB5:AB7)</f>
        <v>0</v>
      </c>
      <c r="AC8" s="77"/>
      <c r="AD8" s="81">
        <f>SUM(AD5:AD7)</f>
        <v>0</v>
      </c>
      <c r="AE8" s="81">
        <f>SUM(AE5:AE7)</f>
        <v>0</v>
      </c>
      <c r="AF8" s="77"/>
      <c r="AG8" s="81">
        <f>SUM(AG5:AG7)</f>
        <v>0</v>
      </c>
      <c r="AH8" s="81">
        <f>SUM(AH5:AH7)</f>
        <v>0</v>
      </c>
      <c r="AI8" s="77"/>
      <c r="AJ8" s="81">
        <f>SUM(AJ5:AJ7)</f>
        <v>0</v>
      </c>
      <c r="AK8" s="81">
        <f>SUM(AK5:AK7)</f>
        <v>0</v>
      </c>
      <c r="AL8" s="77"/>
      <c r="AM8" s="81">
        <f>SUM(AM5:AM7)</f>
        <v>94180500</v>
      </c>
      <c r="AN8" s="81">
        <f>SUM(AN5:AN7)</f>
        <v>209574060</v>
      </c>
      <c r="AO8" s="77"/>
    </row>
    <row r="9" spans="2:42" ht="15" thickBot="1" x14ac:dyDescent="0.4">
      <c r="B9" s="73" t="s">
        <v>210</v>
      </c>
      <c r="C9" s="83"/>
      <c r="D9" s="82"/>
      <c r="E9" s="84">
        <f>+D8-C8</f>
        <v>26673060</v>
      </c>
      <c r="F9" s="83"/>
      <c r="G9" s="82"/>
      <c r="H9" s="89">
        <f>+G8-F8</f>
        <v>-9219500</v>
      </c>
      <c r="I9" s="199"/>
      <c r="J9" s="200"/>
      <c r="K9" s="167">
        <f>+J8-I8</f>
        <v>97940000</v>
      </c>
      <c r="L9" s="199"/>
      <c r="M9" s="200"/>
      <c r="N9" s="167">
        <f>+M8-L8</f>
        <v>0</v>
      </c>
      <c r="O9" s="199"/>
      <c r="P9" s="200"/>
      <c r="Q9" s="192">
        <f>+P8-O8</f>
        <v>0</v>
      </c>
      <c r="R9" s="83"/>
      <c r="S9" s="82"/>
      <c r="T9" s="89">
        <f>+S8-R8</f>
        <v>0</v>
      </c>
      <c r="U9" s="199"/>
      <c r="V9" s="200"/>
      <c r="W9" s="192">
        <f>+V8-U8</f>
        <v>0</v>
      </c>
      <c r="X9" s="199"/>
      <c r="Y9" s="200"/>
      <c r="Z9" s="192">
        <f>+Y8-X8</f>
        <v>0</v>
      </c>
      <c r="AA9" s="83"/>
      <c r="AB9" s="82"/>
      <c r="AC9" s="89">
        <f>+AB8-AA8</f>
        <v>0</v>
      </c>
      <c r="AD9" s="83"/>
      <c r="AE9" s="82"/>
      <c r="AF9" s="89">
        <f>+AE8-AD8</f>
        <v>0</v>
      </c>
      <c r="AG9" s="83"/>
      <c r="AH9" s="82"/>
      <c r="AI9" s="84">
        <f>+AH8-AG8</f>
        <v>0</v>
      </c>
      <c r="AJ9" s="83"/>
      <c r="AK9" s="82"/>
      <c r="AL9" s="84">
        <f>+AK8-AJ8</f>
        <v>0</v>
      </c>
      <c r="AM9" s="83"/>
      <c r="AN9" s="82"/>
      <c r="AO9" s="84">
        <f>+AN8-AM8</f>
        <v>115393560</v>
      </c>
    </row>
    <row r="10" spans="2:42" x14ac:dyDescent="0.35">
      <c r="B10" s="71" t="s">
        <v>205</v>
      </c>
      <c r="C10" s="209"/>
      <c r="D10" s="211">
        <v>39578050</v>
      </c>
      <c r="E10" s="85"/>
      <c r="F10" s="79"/>
      <c r="G10" s="78"/>
      <c r="H10" s="161"/>
      <c r="I10" s="198"/>
      <c r="J10" s="198"/>
      <c r="K10" s="163"/>
      <c r="L10" s="198"/>
      <c r="M10" s="198"/>
      <c r="N10" s="163"/>
      <c r="O10" s="198"/>
      <c r="P10" s="198"/>
      <c r="Q10" s="163"/>
      <c r="R10" s="79"/>
      <c r="S10" s="78"/>
      <c r="T10" s="85"/>
      <c r="U10" s="198"/>
      <c r="V10" s="198"/>
      <c r="W10" s="163"/>
      <c r="X10" s="198"/>
      <c r="Y10" s="198"/>
      <c r="Z10" s="163"/>
      <c r="AA10" s="79"/>
      <c r="AB10" s="78"/>
      <c r="AC10" s="85"/>
      <c r="AD10" s="79"/>
      <c r="AE10" s="78"/>
      <c r="AF10" s="85"/>
      <c r="AG10" s="79"/>
      <c r="AH10" s="78"/>
      <c r="AI10" s="85"/>
      <c r="AJ10" s="79"/>
      <c r="AK10" s="78"/>
      <c r="AL10" s="85"/>
      <c r="AM10" s="75">
        <f t="shared" ref="AM10:AN12" si="1">+C10+F10+I10+L10+O10+R10+U10+X10+AA10+AD10+AG10+AJ10</f>
        <v>0</v>
      </c>
      <c r="AN10" s="76">
        <f t="shared" si="1"/>
        <v>39578050</v>
      </c>
      <c r="AO10" s="85"/>
    </row>
    <row r="11" spans="2:42" x14ac:dyDescent="0.35">
      <c r="B11" s="71" t="s">
        <v>106</v>
      </c>
      <c r="C11" s="209"/>
      <c r="D11" s="211"/>
      <c r="E11" s="85"/>
      <c r="F11" s="79"/>
      <c r="G11" s="78"/>
      <c r="H11" s="161"/>
      <c r="I11" s="165"/>
      <c r="J11" s="166">
        <v>1000000</v>
      </c>
      <c r="K11" s="163"/>
      <c r="L11" s="165"/>
      <c r="M11" s="165"/>
      <c r="N11" s="163"/>
      <c r="O11" s="165"/>
      <c r="P11" s="165"/>
      <c r="Q11" s="163"/>
      <c r="R11" s="79"/>
      <c r="S11" s="78"/>
      <c r="T11" s="85"/>
      <c r="U11" s="165"/>
      <c r="V11" s="165"/>
      <c r="W11" s="163"/>
      <c r="X11" s="165"/>
      <c r="Y11" s="165"/>
      <c r="Z11" s="163"/>
      <c r="AA11" s="79"/>
      <c r="AB11" s="78"/>
      <c r="AC11" s="85"/>
      <c r="AD11" s="79"/>
      <c r="AE11" s="78"/>
      <c r="AF11" s="85"/>
      <c r="AG11" s="79"/>
      <c r="AH11" s="78"/>
      <c r="AI11" s="85"/>
      <c r="AJ11" s="79"/>
      <c r="AK11" s="78"/>
      <c r="AL11" s="85"/>
      <c r="AM11" s="75">
        <f t="shared" si="1"/>
        <v>0</v>
      </c>
      <c r="AN11" s="76">
        <f t="shared" si="1"/>
        <v>1000000</v>
      </c>
      <c r="AO11" s="85"/>
    </row>
    <row r="12" spans="2:42" x14ac:dyDescent="0.35">
      <c r="B12" s="71" t="s">
        <v>202</v>
      </c>
      <c r="C12" s="209">
        <v>32973000</v>
      </c>
      <c r="D12" s="211"/>
      <c r="E12" s="85"/>
      <c r="F12" s="79">
        <v>6605050</v>
      </c>
      <c r="G12" s="78"/>
      <c r="H12" s="161"/>
      <c r="I12" s="166">
        <v>1000000</v>
      </c>
      <c r="J12" s="165"/>
      <c r="K12" s="163"/>
      <c r="L12" s="165"/>
      <c r="M12" s="165"/>
      <c r="N12" s="163"/>
      <c r="O12" s="165"/>
      <c r="P12" s="165"/>
      <c r="Q12" s="163"/>
      <c r="R12" s="79"/>
      <c r="S12" s="78"/>
      <c r="T12" s="85"/>
      <c r="U12" s="165"/>
      <c r="V12" s="165"/>
      <c r="W12" s="163"/>
      <c r="X12" s="165"/>
      <c r="Y12" s="165"/>
      <c r="Z12" s="163"/>
      <c r="AA12" s="79"/>
      <c r="AB12" s="78"/>
      <c r="AC12" s="85"/>
      <c r="AD12" s="79"/>
      <c r="AE12" s="78"/>
      <c r="AF12" s="85"/>
      <c r="AG12" s="79"/>
      <c r="AH12" s="78"/>
      <c r="AI12" s="85"/>
      <c r="AJ12" s="79"/>
      <c r="AK12" s="78"/>
      <c r="AL12" s="85"/>
      <c r="AM12" s="75">
        <f t="shared" si="1"/>
        <v>40578050</v>
      </c>
      <c r="AN12" s="76">
        <f t="shared" si="1"/>
        <v>0</v>
      </c>
      <c r="AO12" s="85"/>
    </row>
    <row r="13" spans="2:42" x14ac:dyDescent="0.35">
      <c r="B13" s="72" t="s">
        <v>225</v>
      </c>
      <c r="C13" s="81">
        <f>SUM(C10:C12)</f>
        <v>32973000</v>
      </c>
      <c r="D13" s="81">
        <f>SUM(D10:D12)</f>
        <v>39578050</v>
      </c>
      <c r="E13" s="77"/>
      <c r="F13" s="81">
        <f>SUM(F10:F12)</f>
        <v>6605050</v>
      </c>
      <c r="G13" s="81">
        <f>SUM(G10:G12)</f>
        <v>0</v>
      </c>
      <c r="H13" s="162"/>
      <c r="I13" s="81">
        <f>SUM(I10:I12)</f>
        <v>1000000</v>
      </c>
      <c r="J13" s="81">
        <f>SUM(J10:J12)</f>
        <v>1000000</v>
      </c>
      <c r="K13" s="164"/>
      <c r="L13" s="166"/>
      <c r="M13" s="166"/>
      <c r="N13" s="164"/>
      <c r="O13" s="166"/>
      <c r="P13" s="166"/>
      <c r="Q13" s="164"/>
      <c r="R13" s="81">
        <f>SUM(R10:R12)</f>
        <v>0</v>
      </c>
      <c r="S13" s="81">
        <f>SUM(S10:S12)</f>
        <v>0</v>
      </c>
      <c r="T13" s="77"/>
      <c r="U13" s="166"/>
      <c r="V13" s="166"/>
      <c r="W13" s="164"/>
      <c r="X13" s="166"/>
      <c r="Y13" s="166"/>
      <c r="Z13" s="164"/>
      <c r="AA13" s="81">
        <f>SUM(AA10:AA12)</f>
        <v>0</v>
      </c>
      <c r="AB13" s="81">
        <f>SUM(AB10:AB12)</f>
        <v>0</v>
      </c>
      <c r="AC13" s="77"/>
      <c r="AD13" s="81">
        <f>SUM(AD10:AD12)</f>
        <v>0</v>
      </c>
      <c r="AE13" s="81">
        <f>SUM(AE10:AE12)</f>
        <v>0</v>
      </c>
      <c r="AF13" s="77"/>
      <c r="AG13" s="81">
        <f>SUM(AG10:AG12)</f>
        <v>0</v>
      </c>
      <c r="AH13" s="81">
        <f>SUM(AH10:AH12)</f>
        <v>0</v>
      </c>
      <c r="AI13" s="77"/>
      <c r="AJ13" s="81">
        <f>SUM(AJ10:AJ12)</f>
        <v>0</v>
      </c>
      <c r="AK13" s="81">
        <f>SUM(AK10:AK12)</f>
        <v>0</v>
      </c>
      <c r="AL13" s="77"/>
      <c r="AM13" s="81">
        <f>SUM(AM10:AM12)</f>
        <v>40578050</v>
      </c>
      <c r="AN13" s="81">
        <f>SUM(AN10:AN12)</f>
        <v>40578050</v>
      </c>
      <c r="AO13" s="77"/>
    </row>
    <row r="14" spans="2:42" ht="15" thickBot="1" x14ac:dyDescent="0.4">
      <c r="B14" s="73" t="s">
        <v>211</v>
      </c>
      <c r="C14" s="83"/>
      <c r="D14" s="82"/>
      <c r="E14" s="84">
        <f>+D13-C13</f>
        <v>6605050</v>
      </c>
      <c r="F14" s="83"/>
      <c r="G14" s="82"/>
      <c r="H14" s="89">
        <f>+G13-F13</f>
        <v>-6605050</v>
      </c>
      <c r="I14" s="168"/>
      <c r="J14" s="169"/>
      <c r="K14" s="167"/>
      <c r="L14" s="168"/>
      <c r="M14" s="169"/>
      <c r="N14" s="167"/>
      <c r="O14" s="168"/>
      <c r="P14" s="169"/>
      <c r="Q14" s="167"/>
      <c r="R14" s="83"/>
      <c r="S14" s="82"/>
      <c r="T14" s="84">
        <f>+S13-R13</f>
        <v>0</v>
      </c>
      <c r="U14" s="168"/>
      <c r="V14" s="169"/>
      <c r="W14" s="167"/>
      <c r="X14" s="168"/>
      <c r="Y14" s="169"/>
      <c r="Z14" s="167"/>
      <c r="AA14" s="83"/>
      <c r="AB14" s="82"/>
      <c r="AC14" s="84">
        <f>+AB13-AA13</f>
        <v>0</v>
      </c>
      <c r="AD14" s="83"/>
      <c r="AE14" s="82"/>
      <c r="AF14" s="84">
        <f>+AE13-AD13</f>
        <v>0</v>
      </c>
      <c r="AG14" s="83"/>
      <c r="AH14" s="82"/>
      <c r="AI14" s="84">
        <f>+AH13-AG13</f>
        <v>0</v>
      </c>
      <c r="AJ14" s="83"/>
      <c r="AK14" s="82"/>
      <c r="AL14" s="84">
        <f>+AK13-AJ13</f>
        <v>0</v>
      </c>
      <c r="AM14" s="83"/>
      <c r="AN14" s="82"/>
      <c r="AO14" s="84">
        <f>+AN13-AM13</f>
        <v>0</v>
      </c>
    </row>
    <row r="15" spans="2:42" x14ac:dyDescent="0.35">
      <c r="B15" s="71" t="s">
        <v>206</v>
      </c>
      <c r="C15" s="209"/>
      <c r="D15" s="211">
        <v>104651625</v>
      </c>
      <c r="E15" s="85"/>
      <c r="F15" s="79"/>
      <c r="G15" s="78"/>
      <c r="H15" s="85"/>
      <c r="I15" s="75"/>
      <c r="J15" s="75"/>
      <c r="K15" s="85"/>
      <c r="L15" s="75"/>
      <c r="M15" s="75"/>
      <c r="N15" s="85"/>
      <c r="O15" s="75"/>
      <c r="P15" s="75"/>
      <c r="Q15" s="85"/>
      <c r="R15" s="79"/>
      <c r="S15" s="78"/>
      <c r="T15" s="85"/>
      <c r="U15" s="75"/>
      <c r="V15" s="75"/>
      <c r="W15" s="85"/>
      <c r="X15" s="75"/>
      <c r="Y15" s="75"/>
      <c r="Z15" s="85"/>
      <c r="AA15" s="79"/>
      <c r="AB15" s="78"/>
      <c r="AC15" s="85"/>
      <c r="AD15" s="79"/>
      <c r="AE15" s="78"/>
      <c r="AF15" s="85"/>
      <c r="AG15" s="79"/>
      <c r="AH15" s="78"/>
      <c r="AI15" s="85"/>
      <c r="AJ15" s="79"/>
      <c r="AK15" s="78"/>
      <c r="AL15" s="85"/>
      <c r="AM15" s="75">
        <f t="shared" ref="AM15:AN17" si="2">+C15+F15+I15+L15+O15+R15+U15+X15+AA15+AD15+AG15+AJ15</f>
        <v>0</v>
      </c>
      <c r="AN15" s="76">
        <f t="shared" si="2"/>
        <v>104651625</v>
      </c>
      <c r="AO15" s="85"/>
    </row>
    <row r="16" spans="2:42" x14ac:dyDescent="0.35">
      <c r="B16" s="71" t="s">
        <v>107</v>
      </c>
      <c r="C16" s="209"/>
      <c r="D16" s="211">
        <v>7151000</v>
      </c>
      <c r="E16" s="85"/>
      <c r="F16" s="79"/>
      <c r="G16" s="78">
        <v>7558000</v>
      </c>
      <c r="H16" s="85"/>
      <c r="I16" s="75"/>
      <c r="J16" s="75">
        <v>16472000</v>
      </c>
      <c r="K16" s="85"/>
      <c r="L16" s="75"/>
      <c r="M16" s="75"/>
      <c r="N16" s="85"/>
      <c r="O16" s="75"/>
      <c r="P16" s="75"/>
      <c r="Q16" s="85"/>
      <c r="R16" s="79"/>
      <c r="S16" s="78"/>
      <c r="T16" s="85"/>
      <c r="U16" s="75"/>
      <c r="V16" s="75"/>
      <c r="W16" s="85"/>
      <c r="X16" s="75"/>
      <c r="Y16" s="75"/>
      <c r="Z16" s="85"/>
      <c r="AA16" s="79"/>
      <c r="AB16" s="78"/>
      <c r="AC16" s="85"/>
      <c r="AD16" s="79"/>
      <c r="AE16" s="78"/>
      <c r="AF16" s="85"/>
      <c r="AG16" s="79"/>
      <c r="AH16" s="78"/>
      <c r="AI16" s="85"/>
      <c r="AJ16" s="79"/>
      <c r="AK16" s="78"/>
      <c r="AL16" s="85"/>
      <c r="AM16" s="75">
        <f t="shared" si="2"/>
        <v>0</v>
      </c>
      <c r="AN16" s="76">
        <f t="shared" si="2"/>
        <v>31181000</v>
      </c>
      <c r="AO16" s="85"/>
    </row>
    <row r="17" spans="2:44" x14ac:dyDescent="0.35">
      <c r="B17" s="71" t="s">
        <v>203</v>
      </c>
      <c r="C17" s="209">
        <f>3513000+300000</f>
        <v>3813000</v>
      </c>
      <c r="D17" s="211"/>
      <c r="E17" s="85"/>
      <c r="F17" s="79">
        <f>1002500+10000000+1000000+850000</f>
        <v>12852500</v>
      </c>
      <c r="G17" s="78"/>
      <c r="H17" s="85"/>
      <c r="I17" s="75">
        <f>62752500+60000</f>
        <v>62812500</v>
      </c>
      <c r="J17" s="75"/>
      <c r="K17" s="85"/>
      <c r="L17" s="75"/>
      <c r="M17" s="75"/>
      <c r="N17" s="85"/>
      <c r="O17" s="75"/>
      <c r="P17" s="75"/>
      <c r="Q17" s="85"/>
      <c r="R17" s="79"/>
      <c r="S17" s="78"/>
      <c r="T17" s="85"/>
      <c r="U17" s="75"/>
      <c r="V17" s="75"/>
      <c r="W17" s="85"/>
      <c r="X17" s="75"/>
      <c r="Y17" s="75"/>
      <c r="Z17" s="85"/>
      <c r="AA17" s="79"/>
      <c r="AB17" s="78"/>
      <c r="AC17" s="85"/>
      <c r="AD17" s="79"/>
      <c r="AE17" s="78"/>
      <c r="AF17" s="85"/>
      <c r="AG17" s="79"/>
      <c r="AH17" s="78"/>
      <c r="AI17" s="85"/>
      <c r="AJ17" s="79"/>
      <c r="AK17" s="78"/>
      <c r="AL17" s="85"/>
      <c r="AM17" s="75">
        <f t="shared" si="2"/>
        <v>79478000</v>
      </c>
      <c r="AN17" s="76">
        <f t="shared" si="2"/>
        <v>0</v>
      </c>
      <c r="AO17" s="85"/>
    </row>
    <row r="18" spans="2:44" x14ac:dyDescent="0.35">
      <c r="B18" s="72" t="s">
        <v>226</v>
      </c>
      <c r="C18" s="81">
        <f>SUM(C15:C17)</f>
        <v>3813000</v>
      </c>
      <c r="D18" s="81">
        <f>SUM(D15:D17)</f>
        <v>111802625</v>
      </c>
      <c r="E18" s="77"/>
      <c r="F18" s="81">
        <f>SUM(F15:F17)</f>
        <v>12852500</v>
      </c>
      <c r="G18" s="81">
        <f>SUM(G15:G17)</f>
        <v>7558000</v>
      </c>
      <c r="H18" s="77"/>
      <c r="I18" s="128">
        <f>SUM(I15:I17)</f>
        <v>62812500</v>
      </c>
      <c r="J18" s="128">
        <f>SUM(J15:J17)</f>
        <v>16472000</v>
      </c>
      <c r="K18" s="85"/>
      <c r="L18" s="128">
        <f>SUM(L15:L17)</f>
        <v>0</v>
      </c>
      <c r="M18" s="128">
        <f>SUM(M15:M17)</f>
        <v>0</v>
      </c>
      <c r="N18" s="85"/>
      <c r="O18" s="128">
        <f>SUM(O15:O17)</f>
        <v>0</v>
      </c>
      <c r="P18" s="128">
        <f>SUM(P15:P17)</f>
        <v>0</v>
      </c>
      <c r="Q18" s="85"/>
      <c r="R18" s="81">
        <f>SUM(R15:R17)</f>
        <v>0</v>
      </c>
      <c r="S18" s="81">
        <f>SUM(S15:S17)</f>
        <v>0</v>
      </c>
      <c r="T18" s="77"/>
      <c r="U18" s="128">
        <f>SUM(U15:U17)</f>
        <v>0</v>
      </c>
      <c r="V18" s="128">
        <f>SUM(V15:V17)</f>
        <v>0</v>
      </c>
      <c r="W18" s="85"/>
      <c r="X18" s="128">
        <f>SUM(X15:X17)</f>
        <v>0</v>
      </c>
      <c r="Y18" s="128">
        <f>SUM(Y15:Y17)</f>
        <v>0</v>
      </c>
      <c r="Z18" s="85"/>
      <c r="AA18" s="81">
        <f>SUM(AA15:AA17)</f>
        <v>0</v>
      </c>
      <c r="AB18" s="81">
        <f>SUM(AB15:AB17)</f>
        <v>0</v>
      </c>
      <c r="AC18" s="77"/>
      <c r="AD18" s="81">
        <f>SUM(AD15:AD17)</f>
        <v>0</v>
      </c>
      <c r="AE18" s="81">
        <f>SUM(AE15:AE17)</f>
        <v>0</v>
      </c>
      <c r="AF18" s="77"/>
      <c r="AG18" s="81">
        <f>SUM(AG15:AG17)</f>
        <v>0</v>
      </c>
      <c r="AH18" s="81">
        <f>SUM(AH15:AH17)</f>
        <v>0</v>
      </c>
      <c r="AI18" s="77"/>
      <c r="AJ18" s="81">
        <f>SUM(AJ15:AJ17)</f>
        <v>0</v>
      </c>
      <c r="AK18" s="81">
        <f>SUM(AK15:AK17)</f>
        <v>0</v>
      </c>
      <c r="AL18" s="77"/>
      <c r="AM18" s="81">
        <f>SUM(AM15:AM17)</f>
        <v>79478000</v>
      </c>
      <c r="AN18" s="81">
        <f>SUM(AN15:AN17)</f>
        <v>135832625</v>
      </c>
      <c r="AO18" s="77"/>
    </row>
    <row r="19" spans="2:44" ht="15" thickBot="1" x14ac:dyDescent="0.4">
      <c r="B19" s="73" t="s">
        <v>212</v>
      </c>
      <c r="C19" s="83"/>
      <c r="D19" s="82"/>
      <c r="E19" s="84">
        <f>+D18-C18</f>
        <v>107989625</v>
      </c>
      <c r="F19" s="83"/>
      <c r="G19" s="82"/>
      <c r="H19" s="89">
        <f>+G18-F18</f>
        <v>-5294500</v>
      </c>
      <c r="I19" s="84"/>
      <c r="J19" s="84"/>
      <c r="K19" s="89">
        <f>+J18-I18</f>
        <v>-46340500</v>
      </c>
      <c r="L19" s="84"/>
      <c r="M19" s="84"/>
      <c r="N19" s="84">
        <f>+M18-L18</f>
        <v>0</v>
      </c>
      <c r="O19" s="84"/>
      <c r="P19" s="84"/>
      <c r="Q19" s="84">
        <f>+P18-O18</f>
        <v>0</v>
      </c>
      <c r="R19" s="83"/>
      <c r="S19" s="82"/>
      <c r="T19" s="84">
        <f>+S18-R18</f>
        <v>0</v>
      </c>
      <c r="U19" s="84"/>
      <c r="V19" s="84"/>
      <c r="W19" s="84">
        <f>+V18-U18</f>
        <v>0</v>
      </c>
      <c r="X19" s="84"/>
      <c r="Y19" s="84"/>
      <c r="Z19" s="84">
        <f>+Y18-X18</f>
        <v>0</v>
      </c>
      <c r="AA19" s="83"/>
      <c r="AB19" s="82"/>
      <c r="AC19" s="84">
        <f>+AB18-AA18</f>
        <v>0</v>
      </c>
      <c r="AD19" s="83"/>
      <c r="AE19" s="82"/>
      <c r="AF19" s="84">
        <f>+AE18-AD18</f>
        <v>0</v>
      </c>
      <c r="AG19" s="83"/>
      <c r="AH19" s="82"/>
      <c r="AI19" s="84">
        <f>+AH18-AG18</f>
        <v>0</v>
      </c>
      <c r="AJ19" s="83"/>
      <c r="AK19" s="82"/>
      <c r="AL19" s="84">
        <f>+AK18-AJ18</f>
        <v>0</v>
      </c>
      <c r="AM19" s="83"/>
      <c r="AN19" s="82"/>
      <c r="AO19" s="84">
        <f>+AN18-AM18</f>
        <v>56354625</v>
      </c>
    </row>
    <row r="20" spans="2:44" x14ac:dyDescent="0.35">
      <c r="B20" s="71" t="s">
        <v>207</v>
      </c>
      <c r="C20" s="209"/>
      <c r="D20" s="211">
        <v>5454566</v>
      </c>
      <c r="E20" s="85"/>
      <c r="F20" s="79"/>
      <c r="G20" s="78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79"/>
      <c r="S20" s="78"/>
      <c r="T20" s="85"/>
      <c r="U20" s="85"/>
      <c r="V20" s="85"/>
      <c r="W20" s="85"/>
      <c r="X20" s="85"/>
      <c r="Y20" s="85"/>
      <c r="Z20" s="85"/>
      <c r="AA20" s="79"/>
      <c r="AB20" s="78"/>
      <c r="AC20" s="85"/>
      <c r="AD20" s="79"/>
      <c r="AE20" s="78"/>
      <c r="AF20" s="85"/>
      <c r="AG20" s="79"/>
      <c r="AH20" s="78"/>
      <c r="AI20" s="85"/>
      <c r="AJ20" s="79"/>
      <c r="AK20" s="78"/>
      <c r="AL20" s="85"/>
      <c r="AM20" s="75">
        <f t="shared" ref="AM20:AM31" si="3">+C20+F20+I20+L20+O20+R20+U20+X20+AA20+AD20+AG20+AJ20</f>
        <v>0</v>
      </c>
      <c r="AN20" s="76">
        <f t="shared" ref="AN20:AN31" si="4">+D20+G20+J20+M20+P20+S20+V20+Y20+AB20+AE20+AH20+AK20</f>
        <v>5454566</v>
      </c>
      <c r="AO20" s="85"/>
    </row>
    <row r="21" spans="2:44" x14ac:dyDescent="0.35">
      <c r="B21" s="71" t="s">
        <v>109</v>
      </c>
      <c r="C21" s="209"/>
      <c r="D21" s="211">
        <f>57244198+8000000</f>
        <v>65244198</v>
      </c>
      <c r="E21" s="86"/>
      <c r="F21" s="79"/>
      <c r="G21" s="78">
        <f>29793021+4628000+12000000</f>
        <v>46421021</v>
      </c>
      <c r="H21" s="170"/>
      <c r="I21" s="172"/>
      <c r="J21" s="79">
        <f>60282111+13463000+14915000+8000000</f>
        <v>96660111</v>
      </c>
      <c r="K21" s="171"/>
      <c r="L21" s="172"/>
      <c r="M21" s="79"/>
      <c r="N21" s="171"/>
      <c r="O21" s="172"/>
      <c r="P21" s="79"/>
      <c r="Q21" s="171"/>
      <c r="R21" s="79"/>
      <c r="S21" s="78"/>
      <c r="T21" s="86"/>
      <c r="U21" s="172"/>
      <c r="V21" s="79"/>
      <c r="W21" s="171"/>
      <c r="X21" s="172"/>
      <c r="Y21" s="79"/>
      <c r="Z21" s="171"/>
      <c r="AA21" s="79"/>
      <c r="AB21" s="78"/>
      <c r="AC21" s="86"/>
      <c r="AD21" s="79"/>
      <c r="AE21" s="78"/>
      <c r="AF21" s="86"/>
      <c r="AG21" s="79"/>
      <c r="AH21" s="78"/>
      <c r="AI21" s="86"/>
      <c r="AJ21" s="79"/>
      <c r="AK21" s="78"/>
      <c r="AL21" s="86"/>
      <c r="AM21" s="75">
        <f t="shared" si="3"/>
        <v>0</v>
      </c>
      <c r="AN21" s="76">
        <f t="shared" si="4"/>
        <v>208325330</v>
      </c>
      <c r="AO21" s="86"/>
      <c r="AQ21" s="5"/>
    </row>
    <row r="22" spans="2:44" x14ac:dyDescent="0.35">
      <c r="B22" s="97" t="s">
        <v>321</v>
      </c>
      <c r="C22" s="209">
        <v>1002000</v>
      </c>
      <c r="D22" s="211"/>
      <c r="E22" s="86"/>
      <c r="F22" s="79">
        <f>2006500+500000</f>
        <v>2506500</v>
      </c>
      <c r="G22" s="78"/>
      <c r="H22" s="86"/>
      <c r="I22" s="75">
        <v>100000</v>
      </c>
      <c r="J22" s="75"/>
      <c r="K22" s="86"/>
      <c r="L22" s="75"/>
      <c r="M22" s="75"/>
      <c r="N22" s="86"/>
      <c r="O22" s="75"/>
      <c r="P22" s="75"/>
      <c r="Q22" s="86"/>
      <c r="R22" s="79"/>
      <c r="S22" s="78"/>
      <c r="T22" s="86"/>
      <c r="U22" s="75"/>
      <c r="V22" s="75"/>
      <c r="W22" s="86"/>
      <c r="X22" s="75"/>
      <c r="Y22" s="75"/>
      <c r="Z22" s="86"/>
      <c r="AA22" s="79"/>
      <c r="AB22" s="78"/>
      <c r="AC22" s="86"/>
      <c r="AD22" s="79"/>
      <c r="AE22" s="78"/>
      <c r="AF22" s="86"/>
      <c r="AG22" s="79"/>
      <c r="AH22" s="78"/>
      <c r="AI22" s="86"/>
      <c r="AJ22" s="79"/>
      <c r="AK22" s="78"/>
      <c r="AL22" s="86"/>
      <c r="AM22" s="75">
        <f t="shared" si="3"/>
        <v>3608500</v>
      </c>
      <c r="AN22" s="76">
        <f t="shared" si="4"/>
        <v>0</v>
      </c>
      <c r="AO22" s="86"/>
    </row>
    <row r="23" spans="2:44" x14ac:dyDescent="0.35">
      <c r="B23" s="97" t="s">
        <v>322</v>
      </c>
      <c r="C23" s="209">
        <f>1506500+1270000</f>
        <v>2776500</v>
      </c>
      <c r="D23" s="211"/>
      <c r="E23" s="86"/>
      <c r="F23" s="79">
        <f>22185950+2915000</f>
        <v>25100950</v>
      </c>
      <c r="G23" s="78"/>
      <c r="H23" s="86"/>
      <c r="I23" s="75">
        <f>18936500+757000</f>
        <v>19693500</v>
      </c>
      <c r="J23" s="75"/>
      <c r="K23" s="86"/>
      <c r="L23" s="75"/>
      <c r="M23" s="75"/>
      <c r="N23" s="86"/>
      <c r="O23" s="75"/>
      <c r="P23" s="75"/>
      <c r="Q23" s="86"/>
      <c r="R23" s="79"/>
      <c r="S23" s="78"/>
      <c r="T23" s="86"/>
      <c r="U23" s="75"/>
      <c r="V23" s="75"/>
      <c r="W23" s="86"/>
      <c r="X23" s="75"/>
      <c r="Y23" s="75"/>
      <c r="Z23" s="86"/>
      <c r="AA23" s="79"/>
      <c r="AB23" s="78"/>
      <c r="AC23" s="86"/>
      <c r="AD23" s="79"/>
      <c r="AE23" s="78"/>
      <c r="AF23" s="86"/>
      <c r="AG23" s="79"/>
      <c r="AH23" s="78"/>
      <c r="AI23" s="86"/>
      <c r="AJ23" s="79"/>
      <c r="AK23" s="78"/>
      <c r="AL23" s="86"/>
      <c r="AM23" s="75">
        <f t="shared" si="3"/>
        <v>47570950</v>
      </c>
      <c r="AN23" s="76">
        <f t="shared" si="4"/>
        <v>0</v>
      </c>
      <c r="AO23" s="86"/>
    </row>
    <row r="24" spans="2:44" x14ac:dyDescent="0.35">
      <c r="B24" s="97" t="s">
        <v>323</v>
      </c>
      <c r="C24" s="209">
        <f>8252000+3650000</f>
        <v>11902000</v>
      </c>
      <c r="D24" s="211"/>
      <c r="E24" s="86"/>
      <c r="F24" s="79">
        <f>5026000+750000+2700000</f>
        <v>8476000</v>
      </c>
      <c r="G24" s="78"/>
      <c r="H24" s="86"/>
      <c r="I24" s="75">
        <f>5006500+2263000+2400000+1500000</f>
        <v>11169500</v>
      </c>
      <c r="J24" s="75"/>
      <c r="K24" s="86"/>
      <c r="L24" s="75"/>
      <c r="M24" s="75"/>
      <c r="N24" s="86"/>
      <c r="O24" s="75"/>
      <c r="P24" s="75"/>
      <c r="Q24" s="86"/>
      <c r="R24" s="79"/>
      <c r="S24" s="78"/>
      <c r="T24" s="86"/>
      <c r="U24" s="75"/>
      <c r="V24" s="75"/>
      <c r="W24" s="86"/>
      <c r="X24" s="75"/>
      <c r="Y24" s="75"/>
      <c r="Z24" s="86"/>
      <c r="AA24" s="79"/>
      <c r="AB24" s="78"/>
      <c r="AC24" s="86"/>
      <c r="AD24" s="79"/>
      <c r="AE24" s="78"/>
      <c r="AF24" s="86"/>
      <c r="AG24" s="79"/>
      <c r="AH24" s="78"/>
      <c r="AI24" s="86"/>
      <c r="AJ24" s="79"/>
      <c r="AK24" s="78"/>
      <c r="AL24" s="86"/>
      <c r="AM24" s="75">
        <f t="shared" si="3"/>
        <v>31547500</v>
      </c>
      <c r="AN24" s="76">
        <f t="shared" si="4"/>
        <v>0</v>
      </c>
      <c r="AO24" s="86"/>
    </row>
    <row r="25" spans="2:44" x14ac:dyDescent="0.35">
      <c r="B25" s="97" t="s">
        <v>325</v>
      </c>
      <c r="C25" s="209">
        <v>12582500</v>
      </c>
      <c r="D25" s="211"/>
      <c r="E25" s="86"/>
      <c r="F25" s="79">
        <v>12582500</v>
      </c>
      <c r="G25" s="78"/>
      <c r="H25" s="86"/>
      <c r="I25" s="75">
        <v>27667500</v>
      </c>
      <c r="J25" s="75"/>
      <c r="K25" s="86"/>
      <c r="L25" s="75"/>
      <c r="M25" s="75"/>
      <c r="N25" s="86"/>
      <c r="O25" s="75"/>
      <c r="P25" s="75"/>
      <c r="Q25" s="86"/>
      <c r="R25" s="79"/>
      <c r="S25" s="78"/>
      <c r="T25" s="86"/>
      <c r="U25" s="75"/>
      <c r="V25" s="75"/>
      <c r="W25" s="86"/>
      <c r="X25" s="75"/>
      <c r="Y25" s="75"/>
      <c r="Z25" s="86"/>
      <c r="AA25" s="79"/>
      <c r="AB25" s="78"/>
      <c r="AC25" s="86"/>
      <c r="AD25" s="79"/>
      <c r="AE25" s="78"/>
      <c r="AF25" s="86"/>
      <c r="AG25" s="79"/>
      <c r="AH25" s="78"/>
      <c r="AI25" s="86"/>
      <c r="AJ25" s="79"/>
      <c r="AK25" s="78"/>
      <c r="AL25" s="86"/>
      <c r="AM25" s="75">
        <f t="shared" si="3"/>
        <v>52832500</v>
      </c>
      <c r="AN25" s="76">
        <f t="shared" si="4"/>
        <v>0</v>
      </c>
      <c r="AO25" s="86"/>
    </row>
    <row r="26" spans="2:44" x14ac:dyDescent="0.35">
      <c r="B26" s="98" t="s">
        <v>320</v>
      </c>
      <c r="C26" s="212">
        <f>86500+120000</f>
        <v>206500</v>
      </c>
      <c r="D26" s="213"/>
      <c r="E26" s="86"/>
      <c r="F26" s="88">
        <f>18000+760000</f>
        <v>778000</v>
      </c>
      <c r="G26" s="87"/>
      <c r="H26" s="86"/>
      <c r="I26" s="75">
        <v>391000</v>
      </c>
      <c r="J26" s="75"/>
      <c r="K26" s="86"/>
      <c r="L26" s="75"/>
      <c r="M26" s="75"/>
      <c r="N26" s="86"/>
      <c r="O26" s="75"/>
      <c r="P26" s="75"/>
      <c r="Q26" s="86"/>
      <c r="R26" s="88"/>
      <c r="S26" s="87"/>
      <c r="T26" s="86"/>
      <c r="U26" s="75"/>
      <c r="V26" s="75"/>
      <c r="W26" s="86"/>
      <c r="X26" s="75"/>
      <c r="Y26" s="75"/>
      <c r="Z26" s="86"/>
      <c r="AA26" s="88"/>
      <c r="AB26" s="87"/>
      <c r="AC26" s="86"/>
      <c r="AD26" s="88"/>
      <c r="AE26" s="87"/>
      <c r="AF26" s="86"/>
      <c r="AG26" s="88"/>
      <c r="AH26" s="87"/>
      <c r="AI26" s="86"/>
      <c r="AJ26" s="88"/>
      <c r="AK26" s="87"/>
      <c r="AL26" s="86"/>
      <c r="AM26" s="75">
        <f t="shared" si="3"/>
        <v>1375500</v>
      </c>
      <c r="AN26" s="76">
        <f t="shared" si="4"/>
        <v>0</v>
      </c>
      <c r="AO26" s="86"/>
    </row>
    <row r="27" spans="2:44" x14ac:dyDescent="0.35">
      <c r="B27" s="98" t="s">
        <v>327</v>
      </c>
      <c r="C27" s="212">
        <v>1040000</v>
      </c>
      <c r="D27" s="213"/>
      <c r="E27" s="86"/>
      <c r="F27" s="88">
        <f>550000+900000</f>
        <v>1450000</v>
      </c>
      <c r="G27" s="87"/>
      <c r="H27" s="86"/>
      <c r="I27" s="75">
        <f>39500+6006500+615000</f>
        <v>6661000</v>
      </c>
      <c r="J27" s="75"/>
      <c r="K27" s="86"/>
      <c r="L27" s="75"/>
      <c r="M27" s="75"/>
      <c r="N27" s="86"/>
      <c r="O27" s="75"/>
      <c r="P27" s="75"/>
      <c r="Q27" s="86"/>
      <c r="R27" s="88"/>
      <c r="S27" s="87"/>
      <c r="T27" s="86"/>
      <c r="U27" s="75"/>
      <c r="V27" s="75"/>
      <c r="W27" s="86"/>
      <c r="X27" s="75"/>
      <c r="Y27" s="75"/>
      <c r="Z27" s="86"/>
      <c r="AA27" s="88"/>
      <c r="AB27" s="87"/>
      <c r="AC27" s="86"/>
      <c r="AD27" s="88"/>
      <c r="AE27" s="87"/>
      <c r="AF27" s="86"/>
      <c r="AG27" s="88"/>
      <c r="AH27" s="87"/>
      <c r="AI27" s="86"/>
      <c r="AJ27" s="88"/>
      <c r="AK27" s="87"/>
      <c r="AL27" s="86"/>
      <c r="AM27" s="75">
        <f>+C27+F27+I27+L27+O27+R27+U27+X27+AA27+AD27+AG27+AJ27</f>
        <v>9151000</v>
      </c>
      <c r="AN27" s="76">
        <f t="shared" si="4"/>
        <v>0</v>
      </c>
      <c r="AO27" s="86"/>
    </row>
    <row r="28" spans="2:44" x14ac:dyDescent="0.35">
      <c r="B28" s="98" t="s">
        <v>328</v>
      </c>
      <c r="C28" s="212"/>
      <c r="D28" s="213"/>
      <c r="E28" s="86"/>
      <c r="F28" s="88"/>
      <c r="G28" s="87"/>
      <c r="H28" s="86"/>
      <c r="I28" s="75"/>
      <c r="J28" s="75"/>
      <c r="K28" s="86"/>
      <c r="L28" s="75"/>
      <c r="M28" s="75"/>
      <c r="N28" s="86"/>
      <c r="O28" s="75"/>
      <c r="P28" s="75"/>
      <c r="Q28" s="86"/>
      <c r="R28" s="88"/>
      <c r="S28" s="87"/>
      <c r="T28" s="86"/>
      <c r="U28" s="75"/>
      <c r="V28" s="75"/>
      <c r="W28" s="86"/>
      <c r="X28" s="75"/>
      <c r="Y28" s="75"/>
      <c r="Z28" s="86"/>
      <c r="AA28" s="88"/>
      <c r="AB28" s="87"/>
      <c r="AC28" s="86"/>
      <c r="AD28" s="88"/>
      <c r="AE28" s="87"/>
      <c r="AF28" s="86"/>
      <c r="AG28" s="88"/>
      <c r="AH28" s="87"/>
      <c r="AI28" s="86"/>
      <c r="AJ28" s="88"/>
      <c r="AK28" s="87"/>
      <c r="AL28" s="86"/>
      <c r="AM28" s="75">
        <f>+C28+F28+I28+L28+O28+R28+U28+X28+AA28+AD28+AG28+AJ28</f>
        <v>0</v>
      </c>
      <c r="AN28" s="76">
        <f t="shared" si="4"/>
        <v>0</v>
      </c>
      <c r="AO28" s="86"/>
    </row>
    <row r="29" spans="2:44" x14ac:dyDescent="0.35">
      <c r="B29" s="98" t="s">
        <v>144</v>
      </c>
      <c r="C29" s="212"/>
      <c r="D29" s="213"/>
      <c r="E29" s="86"/>
      <c r="F29" s="88"/>
      <c r="G29" s="87"/>
      <c r="H29" s="86"/>
      <c r="I29" s="75"/>
      <c r="J29" s="75"/>
      <c r="K29" s="86"/>
      <c r="L29" s="75"/>
      <c r="M29" s="75"/>
      <c r="N29" s="86"/>
      <c r="O29" s="75"/>
      <c r="P29" s="75"/>
      <c r="Q29" s="86"/>
      <c r="R29" s="88"/>
      <c r="S29" s="87"/>
      <c r="T29" s="86"/>
      <c r="U29" s="75"/>
      <c r="V29" s="75"/>
      <c r="W29" s="86"/>
      <c r="X29" s="75"/>
      <c r="Y29" s="75"/>
      <c r="Z29" s="86"/>
      <c r="AA29" s="88"/>
      <c r="AB29" s="87"/>
      <c r="AC29" s="86"/>
      <c r="AD29" s="88"/>
      <c r="AE29" s="87"/>
      <c r="AF29" s="86"/>
      <c r="AG29" s="88"/>
      <c r="AH29" s="87"/>
      <c r="AI29" s="86"/>
      <c r="AJ29" s="88"/>
      <c r="AK29" s="87"/>
      <c r="AL29" s="86"/>
      <c r="AM29" s="75">
        <f t="shared" si="3"/>
        <v>0</v>
      </c>
      <c r="AN29" s="76">
        <f t="shared" si="4"/>
        <v>0</v>
      </c>
      <c r="AO29" s="86"/>
    </row>
    <row r="30" spans="2:44" x14ac:dyDescent="0.35">
      <c r="B30" s="98" t="s">
        <v>501</v>
      </c>
      <c r="C30" s="212">
        <f>28500+300000</f>
        <v>328500</v>
      </c>
      <c r="D30" s="213"/>
      <c r="E30" s="86"/>
      <c r="F30" s="88">
        <f>11103700+679000</f>
        <v>11782700</v>
      </c>
      <c r="G30" s="87"/>
      <c r="H30" s="86"/>
      <c r="I30" s="75">
        <f>29684088+192000</f>
        <v>29876088</v>
      </c>
      <c r="J30" s="75"/>
      <c r="K30" s="86"/>
      <c r="L30" s="75"/>
      <c r="M30" s="75"/>
      <c r="N30" s="86"/>
      <c r="O30" s="75"/>
      <c r="P30" s="75"/>
      <c r="Q30" s="86"/>
      <c r="R30" s="88"/>
      <c r="S30" s="87"/>
      <c r="T30" s="86"/>
      <c r="U30" s="75"/>
      <c r="V30" s="75"/>
      <c r="W30" s="86"/>
      <c r="X30" s="75"/>
      <c r="Y30" s="75"/>
      <c r="Z30" s="86"/>
      <c r="AA30" s="88"/>
      <c r="AB30" s="87"/>
      <c r="AC30" s="86"/>
      <c r="AD30" s="88"/>
      <c r="AE30" s="87"/>
      <c r="AF30" s="86"/>
      <c r="AG30" s="88"/>
      <c r="AH30" s="87"/>
      <c r="AI30" s="86"/>
      <c r="AJ30" s="88"/>
      <c r="AK30" s="87"/>
      <c r="AL30" s="86"/>
      <c r="AM30" s="75">
        <f t="shared" si="3"/>
        <v>41987288</v>
      </c>
      <c r="AN30" s="76">
        <f t="shared" si="4"/>
        <v>0</v>
      </c>
      <c r="AO30" s="86"/>
    </row>
    <row r="31" spans="2:44" x14ac:dyDescent="0.35">
      <c r="B31" s="98" t="s">
        <v>580</v>
      </c>
      <c r="C31" s="212"/>
      <c r="D31" s="213"/>
      <c r="E31" s="86"/>
      <c r="F31" s="88"/>
      <c r="G31" s="87"/>
      <c r="H31" s="86"/>
      <c r="I31" s="75"/>
      <c r="J31" s="75"/>
      <c r="K31" s="86"/>
      <c r="L31" s="75"/>
      <c r="M31" s="75"/>
      <c r="N31" s="86"/>
      <c r="O31" s="75"/>
      <c r="P31" s="75"/>
      <c r="Q31" s="86"/>
      <c r="R31" s="88"/>
      <c r="S31" s="87"/>
      <c r="T31" s="86"/>
      <c r="U31" s="75"/>
      <c r="V31" s="75"/>
      <c r="W31" s="86"/>
      <c r="X31" s="75"/>
      <c r="Y31" s="75"/>
      <c r="Z31" s="86"/>
      <c r="AA31" s="88"/>
      <c r="AB31" s="87"/>
      <c r="AC31" s="86"/>
      <c r="AD31" s="88"/>
      <c r="AE31" s="87"/>
      <c r="AF31" s="86"/>
      <c r="AG31" s="88"/>
      <c r="AH31" s="87"/>
      <c r="AI31" s="86"/>
      <c r="AJ31" s="88"/>
      <c r="AK31" s="87"/>
      <c r="AL31" s="86"/>
      <c r="AM31" s="75">
        <f t="shared" si="3"/>
        <v>0</v>
      </c>
      <c r="AN31" s="76">
        <f t="shared" si="4"/>
        <v>0</v>
      </c>
      <c r="AO31" s="86"/>
      <c r="AQ31" s="14"/>
    </row>
    <row r="32" spans="2:44" x14ac:dyDescent="0.35">
      <c r="B32" s="72" t="s">
        <v>229</v>
      </c>
      <c r="C32" s="81">
        <f>SUM(C20:C31)</f>
        <v>29838000</v>
      </c>
      <c r="D32" s="81">
        <f>SUM(D20:D31)</f>
        <v>70698764</v>
      </c>
      <c r="E32" s="77"/>
      <c r="F32" s="81">
        <f>SUM(F20:F31)</f>
        <v>62676650</v>
      </c>
      <c r="G32" s="81">
        <f>SUM(G20:G31)</f>
        <v>46421021</v>
      </c>
      <c r="H32" s="77"/>
      <c r="I32" s="81">
        <f>SUM(I20:I31)</f>
        <v>95558588</v>
      </c>
      <c r="J32" s="81">
        <f>SUM(J20:J31)</f>
        <v>96660111</v>
      </c>
      <c r="K32" s="77"/>
      <c r="L32" s="81">
        <f>SUM(L20:L31)</f>
        <v>0</v>
      </c>
      <c r="M32" s="81">
        <f>SUM(M20:M31)</f>
        <v>0</v>
      </c>
      <c r="N32" s="77"/>
      <c r="O32" s="81">
        <f>SUM(O20:O31)</f>
        <v>0</v>
      </c>
      <c r="P32" s="81">
        <f>SUM(P20:P31)</f>
        <v>0</v>
      </c>
      <c r="Q32" s="77"/>
      <c r="R32" s="81">
        <f>SUM(R20:R31)</f>
        <v>0</v>
      </c>
      <c r="S32" s="81">
        <f>SUM(S20:S31)</f>
        <v>0</v>
      </c>
      <c r="T32" s="77"/>
      <c r="U32" s="81">
        <f>SUM(U20:U31)</f>
        <v>0</v>
      </c>
      <c r="V32" s="81">
        <f>SUM(V20:V31)</f>
        <v>0</v>
      </c>
      <c r="W32" s="77"/>
      <c r="X32" s="81">
        <f>SUM(X20:X31)</f>
        <v>0</v>
      </c>
      <c r="Y32" s="81">
        <f>SUM(Y20:Y31)</f>
        <v>0</v>
      </c>
      <c r="Z32" s="77"/>
      <c r="AA32" s="81">
        <f>SUM(AA20:AA31)</f>
        <v>0</v>
      </c>
      <c r="AB32" s="81">
        <f>SUM(AB20:AB31)</f>
        <v>0</v>
      </c>
      <c r="AC32" s="77"/>
      <c r="AD32" s="81">
        <f>SUM(AD20:AD31)</f>
        <v>0</v>
      </c>
      <c r="AE32" s="81">
        <f>SUM(AE20:AE31)</f>
        <v>0</v>
      </c>
      <c r="AF32" s="77"/>
      <c r="AG32" s="81">
        <f>SUM(AG20:AG31)</f>
        <v>0</v>
      </c>
      <c r="AH32" s="81">
        <f>SUM(AH20:AH31)</f>
        <v>0</v>
      </c>
      <c r="AI32" s="77"/>
      <c r="AJ32" s="81">
        <f>SUM(AJ20:AJ31)</f>
        <v>0</v>
      </c>
      <c r="AK32" s="81">
        <f>SUM(AK20:AK31)</f>
        <v>0</v>
      </c>
      <c r="AL32" s="77"/>
      <c r="AM32" s="81">
        <f>SUM(AM20:AM31)</f>
        <v>188073238</v>
      </c>
      <c r="AN32" s="81">
        <f>SUM(AN20:AN31)</f>
        <v>213779896</v>
      </c>
      <c r="AO32" s="77"/>
      <c r="AQ32" s="5"/>
      <c r="AR32" s="181"/>
    </row>
    <row r="33" spans="2:44" ht="15" thickBot="1" x14ac:dyDescent="0.4">
      <c r="B33" s="73" t="s">
        <v>326</v>
      </c>
      <c r="C33" s="83"/>
      <c r="D33" s="82"/>
      <c r="E33" s="84">
        <f>+D32-C32</f>
        <v>40860764</v>
      </c>
      <c r="F33" s="83"/>
      <c r="G33" s="82"/>
      <c r="H33" s="89">
        <f>+G32-F32</f>
        <v>-16255629</v>
      </c>
      <c r="I33" s="83"/>
      <c r="J33" s="82"/>
      <c r="K33" s="243">
        <f>+J32-I32</f>
        <v>1101523</v>
      </c>
      <c r="L33" s="83"/>
      <c r="M33" s="82"/>
      <c r="N33" s="84">
        <f>+M32-L32</f>
        <v>0</v>
      </c>
      <c r="O33" s="83"/>
      <c r="P33" s="82"/>
      <c r="Q33" s="89">
        <f>+P32-O32</f>
        <v>0</v>
      </c>
      <c r="R33" s="83"/>
      <c r="S33" s="82"/>
      <c r="T33" s="84">
        <f>+S32-R32</f>
        <v>0</v>
      </c>
      <c r="U33" s="83"/>
      <c r="V33" s="82"/>
      <c r="W33" s="84">
        <f>+V32-U32</f>
        <v>0</v>
      </c>
      <c r="X33" s="83"/>
      <c r="Y33" s="82"/>
      <c r="Z33" s="89">
        <f>+Y32-X32</f>
        <v>0</v>
      </c>
      <c r="AA33" s="83"/>
      <c r="AB33" s="82"/>
      <c r="AC33" s="84">
        <f>+AB32-AA32</f>
        <v>0</v>
      </c>
      <c r="AD33" s="83"/>
      <c r="AE33" s="82"/>
      <c r="AF33" s="89">
        <f>+AE32-AD32</f>
        <v>0</v>
      </c>
      <c r="AG33" s="83"/>
      <c r="AH33" s="82"/>
      <c r="AI33" s="89">
        <f>+AH32-AG32</f>
        <v>0</v>
      </c>
      <c r="AJ33" s="83"/>
      <c r="AK33" s="82"/>
      <c r="AL33" s="89">
        <f>+AK32-AJ32</f>
        <v>0</v>
      </c>
      <c r="AM33" s="83"/>
      <c r="AN33" s="82"/>
      <c r="AO33" s="84">
        <f>+AN32-AM32</f>
        <v>25706658</v>
      </c>
      <c r="AR33" s="181"/>
    </row>
    <row r="34" spans="2:44" x14ac:dyDescent="0.35">
      <c r="B34" s="71" t="s">
        <v>1093</v>
      </c>
      <c r="C34" s="209"/>
      <c r="D34" s="211"/>
      <c r="E34" s="85"/>
      <c r="F34" s="79"/>
      <c r="G34" s="78"/>
      <c r="H34" s="85"/>
      <c r="I34" s="88"/>
      <c r="J34" s="87"/>
      <c r="K34" s="85"/>
      <c r="L34" s="79"/>
      <c r="M34" s="78"/>
      <c r="N34" s="85"/>
      <c r="O34" s="79"/>
      <c r="P34" s="78"/>
      <c r="Q34" s="85"/>
      <c r="R34" s="79"/>
      <c r="S34" s="78"/>
      <c r="T34" s="85"/>
      <c r="U34" s="79"/>
      <c r="V34" s="78"/>
      <c r="W34" s="85"/>
      <c r="X34" s="79"/>
      <c r="Y34" s="78"/>
      <c r="Z34" s="85"/>
      <c r="AA34" s="79"/>
      <c r="AB34" s="78"/>
      <c r="AC34" s="85"/>
      <c r="AD34" s="79"/>
      <c r="AE34" s="78"/>
      <c r="AF34" s="85"/>
      <c r="AG34" s="79"/>
      <c r="AH34" s="78"/>
      <c r="AI34" s="85"/>
      <c r="AJ34" s="79"/>
      <c r="AK34" s="78"/>
      <c r="AL34" s="85"/>
      <c r="AM34" s="75">
        <f t="shared" ref="AM34:AN36" si="5">+C34+F34+I34+L34+O34+R34+U34+X34+AA34+AD34+AG34+AJ34</f>
        <v>0</v>
      </c>
      <c r="AN34" s="76">
        <f t="shared" si="5"/>
        <v>0</v>
      </c>
      <c r="AO34" s="85"/>
    </row>
    <row r="35" spans="2:44" x14ac:dyDescent="0.35">
      <c r="B35" s="71" t="s">
        <v>1052</v>
      </c>
      <c r="C35" s="209"/>
      <c r="D35" s="211">
        <v>227315265</v>
      </c>
      <c r="E35" s="85"/>
      <c r="F35" s="79"/>
      <c r="G35" s="78">
        <f>13090035</f>
        <v>13090035</v>
      </c>
      <c r="H35" s="85"/>
      <c r="I35" s="88"/>
      <c r="J35" s="87"/>
      <c r="K35" s="85"/>
      <c r="L35" s="79"/>
      <c r="M35" s="78"/>
      <c r="N35" s="85"/>
      <c r="O35" s="79"/>
      <c r="P35" s="78"/>
      <c r="Q35" s="85"/>
      <c r="R35" s="79"/>
      <c r="S35" s="78"/>
      <c r="T35" s="85"/>
      <c r="U35" s="79"/>
      <c r="V35" s="78"/>
      <c r="W35" s="85"/>
      <c r="X35" s="79"/>
      <c r="Y35" s="78"/>
      <c r="Z35" s="85"/>
      <c r="AA35" s="79"/>
      <c r="AB35" s="78"/>
      <c r="AC35" s="85"/>
      <c r="AD35" s="79"/>
      <c r="AE35" s="78"/>
      <c r="AF35" s="85"/>
      <c r="AG35" s="79"/>
      <c r="AH35" s="78"/>
      <c r="AI35" s="85"/>
      <c r="AJ35" s="79"/>
      <c r="AK35" s="78"/>
      <c r="AL35" s="85"/>
      <c r="AM35" s="75">
        <f t="shared" si="5"/>
        <v>0</v>
      </c>
      <c r="AN35" s="76">
        <f t="shared" si="5"/>
        <v>240405300</v>
      </c>
      <c r="AO35" s="85"/>
      <c r="AR35" s="160"/>
    </row>
    <row r="36" spans="2:44" x14ac:dyDescent="0.35">
      <c r="B36" s="71" t="s">
        <v>1051</v>
      </c>
      <c r="C36" s="209">
        <v>36498000</v>
      </c>
      <c r="D36" s="211"/>
      <c r="E36" s="85"/>
      <c r="F36" s="79">
        <v>203425888</v>
      </c>
      <c r="G36" s="78"/>
      <c r="H36" s="85"/>
      <c r="I36" s="88">
        <v>481412</v>
      </c>
      <c r="J36" s="87"/>
      <c r="K36" s="85"/>
      <c r="L36" s="79"/>
      <c r="M36" s="78"/>
      <c r="N36" s="85"/>
      <c r="O36" s="79"/>
      <c r="P36" s="78"/>
      <c r="Q36" s="85"/>
      <c r="R36" s="79"/>
      <c r="S36" s="78"/>
      <c r="T36" s="85"/>
      <c r="U36" s="79"/>
      <c r="V36" s="78"/>
      <c r="W36" s="85"/>
      <c r="X36" s="79"/>
      <c r="Y36" s="78"/>
      <c r="Z36" s="85"/>
      <c r="AA36" s="79"/>
      <c r="AB36" s="78"/>
      <c r="AC36" s="85"/>
      <c r="AD36" s="79"/>
      <c r="AE36" s="78"/>
      <c r="AF36" s="85"/>
      <c r="AG36" s="79"/>
      <c r="AH36" s="78"/>
      <c r="AI36" s="85"/>
      <c r="AJ36" s="79"/>
      <c r="AK36" s="78"/>
      <c r="AL36" s="85"/>
      <c r="AM36" s="75">
        <f t="shared" si="5"/>
        <v>240405300</v>
      </c>
      <c r="AN36" s="76">
        <f t="shared" si="5"/>
        <v>0</v>
      </c>
      <c r="AO36" s="85"/>
    </row>
    <row r="37" spans="2:44" x14ac:dyDescent="0.35">
      <c r="B37" s="72" t="s">
        <v>1094</v>
      </c>
      <c r="C37" s="81">
        <f>SUM(C34:C36)</f>
        <v>36498000</v>
      </c>
      <c r="D37" s="81">
        <f>SUM(D34:D36)</f>
        <v>227315265</v>
      </c>
      <c r="E37" s="77"/>
      <c r="F37" s="81">
        <f>SUM(F34:F36)</f>
        <v>203425888</v>
      </c>
      <c r="G37" s="81">
        <f>SUM(G34:G36)</f>
        <v>13090035</v>
      </c>
      <c r="H37" s="77"/>
      <c r="I37" s="81">
        <f>SUM(I34:I36)</f>
        <v>481412</v>
      </c>
      <c r="J37" s="81">
        <f>SUM(J34:J36)</f>
        <v>0</v>
      </c>
      <c r="K37" s="77"/>
      <c r="L37" s="77"/>
      <c r="M37" s="77"/>
      <c r="N37" s="77"/>
      <c r="O37" s="77"/>
      <c r="P37" s="77"/>
      <c r="Q37" s="77"/>
      <c r="R37" s="81">
        <f>SUM(R34:R36)</f>
        <v>0</v>
      </c>
      <c r="S37" s="81">
        <f>SUM(S34:S36)</f>
        <v>0</v>
      </c>
      <c r="T37" s="77"/>
      <c r="U37" s="77"/>
      <c r="V37" s="77"/>
      <c r="W37" s="77"/>
      <c r="X37" s="77"/>
      <c r="Y37" s="77"/>
      <c r="Z37" s="77"/>
      <c r="AA37" s="81">
        <f>SUM(AA34:AA36)</f>
        <v>0</v>
      </c>
      <c r="AB37" s="81">
        <f>SUM(AB34:AB36)</f>
        <v>0</v>
      </c>
      <c r="AC37" s="77"/>
      <c r="AD37" s="81">
        <f>SUM(AD34:AD36)</f>
        <v>0</v>
      </c>
      <c r="AE37" s="81">
        <f>SUM(AE34:AE36)</f>
        <v>0</v>
      </c>
      <c r="AF37" s="77"/>
      <c r="AG37" s="81">
        <f>SUM(AG34:AG36)</f>
        <v>0</v>
      </c>
      <c r="AH37" s="81">
        <f>SUM(AH34:AH36)</f>
        <v>0</v>
      </c>
      <c r="AI37" s="77"/>
      <c r="AJ37" s="81">
        <f>SUM(AJ34:AJ36)</f>
        <v>0</v>
      </c>
      <c r="AK37" s="81">
        <f>SUM(AK34:AK36)</f>
        <v>0</v>
      </c>
      <c r="AL37" s="77"/>
      <c r="AM37" s="81">
        <f>SUM(AM34:AM36)</f>
        <v>240405300</v>
      </c>
      <c r="AN37" s="81">
        <f>SUM(AN34:AN36)</f>
        <v>240405300</v>
      </c>
      <c r="AO37" s="77"/>
    </row>
    <row r="38" spans="2:44" ht="15" thickBot="1" x14ac:dyDescent="0.4">
      <c r="B38" s="73" t="s">
        <v>213</v>
      </c>
      <c r="C38" s="83"/>
      <c r="D38" s="82"/>
      <c r="E38" s="84">
        <f>+D37-C37</f>
        <v>190817265</v>
      </c>
      <c r="F38" s="83"/>
      <c r="G38" s="82"/>
      <c r="H38" s="89">
        <f>+G37-F37</f>
        <v>-190335853</v>
      </c>
      <c r="I38" s="90"/>
      <c r="J38" s="90"/>
      <c r="K38" s="89">
        <f>+J37-I37</f>
        <v>-481412</v>
      </c>
      <c r="L38" s="90"/>
      <c r="M38" s="90"/>
      <c r="N38" s="90"/>
      <c r="O38" s="90"/>
      <c r="P38" s="90"/>
      <c r="Q38" s="90"/>
      <c r="R38" s="83"/>
      <c r="S38" s="82"/>
      <c r="T38" s="90">
        <f>+S37-R37</f>
        <v>0</v>
      </c>
      <c r="U38" s="90"/>
      <c r="V38" s="90"/>
      <c r="W38" s="90"/>
      <c r="X38" s="90"/>
      <c r="Y38" s="90"/>
      <c r="Z38" s="90"/>
      <c r="AA38" s="83"/>
      <c r="AB38" s="82"/>
      <c r="AC38" s="90">
        <f>+AB37-AA37</f>
        <v>0</v>
      </c>
      <c r="AD38" s="83"/>
      <c r="AE38" s="82"/>
      <c r="AF38" s="90">
        <f>+AE37-AD37</f>
        <v>0</v>
      </c>
      <c r="AG38" s="83"/>
      <c r="AH38" s="82"/>
      <c r="AI38" s="90">
        <f>+AH37-AG37</f>
        <v>0</v>
      </c>
      <c r="AJ38" s="83"/>
      <c r="AK38" s="82"/>
      <c r="AL38" s="90">
        <f>+AK37-AJ37</f>
        <v>0</v>
      </c>
      <c r="AM38" s="83"/>
      <c r="AN38" s="82"/>
      <c r="AO38" s="84">
        <f>+AN37-AM37</f>
        <v>0</v>
      </c>
    </row>
    <row r="39" spans="2:44" x14ac:dyDescent="0.35">
      <c r="B39" s="71" t="s">
        <v>209</v>
      </c>
      <c r="C39" s="79"/>
      <c r="D39" s="78">
        <v>387000</v>
      </c>
      <c r="E39" s="85"/>
      <c r="F39" s="79"/>
      <c r="G39" s="78"/>
      <c r="H39" s="85"/>
      <c r="I39" s="88"/>
      <c r="J39" s="87"/>
      <c r="K39" s="161"/>
      <c r="L39" s="198"/>
      <c r="M39" s="198"/>
      <c r="N39" s="70"/>
      <c r="O39" s="198"/>
      <c r="P39" s="198"/>
      <c r="Q39" s="163"/>
      <c r="R39" s="79"/>
      <c r="S39" s="78"/>
      <c r="T39" s="85"/>
      <c r="U39" s="79"/>
      <c r="V39" s="78"/>
      <c r="W39" s="161"/>
      <c r="X39" s="198"/>
      <c r="Y39" s="198"/>
      <c r="Z39" s="163"/>
      <c r="AA39" s="79"/>
      <c r="AB39" s="78"/>
      <c r="AC39" s="85"/>
      <c r="AD39" s="79"/>
      <c r="AE39" s="78"/>
      <c r="AF39" s="85"/>
      <c r="AG39" s="79"/>
      <c r="AH39" s="78"/>
      <c r="AI39" s="85"/>
      <c r="AJ39" s="79"/>
      <c r="AK39" s="78"/>
      <c r="AL39" s="85"/>
      <c r="AM39" s="75">
        <f t="shared" ref="AM39:AN41" si="6">+C39+F39+I39+L39+O39+R39+U39+X39+AA39+AD39+AG39+AJ39</f>
        <v>0</v>
      </c>
      <c r="AN39" s="76">
        <f t="shared" si="6"/>
        <v>387000</v>
      </c>
      <c r="AO39" s="85"/>
    </row>
    <row r="40" spans="2:44" x14ac:dyDescent="0.35">
      <c r="B40" s="71" t="s">
        <v>140</v>
      </c>
      <c r="C40" s="209"/>
      <c r="D40" s="211">
        <v>200000</v>
      </c>
      <c r="E40" s="85"/>
      <c r="F40" s="79"/>
      <c r="G40" s="78">
        <v>213000</v>
      </c>
      <c r="H40" s="85"/>
      <c r="I40" s="88"/>
      <c r="J40" s="87">
        <v>200000</v>
      </c>
      <c r="K40" s="161"/>
      <c r="L40" s="165"/>
      <c r="M40" s="166"/>
      <c r="N40" s="70"/>
      <c r="O40" s="165"/>
      <c r="P40" s="166"/>
      <c r="Q40" s="163"/>
      <c r="R40" s="79"/>
      <c r="S40" s="78"/>
      <c r="T40" s="85"/>
      <c r="U40" s="79"/>
      <c r="V40" s="78"/>
      <c r="W40" s="161"/>
      <c r="X40" s="165"/>
      <c r="Y40" s="166"/>
      <c r="Z40" s="163"/>
      <c r="AA40" s="79"/>
      <c r="AB40" s="78"/>
      <c r="AC40" s="85"/>
      <c r="AD40" s="79"/>
      <c r="AE40" s="78"/>
      <c r="AF40" s="85"/>
      <c r="AG40" s="79"/>
      <c r="AH40" s="78"/>
      <c r="AI40" s="85"/>
      <c r="AJ40" s="79"/>
      <c r="AK40" s="78"/>
      <c r="AL40" s="85"/>
      <c r="AM40" s="75">
        <f t="shared" si="6"/>
        <v>0</v>
      </c>
      <c r="AN40" s="76">
        <f t="shared" si="6"/>
        <v>613000</v>
      </c>
      <c r="AO40" s="85"/>
    </row>
    <row r="41" spans="2:44" x14ac:dyDescent="0.35">
      <c r="B41" s="71" t="s">
        <v>200</v>
      </c>
      <c r="C41" s="209"/>
      <c r="D41" s="211"/>
      <c r="E41" s="85"/>
      <c r="F41" s="79">
        <f>602500-2500</f>
        <v>600000</v>
      </c>
      <c r="G41" s="78"/>
      <c r="H41" s="85"/>
      <c r="I41" s="88"/>
      <c r="J41" s="87"/>
      <c r="K41" s="161"/>
      <c r="L41" s="166"/>
      <c r="M41" s="165"/>
      <c r="N41" s="70"/>
      <c r="O41" s="166"/>
      <c r="P41" s="165"/>
      <c r="Q41" s="163"/>
      <c r="R41" s="79"/>
      <c r="S41" s="78"/>
      <c r="T41" s="85"/>
      <c r="U41" s="79"/>
      <c r="V41" s="78"/>
      <c r="W41" s="161"/>
      <c r="X41" s="166"/>
      <c r="Y41" s="165"/>
      <c r="Z41" s="163"/>
      <c r="AA41" s="79"/>
      <c r="AB41" s="78"/>
      <c r="AC41" s="85"/>
      <c r="AD41" s="79"/>
      <c r="AE41" s="78"/>
      <c r="AF41" s="85"/>
      <c r="AG41" s="79"/>
      <c r="AH41" s="78"/>
      <c r="AI41" s="85"/>
      <c r="AJ41" s="79"/>
      <c r="AK41" s="78"/>
      <c r="AL41" s="85"/>
      <c r="AM41" s="75">
        <f t="shared" si="6"/>
        <v>600000</v>
      </c>
      <c r="AN41" s="76">
        <f t="shared" si="6"/>
        <v>0</v>
      </c>
      <c r="AO41" s="85"/>
    </row>
    <row r="42" spans="2:44" x14ac:dyDescent="0.35">
      <c r="B42" s="72" t="s">
        <v>228</v>
      </c>
      <c r="C42" s="81">
        <f>SUM(C39:C41)</f>
        <v>0</v>
      </c>
      <c r="D42" s="81">
        <f>SUM(D39:D41)</f>
        <v>587000</v>
      </c>
      <c r="E42" s="77"/>
      <c r="F42" s="81">
        <f>SUM(F39:F41)</f>
        <v>600000</v>
      </c>
      <c r="G42" s="81">
        <f>SUM(G39:G41)</f>
        <v>213000</v>
      </c>
      <c r="H42" s="77"/>
      <c r="I42" s="81">
        <f>SUM(I39:I41)</f>
        <v>0</v>
      </c>
      <c r="J42" s="81">
        <f>SUM(J39:J41)</f>
        <v>200000</v>
      </c>
      <c r="K42" s="77"/>
      <c r="L42" s="81">
        <f>SUM(L39:L41)</f>
        <v>0</v>
      </c>
      <c r="M42" s="81">
        <f>SUM(M39:M41)</f>
        <v>0</v>
      </c>
      <c r="N42" s="162"/>
      <c r="O42" s="165">
        <f>SUM(O39:O41)</f>
        <v>0</v>
      </c>
      <c r="P42" s="165">
        <f>SUM(P39:P41)</f>
        <v>0</v>
      </c>
      <c r="Q42" s="164"/>
      <c r="R42" s="81">
        <f>SUM(R39:R41)</f>
        <v>0</v>
      </c>
      <c r="S42" s="81">
        <f>SUM(S39:S41)</f>
        <v>0</v>
      </c>
      <c r="T42" s="77"/>
      <c r="U42" s="81">
        <f>SUM(U39:U41)</f>
        <v>0</v>
      </c>
      <c r="V42" s="81">
        <f>SUM(V39:V41)</f>
        <v>0</v>
      </c>
      <c r="W42" s="162"/>
      <c r="X42" s="165">
        <f>SUM(X39:X41)</f>
        <v>0</v>
      </c>
      <c r="Y42" s="165">
        <f>SUM(Y39:Y41)</f>
        <v>0</v>
      </c>
      <c r="Z42" s="164"/>
      <c r="AA42" s="81">
        <f>SUM(AA39:AA41)</f>
        <v>0</v>
      </c>
      <c r="AB42" s="81">
        <f>SUM(AB39:AB41)</f>
        <v>0</v>
      </c>
      <c r="AC42" s="77"/>
      <c r="AD42" s="81">
        <f>SUM(AD39:AD41)</f>
        <v>0</v>
      </c>
      <c r="AE42" s="81">
        <f>SUM(AE39:AE41)</f>
        <v>0</v>
      </c>
      <c r="AF42" s="77"/>
      <c r="AG42" s="81">
        <f>SUM(AG39:AG41)</f>
        <v>0</v>
      </c>
      <c r="AH42" s="81">
        <f>SUM(AH39:AH41)</f>
        <v>0</v>
      </c>
      <c r="AI42" s="77"/>
      <c r="AJ42" s="81">
        <f>SUM(AJ39:AJ41)</f>
        <v>0</v>
      </c>
      <c r="AK42" s="81">
        <f>SUM(AK39:AK41)</f>
        <v>0</v>
      </c>
      <c r="AL42" s="77"/>
      <c r="AM42" s="128">
        <f>SUM(AM39:AM41)</f>
        <v>600000</v>
      </c>
      <c r="AN42" s="194">
        <f>SUM(AN39:AN41)</f>
        <v>1000000</v>
      </c>
      <c r="AO42" s="77"/>
    </row>
    <row r="43" spans="2:44" ht="15" thickBot="1" x14ac:dyDescent="0.4">
      <c r="B43" s="73" t="s">
        <v>214</v>
      </c>
      <c r="C43" s="83"/>
      <c r="D43" s="82"/>
      <c r="E43" s="84">
        <f>+D42-C42</f>
        <v>587000</v>
      </c>
      <c r="F43" s="83"/>
      <c r="G43" s="82"/>
      <c r="H43" s="89">
        <f>SUM(G39:G41)-SUM(F39:F41)</f>
        <v>-387000</v>
      </c>
      <c r="I43" s="83"/>
      <c r="J43" s="82"/>
      <c r="K43" s="84">
        <f>SUM(J39:J41)-SUM(I39:I41)</f>
        <v>200000</v>
      </c>
      <c r="L43" s="83"/>
      <c r="M43" s="82"/>
      <c r="N43" s="89">
        <f>SUM(M39:M41)-SUM(L39:L41)</f>
        <v>0</v>
      </c>
      <c r="O43" s="83"/>
      <c r="P43" s="82"/>
      <c r="Q43" s="84">
        <f>+P42-O42</f>
        <v>0</v>
      </c>
      <c r="R43" s="83"/>
      <c r="S43" s="82"/>
      <c r="T43" s="84">
        <f>+S42-R42</f>
        <v>0</v>
      </c>
      <c r="U43" s="83"/>
      <c r="V43" s="82"/>
      <c r="W43" s="89">
        <f>SUM(V39:V41)-SUM(U39:U41)</f>
        <v>0</v>
      </c>
      <c r="X43" s="83"/>
      <c r="Y43" s="82"/>
      <c r="Z43" s="84">
        <f>+Y42-X42</f>
        <v>0</v>
      </c>
      <c r="AA43" s="83"/>
      <c r="AB43" s="82"/>
      <c r="AC43" s="84">
        <f>+AB42-AA42</f>
        <v>0</v>
      </c>
      <c r="AD43" s="83"/>
      <c r="AE43" s="82"/>
      <c r="AF43" s="89">
        <f>+AE42-AD42</f>
        <v>0</v>
      </c>
      <c r="AG43" s="83"/>
      <c r="AH43" s="82"/>
      <c r="AI43" s="84">
        <f>+AH42-AG42</f>
        <v>0</v>
      </c>
      <c r="AJ43" s="83"/>
      <c r="AK43" s="82"/>
      <c r="AL43" s="84">
        <f>+AK42-AJ42</f>
        <v>0</v>
      </c>
      <c r="AM43" s="83"/>
      <c r="AN43" s="82"/>
      <c r="AO43" s="84">
        <f>+AN42-AM42</f>
        <v>400000</v>
      </c>
    </row>
    <row r="44" spans="2:44" x14ac:dyDescent="0.35">
      <c r="B44" s="71" t="s">
        <v>668</v>
      </c>
      <c r="C44" s="79"/>
      <c r="D44" s="78"/>
      <c r="E44" s="85"/>
      <c r="F44" s="79"/>
      <c r="G44" s="78"/>
      <c r="H44" s="85"/>
      <c r="I44" s="79"/>
      <c r="J44" s="78"/>
      <c r="K44" s="85"/>
      <c r="L44" s="79"/>
      <c r="M44" s="78"/>
      <c r="N44" s="161"/>
      <c r="O44" s="198"/>
      <c r="P44" s="198"/>
      <c r="Q44" s="163"/>
      <c r="R44" s="79"/>
      <c r="S44" s="78"/>
      <c r="T44" s="85"/>
      <c r="U44" s="79"/>
      <c r="V44" s="78"/>
      <c r="W44" s="161"/>
      <c r="X44" s="198"/>
      <c r="Y44" s="198"/>
      <c r="Z44" s="163"/>
      <c r="AA44" s="79"/>
      <c r="AB44" s="78"/>
      <c r="AC44" s="85"/>
      <c r="AD44" s="79"/>
      <c r="AE44" s="78"/>
      <c r="AF44" s="85"/>
      <c r="AG44" s="79"/>
      <c r="AH44" s="78"/>
      <c r="AI44" s="85"/>
      <c r="AJ44" s="79"/>
      <c r="AK44" s="78"/>
      <c r="AL44" s="85"/>
      <c r="AM44" s="75">
        <f t="shared" ref="AM44:AN46" si="7">+C44+F44+I44+L44+O44+R44+U44+X44+AA44+AD44+AG44+AJ44</f>
        <v>0</v>
      </c>
      <c r="AN44" s="76">
        <f t="shared" si="7"/>
        <v>0</v>
      </c>
      <c r="AO44" s="85"/>
    </row>
    <row r="45" spans="2:44" x14ac:dyDescent="0.35">
      <c r="B45" s="71" t="s">
        <v>613</v>
      </c>
      <c r="C45" s="79"/>
      <c r="D45" s="78"/>
      <c r="E45" s="85"/>
      <c r="F45" s="79"/>
      <c r="G45" s="78"/>
      <c r="H45" s="85"/>
      <c r="I45" s="79"/>
      <c r="J45" s="78"/>
      <c r="K45" s="85"/>
      <c r="L45" s="79"/>
      <c r="M45" s="78"/>
      <c r="N45" s="161"/>
      <c r="O45" s="165"/>
      <c r="P45" s="166"/>
      <c r="Q45" s="163"/>
      <c r="R45" s="79"/>
      <c r="S45" s="78"/>
      <c r="T45" s="85"/>
      <c r="U45" s="79"/>
      <c r="V45" s="78"/>
      <c r="W45" s="161"/>
      <c r="X45" s="165"/>
      <c r="Y45" s="166"/>
      <c r="Z45" s="163"/>
      <c r="AA45" s="79"/>
      <c r="AB45" s="78"/>
      <c r="AC45" s="85"/>
      <c r="AD45" s="79"/>
      <c r="AE45" s="78"/>
      <c r="AF45" s="85"/>
      <c r="AG45" s="79"/>
      <c r="AH45" s="78"/>
      <c r="AI45" s="85"/>
      <c r="AJ45" s="79"/>
      <c r="AK45" s="78"/>
      <c r="AL45" s="85"/>
      <c r="AM45" s="75">
        <f t="shared" si="7"/>
        <v>0</v>
      </c>
      <c r="AN45" s="76">
        <f t="shared" si="7"/>
        <v>0</v>
      </c>
      <c r="AO45" s="85"/>
    </row>
    <row r="46" spans="2:44" x14ac:dyDescent="0.35">
      <c r="B46" s="71" t="s">
        <v>669</v>
      </c>
      <c r="C46" s="79"/>
      <c r="D46" s="78"/>
      <c r="E46" s="85"/>
      <c r="F46" s="79"/>
      <c r="G46" s="78"/>
      <c r="H46" s="85"/>
      <c r="I46" s="79"/>
      <c r="J46" s="78"/>
      <c r="K46" s="85"/>
      <c r="L46" s="79"/>
      <c r="M46" s="78"/>
      <c r="N46" s="161"/>
      <c r="O46" s="166"/>
      <c r="P46" s="165"/>
      <c r="Q46" s="163"/>
      <c r="R46" s="79"/>
      <c r="S46" s="78"/>
      <c r="T46" s="85"/>
      <c r="U46" s="79"/>
      <c r="V46" s="78"/>
      <c r="W46" s="161"/>
      <c r="X46" s="166"/>
      <c r="Y46" s="165"/>
      <c r="Z46" s="163"/>
      <c r="AA46" s="79"/>
      <c r="AB46" s="78"/>
      <c r="AC46" s="85"/>
      <c r="AD46" s="79"/>
      <c r="AE46" s="78"/>
      <c r="AF46" s="85"/>
      <c r="AG46" s="79"/>
      <c r="AH46" s="78"/>
      <c r="AI46" s="85"/>
      <c r="AJ46" s="79"/>
      <c r="AK46" s="78"/>
      <c r="AL46" s="85"/>
      <c r="AM46" s="75">
        <f t="shared" si="7"/>
        <v>0</v>
      </c>
      <c r="AN46" s="76">
        <f t="shared" si="7"/>
        <v>0</v>
      </c>
      <c r="AO46" s="85"/>
    </row>
    <row r="47" spans="2:44" x14ac:dyDescent="0.35">
      <c r="B47" s="72" t="s">
        <v>670</v>
      </c>
      <c r="C47" s="81">
        <f>SUM(C44:C46)</f>
        <v>0</v>
      </c>
      <c r="D47" s="81">
        <f>SUM(D44:D46)</f>
        <v>0</v>
      </c>
      <c r="E47" s="77"/>
      <c r="F47" s="81">
        <f>SUM(F44:F46)</f>
        <v>0</v>
      </c>
      <c r="G47" s="81">
        <f>SUM(G44:G46)</f>
        <v>0</v>
      </c>
      <c r="H47" s="77"/>
      <c r="I47" s="81">
        <f>SUM(I44:I46)</f>
        <v>0</v>
      </c>
      <c r="J47" s="81">
        <f>SUM(J44:J46)</f>
        <v>0</v>
      </c>
      <c r="K47" s="77"/>
      <c r="L47" s="81">
        <f>SUM(L44:L46)</f>
        <v>0</v>
      </c>
      <c r="M47" s="81">
        <f>SUM(M44:M46)</f>
        <v>0</v>
      </c>
      <c r="N47" s="162"/>
      <c r="O47" s="165">
        <f>SUM(O44:O46)</f>
        <v>0</v>
      </c>
      <c r="P47" s="165">
        <f>SUM(P44:P46)</f>
        <v>0</v>
      </c>
      <c r="Q47" s="164"/>
      <c r="R47" s="81">
        <f>SUM(R44:R46)</f>
        <v>0</v>
      </c>
      <c r="S47" s="81">
        <f>SUM(S44:S46)</f>
        <v>0</v>
      </c>
      <c r="T47" s="77"/>
      <c r="U47" s="81">
        <f>SUM(U44:U46)</f>
        <v>0</v>
      </c>
      <c r="V47" s="81">
        <f>SUM(V44:V46)</f>
        <v>0</v>
      </c>
      <c r="W47" s="162"/>
      <c r="X47" s="165">
        <f>SUM(X44:X46)</f>
        <v>0</v>
      </c>
      <c r="Y47" s="165">
        <f>SUM(Y44:Y46)</f>
        <v>0</v>
      </c>
      <c r="Z47" s="164"/>
      <c r="AA47" s="81">
        <f>SUM(AA44:AA46)</f>
        <v>0</v>
      </c>
      <c r="AB47" s="81">
        <f>SUM(AB44:AB46)</f>
        <v>0</v>
      </c>
      <c r="AC47" s="77"/>
      <c r="AD47" s="81">
        <f>SUM(AD44:AD46)</f>
        <v>0</v>
      </c>
      <c r="AE47" s="81">
        <f>SUM(AE44:AE46)</f>
        <v>0</v>
      </c>
      <c r="AF47" s="77"/>
      <c r="AG47" s="81">
        <f>SUM(AG44:AG46)</f>
        <v>0</v>
      </c>
      <c r="AH47" s="81">
        <f>SUM(AH44:AH46)</f>
        <v>0</v>
      </c>
      <c r="AI47" s="77"/>
      <c r="AJ47" s="81">
        <f>SUM(AJ44:AJ46)</f>
        <v>0</v>
      </c>
      <c r="AK47" s="81">
        <f>SUM(AK44:AK46)</f>
        <v>0</v>
      </c>
      <c r="AL47" s="77"/>
      <c r="AM47" s="128">
        <f>SUM(AM44:AM46)</f>
        <v>0</v>
      </c>
      <c r="AN47" s="194">
        <f>SUM(AN44:AN46)</f>
        <v>0</v>
      </c>
      <c r="AO47" s="77"/>
      <c r="AR47" s="215"/>
    </row>
    <row r="48" spans="2:44" ht="15" thickBot="1" x14ac:dyDescent="0.4">
      <c r="B48" s="73" t="s">
        <v>671</v>
      </c>
      <c r="C48" s="83"/>
      <c r="D48" s="82"/>
      <c r="E48" s="84">
        <f>+D47-C47</f>
        <v>0</v>
      </c>
      <c r="F48" s="83"/>
      <c r="G48" s="82"/>
      <c r="H48" s="84">
        <f>SUM(G44:G46)-SUM(F44:F46)</f>
        <v>0</v>
      </c>
      <c r="I48" s="83"/>
      <c r="J48" s="82"/>
      <c r="K48" s="84">
        <f>SUM(J44:J46)-SUM(I44:I46)</f>
        <v>0</v>
      </c>
      <c r="L48" s="83"/>
      <c r="M48" s="82"/>
      <c r="N48" s="89">
        <f>SUM(M44:M46)-SUM(L44:L46)</f>
        <v>0</v>
      </c>
      <c r="O48" s="83"/>
      <c r="P48" s="82"/>
      <c r="Q48" s="84">
        <f>+P47-O47</f>
        <v>0</v>
      </c>
      <c r="R48" s="83"/>
      <c r="S48" s="82"/>
      <c r="T48" s="89">
        <f>+S47-R47</f>
        <v>0</v>
      </c>
      <c r="U48" s="83"/>
      <c r="V48" s="82"/>
      <c r="W48" s="89">
        <f>SUM(V44:V46)-SUM(U44:U46)</f>
        <v>0</v>
      </c>
      <c r="X48" s="83"/>
      <c r="Y48" s="82"/>
      <c r="Z48" s="84">
        <f>+Y47-X47</f>
        <v>0</v>
      </c>
      <c r="AA48" s="83"/>
      <c r="AB48" s="82"/>
      <c r="AC48" s="89">
        <f>+AB47-AA47</f>
        <v>0</v>
      </c>
      <c r="AD48" s="83"/>
      <c r="AE48" s="82"/>
      <c r="AF48" s="89">
        <f>+AE47-AD47</f>
        <v>0</v>
      </c>
      <c r="AG48" s="83"/>
      <c r="AH48" s="82"/>
      <c r="AI48" s="89">
        <f>+AH47-AG47</f>
        <v>0</v>
      </c>
      <c r="AJ48" s="83"/>
      <c r="AK48" s="82"/>
      <c r="AL48" s="89">
        <f>+AK47-AJ47</f>
        <v>0</v>
      </c>
      <c r="AM48" s="83"/>
      <c r="AN48" s="82"/>
      <c r="AO48" s="84">
        <f>+AN47-AM47</f>
        <v>0</v>
      </c>
    </row>
    <row r="49" spans="2:44" ht="8.25" customHeight="1" x14ac:dyDescent="0.35">
      <c r="B49" s="62"/>
      <c r="C49" s="63"/>
      <c r="D49" s="64"/>
      <c r="E49" s="65"/>
      <c r="F49" s="63"/>
      <c r="G49" s="64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3"/>
      <c r="S49" s="204"/>
      <c r="T49" s="65"/>
      <c r="U49" s="65"/>
      <c r="V49" s="65"/>
      <c r="W49" s="65"/>
      <c r="X49" s="65"/>
      <c r="Y49" s="65"/>
      <c r="Z49" s="65"/>
      <c r="AA49" s="63"/>
      <c r="AB49" s="204"/>
      <c r="AC49" s="65"/>
      <c r="AD49" s="63"/>
      <c r="AE49" s="204"/>
      <c r="AF49" s="65"/>
      <c r="AG49" s="63"/>
      <c r="AH49" s="204"/>
      <c r="AI49" s="65"/>
      <c r="AJ49" s="63"/>
      <c r="AK49" s="204"/>
      <c r="AL49" s="65"/>
      <c r="AM49" s="63"/>
      <c r="AN49" s="64"/>
      <c r="AO49" s="65"/>
    </row>
    <row r="50" spans="2:44" ht="15.75" customHeight="1" thickBot="1" x14ac:dyDescent="0.4">
      <c r="B50" s="62"/>
      <c r="C50" s="66"/>
      <c r="D50" s="67"/>
      <c r="E50" s="70"/>
      <c r="F50" s="66"/>
      <c r="G50" s="67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66"/>
      <c r="S50" s="205"/>
      <c r="T50" s="70"/>
      <c r="U50" s="70"/>
      <c r="V50" s="70"/>
      <c r="W50" s="70"/>
      <c r="X50" s="70"/>
      <c r="Y50" s="70"/>
      <c r="Z50" s="70"/>
      <c r="AA50" s="66"/>
      <c r="AB50" s="205"/>
      <c r="AC50" s="70"/>
      <c r="AD50" s="66"/>
      <c r="AE50" s="205"/>
      <c r="AF50" s="70"/>
      <c r="AG50" s="66"/>
      <c r="AH50" s="205"/>
      <c r="AI50" s="70"/>
      <c r="AJ50" s="66"/>
      <c r="AK50" s="205"/>
      <c r="AL50" s="70"/>
      <c r="AM50" s="66"/>
      <c r="AN50" s="67"/>
      <c r="AO50" s="70"/>
    </row>
    <row r="51" spans="2:44" ht="25.5" customHeight="1" thickBot="1" x14ac:dyDescent="0.4">
      <c r="C51" s="237" t="s">
        <v>1078</v>
      </c>
      <c r="D51" s="237"/>
      <c r="E51" s="116">
        <f>+E9+E14+E19+E33+E38+E43</f>
        <v>373532764</v>
      </c>
      <c r="F51" s="238" t="s">
        <v>1079</v>
      </c>
      <c r="G51" s="238"/>
      <c r="H51" s="239">
        <f>+H9+H14+H19+H33+H38+H43</f>
        <v>-228097532</v>
      </c>
      <c r="I51" s="127" t="s">
        <v>1080</v>
      </c>
      <c r="J51" s="127"/>
      <c r="K51" s="127">
        <f>+K9+K14+K19+K33+K38+K43</f>
        <v>52419611</v>
      </c>
      <c r="L51" s="221" t="s">
        <v>1081</v>
      </c>
      <c r="M51" s="221"/>
      <c r="N51" s="221">
        <f>+N9+N14+N19+N33+N38+N43</f>
        <v>0</v>
      </c>
      <c r="O51" s="231" t="s">
        <v>1082</v>
      </c>
      <c r="P51" s="231"/>
      <c r="Q51" s="231">
        <f>+Q9+Q14+Q19+Q33+Q38+Q43+Q48</f>
        <v>0</v>
      </c>
      <c r="R51" s="237" t="s">
        <v>1083</v>
      </c>
      <c r="S51" s="237"/>
      <c r="T51" s="216">
        <f>+T9+T14+T19+T33+T38+T43+T48</f>
        <v>0</v>
      </c>
      <c r="U51" s="221" t="s">
        <v>1084</v>
      </c>
      <c r="V51" s="221"/>
      <c r="W51" s="223">
        <f>+W9+W14+W19+W33+W38+W43</f>
        <v>0</v>
      </c>
      <c r="X51" s="222" t="s">
        <v>1085</v>
      </c>
      <c r="Y51" s="222"/>
      <c r="Z51" s="223">
        <f>+Z9+Z14+Z19+Z33+Z38+Z43+Z48</f>
        <v>0</v>
      </c>
      <c r="AA51" s="270" t="s">
        <v>1086</v>
      </c>
      <c r="AB51" s="271"/>
      <c r="AC51" s="216">
        <f>+AC9+AC14+AC19+AC33+AC38+AC43+AC48</f>
        <v>0</v>
      </c>
      <c r="AD51" s="274" t="s">
        <v>1087</v>
      </c>
      <c r="AE51" s="275"/>
      <c r="AF51" s="216">
        <f>+AF9+AF14+AF19+AF33+AF38+AF43+AF48</f>
        <v>0</v>
      </c>
      <c r="AG51" s="274" t="s">
        <v>1088</v>
      </c>
      <c r="AH51" s="275"/>
      <c r="AI51" s="227">
        <f>+AI9+AI14+AI19+AI33+AI38+AI43+AI48</f>
        <v>0</v>
      </c>
      <c r="AJ51" s="263" t="s">
        <v>1089</v>
      </c>
      <c r="AK51" s="264"/>
      <c r="AL51" s="230">
        <f>+AL9+AL14+AL19+AL33+AL38+AL43+AL48</f>
        <v>0</v>
      </c>
      <c r="AM51" s="268" t="s">
        <v>1259</v>
      </c>
      <c r="AN51" s="269"/>
      <c r="AO51" s="121">
        <f>+AO9+AO14+AO19+AO33+AO38+AO43+AO48</f>
        <v>197854843</v>
      </c>
      <c r="AQ51" s="181"/>
      <c r="AR51" s="14"/>
    </row>
    <row r="52" spans="2:44" ht="6.75" customHeight="1" x14ac:dyDescent="0.35">
      <c r="E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T52" s="14"/>
      <c r="U52" s="14"/>
      <c r="V52" s="14"/>
      <c r="W52" s="14"/>
      <c r="X52" s="14"/>
      <c r="Y52" s="14"/>
      <c r="Z52" s="14"/>
      <c r="AC52" s="14"/>
      <c r="AF52" s="14"/>
      <c r="AI52" s="14"/>
      <c r="AL52" s="14"/>
      <c r="AO52" s="14"/>
      <c r="AQ52" s="181"/>
    </row>
    <row r="53" spans="2:44" x14ac:dyDescent="0.35">
      <c r="E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T53" s="15"/>
      <c r="U53" s="15"/>
      <c r="V53" s="15"/>
      <c r="W53" s="15"/>
      <c r="X53" s="15"/>
      <c r="Y53" s="15"/>
      <c r="Z53" s="15"/>
      <c r="AC53" s="15"/>
      <c r="AF53" s="15"/>
      <c r="AI53" s="15"/>
      <c r="AL53" s="15"/>
      <c r="AO53" s="15"/>
      <c r="AQ53" s="181"/>
    </row>
    <row r="54" spans="2:44" x14ac:dyDescent="0.35">
      <c r="F54" s="14"/>
      <c r="O54" s="246"/>
      <c r="P54" s="246"/>
      <c r="Q54" s="246"/>
      <c r="R54" s="246"/>
      <c r="AF54" s="246" t="s">
        <v>1024</v>
      </c>
      <c r="AG54" s="246"/>
      <c r="AH54" s="246"/>
      <c r="AI54" s="246"/>
      <c r="AK54" s="246" t="s">
        <v>1026</v>
      </c>
      <c r="AL54" s="246"/>
      <c r="AM54" s="246"/>
      <c r="AN54" s="246"/>
      <c r="AQ54" s="160"/>
    </row>
    <row r="55" spans="2:44" ht="15.5" x14ac:dyDescent="0.35">
      <c r="F55" s="5"/>
      <c r="I55" s="5"/>
      <c r="L55" s="5"/>
      <c r="O55" s="245"/>
      <c r="P55" s="245"/>
      <c r="Q55" s="245"/>
      <c r="R55" s="245"/>
      <c r="U55" s="5"/>
      <c r="X55" s="5"/>
      <c r="AF55" s="247" t="s">
        <v>1023</v>
      </c>
      <c r="AG55" s="247"/>
      <c r="AH55" s="247"/>
      <c r="AI55" s="247"/>
      <c r="AJ55" s="232"/>
      <c r="AK55" s="247" t="s">
        <v>1027</v>
      </c>
      <c r="AL55" s="247"/>
      <c r="AM55" s="247"/>
      <c r="AN55" s="247"/>
      <c r="AQ55" s="160"/>
    </row>
    <row r="56" spans="2:44" ht="15.5" x14ac:dyDescent="0.35">
      <c r="F56" s="14"/>
      <c r="I56" s="5"/>
      <c r="L56" s="5"/>
      <c r="O56" s="14"/>
      <c r="U56" s="5"/>
      <c r="X56" s="5"/>
      <c r="AF56" s="233"/>
      <c r="AG56" s="232"/>
      <c r="AH56" s="232"/>
      <c r="AI56" s="232"/>
      <c r="AJ56" s="232"/>
      <c r="AK56" s="233"/>
      <c r="AL56" s="232"/>
      <c r="AM56" s="232"/>
      <c r="AN56" s="232"/>
    </row>
    <row r="57" spans="2:44" ht="15.5" x14ac:dyDescent="0.35">
      <c r="I57" s="14"/>
      <c r="L57" s="14"/>
      <c r="U57" s="14"/>
      <c r="X57" s="14"/>
      <c r="AF57" s="232"/>
      <c r="AG57" s="232"/>
      <c r="AH57" s="232"/>
      <c r="AI57" s="232"/>
      <c r="AJ57" s="232"/>
      <c r="AK57" s="232"/>
      <c r="AL57" s="232"/>
      <c r="AM57" s="232"/>
      <c r="AN57" s="232"/>
    </row>
    <row r="58" spans="2:44" ht="15.5" x14ac:dyDescent="0.35">
      <c r="AF58" s="232"/>
      <c r="AG58" s="232"/>
      <c r="AH58" s="232"/>
      <c r="AI58" s="232"/>
      <c r="AJ58" s="232"/>
      <c r="AK58" s="232"/>
      <c r="AL58" s="232"/>
      <c r="AM58" s="232"/>
      <c r="AN58" s="232"/>
    </row>
    <row r="59" spans="2:44" ht="15.5" x14ac:dyDescent="0.35">
      <c r="AF59" s="232"/>
      <c r="AG59" s="232"/>
      <c r="AH59" s="232"/>
      <c r="AI59" s="232"/>
      <c r="AJ59" s="232"/>
      <c r="AK59" s="232"/>
      <c r="AL59" s="232"/>
      <c r="AM59" s="232"/>
      <c r="AN59" s="232"/>
    </row>
    <row r="60" spans="2:44" ht="15.5" x14ac:dyDescent="0.35">
      <c r="O60" s="245"/>
      <c r="P60" s="245"/>
      <c r="Q60" s="245"/>
      <c r="R60" s="245"/>
      <c r="AF60" s="247" t="s">
        <v>1025</v>
      </c>
      <c r="AG60" s="247"/>
      <c r="AH60" s="247"/>
      <c r="AI60" s="247"/>
      <c r="AJ60" s="232"/>
      <c r="AK60" s="247" t="s">
        <v>1028</v>
      </c>
      <c r="AL60" s="247"/>
      <c r="AM60" s="247"/>
      <c r="AN60" s="247"/>
    </row>
    <row r="61" spans="2:44" ht="5.5" customHeight="1" x14ac:dyDescent="0.35"/>
  </sheetData>
  <mergeCells count="28">
    <mergeCell ref="U3:W3"/>
    <mergeCell ref="X3:Z3"/>
    <mergeCell ref="AJ51:AK51"/>
    <mergeCell ref="R3:T3"/>
    <mergeCell ref="AM3:AO3"/>
    <mergeCell ref="AM51:AN51"/>
    <mergeCell ref="AA3:AC3"/>
    <mergeCell ref="AA51:AB51"/>
    <mergeCell ref="AD3:AF3"/>
    <mergeCell ref="AD51:AE51"/>
    <mergeCell ref="AG3:AI3"/>
    <mergeCell ref="AG51:AH51"/>
    <mergeCell ref="AJ3:AL3"/>
    <mergeCell ref="B3:B4"/>
    <mergeCell ref="F3:H3"/>
    <mergeCell ref="C3:E3"/>
    <mergeCell ref="I3:K3"/>
    <mergeCell ref="O55:R55"/>
    <mergeCell ref="L3:N3"/>
    <mergeCell ref="O3:Q3"/>
    <mergeCell ref="O60:R60"/>
    <mergeCell ref="AK54:AN54"/>
    <mergeCell ref="AK55:AN55"/>
    <mergeCell ref="AK60:AN60"/>
    <mergeCell ref="O54:R54"/>
    <mergeCell ref="AF54:AI54"/>
    <mergeCell ref="AF55:AI55"/>
    <mergeCell ref="AF60:AI6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134" scale="91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B1:O47"/>
  <sheetViews>
    <sheetView showGridLines="0" workbookViewId="0">
      <pane xSplit="2" ySplit="5" topLeftCell="E6" activePane="bottomRight" state="frozen"/>
      <selection pane="topRight" activeCell="C1" sqref="C1"/>
      <selection pane="bottomLeft" activeCell="A6" sqref="A6"/>
      <selection pane="bottomRight" activeCell="G29" sqref="G29"/>
    </sheetView>
  </sheetViews>
  <sheetFormatPr defaultRowHeight="14.5" x14ac:dyDescent="0.35"/>
  <cols>
    <col min="1" max="1" width="2" customWidth="1"/>
    <col min="2" max="2" width="35.26953125" bestFit="1" customWidth="1"/>
    <col min="3" max="3" width="12.54296875" customWidth="1"/>
    <col min="4" max="4" width="14.1796875" customWidth="1"/>
    <col min="5" max="5" width="12.81640625" customWidth="1"/>
    <col min="6" max="6" width="12.54296875" customWidth="1"/>
    <col min="7" max="7" width="14.1796875" customWidth="1"/>
    <col min="8" max="8" width="12.81640625" customWidth="1"/>
    <col min="9" max="9" width="12.54296875" customWidth="1"/>
    <col min="10" max="10" width="14.1796875" customWidth="1"/>
    <col min="11" max="11" width="12.81640625" customWidth="1"/>
    <col min="12" max="12" width="16.7265625" customWidth="1"/>
    <col min="13" max="13" width="15.453125" customWidth="1"/>
    <col min="14" max="14" width="16.453125" customWidth="1"/>
    <col min="15" max="15" width="2.1796875" customWidth="1"/>
  </cols>
  <sheetData>
    <row r="1" spans="2:15" x14ac:dyDescent="0.35">
      <c r="B1" s="283" t="s">
        <v>386</v>
      </c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</row>
    <row r="2" spans="2:15" x14ac:dyDescent="0.35">
      <c r="B2" s="283" t="s">
        <v>366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</row>
    <row r="3" spans="2:15" ht="15" thickBot="1" x14ac:dyDescent="0.4">
      <c r="B3" s="68"/>
      <c r="C3" s="68"/>
      <c r="D3" s="68"/>
      <c r="E3" s="68"/>
      <c r="F3" s="113"/>
      <c r="G3" s="68"/>
      <c r="H3" s="68"/>
      <c r="I3" s="68"/>
      <c r="J3" s="68"/>
      <c r="K3" s="68"/>
      <c r="L3" s="68"/>
      <c r="M3" s="68"/>
      <c r="N3" s="68"/>
    </row>
    <row r="4" spans="2:15" ht="15" thickBot="1" x14ac:dyDescent="0.4">
      <c r="B4" s="248" t="s">
        <v>6</v>
      </c>
      <c r="C4" s="284" t="s">
        <v>360</v>
      </c>
      <c r="D4" s="284"/>
      <c r="E4" s="285"/>
      <c r="F4" s="284" t="s">
        <v>361</v>
      </c>
      <c r="G4" s="284"/>
      <c r="H4" s="285"/>
      <c r="I4" s="281" t="s">
        <v>381</v>
      </c>
      <c r="J4" s="281"/>
      <c r="K4" s="282"/>
      <c r="L4" s="281" t="s">
        <v>382</v>
      </c>
      <c r="M4" s="281"/>
      <c r="N4" s="282"/>
    </row>
    <row r="5" spans="2:15" ht="29.5" thickBot="1" x14ac:dyDescent="0.4">
      <c r="B5" s="249"/>
      <c r="C5" s="91" t="s">
        <v>222</v>
      </c>
      <c r="D5" s="91" t="s">
        <v>221</v>
      </c>
      <c r="E5" s="107" t="s">
        <v>362</v>
      </c>
      <c r="F5" s="91" t="s">
        <v>222</v>
      </c>
      <c r="G5" s="91" t="s">
        <v>221</v>
      </c>
      <c r="H5" s="107" t="s">
        <v>363</v>
      </c>
      <c r="I5" s="110" t="s">
        <v>222</v>
      </c>
      <c r="J5" s="110" t="s">
        <v>221</v>
      </c>
      <c r="K5" s="111" t="s">
        <v>383</v>
      </c>
      <c r="L5" s="110" t="s">
        <v>222</v>
      </c>
      <c r="M5" s="110" t="s">
        <v>221</v>
      </c>
      <c r="N5" s="112" t="s">
        <v>223</v>
      </c>
      <c r="O5" s="37"/>
    </row>
    <row r="6" spans="2:15" x14ac:dyDescent="0.35">
      <c r="B6" s="71" t="s">
        <v>204</v>
      </c>
      <c r="C6" s="75"/>
      <c r="D6" s="76">
        <v>49196050</v>
      </c>
      <c r="E6" s="77"/>
      <c r="F6" s="75"/>
      <c r="G6" s="76"/>
      <c r="H6" s="77"/>
      <c r="I6" s="75"/>
      <c r="J6" s="76"/>
      <c r="K6" s="77"/>
      <c r="L6" s="75">
        <f t="shared" ref="L6:M8" si="0">+C6+F6+I6</f>
        <v>0</v>
      </c>
      <c r="M6" s="76">
        <f t="shared" si="0"/>
        <v>49196050</v>
      </c>
      <c r="N6" s="77"/>
      <c r="O6" s="37"/>
    </row>
    <row r="7" spans="2:15" x14ac:dyDescent="0.35">
      <c r="B7" s="71" t="s">
        <v>105</v>
      </c>
      <c r="C7" s="79"/>
      <c r="D7" s="80">
        <v>100000</v>
      </c>
      <c r="E7" s="77"/>
      <c r="F7" s="79"/>
      <c r="G7" s="80"/>
      <c r="H7" s="77"/>
      <c r="I7" s="79"/>
      <c r="J7" s="80">
        <v>10000000</v>
      </c>
      <c r="K7" s="77"/>
      <c r="L7" s="75">
        <f t="shared" si="0"/>
        <v>0</v>
      </c>
      <c r="M7" s="76">
        <f t="shared" si="0"/>
        <v>10100000</v>
      </c>
      <c r="N7" s="77"/>
    </row>
    <row r="8" spans="2:15" x14ac:dyDescent="0.35">
      <c r="B8" s="71" t="s">
        <v>201</v>
      </c>
      <c r="C8" s="79">
        <v>4002500</v>
      </c>
      <c r="D8" s="80"/>
      <c r="E8" s="77"/>
      <c r="F8" s="79">
        <v>11472000</v>
      </c>
      <c r="G8" s="80"/>
      <c r="H8" s="77"/>
      <c r="I8" s="79">
        <v>18939000</v>
      </c>
      <c r="J8" s="80"/>
      <c r="K8" s="77"/>
      <c r="L8" s="75">
        <f t="shared" si="0"/>
        <v>34413500</v>
      </c>
      <c r="M8" s="76">
        <f t="shared" si="0"/>
        <v>0</v>
      </c>
      <c r="N8" s="77"/>
    </row>
    <row r="9" spans="2:15" x14ac:dyDescent="0.35">
      <c r="B9" s="72" t="s">
        <v>224</v>
      </c>
      <c r="C9" s="81">
        <f>SUM(C6:C8)</f>
        <v>4002500</v>
      </c>
      <c r="D9" s="81">
        <f>SUM(D6:D8)</f>
        <v>49296050</v>
      </c>
      <c r="E9" s="77"/>
      <c r="F9" s="81">
        <f>SUM(F6:F8)</f>
        <v>11472000</v>
      </c>
      <c r="G9" s="81">
        <f>SUM(G6:G8)</f>
        <v>0</v>
      </c>
      <c r="H9" s="77"/>
      <c r="I9" s="81">
        <f>SUM(I6:I8)</f>
        <v>18939000</v>
      </c>
      <c r="J9" s="81">
        <f>SUM(J6:J8)</f>
        <v>10000000</v>
      </c>
      <c r="K9" s="77"/>
      <c r="L9" s="81">
        <f>SUM(L6:L8)</f>
        <v>34413500</v>
      </c>
      <c r="M9" s="81">
        <f>SUM(M6:M8)</f>
        <v>59296050</v>
      </c>
      <c r="N9" s="77"/>
    </row>
    <row r="10" spans="2:15" ht="15" thickBot="1" x14ac:dyDescent="0.4">
      <c r="B10" s="73" t="s">
        <v>210</v>
      </c>
      <c r="C10" s="83"/>
      <c r="D10" s="82"/>
      <c r="E10" s="84">
        <f>+D9-C9</f>
        <v>45293550</v>
      </c>
      <c r="F10" s="83"/>
      <c r="G10" s="82"/>
      <c r="H10" s="89">
        <f>+G9-F9</f>
        <v>-11472000</v>
      </c>
      <c r="I10" s="83"/>
      <c r="J10" s="82"/>
      <c r="K10" s="89">
        <f>+J9-I9</f>
        <v>-8939000</v>
      </c>
      <c r="L10" s="83"/>
      <c r="M10" s="82"/>
      <c r="N10" s="84">
        <f>+M9-L9</f>
        <v>24882550</v>
      </c>
    </row>
    <row r="11" spans="2:15" x14ac:dyDescent="0.35">
      <c r="B11" s="71" t="s">
        <v>205</v>
      </c>
      <c r="C11" s="79"/>
      <c r="D11" s="78">
        <v>39578050</v>
      </c>
      <c r="E11" s="85"/>
      <c r="F11" s="79"/>
      <c r="G11" s="78"/>
      <c r="H11" s="85"/>
      <c r="I11" s="79"/>
      <c r="J11" s="78"/>
      <c r="K11" s="85"/>
      <c r="L11" s="75">
        <f t="shared" ref="L11:M13" si="1">+C11+F11+I11</f>
        <v>0</v>
      </c>
      <c r="M11" s="76">
        <f t="shared" si="1"/>
        <v>39578050</v>
      </c>
      <c r="N11" s="85"/>
    </row>
    <row r="12" spans="2:15" x14ac:dyDescent="0.35">
      <c r="B12" s="71" t="s">
        <v>106</v>
      </c>
      <c r="C12" s="79"/>
      <c r="D12" s="78"/>
      <c r="E12" s="85"/>
      <c r="F12" s="79"/>
      <c r="G12" s="78"/>
      <c r="H12" s="85"/>
      <c r="I12" s="79"/>
      <c r="J12" s="78"/>
      <c r="K12" s="85"/>
      <c r="L12" s="75">
        <f t="shared" si="1"/>
        <v>0</v>
      </c>
      <c r="M12" s="76">
        <f t="shared" si="1"/>
        <v>0</v>
      </c>
      <c r="N12" s="85"/>
    </row>
    <row r="13" spans="2:15" x14ac:dyDescent="0.35">
      <c r="B13" s="71" t="s">
        <v>202</v>
      </c>
      <c r="C13" s="79"/>
      <c r="D13" s="78"/>
      <c r="E13" s="85"/>
      <c r="F13" s="79"/>
      <c r="G13" s="78"/>
      <c r="H13" s="85"/>
      <c r="I13" s="79"/>
      <c r="J13" s="78"/>
      <c r="K13" s="85"/>
      <c r="L13" s="75">
        <f t="shared" si="1"/>
        <v>0</v>
      </c>
      <c r="M13" s="76">
        <f t="shared" si="1"/>
        <v>0</v>
      </c>
      <c r="N13" s="85"/>
    </row>
    <row r="14" spans="2:15" x14ac:dyDescent="0.35">
      <c r="B14" s="72" t="s">
        <v>225</v>
      </c>
      <c r="C14" s="81">
        <f>SUM(C11:C13)</f>
        <v>0</v>
      </c>
      <c r="D14" s="81">
        <f>SUM(D11:D13)</f>
        <v>39578050</v>
      </c>
      <c r="E14" s="77"/>
      <c r="F14" s="81">
        <f>SUM(F11:F13)</f>
        <v>0</v>
      </c>
      <c r="G14" s="81">
        <f>SUM(G11:G13)</f>
        <v>0</v>
      </c>
      <c r="H14" s="77"/>
      <c r="I14" s="81">
        <f>SUM(I11:I13)</f>
        <v>0</v>
      </c>
      <c r="J14" s="81">
        <f>SUM(J11:J13)</f>
        <v>0</v>
      </c>
      <c r="K14" s="77"/>
      <c r="L14" s="81">
        <f>SUM(L11:L13)</f>
        <v>0</v>
      </c>
      <c r="M14" s="81">
        <f>SUM(M11:M13)</f>
        <v>39578050</v>
      </c>
      <c r="N14" s="77"/>
    </row>
    <row r="15" spans="2:15" ht="15" thickBot="1" x14ac:dyDescent="0.4">
      <c r="B15" s="73" t="s">
        <v>211</v>
      </c>
      <c r="C15" s="83"/>
      <c r="D15" s="82"/>
      <c r="E15" s="84">
        <f>+D14-C14</f>
        <v>39578050</v>
      </c>
      <c r="F15" s="83"/>
      <c r="G15" s="82"/>
      <c r="H15" s="84">
        <f>SUM(G11:G12)-SUM(F11:F12)</f>
        <v>0</v>
      </c>
      <c r="I15" s="83"/>
      <c r="J15" s="82"/>
      <c r="K15" s="84">
        <f>SUM(J11:J12)-SUM(I11:I12)</f>
        <v>0</v>
      </c>
      <c r="L15" s="83"/>
      <c r="M15" s="82"/>
      <c r="N15" s="84">
        <f>+M14-L14</f>
        <v>39578050</v>
      </c>
    </row>
    <row r="16" spans="2:15" x14ac:dyDescent="0.35">
      <c r="B16" s="71" t="s">
        <v>206</v>
      </c>
      <c r="C16" s="79"/>
      <c r="D16" s="78">
        <v>42677125</v>
      </c>
      <c r="E16" s="85"/>
      <c r="F16" s="79"/>
      <c r="G16" s="78"/>
      <c r="H16" s="85"/>
      <c r="I16" s="79"/>
      <c r="J16" s="78"/>
      <c r="K16" s="85"/>
      <c r="L16" s="75">
        <f t="shared" ref="L16:M18" si="2">+C16+F16+I16</f>
        <v>0</v>
      </c>
      <c r="M16" s="76">
        <f t="shared" si="2"/>
        <v>42677125</v>
      </c>
      <c r="N16" s="85"/>
    </row>
    <row r="17" spans="2:14" x14ac:dyDescent="0.35">
      <c r="B17" s="71" t="s">
        <v>107</v>
      </c>
      <c r="C17" s="79"/>
      <c r="D17" s="78">
        <v>9493000</v>
      </c>
      <c r="E17" s="85"/>
      <c r="F17" s="79"/>
      <c r="G17" s="78">
        <v>11539000</v>
      </c>
      <c r="H17" s="85"/>
      <c r="I17" s="79"/>
      <c r="J17" s="78">
        <v>16964000</v>
      </c>
      <c r="K17" s="85"/>
      <c r="L17" s="75">
        <f t="shared" si="2"/>
        <v>0</v>
      </c>
      <c r="M17" s="76">
        <f t="shared" si="2"/>
        <v>37996000</v>
      </c>
      <c r="N17" s="85"/>
    </row>
    <row r="18" spans="2:14" x14ac:dyDescent="0.35">
      <c r="B18" s="71" t="s">
        <v>203</v>
      </c>
      <c r="C18" s="79">
        <v>7615500</v>
      </c>
      <c r="D18" s="78"/>
      <c r="E18" s="85"/>
      <c r="F18" s="79"/>
      <c r="G18" s="78"/>
      <c r="H18" s="85"/>
      <c r="I18" s="79"/>
      <c r="J18" s="78"/>
      <c r="K18" s="85"/>
      <c r="L18" s="75">
        <f t="shared" si="2"/>
        <v>7615500</v>
      </c>
      <c r="M18" s="76">
        <f t="shared" si="2"/>
        <v>0</v>
      </c>
      <c r="N18" s="85"/>
    </row>
    <row r="19" spans="2:14" x14ac:dyDescent="0.35">
      <c r="B19" s="72" t="s">
        <v>226</v>
      </c>
      <c r="C19" s="81">
        <f>SUM(C16:C18)</f>
        <v>7615500</v>
      </c>
      <c r="D19" s="81">
        <f>SUM(D16:D18)</f>
        <v>52170125</v>
      </c>
      <c r="E19" s="77"/>
      <c r="F19" s="81">
        <f>SUM(F16:F18)</f>
        <v>0</v>
      </c>
      <c r="G19" s="81">
        <f>SUM(G16:G18)</f>
        <v>11539000</v>
      </c>
      <c r="H19" s="77"/>
      <c r="I19" s="81">
        <f>SUM(I16:I18)</f>
        <v>0</v>
      </c>
      <c r="J19" s="81">
        <f>SUM(J16:J18)</f>
        <v>16964000</v>
      </c>
      <c r="K19" s="77"/>
      <c r="L19" s="81">
        <f>SUM(L16:L18)</f>
        <v>7615500</v>
      </c>
      <c r="M19" s="81">
        <f>SUM(M16:M18)</f>
        <v>80673125</v>
      </c>
      <c r="N19" s="77"/>
    </row>
    <row r="20" spans="2:14" ht="15" thickBot="1" x14ac:dyDescent="0.4">
      <c r="B20" s="73" t="s">
        <v>212</v>
      </c>
      <c r="C20" s="83"/>
      <c r="D20" s="82"/>
      <c r="E20" s="84">
        <f>+D19-C19</f>
        <v>44554625</v>
      </c>
      <c r="F20" s="83"/>
      <c r="G20" s="82"/>
      <c r="H20" s="84">
        <f>+G19-F19</f>
        <v>11539000</v>
      </c>
      <c r="I20" s="83"/>
      <c r="J20" s="82"/>
      <c r="K20" s="84">
        <f>+J19-I19</f>
        <v>16964000</v>
      </c>
      <c r="L20" s="83"/>
      <c r="M20" s="82"/>
      <c r="N20" s="84">
        <f>+M19-L19</f>
        <v>73057625</v>
      </c>
    </row>
    <row r="21" spans="2:14" x14ac:dyDescent="0.35">
      <c r="B21" s="71" t="s">
        <v>207</v>
      </c>
      <c r="C21" s="79"/>
      <c r="D21" s="78">
        <v>2163648</v>
      </c>
      <c r="E21" s="85"/>
      <c r="F21" s="79"/>
      <c r="G21" s="78"/>
      <c r="H21" s="85"/>
      <c r="I21" s="79"/>
      <c r="J21" s="78"/>
      <c r="K21" s="85"/>
      <c r="L21" s="75">
        <f t="shared" ref="L21:L30" si="3">+C21+F21+I21</f>
        <v>0</v>
      </c>
      <c r="M21" s="76">
        <f t="shared" ref="M21:M30" si="4">+D21+G21+J21</f>
        <v>2163648</v>
      </c>
      <c r="N21" s="85"/>
    </row>
    <row r="22" spans="2:14" x14ac:dyDescent="0.35">
      <c r="B22" s="71" t="s">
        <v>109</v>
      </c>
      <c r="C22" s="79"/>
      <c r="D22" s="78">
        <v>42416000</v>
      </c>
      <c r="E22" s="86"/>
      <c r="F22" s="79"/>
      <c r="G22" s="78">
        <v>39603604</v>
      </c>
      <c r="H22" s="86"/>
      <c r="I22" s="79"/>
      <c r="J22" s="78">
        <v>78511426.666666672</v>
      </c>
      <c r="K22" s="86"/>
      <c r="L22" s="75">
        <f t="shared" si="3"/>
        <v>0</v>
      </c>
      <c r="M22" s="76">
        <f t="shared" si="4"/>
        <v>160531030.66666669</v>
      </c>
      <c r="N22" s="86"/>
    </row>
    <row r="23" spans="2:14" x14ac:dyDescent="0.35">
      <c r="B23" s="97" t="s">
        <v>321</v>
      </c>
      <c r="C23" s="79">
        <v>1252500</v>
      </c>
      <c r="D23" s="78"/>
      <c r="E23" s="86"/>
      <c r="F23" s="79">
        <v>1395000</v>
      </c>
      <c r="G23" s="78"/>
      <c r="H23" s="86"/>
      <c r="I23" s="88">
        <f>+(C23+F23)/2</f>
        <v>1323750</v>
      </c>
      <c r="J23" s="78"/>
      <c r="K23" s="86"/>
      <c r="L23" s="75">
        <f t="shared" si="3"/>
        <v>3971250</v>
      </c>
      <c r="M23" s="76">
        <f t="shared" si="4"/>
        <v>0</v>
      </c>
      <c r="N23" s="86"/>
    </row>
    <row r="24" spans="2:14" x14ac:dyDescent="0.35">
      <c r="B24" s="97" t="s">
        <v>322</v>
      </c>
      <c r="C24" s="79">
        <v>8007000</v>
      </c>
      <c r="D24" s="78"/>
      <c r="E24" s="86"/>
      <c r="F24" s="79">
        <v>3032000</v>
      </c>
      <c r="G24" s="78"/>
      <c r="H24" s="86"/>
      <c r="I24" s="88">
        <f>+(C24+F24)/2</f>
        <v>5519500</v>
      </c>
      <c r="J24" s="78"/>
      <c r="K24" s="86"/>
      <c r="L24" s="75">
        <f t="shared" si="3"/>
        <v>16558500</v>
      </c>
      <c r="M24" s="76">
        <f t="shared" si="4"/>
        <v>0</v>
      </c>
      <c r="N24" s="86"/>
    </row>
    <row r="25" spans="2:14" x14ac:dyDescent="0.35">
      <c r="B25" s="97" t="s">
        <v>323</v>
      </c>
      <c r="C25" s="79">
        <v>8671500</v>
      </c>
      <c r="D25" s="78"/>
      <c r="E25" s="86"/>
      <c r="F25" s="79">
        <v>11526500</v>
      </c>
      <c r="G25" s="78"/>
      <c r="H25" s="86"/>
      <c r="I25" s="79">
        <v>21980444.444444444</v>
      </c>
      <c r="J25" s="78"/>
      <c r="K25" s="86"/>
      <c r="L25" s="75">
        <f t="shared" si="3"/>
        <v>42178444.444444448</v>
      </c>
      <c r="M25" s="76">
        <f t="shared" si="4"/>
        <v>0</v>
      </c>
      <c r="N25" s="86"/>
    </row>
    <row r="26" spans="2:14" x14ac:dyDescent="0.35">
      <c r="B26" s="97" t="s">
        <v>325</v>
      </c>
      <c r="C26" s="79">
        <v>16489000</v>
      </c>
      <c r="D26" s="78"/>
      <c r="E26" s="86"/>
      <c r="F26" s="79">
        <v>9019500</v>
      </c>
      <c r="G26" s="78"/>
      <c r="H26" s="86"/>
      <c r="I26" s="79">
        <f>+F26*2</f>
        <v>18039000</v>
      </c>
      <c r="J26" s="78"/>
      <c r="K26" s="86"/>
      <c r="L26" s="75">
        <f t="shared" si="3"/>
        <v>43547500</v>
      </c>
      <c r="M26" s="76">
        <f t="shared" si="4"/>
        <v>0</v>
      </c>
      <c r="N26" s="86"/>
    </row>
    <row r="27" spans="2:14" x14ac:dyDescent="0.35">
      <c r="B27" s="98" t="s">
        <v>320</v>
      </c>
      <c r="C27" s="88">
        <v>7610000</v>
      </c>
      <c r="D27" s="87"/>
      <c r="E27" s="86"/>
      <c r="F27" s="88">
        <v>4194000</v>
      </c>
      <c r="G27" s="87"/>
      <c r="H27" s="86"/>
      <c r="I27" s="88">
        <f>+(C27+F27)/2</f>
        <v>5902000</v>
      </c>
      <c r="J27" s="87"/>
      <c r="K27" s="86"/>
      <c r="L27" s="75">
        <f t="shared" si="3"/>
        <v>17706000</v>
      </c>
      <c r="M27" s="76">
        <f t="shared" si="4"/>
        <v>0</v>
      </c>
      <c r="N27" s="86"/>
    </row>
    <row r="28" spans="2:14" x14ac:dyDescent="0.35">
      <c r="B28" s="98" t="s">
        <v>327</v>
      </c>
      <c r="C28" s="88">
        <v>446000</v>
      </c>
      <c r="D28" s="87"/>
      <c r="E28" s="86"/>
      <c r="F28" s="88">
        <v>380000</v>
      </c>
      <c r="G28" s="87"/>
      <c r="H28" s="86"/>
      <c r="I28" s="88">
        <v>7000000</v>
      </c>
      <c r="J28" s="87"/>
      <c r="K28" s="86"/>
      <c r="L28" s="75">
        <f t="shared" si="3"/>
        <v>7826000</v>
      </c>
      <c r="M28" s="76">
        <f t="shared" si="4"/>
        <v>0</v>
      </c>
      <c r="N28" s="86"/>
    </row>
    <row r="29" spans="2:14" x14ac:dyDescent="0.35">
      <c r="B29" s="98" t="s">
        <v>328</v>
      </c>
      <c r="C29" s="88">
        <v>2675000</v>
      </c>
      <c r="D29" s="87"/>
      <c r="E29" s="86"/>
      <c r="F29" s="88">
        <v>1000000</v>
      </c>
      <c r="G29" s="87"/>
      <c r="H29" s="86"/>
      <c r="I29" s="88">
        <f>+(C29+F29)/2</f>
        <v>1837500</v>
      </c>
      <c r="J29" s="87"/>
      <c r="K29" s="86"/>
      <c r="L29" s="75">
        <f t="shared" si="3"/>
        <v>5512500</v>
      </c>
      <c r="M29" s="76">
        <f t="shared" si="4"/>
        <v>0</v>
      </c>
      <c r="N29" s="86"/>
    </row>
    <row r="30" spans="2:14" x14ac:dyDescent="0.35">
      <c r="B30" s="98" t="s">
        <v>144</v>
      </c>
      <c r="C30" s="88">
        <v>0</v>
      </c>
      <c r="D30" s="87"/>
      <c r="E30" s="86"/>
      <c r="F30" s="88"/>
      <c r="G30" s="87"/>
      <c r="H30" s="86"/>
      <c r="I30" s="88"/>
      <c r="J30" s="87"/>
      <c r="K30" s="86"/>
      <c r="L30" s="75">
        <f t="shared" si="3"/>
        <v>0</v>
      </c>
      <c r="M30" s="76">
        <f t="shared" si="4"/>
        <v>0</v>
      </c>
      <c r="N30" s="86"/>
    </row>
    <row r="31" spans="2:14" x14ac:dyDescent="0.35">
      <c r="B31" s="72" t="s">
        <v>229</v>
      </c>
      <c r="C31" s="81">
        <f>SUM(C21:C30)</f>
        <v>45151000</v>
      </c>
      <c r="D31" s="81">
        <f>SUM(D21:D30)</f>
        <v>44579648</v>
      </c>
      <c r="E31" s="77"/>
      <c r="F31" s="81">
        <f>SUM(F21:F30)</f>
        <v>30547000</v>
      </c>
      <c r="G31" s="81">
        <f>SUM(G21:G30)</f>
        <v>39603604</v>
      </c>
      <c r="H31" s="77"/>
      <c r="I31" s="81">
        <f>SUM(I21:I30)</f>
        <v>61602194.444444448</v>
      </c>
      <c r="J31" s="81">
        <f>SUM(J21:J30)</f>
        <v>78511426.666666672</v>
      </c>
      <c r="K31" s="77"/>
      <c r="L31" s="81">
        <f>SUM(L21:L30)</f>
        <v>137300194.44444445</v>
      </c>
      <c r="M31" s="81">
        <f>SUM(M21:M30)</f>
        <v>162694678.66666669</v>
      </c>
      <c r="N31" s="77"/>
    </row>
    <row r="32" spans="2:14" ht="15" thickBot="1" x14ac:dyDescent="0.4">
      <c r="B32" s="73" t="s">
        <v>326</v>
      </c>
      <c r="C32" s="83"/>
      <c r="D32" s="82"/>
      <c r="E32" s="89">
        <f>+D31-C31</f>
        <v>-571352</v>
      </c>
      <c r="F32" s="83"/>
      <c r="G32" s="82"/>
      <c r="H32" s="84">
        <f>+G31-F31</f>
        <v>9056604</v>
      </c>
      <c r="I32" s="83"/>
      <c r="J32" s="82"/>
      <c r="K32" s="84">
        <f>+J31-I31</f>
        <v>16909232.222222224</v>
      </c>
      <c r="L32" s="83"/>
      <c r="M32" s="82"/>
      <c r="N32" s="84">
        <f>+M31-L31</f>
        <v>25394484.222222239</v>
      </c>
    </row>
    <row r="33" spans="2:14" x14ac:dyDescent="0.35">
      <c r="B33" s="71" t="s">
        <v>208</v>
      </c>
      <c r="C33" s="79"/>
      <c r="D33" s="78"/>
      <c r="E33" s="85"/>
      <c r="F33" s="79"/>
      <c r="G33" s="78"/>
      <c r="H33" s="85"/>
      <c r="I33" s="79"/>
      <c r="J33" s="78"/>
      <c r="K33" s="85"/>
      <c r="L33" s="75">
        <f t="shared" ref="L33:M35" si="5">+C33+F33+I33</f>
        <v>0</v>
      </c>
      <c r="M33" s="76">
        <f t="shared" si="5"/>
        <v>0</v>
      </c>
      <c r="N33" s="85"/>
    </row>
    <row r="34" spans="2:14" x14ac:dyDescent="0.35">
      <c r="B34" s="71" t="s">
        <v>215</v>
      </c>
      <c r="C34" s="79"/>
      <c r="D34" s="78">
        <v>7505000</v>
      </c>
      <c r="E34" s="85"/>
      <c r="F34" s="79"/>
      <c r="G34" s="78"/>
      <c r="H34" s="85"/>
      <c r="I34" s="79"/>
      <c r="J34" s="78"/>
      <c r="K34" s="85"/>
      <c r="L34" s="75">
        <f t="shared" si="5"/>
        <v>0</v>
      </c>
      <c r="M34" s="76">
        <f t="shared" si="5"/>
        <v>7505000</v>
      </c>
      <c r="N34" s="85"/>
    </row>
    <row r="35" spans="2:14" x14ac:dyDescent="0.35">
      <c r="B35" s="71" t="s">
        <v>143</v>
      </c>
      <c r="C35" s="79">
        <v>7505000</v>
      </c>
      <c r="D35" s="78"/>
      <c r="E35" s="85"/>
      <c r="F35" s="79"/>
      <c r="G35" s="78"/>
      <c r="H35" s="85"/>
      <c r="I35" s="79"/>
      <c r="J35" s="78"/>
      <c r="K35" s="85"/>
      <c r="L35" s="75">
        <f t="shared" si="5"/>
        <v>7505000</v>
      </c>
      <c r="M35" s="76">
        <f t="shared" si="5"/>
        <v>0</v>
      </c>
      <c r="N35" s="85"/>
    </row>
    <row r="36" spans="2:14" x14ac:dyDescent="0.35">
      <c r="B36" s="72" t="s">
        <v>227</v>
      </c>
      <c r="C36" s="81">
        <f>SUM(C33:C35)</f>
        <v>7505000</v>
      </c>
      <c r="D36" s="81">
        <f>SUM(D33:D35)</f>
        <v>7505000</v>
      </c>
      <c r="E36" s="77"/>
      <c r="F36" s="81">
        <f>SUM(F33:F35)</f>
        <v>0</v>
      </c>
      <c r="G36" s="81">
        <f>SUM(G33:G35)</f>
        <v>0</v>
      </c>
      <c r="H36" s="77"/>
      <c r="I36" s="81">
        <f>SUM(I33:I35)</f>
        <v>0</v>
      </c>
      <c r="J36" s="81">
        <f>SUM(J33:J35)</f>
        <v>0</v>
      </c>
      <c r="K36" s="77"/>
      <c r="L36" s="81">
        <f>SUM(L33:L35)</f>
        <v>7505000</v>
      </c>
      <c r="M36" s="81">
        <f>SUM(M33:M35)</f>
        <v>7505000</v>
      </c>
      <c r="N36" s="77"/>
    </row>
    <row r="37" spans="2:14" ht="15" thickBot="1" x14ac:dyDescent="0.4">
      <c r="B37" s="73" t="s">
        <v>213</v>
      </c>
      <c r="C37" s="83"/>
      <c r="D37" s="82"/>
      <c r="E37" s="90">
        <f>+D36-C36</f>
        <v>0</v>
      </c>
      <c r="F37" s="83"/>
      <c r="G37" s="82"/>
      <c r="H37" s="90">
        <f>+G36-F36</f>
        <v>0</v>
      </c>
      <c r="I37" s="83"/>
      <c r="J37" s="82"/>
      <c r="K37" s="90">
        <f>+J36-I36</f>
        <v>0</v>
      </c>
      <c r="L37" s="83"/>
      <c r="M37" s="82"/>
      <c r="N37" s="90">
        <f>+M36-L36</f>
        <v>0</v>
      </c>
    </row>
    <row r="38" spans="2:14" x14ac:dyDescent="0.35">
      <c r="B38" s="71" t="s">
        <v>209</v>
      </c>
      <c r="C38" s="79"/>
      <c r="D38" s="78"/>
      <c r="E38" s="85"/>
      <c r="F38" s="79"/>
      <c r="G38" s="78"/>
      <c r="H38" s="85"/>
      <c r="I38" s="79"/>
      <c r="J38" s="78"/>
      <c r="K38" s="85"/>
      <c r="L38" s="75">
        <f t="shared" ref="L38:M40" si="6">+C38+F38+I38</f>
        <v>0</v>
      </c>
      <c r="M38" s="76">
        <f t="shared" si="6"/>
        <v>0</v>
      </c>
      <c r="N38" s="85"/>
    </row>
    <row r="39" spans="2:14" x14ac:dyDescent="0.35">
      <c r="B39" s="71" t="s">
        <v>140</v>
      </c>
      <c r="C39" s="79"/>
      <c r="D39" s="78">
        <v>1200000</v>
      </c>
      <c r="E39" s="85"/>
      <c r="F39" s="79"/>
      <c r="G39" s="78">
        <v>800000</v>
      </c>
      <c r="H39" s="85"/>
      <c r="I39" s="79"/>
      <c r="J39" s="78">
        <v>800000</v>
      </c>
      <c r="K39" s="85"/>
      <c r="L39" s="75">
        <f t="shared" si="6"/>
        <v>0</v>
      </c>
      <c r="M39" s="76">
        <f t="shared" si="6"/>
        <v>2800000</v>
      </c>
      <c r="N39" s="85"/>
    </row>
    <row r="40" spans="2:14" x14ac:dyDescent="0.35">
      <c r="B40" s="71" t="s">
        <v>200</v>
      </c>
      <c r="C40" s="79"/>
      <c r="D40" s="78"/>
      <c r="E40" s="85"/>
      <c r="F40" s="79"/>
      <c r="G40" s="78"/>
      <c r="H40" s="85"/>
      <c r="I40" s="79"/>
      <c r="J40" s="78"/>
      <c r="K40" s="85"/>
      <c r="L40" s="75">
        <f t="shared" si="6"/>
        <v>0</v>
      </c>
      <c r="M40" s="76">
        <f t="shared" si="6"/>
        <v>0</v>
      </c>
      <c r="N40" s="85"/>
    </row>
    <row r="41" spans="2:14" x14ac:dyDescent="0.35">
      <c r="B41" s="72" t="s">
        <v>228</v>
      </c>
      <c r="C41" s="81">
        <f>SUM(C38:C40)</f>
        <v>0</v>
      </c>
      <c r="D41" s="81">
        <f>SUM(D38:D40)</f>
        <v>1200000</v>
      </c>
      <c r="E41" s="77"/>
      <c r="F41" s="81">
        <f>SUM(F38:F40)</f>
        <v>0</v>
      </c>
      <c r="G41" s="81">
        <f>SUM(G38:G40)</f>
        <v>800000</v>
      </c>
      <c r="H41" s="77"/>
      <c r="I41" s="81">
        <f>SUM(I38:I40)</f>
        <v>0</v>
      </c>
      <c r="J41" s="81">
        <f>SUM(J38:J40)</f>
        <v>800000</v>
      </c>
      <c r="K41" s="77"/>
      <c r="L41" s="81">
        <f>SUM(L38:L40)</f>
        <v>0</v>
      </c>
      <c r="M41" s="81">
        <f>SUM(M38:M40)</f>
        <v>2800000</v>
      </c>
      <c r="N41" s="77"/>
    </row>
    <row r="42" spans="2:14" ht="15" thickBot="1" x14ac:dyDescent="0.4">
      <c r="B42" s="73" t="s">
        <v>214</v>
      </c>
      <c r="C42" s="83"/>
      <c r="D42" s="82"/>
      <c r="E42" s="84">
        <f>+D41-C41</f>
        <v>1200000</v>
      </c>
      <c r="F42" s="83"/>
      <c r="G42" s="82"/>
      <c r="H42" s="84">
        <f>SUM(G38:G40)-SUM(F38:F40)</f>
        <v>800000</v>
      </c>
      <c r="I42" s="83"/>
      <c r="J42" s="82"/>
      <c r="K42" s="84">
        <f>SUM(J38:J40)-SUM(I38:I40)</f>
        <v>800000</v>
      </c>
      <c r="L42" s="83"/>
      <c r="M42" s="82"/>
      <c r="N42" s="84">
        <f>+M41-L41</f>
        <v>2800000</v>
      </c>
    </row>
    <row r="43" spans="2:14" ht="15" thickBot="1" x14ac:dyDescent="0.4">
      <c r="B43" s="62"/>
      <c r="C43" s="63"/>
      <c r="D43" s="64"/>
      <c r="E43" s="65"/>
      <c r="F43" s="63"/>
      <c r="G43" s="64"/>
      <c r="H43" s="65"/>
      <c r="I43" s="63"/>
      <c r="J43" s="64"/>
      <c r="K43" s="65"/>
      <c r="L43" s="63"/>
      <c r="M43" s="64"/>
      <c r="N43" s="65"/>
    </row>
    <row r="44" spans="2:14" ht="15.75" hidden="1" customHeight="1" thickBot="1" x14ac:dyDescent="0.4">
      <c r="B44" s="62"/>
      <c r="C44" s="66"/>
      <c r="D44" s="67"/>
      <c r="E44" s="70">
        <f>SUM(E6:E42)</f>
        <v>130054873</v>
      </c>
      <c r="F44" s="66"/>
      <c r="G44" s="67"/>
      <c r="H44" s="70">
        <f>SUM(H6:H42)</f>
        <v>9923604</v>
      </c>
      <c r="I44" s="66"/>
      <c r="J44" s="67"/>
      <c r="K44" s="70">
        <f>SUM(K6:K42)</f>
        <v>25734232.222222224</v>
      </c>
      <c r="L44" s="66"/>
      <c r="M44" s="67"/>
      <c r="N44" s="70">
        <f>SUM(N6:N42)</f>
        <v>165712709.22222224</v>
      </c>
    </row>
    <row r="45" spans="2:14" ht="15" thickBot="1" x14ac:dyDescent="0.4">
      <c r="C45" s="278" t="s">
        <v>364</v>
      </c>
      <c r="D45" s="279"/>
      <c r="E45" s="74">
        <f>+E10+E15+E20+E32+E37+E42</f>
        <v>130054873</v>
      </c>
      <c r="F45" s="278" t="s">
        <v>365</v>
      </c>
      <c r="G45" s="280"/>
      <c r="H45" s="108">
        <f>+H10+H15+H20+H32+H37+H42</f>
        <v>9923604</v>
      </c>
      <c r="I45" s="122" t="s">
        <v>385</v>
      </c>
      <c r="J45" s="122"/>
      <c r="K45" s="122">
        <f>+K10+K15+K20+K32+K37+K42</f>
        <v>25734232.222222224</v>
      </c>
      <c r="L45" s="123" t="s">
        <v>384</v>
      </c>
      <c r="M45" s="122"/>
      <c r="N45" s="122">
        <f>+N10+N15+N20+N32+N37+N42</f>
        <v>165712709.22222224</v>
      </c>
    </row>
    <row r="46" spans="2:14" ht="6.75" customHeight="1" x14ac:dyDescent="0.35">
      <c r="E46" s="14">
        <f>+E44-E45</f>
        <v>0</v>
      </c>
      <c r="H46" s="14">
        <f>+H44-H45</f>
        <v>0</v>
      </c>
      <c r="K46" s="14">
        <f>+K44-K45</f>
        <v>0</v>
      </c>
      <c r="N46" s="14"/>
    </row>
    <row r="47" spans="2:14" x14ac:dyDescent="0.35">
      <c r="E47" s="15"/>
      <c r="H47" s="15"/>
      <c r="K47" s="15"/>
      <c r="N47" s="15"/>
    </row>
  </sheetData>
  <mergeCells count="9">
    <mergeCell ref="C45:D45"/>
    <mergeCell ref="F45:G45"/>
    <mergeCell ref="I4:K4"/>
    <mergeCell ref="B1:N1"/>
    <mergeCell ref="B2:N2"/>
    <mergeCell ref="B4:B5"/>
    <mergeCell ref="C4:E4"/>
    <mergeCell ref="F4:H4"/>
    <mergeCell ref="L4:N4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D35"/>
  <sheetViews>
    <sheetView workbookViewId="0">
      <selection activeCell="A35" sqref="A35"/>
    </sheetView>
  </sheetViews>
  <sheetFormatPr defaultRowHeight="14.5" x14ac:dyDescent="0.35"/>
  <cols>
    <col min="1" max="1" width="35.26953125" bestFit="1" customWidth="1"/>
  </cols>
  <sheetData>
    <row r="1" spans="1:1" x14ac:dyDescent="0.35">
      <c r="A1" s="30" t="s">
        <v>204</v>
      </c>
    </row>
    <row r="2" spans="1:1" x14ac:dyDescent="0.35">
      <c r="A2" s="30" t="s">
        <v>205</v>
      </c>
    </row>
    <row r="3" spans="1:1" x14ac:dyDescent="0.35">
      <c r="A3" s="30" t="s">
        <v>206</v>
      </c>
    </row>
    <row r="4" spans="1:1" x14ac:dyDescent="0.35">
      <c r="A4" s="30" t="s">
        <v>207</v>
      </c>
    </row>
    <row r="5" spans="1:1" x14ac:dyDescent="0.35">
      <c r="A5" s="30" t="s">
        <v>105</v>
      </c>
    </row>
    <row r="6" spans="1:1" x14ac:dyDescent="0.35">
      <c r="A6" s="30" t="s">
        <v>106</v>
      </c>
    </row>
    <row r="7" spans="1:1" x14ac:dyDescent="0.35">
      <c r="A7" s="30" t="s">
        <v>107</v>
      </c>
    </row>
    <row r="8" spans="1:1" x14ac:dyDescent="0.35">
      <c r="A8" s="30" t="s">
        <v>109</v>
      </c>
    </row>
    <row r="9" spans="1:1" x14ac:dyDescent="0.35">
      <c r="A9" s="30" t="s">
        <v>139</v>
      </c>
    </row>
    <row r="10" spans="1:1" x14ac:dyDescent="0.35">
      <c r="A10" s="30" t="s">
        <v>1157</v>
      </c>
    </row>
    <row r="11" spans="1:1" x14ac:dyDescent="0.35">
      <c r="A11" s="30" t="s">
        <v>377</v>
      </c>
    </row>
    <row r="12" spans="1:1" x14ac:dyDescent="0.35">
      <c r="A12" s="30" t="s">
        <v>140</v>
      </c>
    </row>
    <row r="13" spans="1:1" x14ac:dyDescent="0.35">
      <c r="A13" s="30" t="s">
        <v>613</v>
      </c>
    </row>
    <row r="14" spans="1:1" x14ac:dyDescent="0.35">
      <c r="A14" s="30" t="s">
        <v>1052</v>
      </c>
    </row>
    <row r="15" spans="1:1" x14ac:dyDescent="0.35">
      <c r="A15" s="30" t="s">
        <v>201</v>
      </c>
    </row>
    <row r="16" spans="1:1" x14ac:dyDescent="0.35">
      <c r="A16" s="30" t="s">
        <v>202</v>
      </c>
    </row>
    <row r="17" spans="1:4" x14ac:dyDescent="0.35">
      <c r="A17" s="30" t="s">
        <v>203</v>
      </c>
    </row>
    <row r="18" spans="1:4" x14ac:dyDescent="0.35">
      <c r="A18" s="30" t="s">
        <v>143</v>
      </c>
      <c r="D18" s="30"/>
    </row>
    <row r="19" spans="1:4" x14ac:dyDescent="0.35">
      <c r="A19" s="30" t="s">
        <v>200</v>
      </c>
    </row>
    <row r="20" spans="1:4" x14ac:dyDescent="0.35">
      <c r="A20" s="30" t="s">
        <v>321</v>
      </c>
      <c r="B20" t="s">
        <v>324</v>
      </c>
    </row>
    <row r="21" spans="1:4" x14ac:dyDescent="0.35">
      <c r="A21" s="30" t="s">
        <v>322</v>
      </c>
      <c r="B21" t="s">
        <v>324</v>
      </c>
    </row>
    <row r="22" spans="1:4" x14ac:dyDescent="0.35">
      <c r="A22" s="30" t="s">
        <v>323</v>
      </c>
      <c r="B22" t="s">
        <v>324</v>
      </c>
    </row>
    <row r="23" spans="1:4" x14ac:dyDescent="0.35">
      <c r="A23" s="30" t="s">
        <v>325</v>
      </c>
      <c r="B23" t="s">
        <v>324</v>
      </c>
    </row>
    <row r="24" spans="1:4" x14ac:dyDescent="0.35">
      <c r="A24" s="30" t="s">
        <v>320</v>
      </c>
      <c r="B24" t="s">
        <v>324</v>
      </c>
    </row>
    <row r="25" spans="1:4" x14ac:dyDescent="0.35">
      <c r="A25" s="30" t="s">
        <v>327</v>
      </c>
      <c r="B25" t="s">
        <v>324</v>
      </c>
    </row>
    <row r="26" spans="1:4" x14ac:dyDescent="0.35">
      <c r="A26" s="30" t="s">
        <v>328</v>
      </c>
      <c r="B26" t="s">
        <v>324</v>
      </c>
    </row>
    <row r="27" spans="1:4" x14ac:dyDescent="0.35">
      <c r="A27" s="30" t="s">
        <v>144</v>
      </c>
      <c r="B27" t="s">
        <v>324</v>
      </c>
    </row>
    <row r="28" spans="1:4" x14ac:dyDescent="0.35">
      <c r="A28" s="30" t="s">
        <v>499</v>
      </c>
      <c r="B28" t="s">
        <v>324</v>
      </c>
    </row>
    <row r="29" spans="1:4" x14ac:dyDescent="0.35">
      <c r="A29" s="30" t="s">
        <v>500</v>
      </c>
      <c r="B29" t="s">
        <v>324</v>
      </c>
    </row>
    <row r="30" spans="1:4" x14ac:dyDescent="0.35">
      <c r="A30" s="30" t="s">
        <v>1051</v>
      </c>
      <c r="B30" t="s">
        <v>324</v>
      </c>
    </row>
    <row r="31" spans="1:4" x14ac:dyDescent="0.35">
      <c r="A31" s="30" t="s">
        <v>1158</v>
      </c>
    </row>
    <row r="32" spans="1:4" x14ac:dyDescent="0.35">
      <c r="A32" s="30" t="s">
        <v>1159</v>
      </c>
    </row>
    <row r="33" spans="1:1" x14ac:dyDescent="0.35">
      <c r="A33" s="30" t="s">
        <v>614</v>
      </c>
    </row>
    <row r="34" spans="1:1" x14ac:dyDescent="0.35">
      <c r="A34" s="30" t="s">
        <v>580</v>
      </c>
    </row>
    <row r="35" spans="1:1" x14ac:dyDescent="0.35">
      <c r="A35" s="30" t="s">
        <v>1240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I16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4" activeCellId="2" sqref="D8 D10 D14:D16"/>
    </sheetView>
  </sheetViews>
  <sheetFormatPr defaultRowHeight="14.5" x14ac:dyDescent="0.35"/>
  <cols>
    <col min="1" max="1" width="12.1796875" style="18" bestFit="1" customWidth="1"/>
    <col min="2" max="4" width="11.81640625" style="18" bestFit="1" customWidth="1"/>
    <col min="5" max="5" width="11.54296875" style="18" customWidth="1"/>
    <col min="6" max="6" width="12.81640625" style="18" bestFit="1" customWidth="1"/>
    <col min="7" max="7" width="45.26953125" style="18" customWidth="1"/>
    <col min="8" max="8" width="29.1796875" style="18" customWidth="1"/>
    <col min="9" max="9" width="30.81640625" style="18" bestFit="1" customWidth="1"/>
  </cols>
  <sheetData>
    <row r="1" spans="1:9" x14ac:dyDescent="0.35">
      <c r="A1" s="244" t="s">
        <v>439</v>
      </c>
      <c r="B1" s="244"/>
      <c r="C1" s="244"/>
      <c r="D1" s="244"/>
      <c r="E1" s="244"/>
      <c r="F1" s="244"/>
      <c r="G1" s="244"/>
      <c r="H1" s="244"/>
      <c r="I1" s="244"/>
    </row>
    <row r="2" spans="1:9" x14ac:dyDescent="0.35">
      <c r="A2" s="2"/>
      <c r="B2" s="2"/>
      <c r="C2" s="2"/>
      <c r="D2" s="2"/>
      <c r="E2" s="2"/>
      <c r="F2" s="2"/>
      <c r="G2" s="2"/>
      <c r="I2" s="25"/>
    </row>
    <row r="3" spans="1:9" x14ac:dyDescent="0.35">
      <c r="A3" s="179" t="s">
        <v>2</v>
      </c>
      <c r="B3" s="179" t="s">
        <v>3</v>
      </c>
      <c r="C3" s="179" t="s">
        <v>138</v>
      </c>
      <c r="D3" s="179" t="s">
        <v>4</v>
      </c>
      <c r="E3" s="179" t="s">
        <v>192</v>
      </c>
      <c r="F3" s="179" t="s">
        <v>5</v>
      </c>
      <c r="G3" s="179" t="s">
        <v>6</v>
      </c>
      <c r="H3" s="180" t="s">
        <v>141</v>
      </c>
      <c r="I3" s="180" t="s">
        <v>359</v>
      </c>
    </row>
    <row r="4" spans="1:9" x14ac:dyDescent="0.35">
      <c r="A4" s="158">
        <v>45738</v>
      </c>
      <c r="B4" s="152"/>
      <c r="C4" s="151"/>
      <c r="D4" s="152">
        <v>1000000</v>
      </c>
      <c r="E4" s="151" t="s">
        <v>422</v>
      </c>
      <c r="F4" s="152">
        <f>+D4</f>
        <v>1000000</v>
      </c>
      <c r="G4" s="153" t="s">
        <v>442</v>
      </c>
      <c r="H4" s="154" t="s">
        <v>105</v>
      </c>
      <c r="I4" s="159" t="s">
        <v>439</v>
      </c>
    </row>
    <row r="5" spans="1:9" x14ac:dyDescent="0.35">
      <c r="A5" s="158">
        <v>45738</v>
      </c>
      <c r="B5" s="152"/>
      <c r="C5" s="151"/>
      <c r="D5" s="152">
        <v>2000000</v>
      </c>
      <c r="E5" s="151" t="s">
        <v>422</v>
      </c>
      <c r="F5" s="152">
        <f t="shared" ref="F5:F16" si="0">+F4+D5-B5</f>
        <v>3000000</v>
      </c>
      <c r="G5" s="153" t="s">
        <v>443</v>
      </c>
      <c r="H5" s="154" t="s">
        <v>105</v>
      </c>
      <c r="I5" s="159" t="s">
        <v>439</v>
      </c>
    </row>
    <row r="6" spans="1:9" x14ac:dyDescent="0.35">
      <c r="A6" s="158">
        <v>45738</v>
      </c>
      <c r="B6" s="152"/>
      <c r="C6" s="151"/>
      <c r="D6" s="152">
        <v>1000000</v>
      </c>
      <c r="E6" s="151" t="s">
        <v>422</v>
      </c>
      <c r="F6" s="152">
        <f t="shared" si="0"/>
        <v>4000000</v>
      </c>
      <c r="G6" s="153" t="s">
        <v>444</v>
      </c>
      <c r="H6" s="154" t="s">
        <v>105</v>
      </c>
      <c r="I6" s="159" t="s">
        <v>439</v>
      </c>
    </row>
    <row r="7" spans="1:9" x14ac:dyDescent="0.35">
      <c r="A7" s="158">
        <v>45738</v>
      </c>
      <c r="B7" s="152"/>
      <c r="C7" s="151"/>
      <c r="D7" s="152">
        <v>1000000</v>
      </c>
      <c r="E7" s="151" t="s">
        <v>422</v>
      </c>
      <c r="F7" s="152">
        <f t="shared" si="0"/>
        <v>5000000</v>
      </c>
      <c r="G7" s="153" t="s">
        <v>445</v>
      </c>
      <c r="H7" s="154" t="s">
        <v>105</v>
      </c>
      <c r="I7" s="159" t="s">
        <v>439</v>
      </c>
    </row>
    <row r="8" spans="1:9" x14ac:dyDescent="0.35">
      <c r="A8" s="158">
        <v>45738</v>
      </c>
      <c r="B8" s="152"/>
      <c r="C8" s="151"/>
      <c r="D8" s="152">
        <v>200000</v>
      </c>
      <c r="E8" s="151" t="s">
        <v>422</v>
      </c>
      <c r="F8" s="152">
        <f t="shared" si="0"/>
        <v>5200000</v>
      </c>
      <c r="G8" s="153" t="s">
        <v>446</v>
      </c>
      <c r="H8" s="154" t="s">
        <v>109</v>
      </c>
      <c r="I8" s="159" t="s">
        <v>439</v>
      </c>
    </row>
    <row r="9" spans="1:9" x14ac:dyDescent="0.35">
      <c r="A9" s="158">
        <v>45738</v>
      </c>
      <c r="B9" s="152"/>
      <c r="C9" s="151"/>
      <c r="D9" s="152">
        <v>10000000</v>
      </c>
      <c r="E9" s="151" t="s">
        <v>422</v>
      </c>
      <c r="F9" s="152">
        <f t="shared" si="0"/>
        <v>15200000</v>
      </c>
      <c r="G9" s="153" t="s">
        <v>448</v>
      </c>
      <c r="H9" s="154" t="s">
        <v>105</v>
      </c>
      <c r="I9" s="159" t="s">
        <v>439</v>
      </c>
    </row>
    <row r="10" spans="1:9" x14ac:dyDescent="0.35">
      <c r="A10" s="158">
        <v>45738</v>
      </c>
      <c r="B10" s="152"/>
      <c r="C10" s="151"/>
      <c r="D10" s="152">
        <v>1500000</v>
      </c>
      <c r="E10" s="151" t="s">
        <v>422</v>
      </c>
      <c r="F10" s="152">
        <f t="shared" si="0"/>
        <v>16700000</v>
      </c>
      <c r="G10" s="153" t="s">
        <v>447</v>
      </c>
      <c r="H10" s="154" t="s">
        <v>109</v>
      </c>
      <c r="I10" s="159" t="s">
        <v>439</v>
      </c>
    </row>
    <row r="11" spans="1:9" x14ac:dyDescent="0.35">
      <c r="A11" s="158">
        <v>45745</v>
      </c>
      <c r="B11" s="152"/>
      <c r="C11" s="151"/>
      <c r="D11" s="152">
        <v>3000000</v>
      </c>
      <c r="E11" s="151" t="s">
        <v>474</v>
      </c>
      <c r="F11" s="152">
        <f t="shared" si="0"/>
        <v>19700000</v>
      </c>
      <c r="G11" s="153" t="s">
        <v>480</v>
      </c>
      <c r="H11" s="154" t="s">
        <v>105</v>
      </c>
      <c r="I11" s="159" t="s">
        <v>439</v>
      </c>
    </row>
    <row r="12" spans="1:9" x14ac:dyDescent="0.35">
      <c r="A12" s="158">
        <v>45745</v>
      </c>
      <c r="B12" s="152"/>
      <c r="C12" s="151"/>
      <c r="D12" s="152">
        <v>5000000</v>
      </c>
      <c r="E12" s="151" t="s">
        <v>474</v>
      </c>
      <c r="F12" s="152">
        <f t="shared" si="0"/>
        <v>24700000</v>
      </c>
      <c r="G12" s="153" t="s">
        <v>481</v>
      </c>
      <c r="H12" s="154" t="s">
        <v>105</v>
      </c>
      <c r="I12" s="159" t="s">
        <v>439</v>
      </c>
    </row>
    <row r="13" spans="1:9" x14ac:dyDescent="0.35">
      <c r="A13" s="158">
        <v>45745</v>
      </c>
      <c r="B13" s="152"/>
      <c r="C13" s="151"/>
      <c r="D13" s="152">
        <v>1000000</v>
      </c>
      <c r="E13" s="151" t="s">
        <v>474</v>
      </c>
      <c r="F13" s="152">
        <f t="shared" si="0"/>
        <v>25700000</v>
      </c>
      <c r="G13" s="153" t="s">
        <v>482</v>
      </c>
      <c r="H13" s="154" t="s">
        <v>105</v>
      </c>
      <c r="I13" s="159" t="s">
        <v>439</v>
      </c>
    </row>
    <row r="14" spans="1:9" x14ac:dyDescent="0.35">
      <c r="A14" s="158">
        <v>45745</v>
      </c>
      <c r="B14" s="152"/>
      <c r="C14" s="151"/>
      <c r="D14" s="152">
        <v>60000</v>
      </c>
      <c r="E14" s="151" t="s">
        <v>474</v>
      </c>
      <c r="F14" s="152">
        <f t="shared" si="0"/>
        <v>25760000</v>
      </c>
      <c r="G14" s="153" t="s">
        <v>483</v>
      </c>
      <c r="H14" s="154" t="s">
        <v>109</v>
      </c>
      <c r="I14" s="159" t="s">
        <v>439</v>
      </c>
    </row>
    <row r="15" spans="1:9" x14ac:dyDescent="0.35">
      <c r="A15" s="158">
        <v>45745</v>
      </c>
      <c r="B15" s="152"/>
      <c r="C15" s="151"/>
      <c r="D15" s="152">
        <v>80000</v>
      </c>
      <c r="E15" s="151" t="s">
        <v>474</v>
      </c>
      <c r="F15" s="152">
        <f t="shared" si="0"/>
        <v>25840000</v>
      </c>
      <c r="G15" s="153" t="s">
        <v>484</v>
      </c>
      <c r="H15" s="154" t="s">
        <v>109</v>
      </c>
      <c r="I15" s="159" t="s">
        <v>439</v>
      </c>
    </row>
    <row r="16" spans="1:9" x14ac:dyDescent="0.35">
      <c r="A16" s="158">
        <v>45745</v>
      </c>
      <c r="B16" s="152"/>
      <c r="C16" s="151"/>
      <c r="D16" s="152">
        <v>200000</v>
      </c>
      <c r="E16" s="151" t="s">
        <v>474</v>
      </c>
      <c r="F16" s="152">
        <f t="shared" si="0"/>
        <v>26040000</v>
      </c>
      <c r="G16" s="153" t="s">
        <v>485</v>
      </c>
      <c r="H16" s="154" t="s">
        <v>109</v>
      </c>
      <c r="I16" s="159" t="s">
        <v>439</v>
      </c>
    </row>
  </sheetData>
  <mergeCells count="1">
    <mergeCell ref="A1:I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0000000}">
          <x14:formula1>
            <xm:f>Akun!$A$1:$A$27</xm:f>
          </x14:formula1>
          <xm:sqref>H4:H16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A1:L79"/>
  <sheetViews>
    <sheetView topLeftCell="A34" zoomScale="85" zoomScaleNormal="85" workbookViewId="0">
      <selection activeCell="K78" sqref="K78:K80"/>
    </sheetView>
  </sheetViews>
  <sheetFormatPr defaultRowHeight="14.5" x14ac:dyDescent="0.35"/>
  <cols>
    <col min="1" max="1" width="12.1796875" style="18" bestFit="1" customWidth="1"/>
    <col min="2" max="3" width="11.81640625" style="18" bestFit="1" customWidth="1"/>
    <col min="4" max="4" width="11.54296875" style="18" hidden="1" customWidth="1"/>
    <col min="5" max="5" width="12.81640625" style="18" bestFit="1" customWidth="1"/>
    <col min="6" max="6" width="45.26953125" style="18" customWidth="1"/>
    <col min="7" max="7" width="29.1796875" style="18" hidden="1" customWidth="1"/>
    <col min="8" max="8" width="30.81640625" style="18" bestFit="1" customWidth="1"/>
    <col min="10" max="10" width="11.54296875" bestFit="1" customWidth="1"/>
    <col min="11" max="11" width="35.453125" bestFit="1" customWidth="1"/>
    <col min="12" max="12" width="18.1796875" bestFit="1" customWidth="1"/>
  </cols>
  <sheetData>
    <row r="1" spans="1:8" x14ac:dyDescent="0.35">
      <c r="A1" s="244" t="s">
        <v>543</v>
      </c>
      <c r="B1" s="244"/>
      <c r="C1" s="244"/>
      <c r="D1" s="244"/>
      <c r="E1" s="244"/>
      <c r="F1" s="244"/>
      <c r="G1" s="244"/>
      <c r="H1" s="244"/>
    </row>
    <row r="2" spans="1:8" x14ac:dyDescent="0.35">
      <c r="A2" s="2"/>
      <c r="B2" s="2"/>
      <c r="C2" s="2"/>
      <c r="D2" s="2"/>
      <c r="E2" s="2"/>
      <c r="F2" s="2"/>
      <c r="H2" s="25"/>
    </row>
    <row r="3" spans="1:8" x14ac:dyDescent="0.35">
      <c r="A3" s="6"/>
      <c r="B3" s="6"/>
      <c r="C3" s="6"/>
      <c r="D3" s="6"/>
      <c r="E3" s="6"/>
      <c r="F3" s="6"/>
      <c r="G3" s="34"/>
      <c r="H3" s="34"/>
    </row>
    <row r="4" spans="1:8" x14ac:dyDescent="0.35">
      <c r="A4" s="177" t="s">
        <v>2</v>
      </c>
      <c r="B4" s="177" t="s">
        <v>3</v>
      </c>
      <c r="C4" s="177" t="s">
        <v>4</v>
      </c>
      <c r="D4" s="177" t="s">
        <v>192</v>
      </c>
      <c r="E4" s="177" t="s">
        <v>5</v>
      </c>
      <c r="F4" s="177" t="s">
        <v>6</v>
      </c>
      <c r="G4" s="178" t="s">
        <v>141</v>
      </c>
      <c r="H4" s="178" t="s">
        <v>359</v>
      </c>
    </row>
    <row r="5" spans="1:8" x14ac:dyDescent="0.35">
      <c r="A5" s="100">
        <v>45716</v>
      </c>
      <c r="B5" s="101"/>
      <c r="C5" s="101">
        <v>250000</v>
      </c>
      <c r="D5" s="102" t="s">
        <v>329</v>
      </c>
      <c r="E5" s="101">
        <v>250000</v>
      </c>
      <c r="F5" s="103" t="s">
        <v>377</v>
      </c>
      <c r="G5" s="104" t="s">
        <v>109</v>
      </c>
      <c r="H5" s="109" t="s">
        <v>374</v>
      </c>
    </row>
    <row r="6" spans="1:8" x14ac:dyDescent="0.35">
      <c r="A6" s="100">
        <v>45717</v>
      </c>
      <c r="B6" s="101"/>
      <c r="C6" s="101">
        <v>2015000</v>
      </c>
      <c r="D6" s="102" t="s">
        <v>329</v>
      </c>
      <c r="E6" s="101">
        <f t="shared" ref="E6:E37" si="0">+E5+C6-B6</f>
        <v>2265000</v>
      </c>
      <c r="F6" s="103" t="s">
        <v>377</v>
      </c>
      <c r="G6" s="104" t="s">
        <v>109</v>
      </c>
      <c r="H6" s="109" t="s">
        <v>374</v>
      </c>
    </row>
    <row r="7" spans="1:8" x14ac:dyDescent="0.35">
      <c r="A7" s="100">
        <v>45718</v>
      </c>
      <c r="B7" s="101"/>
      <c r="C7" s="101">
        <v>1100000</v>
      </c>
      <c r="D7" s="102" t="s">
        <v>329</v>
      </c>
      <c r="E7" s="101">
        <f t="shared" si="0"/>
        <v>3365000</v>
      </c>
      <c r="F7" s="103" t="s">
        <v>377</v>
      </c>
      <c r="G7" s="104" t="s">
        <v>109</v>
      </c>
      <c r="H7" s="109" t="s">
        <v>374</v>
      </c>
    </row>
    <row r="8" spans="1:8" x14ac:dyDescent="0.35">
      <c r="A8" s="100">
        <v>45719</v>
      </c>
      <c r="B8" s="101"/>
      <c r="C8" s="101">
        <v>1920000</v>
      </c>
      <c r="D8" s="102" t="s">
        <v>329</v>
      </c>
      <c r="E8" s="101">
        <f t="shared" si="0"/>
        <v>5285000</v>
      </c>
      <c r="F8" s="103" t="s">
        <v>377</v>
      </c>
      <c r="G8" s="104" t="s">
        <v>109</v>
      </c>
      <c r="H8" s="109" t="s">
        <v>374</v>
      </c>
    </row>
    <row r="9" spans="1:8" x14ac:dyDescent="0.35">
      <c r="A9" s="100">
        <v>45720</v>
      </c>
      <c r="B9" s="101"/>
      <c r="C9" s="101">
        <v>836000</v>
      </c>
      <c r="D9" s="102" t="s">
        <v>329</v>
      </c>
      <c r="E9" s="101">
        <f t="shared" si="0"/>
        <v>6121000</v>
      </c>
      <c r="F9" s="103" t="s">
        <v>377</v>
      </c>
      <c r="G9" s="104" t="s">
        <v>109</v>
      </c>
      <c r="H9" s="109" t="s">
        <v>374</v>
      </c>
    </row>
    <row r="10" spans="1:8" x14ac:dyDescent="0.35">
      <c r="A10" s="100">
        <v>45721</v>
      </c>
      <c r="B10" s="101"/>
      <c r="C10" s="101">
        <v>1450000</v>
      </c>
      <c r="D10" s="102" t="s">
        <v>329</v>
      </c>
      <c r="E10" s="101">
        <f t="shared" si="0"/>
        <v>7571000</v>
      </c>
      <c r="F10" s="103" t="s">
        <v>377</v>
      </c>
      <c r="G10" s="104" t="s">
        <v>109</v>
      </c>
      <c r="H10" s="109" t="s">
        <v>374</v>
      </c>
    </row>
    <row r="11" spans="1:8" x14ac:dyDescent="0.35">
      <c r="A11" s="100">
        <v>45722</v>
      </c>
      <c r="B11" s="101"/>
      <c r="C11" s="101">
        <v>1507000</v>
      </c>
      <c r="D11" s="102" t="s">
        <v>329</v>
      </c>
      <c r="E11" s="101">
        <f t="shared" si="0"/>
        <v>9078000</v>
      </c>
      <c r="F11" s="103" t="s">
        <v>377</v>
      </c>
      <c r="G11" s="104" t="s">
        <v>109</v>
      </c>
      <c r="H11" s="109" t="s">
        <v>374</v>
      </c>
    </row>
    <row r="12" spans="1:8" x14ac:dyDescent="0.35">
      <c r="A12" s="100">
        <v>45716</v>
      </c>
      <c r="B12" s="101">
        <v>410000</v>
      </c>
      <c r="C12" s="101"/>
      <c r="D12" s="102" t="s">
        <v>329</v>
      </c>
      <c r="E12" s="101">
        <f t="shared" si="0"/>
        <v>8668000</v>
      </c>
      <c r="F12" s="103" t="s">
        <v>376</v>
      </c>
      <c r="G12" s="104" t="s">
        <v>323</v>
      </c>
      <c r="H12" s="109" t="s">
        <v>374</v>
      </c>
    </row>
    <row r="13" spans="1:8" x14ac:dyDescent="0.35">
      <c r="A13" s="100">
        <v>45717</v>
      </c>
      <c r="B13" s="101">
        <v>860000</v>
      </c>
      <c r="C13" s="101"/>
      <c r="D13" s="102" t="s">
        <v>329</v>
      </c>
      <c r="E13" s="101">
        <f t="shared" si="0"/>
        <v>7808000</v>
      </c>
      <c r="F13" s="103" t="s">
        <v>378</v>
      </c>
      <c r="G13" s="104" t="s">
        <v>323</v>
      </c>
      <c r="H13" s="109" t="s">
        <v>374</v>
      </c>
    </row>
    <row r="14" spans="1:8" x14ac:dyDescent="0.35">
      <c r="A14" s="100">
        <v>45718</v>
      </c>
      <c r="B14" s="101">
        <v>860000</v>
      </c>
      <c r="C14" s="101"/>
      <c r="D14" s="102" t="s">
        <v>329</v>
      </c>
      <c r="E14" s="101">
        <f t="shared" si="0"/>
        <v>6948000</v>
      </c>
      <c r="F14" s="103" t="s">
        <v>378</v>
      </c>
      <c r="G14" s="104" t="s">
        <v>323</v>
      </c>
      <c r="H14" s="109" t="s">
        <v>374</v>
      </c>
    </row>
    <row r="15" spans="1:8" x14ac:dyDescent="0.35">
      <c r="A15" s="100">
        <v>45719</v>
      </c>
      <c r="B15" s="101">
        <v>510000</v>
      </c>
      <c r="C15" s="101"/>
      <c r="D15" s="102" t="s">
        <v>329</v>
      </c>
      <c r="E15" s="101">
        <f t="shared" si="0"/>
        <v>6438000</v>
      </c>
      <c r="F15" s="103" t="s">
        <v>375</v>
      </c>
      <c r="G15" s="104" t="s">
        <v>323</v>
      </c>
      <c r="H15" s="109" t="s">
        <v>374</v>
      </c>
    </row>
    <row r="16" spans="1:8" x14ac:dyDescent="0.35">
      <c r="A16" s="100">
        <v>45720</v>
      </c>
      <c r="B16" s="101">
        <v>510000</v>
      </c>
      <c r="C16" s="101"/>
      <c r="D16" s="102" t="s">
        <v>329</v>
      </c>
      <c r="E16" s="101">
        <f t="shared" si="0"/>
        <v>5928000</v>
      </c>
      <c r="F16" s="103" t="s">
        <v>375</v>
      </c>
      <c r="G16" s="104" t="s">
        <v>323</v>
      </c>
      <c r="H16" s="109" t="s">
        <v>374</v>
      </c>
    </row>
    <row r="17" spans="1:8" x14ac:dyDescent="0.35">
      <c r="A17" s="100">
        <v>45721</v>
      </c>
      <c r="B17" s="101">
        <v>510000</v>
      </c>
      <c r="C17" s="101"/>
      <c r="D17" s="102" t="s">
        <v>329</v>
      </c>
      <c r="E17" s="101">
        <f t="shared" si="0"/>
        <v>5418000</v>
      </c>
      <c r="F17" s="103" t="s">
        <v>375</v>
      </c>
      <c r="G17" s="104" t="s">
        <v>323</v>
      </c>
      <c r="H17" s="109" t="s">
        <v>374</v>
      </c>
    </row>
    <row r="18" spans="1:8" x14ac:dyDescent="0.35">
      <c r="A18" s="100">
        <v>45722</v>
      </c>
      <c r="B18" s="101">
        <v>860000</v>
      </c>
      <c r="C18" s="101"/>
      <c r="D18" s="102" t="s">
        <v>329</v>
      </c>
      <c r="E18" s="101">
        <f t="shared" si="0"/>
        <v>4558000</v>
      </c>
      <c r="F18" s="103" t="s">
        <v>378</v>
      </c>
      <c r="G18" s="104" t="s">
        <v>323</v>
      </c>
      <c r="H18" s="109" t="s">
        <v>374</v>
      </c>
    </row>
    <row r="19" spans="1:8" x14ac:dyDescent="0.35">
      <c r="A19" s="100">
        <v>45723</v>
      </c>
      <c r="B19" s="101"/>
      <c r="C19" s="101">
        <v>1601000</v>
      </c>
      <c r="D19" s="102" t="s">
        <v>367</v>
      </c>
      <c r="E19" s="101">
        <f t="shared" si="0"/>
        <v>6159000</v>
      </c>
      <c r="F19" s="103" t="s">
        <v>377</v>
      </c>
      <c r="G19" s="104" t="s">
        <v>109</v>
      </c>
      <c r="H19" s="109" t="s">
        <v>374</v>
      </c>
    </row>
    <row r="20" spans="1:8" x14ac:dyDescent="0.35">
      <c r="A20" s="100">
        <v>45724</v>
      </c>
      <c r="B20" s="101"/>
      <c r="C20" s="101">
        <v>1636000</v>
      </c>
      <c r="D20" s="102" t="s">
        <v>367</v>
      </c>
      <c r="E20" s="101">
        <f t="shared" si="0"/>
        <v>7795000</v>
      </c>
      <c r="F20" s="103" t="s">
        <v>377</v>
      </c>
      <c r="G20" s="104" t="s">
        <v>109</v>
      </c>
      <c r="H20" s="109" t="s">
        <v>374</v>
      </c>
    </row>
    <row r="21" spans="1:8" x14ac:dyDescent="0.35">
      <c r="A21" s="100">
        <v>45725</v>
      </c>
      <c r="B21" s="101"/>
      <c r="C21" s="101">
        <v>1589000</v>
      </c>
      <c r="D21" s="102" t="s">
        <v>367</v>
      </c>
      <c r="E21" s="101">
        <f t="shared" si="0"/>
        <v>9384000</v>
      </c>
      <c r="F21" s="103" t="s">
        <v>377</v>
      </c>
      <c r="G21" s="104" t="s">
        <v>109</v>
      </c>
      <c r="H21" s="109" t="s">
        <v>374</v>
      </c>
    </row>
    <row r="22" spans="1:8" x14ac:dyDescent="0.35">
      <c r="A22" s="100">
        <v>45726</v>
      </c>
      <c r="B22" s="101"/>
      <c r="C22" s="101">
        <v>1210000</v>
      </c>
      <c r="D22" s="102" t="s">
        <v>367</v>
      </c>
      <c r="E22" s="101">
        <f t="shared" si="0"/>
        <v>10594000</v>
      </c>
      <c r="F22" s="103" t="s">
        <v>377</v>
      </c>
      <c r="G22" s="104" t="s">
        <v>109</v>
      </c>
      <c r="H22" s="109" t="s">
        <v>374</v>
      </c>
    </row>
    <row r="23" spans="1:8" x14ac:dyDescent="0.35">
      <c r="A23" s="100">
        <v>45726</v>
      </c>
      <c r="B23" s="101">
        <v>4558000</v>
      </c>
      <c r="C23" s="101"/>
      <c r="D23" s="102" t="s">
        <v>367</v>
      </c>
      <c r="E23" s="101">
        <f t="shared" si="0"/>
        <v>6036000</v>
      </c>
      <c r="F23" s="103" t="s">
        <v>379</v>
      </c>
      <c r="G23" s="104" t="s">
        <v>320</v>
      </c>
      <c r="H23" s="109" t="s">
        <v>374</v>
      </c>
    </row>
    <row r="24" spans="1:8" x14ac:dyDescent="0.35">
      <c r="A24" s="100">
        <v>45723</v>
      </c>
      <c r="B24" s="101">
        <v>510000</v>
      </c>
      <c r="C24" s="101"/>
      <c r="D24" s="102" t="s">
        <v>367</v>
      </c>
      <c r="E24" s="101">
        <f t="shared" si="0"/>
        <v>5526000</v>
      </c>
      <c r="F24" s="103" t="s">
        <v>375</v>
      </c>
      <c r="G24" s="104" t="s">
        <v>323</v>
      </c>
      <c r="H24" s="109" t="s">
        <v>374</v>
      </c>
    </row>
    <row r="25" spans="1:8" x14ac:dyDescent="0.35">
      <c r="A25" s="100">
        <v>45724</v>
      </c>
      <c r="B25" s="101">
        <v>860000</v>
      </c>
      <c r="C25" s="101"/>
      <c r="D25" s="102" t="s">
        <v>367</v>
      </c>
      <c r="E25" s="101">
        <f t="shared" si="0"/>
        <v>4666000</v>
      </c>
      <c r="F25" s="103" t="s">
        <v>378</v>
      </c>
      <c r="G25" s="104" t="s">
        <v>323</v>
      </c>
      <c r="H25" s="109" t="s">
        <v>374</v>
      </c>
    </row>
    <row r="26" spans="1:8" x14ac:dyDescent="0.35">
      <c r="A26" s="100">
        <v>45725</v>
      </c>
      <c r="B26" s="101">
        <v>860000</v>
      </c>
      <c r="C26" s="101"/>
      <c r="D26" s="102" t="s">
        <v>367</v>
      </c>
      <c r="E26" s="101">
        <f t="shared" si="0"/>
        <v>3806000</v>
      </c>
      <c r="F26" s="103" t="s">
        <v>378</v>
      </c>
      <c r="G26" s="104" t="s">
        <v>323</v>
      </c>
      <c r="H26" s="109" t="s">
        <v>374</v>
      </c>
    </row>
    <row r="27" spans="1:8" x14ac:dyDescent="0.35">
      <c r="A27" s="100">
        <v>45726</v>
      </c>
      <c r="B27" s="101">
        <v>510000</v>
      </c>
      <c r="C27" s="101"/>
      <c r="D27" s="102" t="s">
        <v>367</v>
      </c>
      <c r="E27" s="101">
        <f t="shared" si="0"/>
        <v>3296000</v>
      </c>
      <c r="F27" s="103" t="s">
        <v>375</v>
      </c>
      <c r="G27" s="104" t="s">
        <v>323</v>
      </c>
      <c r="H27" s="109" t="s">
        <v>374</v>
      </c>
    </row>
    <row r="28" spans="1:8" x14ac:dyDescent="0.35">
      <c r="A28" s="100">
        <v>45727</v>
      </c>
      <c r="B28" s="101"/>
      <c r="C28" s="101">
        <v>1608000</v>
      </c>
      <c r="D28" s="102" t="s">
        <v>367</v>
      </c>
      <c r="E28" s="101">
        <f t="shared" si="0"/>
        <v>4904000</v>
      </c>
      <c r="F28" s="103" t="s">
        <v>377</v>
      </c>
      <c r="G28" s="104" t="s">
        <v>109</v>
      </c>
      <c r="H28" s="109" t="s">
        <v>374</v>
      </c>
    </row>
    <row r="29" spans="1:8" x14ac:dyDescent="0.35">
      <c r="A29" s="100">
        <v>45728</v>
      </c>
      <c r="B29" s="101"/>
      <c r="C29" s="101">
        <v>1404000</v>
      </c>
      <c r="D29" s="102" t="s">
        <v>367</v>
      </c>
      <c r="E29" s="101">
        <f t="shared" si="0"/>
        <v>6308000</v>
      </c>
      <c r="F29" s="103" t="s">
        <v>377</v>
      </c>
      <c r="G29" s="104" t="s">
        <v>109</v>
      </c>
      <c r="H29" s="109" t="s">
        <v>374</v>
      </c>
    </row>
    <row r="30" spans="1:8" x14ac:dyDescent="0.35">
      <c r="A30" s="100">
        <v>45729</v>
      </c>
      <c r="B30" s="101"/>
      <c r="C30" s="101">
        <v>1150000</v>
      </c>
      <c r="D30" s="102" t="s">
        <v>367</v>
      </c>
      <c r="E30" s="101">
        <f t="shared" si="0"/>
        <v>7458000</v>
      </c>
      <c r="F30" s="103" t="s">
        <v>377</v>
      </c>
      <c r="G30" s="104" t="s">
        <v>109</v>
      </c>
      <c r="H30" s="109" t="s">
        <v>374</v>
      </c>
    </row>
    <row r="31" spans="1:8" x14ac:dyDescent="0.35">
      <c r="A31" s="100">
        <v>45727</v>
      </c>
      <c r="B31" s="101">
        <v>510000</v>
      </c>
      <c r="C31" s="101"/>
      <c r="D31" s="102" t="s">
        <v>367</v>
      </c>
      <c r="E31" s="101">
        <f t="shared" si="0"/>
        <v>6948000</v>
      </c>
      <c r="F31" s="103" t="s">
        <v>375</v>
      </c>
      <c r="G31" s="104" t="s">
        <v>323</v>
      </c>
      <c r="H31" s="109" t="s">
        <v>374</v>
      </c>
    </row>
    <row r="32" spans="1:8" x14ac:dyDescent="0.35">
      <c r="A32" s="100">
        <v>45728</v>
      </c>
      <c r="B32" s="101">
        <v>510000</v>
      </c>
      <c r="C32" s="101"/>
      <c r="D32" s="102" t="s">
        <v>367</v>
      </c>
      <c r="E32" s="101">
        <f t="shared" si="0"/>
        <v>6438000</v>
      </c>
      <c r="F32" s="103" t="s">
        <v>375</v>
      </c>
      <c r="G32" s="104" t="s">
        <v>323</v>
      </c>
      <c r="H32" s="109" t="s">
        <v>374</v>
      </c>
    </row>
    <row r="33" spans="1:8" x14ac:dyDescent="0.35">
      <c r="A33" s="100">
        <v>45729</v>
      </c>
      <c r="B33" s="101">
        <v>860000</v>
      </c>
      <c r="C33" s="101"/>
      <c r="D33" s="102" t="s">
        <v>367</v>
      </c>
      <c r="E33" s="101">
        <f t="shared" si="0"/>
        <v>5578000</v>
      </c>
      <c r="F33" s="103" t="s">
        <v>378</v>
      </c>
      <c r="G33" s="104" t="s">
        <v>323</v>
      </c>
      <c r="H33" s="109" t="s">
        <v>374</v>
      </c>
    </row>
    <row r="34" spans="1:8" x14ac:dyDescent="0.35">
      <c r="A34" s="100">
        <v>45730</v>
      </c>
      <c r="B34" s="101"/>
      <c r="C34" s="101">
        <v>1120000</v>
      </c>
      <c r="D34" s="102" t="s">
        <v>398</v>
      </c>
      <c r="E34" s="101">
        <f t="shared" si="0"/>
        <v>6698000</v>
      </c>
      <c r="F34" s="103" t="s">
        <v>377</v>
      </c>
      <c r="G34" s="104" t="s">
        <v>109</v>
      </c>
      <c r="H34" s="109" t="s">
        <v>374</v>
      </c>
    </row>
    <row r="35" spans="1:8" x14ac:dyDescent="0.35">
      <c r="A35" s="100">
        <v>45731</v>
      </c>
      <c r="B35" s="101"/>
      <c r="C35" s="101">
        <v>1147000</v>
      </c>
      <c r="D35" s="102" t="s">
        <v>398</v>
      </c>
      <c r="E35" s="101">
        <f t="shared" si="0"/>
        <v>7845000</v>
      </c>
      <c r="F35" s="103" t="s">
        <v>377</v>
      </c>
      <c r="G35" s="104" t="s">
        <v>109</v>
      </c>
      <c r="H35" s="109" t="s">
        <v>374</v>
      </c>
    </row>
    <row r="36" spans="1:8" x14ac:dyDescent="0.35">
      <c r="A36" s="100">
        <v>45732</v>
      </c>
      <c r="B36" s="101"/>
      <c r="C36" s="101">
        <v>1107000</v>
      </c>
      <c r="D36" s="102" t="s">
        <v>398</v>
      </c>
      <c r="E36" s="101">
        <f t="shared" si="0"/>
        <v>8952000</v>
      </c>
      <c r="F36" s="103" t="s">
        <v>377</v>
      </c>
      <c r="G36" s="104" t="s">
        <v>109</v>
      </c>
      <c r="H36" s="109" t="s">
        <v>374</v>
      </c>
    </row>
    <row r="37" spans="1:8" x14ac:dyDescent="0.35">
      <c r="A37" s="100">
        <v>45733</v>
      </c>
      <c r="B37" s="101"/>
      <c r="C37" s="101">
        <v>1140000</v>
      </c>
      <c r="D37" s="102" t="s">
        <v>398</v>
      </c>
      <c r="E37" s="101">
        <f t="shared" si="0"/>
        <v>10092000</v>
      </c>
      <c r="F37" s="103" t="s">
        <v>377</v>
      </c>
      <c r="G37" s="104" t="s">
        <v>109</v>
      </c>
      <c r="H37" s="109" t="s">
        <v>374</v>
      </c>
    </row>
    <row r="38" spans="1:8" x14ac:dyDescent="0.35">
      <c r="A38" s="100">
        <v>45734</v>
      </c>
      <c r="B38" s="101"/>
      <c r="C38" s="101">
        <v>1086000</v>
      </c>
      <c r="D38" s="102" t="s">
        <v>398</v>
      </c>
      <c r="E38" s="101">
        <f t="shared" ref="E38:E67" si="1">+E37+C38-B38</f>
        <v>11178000</v>
      </c>
      <c r="F38" s="103" t="s">
        <v>377</v>
      </c>
      <c r="G38" s="104" t="s">
        <v>109</v>
      </c>
      <c r="H38" s="109" t="s">
        <v>374</v>
      </c>
    </row>
    <row r="39" spans="1:8" x14ac:dyDescent="0.35">
      <c r="A39" s="100">
        <v>45735</v>
      </c>
      <c r="B39" s="101"/>
      <c r="C39" s="101">
        <v>1217000</v>
      </c>
      <c r="D39" s="102" t="s">
        <v>398</v>
      </c>
      <c r="E39" s="101">
        <f t="shared" si="1"/>
        <v>12395000</v>
      </c>
      <c r="F39" s="103" t="s">
        <v>377</v>
      </c>
      <c r="G39" s="104" t="s">
        <v>109</v>
      </c>
      <c r="H39" s="109" t="s">
        <v>374</v>
      </c>
    </row>
    <row r="40" spans="1:8" x14ac:dyDescent="0.35">
      <c r="A40" s="100">
        <v>45736</v>
      </c>
      <c r="B40" s="101"/>
      <c r="C40" s="101">
        <v>1650000</v>
      </c>
      <c r="D40" s="102" t="s">
        <v>398</v>
      </c>
      <c r="E40" s="101">
        <f t="shared" si="1"/>
        <v>14045000</v>
      </c>
      <c r="F40" s="103" t="s">
        <v>377</v>
      </c>
      <c r="G40" s="104" t="s">
        <v>109</v>
      </c>
      <c r="H40" s="109" t="s">
        <v>374</v>
      </c>
    </row>
    <row r="41" spans="1:8" x14ac:dyDescent="0.35">
      <c r="A41" s="100">
        <v>45737</v>
      </c>
      <c r="B41" s="101"/>
      <c r="C41" s="101">
        <v>1104000</v>
      </c>
      <c r="D41" s="102" t="s">
        <v>422</v>
      </c>
      <c r="E41" s="101">
        <f t="shared" si="1"/>
        <v>15149000</v>
      </c>
      <c r="F41" s="103" t="s">
        <v>377</v>
      </c>
      <c r="G41" s="104" t="s">
        <v>109</v>
      </c>
      <c r="H41" s="109" t="s">
        <v>374</v>
      </c>
    </row>
    <row r="42" spans="1:8" x14ac:dyDescent="0.35">
      <c r="A42" s="100">
        <v>45738</v>
      </c>
      <c r="B42" s="101"/>
      <c r="C42" s="101">
        <v>1750000</v>
      </c>
      <c r="D42" s="102" t="s">
        <v>422</v>
      </c>
      <c r="E42" s="101">
        <f t="shared" si="1"/>
        <v>16899000</v>
      </c>
      <c r="F42" s="103" t="s">
        <v>377</v>
      </c>
      <c r="G42" s="104" t="s">
        <v>109</v>
      </c>
      <c r="H42" s="109" t="s">
        <v>374</v>
      </c>
    </row>
    <row r="43" spans="1:8" x14ac:dyDescent="0.35">
      <c r="A43" s="100">
        <v>45739</v>
      </c>
      <c r="B43" s="101"/>
      <c r="C43" s="101">
        <v>1602000</v>
      </c>
      <c r="D43" s="102" t="s">
        <v>422</v>
      </c>
      <c r="E43" s="101">
        <f t="shared" si="1"/>
        <v>18501000</v>
      </c>
      <c r="F43" s="103" t="s">
        <v>377</v>
      </c>
      <c r="G43" s="104" t="s">
        <v>109</v>
      </c>
      <c r="H43" s="109" t="s">
        <v>374</v>
      </c>
    </row>
    <row r="44" spans="1:8" x14ac:dyDescent="0.35">
      <c r="A44" s="100">
        <v>45740</v>
      </c>
      <c r="B44" s="101"/>
      <c r="C44" s="101">
        <v>1564000</v>
      </c>
      <c r="D44" s="102" t="s">
        <v>422</v>
      </c>
      <c r="E44" s="101">
        <f t="shared" si="1"/>
        <v>20065000</v>
      </c>
      <c r="F44" s="103" t="s">
        <v>377</v>
      </c>
      <c r="G44" s="104" t="s">
        <v>109</v>
      </c>
      <c r="H44" s="109" t="s">
        <v>374</v>
      </c>
    </row>
    <row r="45" spans="1:8" x14ac:dyDescent="0.35">
      <c r="A45" s="100">
        <v>45741</v>
      </c>
      <c r="B45" s="101"/>
      <c r="C45" s="101">
        <v>1338000</v>
      </c>
      <c r="D45" s="102" t="s">
        <v>422</v>
      </c>
      <c r="E45" s="101">
        <f t="shared" si="1"/>
        <v>21403000</v>
      </c>
      <c r="F45" s="103" t="s">
        <v>377</v>
      </c>
      <c r="G45" s="104" t="s">
        <v>109</v>
      </c>
      <c r="H45" s="109" t="s">
        <v>374</v>
      </c>
    </row>
    <row r="46" spans="1:8" x14ac:dyDescent="0.35">
      <c r="A46" s="100">
        <v>45742</v>
      </c>
      <c r="B46" s="101"/>
      <c r="C46" s="101">
        <v>2380000</v>
      </c>
      <c r="D46" s="102" t="s">
        <v>422</v>
      </c>
      <c r="E46" s="101">
        <f t="shared" si="1"/>
        <v>23783000</v>
      </c>
      <c r="F46" s="103" t="s">
        <v>377</v>
      </c>
      <c r="G46" s="104" t="s">
        <v>109</v>
      </c>
      <c r="H46" s="109" t="s">
        <v>374</v>
      </c>
    </row>
    <row r="47" spans="1:8" x14ac:dyDescent="0.35">
      <c r="A47" s="100">
        <v>45743</v>
      </c>
      <c r="B47" s="101"/>
      <c r="C47" s="101">
        <v>1784000</v>
      </c>
      <c r="D47" s="102" t="s">
        <v>422</v>
      </c>
      <c r="E47" s="101">
        <f t="shared" si="1"/>
        <v>25567000</v>
      </c>
      <c r="F47" s="103" t="s">
        <v>377</v>
      </c>
      <c r="G47" s="104" t="s">
        <v>109</v>
      </c>
      <c r="H47" s="109" t="s">
        <v>374</v>
      </c>
    </row>
    <row r="48" spans="1:8" x14ac:dyDescent="0.35">
      <c r="A48" s="100">
        <v>45744</v>
      </c>
      <c r="B48" s="101"/>
      <c r="C48" s="101">
        <v>1950000</v>
      </c>
      <c r="D48" s="102" t="s">
        <v>474</v>
      </c>
      <c r="E48" s="101">
        <f t="shared" si="1"/>
        <v>27517000</v>
      </c>
      <c r="F48" s="103" t="s">
        <v>377</v>
      </c>
      <c r="G48" s="104" t="s">
        <v>109</v>
      </c>
      <c r="H48" s="109" t="s">
        <v>374</v>
      </c>
    </row>
    <row r="49" spans="1:8" x14ac:dyDescent="0.35">
      <c r="A49" s="100">
        <v>45745</v>
      </c>
      <c r="B49" s="101"/>
      <c r="C49" s="101">
        <v>1740000</v>
      </c>
      <c r="D49" s="102" t="s">
        <v>474</v>
      </c>
      <c r="E49" s="101">
        <f t="shared" si="1"/>
        <v>29257000</v>
      </c>
      <c r="F49" s="103" t="s">
        <v>377</v>
      </c>
      <c r="G49" s="104" t="s">
        <v>109</v>
      </c>
      <c r="H49" s="109" t="s">
        <v>374</v>
      </c>
    </row>
    <row r="50" spans="1:8" x14ac:dyDescent="0.35">
      <c r="A50" s="100">
        <v>45730</v>
      </c>
      <c r="B50" s="101">
        <v>510000</v>
      </c>
      <c r="C50" s="101"/>
      <c r="D50" s="102" t="s">
        <v>398</v>
      </c>
      <c r="E50" s="101">
        <f t="shared" si="1"/>
        <v>28747000</v>
      </c>
      <c r="F50" s="103" t="s">
        <v>375</v>
      </c>
      <c r="G50" s="104" t="s">
        <v>323</v>
      </c>
      <c r="H50" s="109" t="s">
        <v>374</v>
      </c>
    </row>
    <row r="51" spans="1:8" x14ac:dyDescent="0.35">
      <c r="A51" s="100">
        <v>45731</v>
      </c>
      <c r="B51" s="101">
        <v>510000</v>
      </c>
      <c r="C51" s="101"/>
      <c r="D51" s="102" t="s">
        <v>398</v>
      </c>
      <c r="E51" s="101">
        <f t="shared" si="1"/>
        <v>28237000</v>
      </c>
      <c r="F51" s="103" t="s">
        <v>375</v>
      </c>
      <c r="G51" s="104" t="s">
        <v>323</v>
      </c>
      <c r="H51" s="109" t="s">
        <v>374</v>
      </c>
    </row>
    <row r="52" spans="1:8" x14ac:dyDescent="0.35">
      <c r="A52" s="100">
        <v>45732</v>
      </c>
      <c r="B52" s="101">
        <v>700000</v>
      </c>
      <c r="C52" s="101"/>
      <c r="D52" s="102" t="s">
        <v>398</v>
      </c>
      <c r="E52" s="101">
        <f t="shared" si="1"/>
        <v>27537000</v>
      </c>
      <c r="F52" s="103" t="s">
        <v>418</v>
      </c>
      <c r="G52" s="104" t="s">
        <v>323</v>
      </c>
      <c r="H52" s="109" t="s">
        <v>374</v>
      </c>
    </row>
    <row r="53" spans="1:8" x14ac:dyDescent="0.35">
      <c r="A53" s="100">
        <v>45733</v>
      </c>
      <c r="B53" s="101">
        <v>350000</v>
      </c>
      <c r="C53" s="101"/>
      <c r="D53" s="102" t="s">
        <v>398</v>
      </c>
      <c r="E53" s="101">
        <f t="shared" si="1"/>
        <v>27187000</v>
      </c>
      <c r="F53" s="103" t="s">
        <v>419</v>
      </c>
      <c r="G53" s="104" t="s">
        <v>323</v>
      </c>
      <c r="H53" s="109" t="s">
        <v>374</v>
      </c>
    </row>
    <row r="54" spans="1:8" x14ac:dyDescent="0.35">
      <c r="A54" s="100">
        <v>45734</v>
      </c>
      <c r="B54" s="101">
        <v>350000</v>
      </c>
      <c r="C54" s="101"/>
      <c r="D54" s="102" t="s">
        <v>398</v>
      </c>
      <c r="E54" s="101">
        <f t="shared" si="1"/>
        <v>26837000</v>
      </c>
      <c r="F54" s="103" t="s">
        <v>419</v>
      </c>
      <c r="G54" s="104" t="s">
        <v>323</v>
      </c>
      <c r="H54" s="109" t="s">
        <v>374</v>
      </c>
    </row>
    <row r="55" spans="1:8" x14ac:dyDescent="0.35">
      <c r="A55" s="100">
        <v>45735</v>
      </c>
      <c r="B55" s="101">
        <v>350000</v>
      </c>
      <c r="C55" s="101"/>
      <c r="D55" s="102" t="s">
        <v>398</v>
      </c>
      <c r="E55" s="101">
        <f t="shared" si="1"/>
        <v>26487000</v>
      </c>
      <c r="F55" s="103" t="s">
        <v>419</v>
      </c>
      <c r="G55" s="104" t="s">
        <v>323</v>
      </c>
      <c r="H55" s="109" t="s">
        <v>374</v>
      </c>
    </row>
    <row r="56" spans="1:8" x14ac:dyDescent="0.35">
      <c r="A56" s="100">
        <v>45736</v>
      </c>
      <c r="B56" s="101">
        <v>700000</v>
      </c>
      <c r="C56" s="101"/>
      <c r="D56" s="102" t="s">
        <v>398</v>
      </c>
      <c r="E56" s="101">
        <f t="shared" si="1"/>
        <v>25787000</v>
      </c>
      <c r="F56" s="103" t="s">
        <v>418</v>
      </c>
      <c r="G56" s="104" t="s">
        <v>323</v>
      </c>
      <c r="H56" s="109" t="s">
        <v>374</v>
      </c>
    </row>
    <row r="57" spans="1:8" x14ac:dyDescent="0.35">
      <c r="A57" s="100">
        <v>45733</v>
      </c>
      <c r="B57" s="101">
        <v>5578000</v>
      </c>
      <c r="C57" s="101"/>
      <c r="D57" s="102" t="s">
        <v>398</v>
      </c>
      <c r="E57" s="101">
        <f t="shared" si="1"/>
        <v>20209000</v>
      </c>
      <c r="F57" s="103" t="s">
        <v>379</v>
      </c>
      <c r="G57" s="104" t="s">
        <v>320</v>
      </c>
      <c r="H57" s="109" t="s">
        <v>374</v>
      </c>
    </row>
    <row r="58" spans="1:8" x14ac:dyDescent="0.35">
      <c r="A58" s="100">
        <v>45737</v>
      </c>
      <c r="B58" s="101">
        <v>350000</v>
      </c>
      <c r="C58" s="101"/>
      <c r="D58" s="102" t="s">
        <v>422</v>
      </c>
      <c r="E58" s="101">
        <f t="shared" si="1"/>
        <v>19859000</v>
      </c>
      <c r="F58" s="103" t="s">
        <v>419</v>
      </c>
      <c r="G58" s="104" t="s">
        <v>323</v>
      </c>
      <c r="H58" s="109" t="s">
        <v>374</v>
      </c>
    </row>
    <row r="59" spans="1:8" x14ac:dyDescent="0.35">
      <c r="A59" s="100">
        <v>45738</v>
      </c>
      <c r="B59" s="101">
        <v>700000</v>
      </c>
      <c r="C59" s="101"/>
      <c r="D59" s="102" t="s">
        <v>422</v>
      </c>
      <c r="E59" s="101">
        <f t="shared" si="1"/>
        <v>19159000</v>
      </c>
      <c r="F59" s="103" t="s">
        <v>418</v>
      </c>
      <c r="G59" s="104" t="s">
        <v>323</v>
      </c>
      <c r="H59" s="109" t="s">
        <v>374</v>
      </c>
    </row>
    <row r="60" spans="1:8" x14ac:dyDescent="0.35">
      <c r="A60" s="100">
        <v>45739</v>
      </c>
      <c r="B60" s="101">
        <v>700000</v>
      </c>
      <c r="C60" s="101"/>
      <c r="D60" s="102" t="s">
        <v>422</v>
      </c>
      <c r="E60" s="101">
        <f t="shared" si="1"/>
        <v>18459000</v>
      </c>
      <c r="F60" s="103" t="s">
        <v>418</v>
      </c>
      <c r="G60" s="104" t="s">
        <v>323</v>
      </c>
      <c r="H60" s="109" t="s">
        <v>374</v>
      </c>
    </row>
    <row r="61" spans="1:8" x14ac:dyDescent="0.35">
      <c r="A61" s="100">
        <v>45740</v>
      </c>
      <c r="B61" s="101">
        <v>350000</v>
      </c>
      <c r="C61" s="101"/>
      <c r="D61" s="102" t="s">
        <v>422</v>
      </c>
      <c r="E61" s="101">
        <f t="shared" si="1"/>
        <v>18109000</v>
      </c>
      <c r="F61" s="103" t="s">
        <v>419</v>
      </c>
      <c r="G61" s="104" t="s">
        <v>323</v>
      </c>
      <c r="H61" s="109" t="s">
        <v>374</v>
      </c>
    </row>
    <row r="62" spans="1:8" x14ac:dyDescent="0.35">
      <c r="A62" s="100">
        <v>45741</v>
      </c>
      <c r="B62" s="101">
        <v>350000</v>
      </c>
      <c r="C62" s="101"/>
      <c r="D62" s="102" t="s">
        <v>422</v>
      </c>
      <c r="E62" s="101">
        <f t="shared" si="1"/>
        <v>17759000</v>
      </c>
      <c r="F62" s="103" t="s">
        <v>419</v>
      </c>
      <c r="G62" s="104" t="s">
        <v>323</v>
      </c>
      <c r="H62" s="109" t="s">
        <v>374</v>
      </c>
    </row>
    <row r="63" spans="1:8" x14ac:dyDescent="0.35">
      <c r="A63" s="100">
        <v>45742</v>
      </c>
      <c r="B63" s="101">
        <v>350000</v>
      </c>
      <c r="C63" s="101"/>
      <c r="D63" s="102" t="s">
        <v>422</v>
      </c>
      <c r="E63" s="101">
        <f t="shared" si="1"/>
        <v>17409000</v>
      </c>
      <c r="F63" s="103" t="s">
        <v>419</v>
      </c>
      <c r="G63" s="104" t="s">
        <v>323</v>
      </c>
      <c r="H63" s="109" t="s">
        <v>374</v>
      </c>
    </row>
    <row r="64" spans="1:8" x14ac:dyDescent="0.35">
      <c r="A64" s="100">
        <v>45743</v>
      </c>
      <c r="B64" s="101">
        <v>700000</v>
      </c>
      <c r="C64" s="101"/>
      <c r="D64" s="102" t="s">
        <v>422</v>
      </c>
      <c r="E64" s="101">
        <f t="shared" si="1"/>
        <v>16709000</v>
      </c>
      <c r="F64" s="103" t="s">
        <v>418</v>
      </c>
      <c r="G64" s="104" t="s">
        <v>323</v>
      </c>
      <c r="H64" s="109" t="s">
        <v>374</v>
      </c>
    </row>
    <row r="65" spans="1:12" x14ac:dyDescent="0.35">
      <c r="A65" s="100">
        <v>45741</v>
      </c>
      <c r="B65" s="101">
        <v>5026000</v>
      </c>
      <c r="C65" s="101"/>
      <c r="D65" s="102" t="s">
        <v>422</v>
      </c>
      <c r="E65" s="101">
        <f t="shared" si="1"/>
        <v>11683000</v>
      </c>
      <c r="F65" s="103" t="s">
        <v>379</v>
      </c>
      <c r="G65" s="104" t="s">
        <v>320</v>
      </c>
      <c r="H65" s="109" t="s">
        <v>374</v>
      </c>
    </row>
    <row r="66" spans="1:12" x14ac:dyDescent="0.35">
      <c r="A66" s="100">
        <v>45744</v>
      </c>
      <c r="B66" s="101">
        <v>350000</v>
      </c>
      <c r="C66" s="101"/>
      <c r="D66" s="102" t="s">
        <v>474</v>
      </c>
      <c r="E66" s="101">
        <f t="shared" si="1"/>
        <v>11333000</v>
      </c>
      <c r="F66" s="103" t="s">
        <v>419</v>
      </c>
      <c r="G66" s="104" t="s">
        <v>323</v>
      </c>
      <c r="H66" s="109" t="s">
        <v>374</v>
      </c>
    </row>
    <row r="67" spans="1:12" x14ac:dyDescent="0.35">
      <c r="A67" s="100">
        <v>45745</v>
      </c>
      <c r="B67" s="101">
        <v>700000</v>
      </c>
      <c r="C67" s="101"/>
      <c r="D67" s="102" t="s">
        <v>474</v>
      </c>
      <c r="E67" s="101">
        <f t="shared" si="1"/>
        <v>10633000</v>
      </c>
      <c r="F67" s="103" t="s">
        <v>419</v>
      </c>
      <c r="G67" s="104" t="s">
        <v>323</v>
      </c>
      <c r="H67" s="109" t="s">
        <v>374</v>
      </c>
    </row>
    <row r="68" spans="1:12" x14ac:dyDescent="0.35">
      <c r="A68" s="19"/>
      <c r="B68" s="38"/>
      <c r="C68" s="38"/>
      <c r="D68" s="32"/>
      <c r="E68" s="38"/>
      <c r="F68" s="10"/>
      <c r="G68" s="24"/>
      <c r="H68" s="175"/>
      <c r="K68" s="287" t="s">
        <v>767</v>
      </c>
      <c r="L68" s="287"/>
    </row>
    <row r="69" spans="1:12" x14ac:dyDescent="0.35">
      <c r="A69" s="286" t="s">
        <v>541</v>
      </c>
      <c r="B69" s="286"/>
      <c r="C69" s="286"/>
      <c r="D69" s="2"/>
      <c r="E69" s="183">
        <v>11162000</v>
      </c>
      <c r="K69" s="6" t="s">
        <v>6</v>
      </c>
      <c r="L69" s="32" t="s">
        <v>769</v>
      </c>
    </row>
    <row r="70" spans="1:12" x14ac:dyDescent="0.35">
      <c r="C70" s="18" t="s">
        <v>542</v>
      </c>
      <c r="E70" s="184">
        <f>E69-E67</f>
        <v>529000</v>
      </c>
      <c r="K70" s="10" t="s">
        <v>765</v>
      </c>
      <c r="L70" s="217">
        <v>42955000</v>
      </c>
    </row>
    <row r="71" spans="1:12" x14ac:dyDescent="0.35">
      <c r="K71" s="10" t="s">
        <v>766</v>
      </c>
      <c r="L71" s="20">
        <v>2040000</v>
      </c>
    </row>
    <row r="72" spans="1:12" x14ac:dyDescent="0.35">
      <c r="K72" s="10" t="s">
        <v>768</v>
      </c>
      <c r="L72" s="20">
        <v>17785500</v>
      </c>
    </row>
    <row r="73" spans="1:12" x14ac:dyDescent="0.35">
      <c r="K73" s="6" t="s">
        <v>770</v>
      </c>
      <c r="L73" s="218">
        <f>SUM(L70:L72)</f>
        <v>62780500</v>
      </c>
    </row>
    <row r="74" spans="1:12" x14ac:dyDescent="0.35">
      <c r="C74" s="26">
        <f>SUM(C5:C67)</f>
        <v>42955000</v>
      </c>
      <c r="E74" s="18" t="s">
        <v>765</v>
      </c>
    </row>
    <row r="75" spans="1:12" x14ac:dyDescent="0.35">
      <c r="C75" s="25">
        <v>2040000</v>
      </c>
    </row>
    <row r="76" spans="1:12" x14ac:dyDescent="0.35">
      <c r="C76" s="18">
        <v>17785500</v>
      </c>
    </row>
    <row r="78" spans="1:12" x14ac:dyDescent="0.35">
      <c r="K78" s="5"/>
    </row>
    <row r="79" spans="1:12" x14ac:dyDescent="0.35">
      <c r="K79" s="5"/>
    </row>
  </sheetData>
  <mergeCells count="3">
    <mergeCell ref="A1:H1"/>
    <mergeCell ref="A69:C69"/>
    <mergeCell ref="K68:L6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F00-000000000000}">
          <x14:formula1>
            <xm:f>'D:\ALJABAR\[RK Masjid AL Jabbar Upgrade.xlsx]Akun'!#REF!</xm:f>
          </x14:formula1>
          <xm:sqref>G5:G68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ACC-STATEMENT-20250109</vt:lpstr>
      <vt:lpstr>Mutasi RK Aljabar</vt:lpstr>
      <vt:lpstr>Mutasi RK Aljabar Rinci</vt:lpstr>
      <vt:lpstr>Mutasi Group</vt:lpstr>
      <vt:lpstr>Nama Donatur</vt:lpstr>
      <vt:lpstr>Mutasi RK Aljabar Desember</vt:lpstr>
      <vt:lpstr>Mutasi RK Aljabar April</vt:lpstr>
      <vt:lpstr>Mutasi RK Aljabar Maret</vt:lpstr>
      <vt:lpstr>Mutasi RK Aljabar September (2)</vt:lpstr>
      <vt:lpstr>Mutasi RK Aljabar 2 April</vt:lpstr>
      <vt:lpstr>Mutasi RK Aljabar Januari (2)</vt:lpstr>
      <vt:lpstr>Cash flow Aljabbar</vt:lpstr>
      <vt:lpstr>Cash flow Aljabbar forecast</vt:lpstr>
      <vt:lpstr>Akun</vt:lpstr>
      <vt:lpstr>Terima Cash Imron</vt:lpstr>
      <vt:lpstr>Infaq Taraweh</vt:lpstr>
      <vt:lpstr>'Cash flow Aljabbar'!Print_Area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RIVENDRA</dc:creator>
  <cp:lastModifiedBy>RIVENDRA</cp:lastModifiedBy>
  <cp:lastPrinted>2026-01-01T08:21:19Z</cp:lastPrinted>
  <dcterms:created xsi:type="dcterms:W3CDTF">2025-01-09T04:56:37Z</dcterms:created>
  <dcterms:modified xsi:type="dcterms:W3CDTF">2026-04-03T04:39:44Z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2025-03-27T23:58:33Z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60669943-4b78-46b9-a709-5be38ea7bef6</vt:lpwstr>
  </property>
  <property fmtid="{D5CDD505-2E9C-101B-9397-08002B2CF9AE}" pid="8" name="MSIP_Label_defa4170-0d19-0005-0004-bc88714345d2_ContentBits">
    <vt:lpwstr>0</vt:lpwstr>
  </property>
</Properties>
</file>